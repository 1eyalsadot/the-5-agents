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Main List" sheetId="2" state="visible" r:id="rId4"/>
    <sheet name="301 - Amazon" sheetId="3" state="visible" r:id="rId5"/>
    <sheet name="SALES Raw" sheetId="4" state="visible" r:id="rId6"/>
    <sheet name="TRANS" sheetId="5" state="visible" r:id="rId7"/>
    <sheet name="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<sst xmlns="http://schemas.openxmlformats.org/spreadsheetml/2006/main" count="6176" uniqueCount="1604">
  <si>
    <t xml:space="preserve">ITEMDIS — International Distribution Product List, 2025 vs 2026 (Normalized)</t>
  </si>
  <si>
    <t xml:space="preserve">Calculation date:</t>
  </si>
  <si>
    <t xml:space="preserve">Technical note (not a conclusion): Same methodology as ITEMISR. "Main List" merges the 15 international distribution Sale Types from kirill/outputs/2026-09-20-salestype-2025-vs-2026.xlsx ("Source" sheet) by product - matched to CHEMIPAL Code via TRANS (primary) then the "חנה_1" Catalog (fallback), exact then whitespace-normalized; unmatched items kept as their own row (raw item name as key), not dropped. "301 - Amazon" is EXCLUDED from Main List and kept on its own standalone sheet - not part of any consolidated total (mirrors the 111/112 pattern in ITEMISR). No 0.91 factor anywhere in this file (pure SALES/NetSuite source). 2026 normalized to a full year (×12/9.5). DROP/NEW uses a near-zero tolerance (ROUND(...,2)=0 instead of exact equality) from the start, per the fix applied elsewhere this session. Match rates vary significantly by category (as low as ~19-34% of amount for Switzerland/Spain) - this is expected given each distributor uses its own SKU-naming convention not fully covered by TRANS/Catalog, not a data error; unmatched rows are kept, never guessed or dropped.</t>
  </si>
  <si>
    <t xml:space="preserve">Sheet map</t>
  </si>
  <si>
    <t xml:space="preserve">Sheet</t>
  </si>
  <si>
    <t xml:space="preserve">Contents</t>
  </si>
  <si>
    <t xml:space="preserve">Main List</t>
  </si>
  <si>
    <t xml:space="preserve">Merged by product across all 15 ITEMDIS categories except 301-Amazon, sorted by Qty 2026 desc, DROP/NEW colored.</t>
  </si>
  <si>
    <t xml:space="preserve">301 - Amazon</t>
  </si>
  <si>
    <t xml:space="preserve">Standalone - not in Main List or any consolidated total. Sale Type "301 - Amazon", matched via TRANS/Catalog. Cross-validated against the source file's own native "301 - Amazon" DROP/NEW totals.</t>
  </si>
  <si>
    <t xml:space="preserve">SALES Raw</t>
  </si>
  <si>
    <t xml:space="preserve">Pre-aggregated item-level data (per category+item) for all 16 ITEMDIS categories, with live CHEMIPAL Code match + scope helper columns.</t>
  </si>
  <si>
    <t xml:space="preserve">TRANS</t>
  </si>
  <si>
    <t xml:space="preserve">Crosswalk table (short NetSuite-style item codes -&gt; CHEMIPAL Code) - primary match source.</t>
  </si>
  <si>
    <t xml:space="preserve">Catalog</t>
  </si>
  <si>
    <t xml:space="preserve">Global מק"ט &lt;-&gt; item-name catalog ("חנה_1", PPLAY1-format) - fallback match source.</t>
  </si>
  <si>
    <t xml:space="preserve">Summary</t>
  </si>
  <si>
    <t xml:space="preserve"># Rows</t>
  </si>
  <si>
    <t xml:space="preserve">Qty 2025</t>
  </si>
  <si>
    <t xml:space="preserve">Amt 2025 (₪)</t>
  </si>
  <si>
    <t xml:space="preserve">Qty 2026 (norm)</t>
  </si>
  <si>
    <t xml:space="preserve">Amt 2026 (norm, ₪)</t>
  </si>
  <si>
    <t xml:space="preserve"># DROP</t>
  </si>
  <si>
    <t xml:space="preserve"># NEW</t>
  </si>
  <si>
    <t xml:space="preserve">Per-category match rate (Main List, 15 categories + Amazon shown separately)</t>
  </si>
  <si>
    <t xml:space="preserve">Category</t>
  </si>
  <si>
    <t xml:space="preserve"># Items</t>
  </si>
  <si>
    <t xml:space="preserve"># Unmatched</t>
  </si>
  <si>
    <t xml:space="preserve">Qty match %</t>
  </si>
  <si>
    <t xml:space="preserve">Amt match %</t>
  </si>
  <si>
    <t xml:space="preserve">202 - Super-Pharm POLAND</t>
  </si>
  <si>
    <t xml:space="preserve">201- Seven Gear FINLAND oy</t>
  </si>
  <si>
    <t xml:space="preserve">216 - Max Konnaris CYPRUS</t>
  </si>
  <si>
    <t xml:space="preserve">200 - ROW : 217 - N3W FOODS USA</t>
  </si>
  <si>
    <t xml:space="preserve">205 - Health Care Prod. Gmbh GERMANY</t>
  </si>
  <si>
    <t xml:space="preserve">206 - Orthomed  Ltd BULGARIA</t>
  </si>
  <si>
    <t xml:space="preserve">203 - Ortho- Partner ag SWITZERLAND</t>
  </si>
  <si>
    <t xml:space="preserve">210 - Oy. Ea. Ab. FINLAND</t>
  </si>
  <si>
    <t xml:space="preserve">204 - Sanaflex Anatomic GREECE</t>
  </si>
  <si>
    <t xml:space="preserve">214 - Alfred Gera&amp; Sons Ltd. MALTA</t>
  </si>
  <si>
    <t xml:space="preserve">211 - Pharmag Lachmair Ges. Mbh AUSTRIA</t>
  </si>
  <si>
    <t xml:space="preserve">213 - E.f.m.o. SPAIN</t>
  </si>
  <si>
    <t xml:space="preserve">207 - Salus HUNGARY</t>
  </si>
  <si>
    <t xml:space="preserve">208 - Medipal Company NABLUS</t>
  </si>
  <si>
    <t xml:space="preserve">209 - Ortoprofil Prod ROMANIA</t>
  </si>
  <si>
    <t xml:space="preserve">Main List — merged by product, 15 sources (all ITEMDIS categories except 301-Amazon)</t>
  </si>
  <si>
    <t xml:space="preserve">Technical note (not a conclusion): merges the 15 international-distribution Sale Types from kirill/outputs/2026-09-20-salestype-2025-vs-2026.xlsx (Source sheet), matched to CHEMIPAL Code via TRANS (primary) then the "חנה_1" Catalog (fallback), exact then whitespace-normalized. Each CHEMIPAL Code / raw item name appears ONCE, Quantity/Amount summed across all 15 categories that report it. CHEMIPAL Code blank when unmatched (kept as its own row, keyed by raw item name - not dropped). "301 - Amazon" is EXCLUDED here and kept on its own standalone sheet - not part of this Main List or any consolidated total, per instruction (mirrors the 111/112 pattern in the ITEMISR file). No 0.91 factor anywhere in this file (pure SALES/NetSuite source, not PPLAY1). 2026 normalized to a full year (×12/9.5). DROP/NEW classification uses a near-zero tolerance (ROUND(...,2)=0) instead of exact equality, to avoid floating-point residue misclassifying a true zero as nonzero (per the fix applied across the other files in this session — built in here from the start). Sorted by Quantity 2026 (normalized), descending. RED = DROP, GREEN = NEW.</t>
  </si>
  <si>
    <t xml:space="preserve">Normalization factor (2026, full year):</t>
  </si>
  <si>
    <t xml:space="preserve">Factor (12/9.5):</t>
  </si>
  <si>
    <t xml:space="preserve">CHEMIPAL Code</t>
  </si>
  <si>
    <t xml:space="preserve">ITEM NAME</t>
  </si>
  <si>
    <t xml:space="preserve">שם מוצר</t>
  </si>
  <si>
    <t xml:space="preserve">כמות 2025</t>
  </si>
  <si>
    <t xml:space="preserve">כסף 2025 (₪)</t>
  </si>
  <si>
    <t xml:space="preserve">כמות 2026 (מנורמל)</t>
  </si>
  <si>
    <t xml:space="preserve">כסף 2026 (מנורמל, ₪)</t>
  </si>
  <si>
    <t xml:space="preserve">Top Source</t>
  </si>
  <si>
    <t xml:space="preserve">2nd Source</t>
  </si>
  <si>
    <t xml:space="preserve">Internal Product Key (audit)</t>
  </si>
  <si>
    <t xml:space="preserve">ST45X 0</t>
  </si>
  <si>
    <t xml:space="preserve">49PS L</t>
  </si>
  <si>
    <t xml:space="preserve">808KTP-C</t>
  </si>
  <si>
    <t xml:space="preserve">808KTP-B</t>
  </si>
  <si>
    <t xml:space="preserve">808KTP-P</t>
  </si>
  <si>
    <t xml:space="preserve">808KTP-BL</t>
  </si>
  <si>
    <t xml:space="preserve">49PS M</t>
  </si>
  <si>
    <t xml:space="preserve">305-43-44</t>
  </si>
  <si>
    <t xml:space="preserve">305-39-40</t>
  </si>
  <si>
    <t xml:space="preserve">305-41-42</t>
  </si>
  <si>
    <t xml:space="preserve">376-41-43</t>
  </si>
  <si>
    <t xml:space="preserve">49PS XL</t>
  </si>
  <si>
    <t xml:space="preserve">ST95 0</t>
  </si>
  <si>
    <t xml:space="preserve">376-38-40</t>
  </si>
  <si>
    <t xml:space="preserve">376-44-45</t>
  </si>
  <si>
    <t xml:space="preserve">305-37-38</t>
  </si>
  <si>
    <t xml:space="preserve">ST27R 0</t>
  </si>
  <si>
    <t xml:space="preserve">305-45-46</t>
  </si>
  <si>
    <t xml:space="preserve">ST27L 0</t>
  </si>
  <si>
    <t xml:space="preserve">376-35-37</t>
  </si>
  <si>
    <t xml:space="preserve">61 M</t>
  </si>
  <si>
    <t xml:space="preserve">363 L/R</t>
  </si>
  <si>
    <t xml:space="preserve">82 0</t>
  </si>
  <si>
    <t xml:space="preserve">86U L</t>
  </si>
  <si>
    <t xml:space="preserve">38R 0</t>
  </si>
  <si>
    <t xml:space="preserve">86U M</t>
  </si>
  <si>
    <t xml:space="preserve">86U XL</t>
  </si>
  <si>
    <t xml:space="preserve">T43V L</t>
  </si>
  <si>
    <t xml:space="preserve">61 S</t>
  </si>
  <si>
    <t xml:space="preserve">43BD XL</t>
  </si>
  <si>
    <t xml:space="preserve">376-44-46</t>
  </si>
  <si>
    <t xml:space="preserve">43BD L</t>
  </si>
  <si>
    <t xml:space="preserve">305-35-36</t>
  </si>
  <si>
    <t xml:space="preserve">38L 0</t>
  </si>
  <si>
    <t xml:space="preserve">43BD M</t>
  </si>
  <si>
    <t xml:space="preserve">239P-S-M</t>
  </si>
  <si>
    <t xml:space="preserve">T43V XL</t>
  </si>
  <si>
    <t xml:space="preserve">T43V XXL</t>
  </si>
  <si>
    <t xml:space="preserve">T43V M</t>
  </si>
  <si>
    <t xml:space="preserve">11PS M</t>
  </si>
  <si>
    <t xml:space="preserve">T43V XXXL</t>
  </si>
  <si>
    <t xml:space="preserve">49PS XXL</t>
  </si>
  <si>
    <t xml:space="preserve">61 L</t>
  </si>
  <si>
    <t xml:space="preserve">45C XXL</t>
  </si>
  <si>
    <t xml:space="preserve">43BD XXL</t>
  </si>
  <si>
    <t xml:space="preserve">55 M</t>
  </si>
  <si>
    <t xml:space="preserve">60B M</t>
  </si>
  <si>
    <t xml:space="preserve">35C XXL</t>
  </si>
  <si>
    <t xml:space="preserve">49PS S</t>
  </si>
  <si>
    <t xml:space="preserve">T43V S</t>
  </si>
  <si>
    <t xml:space="preserve">60B L</t>
  </si>
  <si>
    <t xml:space="preserve">60B S</t>
  </si>
  <si>
    <t xml:space="preserve">62FC XS</t>
  </si>
  <si>
    <t xml:space="preserve">32 M</t>
  </si>
  <si>
    <t xml:space="preserve">43BD S</t>
  </si>
  <si>
    <t xml:space="preserve">15W S</t>
  </si>
  <si>
    <t xml:space="preserve">15M L</t>
  </si>
  <si>
    <t xml:space="preserve">15W M</t>
  </si>
  <si>
    <t xml:space="preserve">N433D L</t>
  </si>
  <si>
    <t xml:space="preserve">T40B 0</t>
  </si>
  <si>
    <t xml:space="preserve">15M XL</t>
  </si>
  <si>
    <t xml:space="preserve">390G-39-42</t>
  </si>
  <si>
    <t xml:space="preserve">N433D XL</t>
  </si>
  <si>
    <t xml:space="preserve">34+ XS</t>
  </si>
  <si>
    <t xml:space="preserve">25 M</t>
  </si>
  <si>
    <t xml:space="preserve">332B L</t>
  </si>
  <si>
    <t xml:space="preserve">332B M</t>
  </si>
  <si>
    <t xml:space="preserve">N433D XXL</t>
  </si>
  <si>
    <t xml:space="preserve">91 0</t>
  </si>
  <si>
    <t xml:space="preserve">45C XS</t>
  </si>
  <si>
    <t xml:space="preserve">395B-35-38</t>
  </si>
  <si>
    <t xml:space="preserve">11EU S</t>
  </si>
  <si>
    <t xml:space="preserve">13 L</t>
  </si>
  <si>
    <t xml:space="preserve">30 XL</t>
  </si>
  <si>
    <t xml:space="preserve">55 XXL</t>
  </si>
  <si>
    <t xml:space="preserve">34 XS</t>
  </si>
  <si>
    <t xml:space="preserve">62FC S</t>
  </si>
  <si>
    <t xml:space="preserve">74-S-M</t>
  </si>
  <si>
    <t xml:space="preserve">86U XXL</t>
  </si>
  <si>
    <t xml:space="preserve">332B XL</t>
  </si>
  <si>
    <t xml:space="preserve">60B XL</t>
  </si>
  <si>
    <t xml:space="preserve">T03 L</t>
  </si>
  <si>
    <t xml:space="preserve">T03 M</t>
  </si>
  <si>
    <t xml:space="preserve">T03 XL</t>
  </si>
  <si>
    <t xml:space="preserve">T03 XXL</t>
  </si>
  <si>
    <t xml:space="preserve">32 L</t>
  </si>
  <si>
    <t xml:space="preserve">10 XXL</t>
  </si>
  <si>
    <t xml:space="preserve">30 S</t>
  </si>
  <si>
    <t xml:space="preserve">332B S</t>
  </si>
  <si>
    <t xml:space="preserve">332B XXL</t>
  </si>
  <si>
    <t xml:space="preserve">SH776 L</t>
  </si>
  <si>
    <t xml:space="preserve">SH776 XL</t>
  </si>
  <si>
    <t xml:space="preserve">SH776 XXL</t>
  </si>
  <si>
    <t xml:space="preserve">T33 XL</t>
  </si>
  <si>
    <t xml:space="preserve">13 M</t>
  </si>
  <si>
    <t xml:space="preserve">63 L</t>
  </si>
  <si>
    <t xml:space="preserve">63 M</t>
  </si>
  <si>
    <t xml:space="preserve">T402 XL</t>
  </si>
  <si>
    <t xml:space="preserve">T402 XXL</t>
  </si>
  <si>
    <t xml:space="preserve">T43F XXL</t>
  </si>
  <si>
    <t xml:space="preserve">59LB L</t>
  </si>
  <si>
    <t xml:space="preserve">59LB M</t>
  </si>
  <si>
    <t xml:space="preserve">59RB L</t>
  </si>
  <si>
    <t xml:space="preserve">59RB M</t>
  </si>
  <si>
    <t xml:space="preserve">SH776 M</t>
  </si>
  <si>
    <t xml:space="preserve">SH776 S</t>
  </si>
  <si>
    <t xml:space="preserve">T33 L</t>
  </si>
  <si>
    <t xml:space="preserve">50 S</t>
  </si>
  <si>
    <t xml:space="preserve">50 XXL</t>
  </si>
  <si>
    <t xml:space="preserve">63 S</t>
  </si>
  <si>
    <t xml:space="preserve">T03 S</t>
  </si>
  <si>
    <t xml:space="preserve">809PW-C</t>
  </si>
  <si>
    <t xml:space="preserve">364XL+ 0</t>
  </si>
  <si>
    <t xml:space="preserve">61BL-M</t>
  </si>
  <si>
    <t xml:space="preserve">SH322-6</t>
  </si>
  <si>
    <t xml:space="preserve">SH423L 6</t>
  </si>
  <si>
    <t xml:space="preserve">T066B-L-XL</t>
  </si>
  <si>
    <t xml:space="preserve">T36B L</t>
  </si>
  <si>
    <t xml:space="preserve">T46B L</t>
  </si>
  <si>
    <t xml:space="preserve">391W-39-42</t>
  </si>
  <si>
    <t xml:space="preserve">397-35-38</t>
  </si>
  <si>
    <t xml:space="preserve">397-43-46</t>
  </si>
  <si>
    <t xml:space="preserve">78A XXL</t>
  </si>
  <si>
    <t xml:space="preserve">391W-35-38</t>
  </si>
  <si>
    <t xml:space="preserve">67812000</t>
  </si>
  <si>
    <t xml:space="preserve">67813000</t>
  </si>
  <si>
    <t xml:space="preserve">922 S</t>
  </si>
  <si>
    <t xml:space="preserve">922 XXL</t>
  </si>
  <si>
    <t xml:space="preserve">07UB XXL</t>
  </si>
  <si>
    <t xml:space="preserve">07UB-L-XL</t>
  </si>
  <si>
    <t xml:space="preserve">07UB-S-M</t>
  </si>
  <si>
    <t xml:space="preserve">11UG XL</t>
  </si>
  <si>
    <t xml:space="preserve">62 L</t>
  </si>
  <si>
    <t xml:space="preserve">T33 M</t>
  </si>
  <si>
    <t xml:space="preserve">T33 S</t>
  </si>
  <si>
    <t xml:space="preserve">T33 XXL</t>
  </si>
  <si>
    <t xml:space="preserve">15M M</t>
  </si>
  <si>
    <t xml:space="preserve">15W XL</t>
  </si>
  <si>
    <t xml:space="preserve">15W XS</t>
  </si>
  <si>
    <t xml:space="preserve">15W XXL</t>
  </si>
  <si>
    <t xml:space="preserve">422N L</t>
  </si>
  <si>
    <t xml:space="preserve">422N M</t>
  </si>
  <si>
    <t xml:space="preserve">422N XL</t>
  </si>
  <si>
    <t xml:space="preserve">422N+ XL</t>
  </si>
  <si>
    <t xml:space="preserve">60 XS</t>
  </si>
  <si>
    <t xml:space="preserve">62FC L</t>
  </si>
  <si>
    <t xml:space="preserve">62FC M</t>
  </si>
  <si>
    <t xml:space="preserve">62FC XL</t>
  </si>
  <si>
    <t xml:space="preserve">T43V XS</t>
  </si>
  <si>
    <t xml:space="preserve">T95 L</t>
  </si>
  <si>
    <t xml:space="preserve">T95 M</t>
  </si>
  <si>
    <t xml:space="preserve">30 L</t>
  </si>
  <si>
    <t xml:space="preserve">30 M</t>
  </si>
  <si>
    <t xml:space="preserve">41 XXL</t>
  </si>
  <si>
    <t xml:space="preserve">60B XS</t>
  </si>
  <si>
    <t xml:space="preserve">78A L</t>
  </si>
  <si>
    <t xml:space="preserve">78A M</t>
  </si>
  <si>
    <t xml:space="preserve">10 S</t>
  </si>
  <si>
    <t xml:space="preserve">392B-39-42</t>
  </si>
  <si>
    <t xml:space="preserve">392B-43-46</t>
  </si>
  <si>
    <t xml:space="preserve">55 S</t>
  </si>
  <si>
    <t xml:space="preserve">61 XL</t>
  </si>
  <si>
    <t xml:space="preserve">67 0</t>
  </si>
  <si>
    <t xml:space="preserve">67800020</t>
  </si>
  <si>
    <t xml:space="preserve">391B-35-38</t>
  </si>
  <si>
    <t xml:space="preserve">395W-35-38</t>
  </si>
  <si>
    <t xml:space="preserve">T45C L</t>
  </si>
  <si>
    <t xml:space="preserve">T45C M</t>
  </si>
  <si>
    <t xml:space="preserve">T45C S</t>
  </si>
  <si>
    <t xml:space="preserve">T45C XL</t>
  </si>
  <si>
    <t xml:space="preserve">T45X L</t>
  </si>
  <si>
    <t xml:space="preserve">32 XXL</t>
  </si>
  <si>
    <t xml:space="preserve">59DB L</t>
  </si>
  <si>
    <t xml:space="preserve">59DB M</t>
  </si>
  <si>
    <t xml:space="preserve">59DB S</t>
  </si>
  <si>
    <t xml:space="preserve">59DB XL</t>
  </si>
  <si>
    <t xml:space="preserve">59DB XXL</t>
  </si>
  <si>
    <t xml:space="preserve">59LB S</t>
  </si>
  <si>
    <t xml:space="preserve">59LB XL</t>
  </si>
  <si>
    <t xml:space="preserve">59LB XXL</t>
  </si>
  <si>
    <t xml:space="preserve">59RB S</t>
  </si>
  <si>
    <t xml:space="preserve">59RB XL</t>
  </si>
  <si>
    <t xml:space="preserve">59RB XXL</t>
  </si>
  <si>
    <t xml:space="preserve">ST10 0</t>
  </si>
  <si>
    <t xml:space="preserve">T402 L</t>
  </si>
  <si>
    <t xml:space="preserve">T402 M</t>
  </si>
  <si>
    <t xml:space="preserve">T402 S</t>
  </si>
  <si>
    <t xml:space="preserve">07AE L</t>
  </si>
  <si>
    <t xml:space="preserve">07AE M</t>
  </si>
  <si>
    <t xml:space="preserve">07AE S</t>
  </si>
  <si>
    <t xml:space="preserve">07AE XL</t>
  </si>
  <si>
    <t xml:space="preserve">07AE XXL</t>
  </si>
  <si>
    <t xml:space="preserve">10 XS</t>
  </si>
  <si>
    <t xml:space="preserve">1000FC</t>
  </si>
  <si>
    <t xml:space="preserve">15M S</t>
  </si>
  <si>
    <t xml:space="preserve">15M XXL</t>
  </si>
  <si>
    <t xml:space="preserve">60 XXL</t>
  </si>
  <si>
    <t xml:space="preserve">70 XS</t>
  </si>
  <si>
    <t xml:space="preserve">הנחות לקוחות</t>
  </si>
  <si>
    <t xml:space="preserve">301 - Amazon - Source: kirill/outputs/2026-09-20-salestype-2025-vs-2026.xlsx, "Source" sheet, Sale Type = "301 - Amazon". Kept as its OWN separate sheet per explicit instruction - NOT included in "Main List" or any consolidated total (mirrors the 111/112 pattern in the ITEMISR file). No 0.91 factor (NetSuite-sourced). 2026 normalized to a full year (×12/9.5). Same columns/sort/coloring convention as Main List (DROP/NEW uses the same near-zero tolerance, ROUND(...,2)=0). Cross-validated against this same source file's own native "301 - Amazon" sheet DROP/NEW totals - exact match.</t>
  </si>
  <si>
    <t xml:space="preserve">Source Category</t>
  </si>
  <si>
    <t xml:space="preserve">SALES Raw — item-level data (pre-aggregated per category+item) for all 16 distributor categories</t>
  </si>
  <si>
    <t xml:space="preserve">(scope ref list for Main List, col O - the 15 DIRECT categories, excludes 301-Amazon)</t>
  </si>
  <si>
    <t xml:space="preserve">Source: kirill/outputs/2026-09-20-salestype-2025-vs-2026.xlsx, "Source" sheet, filtered per Sale Type (15 categories that feed the Main List + "301 - Amazon" which gets its own separate sheet). No 0.91 factor (NetSuite-sourced). Quantity/Amount 2026 here are RAW ACTUAL (pre-normalization) - normalization happens in the Main List / 301-Amazon sheets' formulas. CHEMIPAL Code matched live: TRANS (primary) then Catalog (fallback), each exact then normalized.</t>
  </si>
  <si>
    <t xml:space="preserve">Item Name (raw)</t>
  </si>
  <si>
    <t xml:space="preserve">Quantity 2025</t>
  </si>
  <si>
    <t xml:space="preserve">Amount 2025 (₪)</t>
  </si>
  <si>
    <t xml:space="preserve">Quantity 2026 (raw actual)</t>
  </si>
  <si>
    <t xml:space="preserve">Amount 2026 (raw actual, ₪)</t>
  </si>
  <si>
    <t xml:space="preserve">Product Name</t>
  </si>
  <si>
    <t xml:space="preserve">Match Type</t>
  </si>
  <si>
    <t xml:space="preserve">Product Key</t>
  </si>
  <si>
    <t xml:space="preserve">Main List Scope (15, excl. Amazon)</t>
  </si>
  <si>
    <t xml:space="preserve">078 L</t>
  </si>
  <si>
    <t xml:space="preserve">078 M</t>
  </si>
  <si>
    <t xml:space="preserve">078 S</t>
  </si>
  <si>
    <t xml:space="preserve">078 XL</t>
  </si>
  <si>
    <t xml:space="preserve">078G L</t>
  </si>
  <si>
    <t xml:space="preserve">078G M</t>
  </si>
  <si>
    <t xml:space="preserve">078G S</t>
  </si>
  <si>
    <t xml:space="preserve">078G XL</t>
  </si>
  <si>
    <t xml:space="preserve">078G XXL</t>
  </si>
  <si>
    <t xml:space="preserve">11 L</t>
  </si>
  <si>
    <t xml:space="preserve">11 M</t>
  </si>
  <si>
    <t xml:space="preserve">11 S</t>
  </si>
  <si>
    <t xml:space="preserve">11 XL</t>
  </si>
  <si>
    <t xml:space="preserve">16-L-XL</t>
  </si>
  <si>
    <t xml:space="preserve">16-S-M</t>
  </si>
  <si>
    <t xml:space="preserve">20 L</t>
  </si>
  <si>
    <t xml:space="preserve">20 M</t>
  </si>
  <si>
    <t xml:space="preserve">20 S</t>
  </si>
  <si>
    <t xml:space="preserve">20 XL</t>
  </si>
  <si>
    <t xml:space="preserve">21 L</t>
  </si>
  <si>
    <t xml:space="preserve">21 M</t>
  </si>
  <si>
    <t xml:space="preserve">21 S</t>
  </si>
  <si>
    <t xml:space="preserve">302M 0</t>
  </si>
  <si>
    <t xml:space="preserve">302W 0</t>
  </si>
  <si>
    <t xml:space="preserve">307 L</t>
  </si>
  <si>
    <t xml:space="preserve">307 M</t>
  </si>
  <si>
    <t xml:space="preserve">307 S</t>
  </si>
  <si>
    <t xml:space="preserve">311 0</t>
  </si>
  <si>
    <t xml:space="preserve">35 L</t>
  </si>
  <si>
    <t xml:space="preserve">35 M</t>
  </si>
  <si>
    <t xml:space="preserve">35 S</t>
  </si>
  <si>
    <t xml:space="preserve">35 XL</t>
  </si>
  <si>
    <t xml:space="preserve">35B L</t>
  </si>
  <si>
    <t xml:space="preserve">35B M</t>
  </si>
  <si>
    <t xml:space="preserve">35B S</t>
  </si>
  <si>
    <t xml:space="preserve">35B XL</t>
  </si>
  <si>
    <t xml:space="preserve">35C L</t>
  </si>
  <si>
    <t xml:space="preserve">35C M</t>
  </si>
  <si>
    <t xml:space="preserve">35C S</t>
  </si>
  <si>
    <t xml:space="preserve">35C XL</t>
  </si>
  <si>
    <t xml:space="preserve">3623 0</t>
  </si>
  <si>
    <t xml:space="preserve">364-S-L</t>
  </si>
  <si>
    <t xml:space="preserve">364 XL</t>
  </si>
  <si>
    <t xml:space="preserve">365-S-L</t>
  </si>
  <si>
    <t xml:space="preserve">365-XL</t>
  </si>
  <si>
    <t xml:space="preserve">3655 0</t>
  </si>
  <si>
    <t xml:space="preserve">366S 0</t>
  </si>
  <si>
    <t xml:space="preserve">3677S 0</t>
  </si>
  <si>
    <t xml:space="preserve">369-S-L</t>
  </si>
  <si>
    <t xml:space="preserve">369-XL</t>
  </si>
  <si>
    <t xml:space="preserve">370 0</t>
  </si>
  <si>
    <t xml:space="preserve">371 0</t>
  </si>
  <si>
    <t xml:space="preserve">372 0</t>
  </si>
  <si>
    <t xml:space="preserve">374 0</t>
  </si>
  <si>
    <t xml:space="preserve">376-46-47</t>
  </si>
  <si>
    <t xml:space="preserve">386 0</t>
  </si>
  <si>
    <t xml:space="preserve">395B-39-42</t>
  </si>
  <si>
    <t xml:space="preserve">397-39-42</t>
  </si>
  <si>
    <t xml:space="preserve">397A-35-38</t>
  </si>
  <si>
    <t xml:space="preserve">397A-39-42</t>
  </si>
  <si>
    <t xml:space="preserve">397A-43-46</t>
  </si>
  <si>
    <t xml:space="preserve">4022 0</t>
  </si>
  <si>
    <t xml:space="preserve">45 L</t>
  </si>
  <si>
    <t xml:space="preserve">45 M</t>
  </si>
  <si>
    <t xml:space="preserve">45 S</t>
  </si>
  <si>
    <t xml:space="preserve">45 XL</t>
  </si>
  <si>
    <t xml:space="preserve">45B L</t>
  </si>
  <si>
    <t xml:space="preserve">45B M</t>
  </si>
  <si>
    <t xml:space="preserve">45B S</t>
  </si>
  <si>
    <t xml:space="preserve">45B XL</t>
  </si>
  <si>
    <t xml:space="preserve">45C L</t>
  </si>
  <si>
    <t xml:space="preserve">45C M</t>
  </si>
  <si>
    <t xml:space="preserve">45C S</t>
  </si>
  <si>
    <t xml:space="preserve">45C XL</t>
  </si>
  <si>
    <t xml:space="preserve">801 0</t>
  </si>
  <si>
    <t xml:space="preserve">806CB-B</t>
  </si>
  <si>
    <t xml:space="preserve">806CB-C</t>
  </si>
  <si>
    <t xml:space="preserve">806CB-GR</t>
  </si>
  <si>
    <t xml:space="preserve">806CB-P</t>
  </si>
  <si>
    <t xml:space="preserve">808KT-B</t>
  </si>
  <si>
    <t xml:space="preserve">808KT-BL</t>
  </si>
  <si>
    <t xml:space="preserve">808KT-C</t>
  </si>
  <si>
    <t xml:space="preserve">808KT-P</t>
  </si>
  <si>
    <t xml:space="preserve">85 L</t>
  </si>
  <si>
    <t xml:space="preserve">85 M</t>
  </si>
  <si>
    <t xml:space="preserve">85 S</t>
  </si>
  <si>
    <t xml:space="preserve">85 XL</t>
  </si>
  <si>
    <t xml:space="preserve">85K 0</t>
  </si>
  <si>
    <t xml:space="preserve">95 L</t>
  </si>
  <si>
    <t xml:space="preserve">95 M</t>
  </si>
  <si>
    <t xml:space="preserve">95 S</t>
  </si>
  <si>
    <t xml:space="preserve">95B L</t>
  </si>
  <si>
    <t xml:space="preserve">95B M</t>
  </si>
  <si>
    <t xml:space="preserve">95B S</t>
  </si>
  <si>
    <t xml:space="preserve">95B XL</t>
  </si>
  <si>
    <t xml:space="preserve">95C L</t>
  </si>
  <si>
    <t xml:space="preserve">95C M</t>
  </si>
  <si>
    <t xml:space="preserve">95C S</t>
  </si>
  <si>
    <t xml:space="preserve">95C XL</t>
  </si>
  <si>
    <t xml:space="preserve">AC25 0</t>
  </si>
  <si>
    <t xml:space="preserve">AC27L 0</t>
  </si>
  <si>
    <t xml:space="preserve">AC27R 0</t>
  </si>
  <si>
    <t xml:space="preserve">AC28 0</t>
  </si>
  <si>
    <t xml:space="preserve">AC37 0</t>
  </si>
  <si>
    <t xml:space="preserve">AC43D 0</t>
  </si>
  <si>
    <t xml:space="preserve">AC45X 0</t>
  </si>
  <si>
    <t xml:space="preserve">AC75 XXL</t>
  </si>
  <si>
    <t xml:space="preserve">AC75-S-XL</t>
  </si>
  <si>
    <t xml:space="preserve">AC91 0</t>
  </si>
  <si>
    <t xml:space="preserve">LF360 0</t>
  </si>
  <si>
    <t xml:space="preserve">LF370 0</t>
  </si>
  <si>
    <t xml:space="preserve">LF371 0</t>
  </si>
  <si>
    <t xml:space="preserve">LF373 0</t>
  </si>
  <si>
    <t xml:space="preserve">LF374 0</t>
  </si>
  <si>
    <t xml:space="preserve">LF377 L</t>
  </si>
  <si>
    <t xml:space="preserve">LF377 M</t>
  </si>
  <si>
    <t xml:space="preserve">LF377 S</t>
  </si>
  <si>
    <t xml:space="preserve">ST422 0</t>
  </si>
  <si>
    <t xml:space="preserve">T25 0</t>
  </si>
  <si>
    <t xml:space="preserve">T28A-L-XL</t>
  </si>
  <si>
    <t xml:space="preserve">T28A-S-M</t>
  </si>
  <si>
    <t xml:space="preserve">266 0</t>
  </si>
  <si>
    <t xml:space="preserve">307 XL</t>
  </si>
  <si>
    <t xml:space="preserve">312 0</t>
  </si>
  <si>
    <t xml:space="preserve">35B XXL</t>
  </si>
  <si>
    <t xml:space="preserve">3641 0</t>
  </si>
  <si>
    <t xml:space="preserve">3667 0</t>
  </si>
  <si>
    <t xml:space="preserve">3674 0</t>
  </si>
  <si>
    <t xml:space="preserve">3675 0</t>
  </si>
  <si>
    <t xml:space="preserve">379MSP-35-38</t>
  </si>
  <si>
    <t xml:space="preserve">379MSP-39-42</t>
  </si>
  <si>
    <t xml:space="preserve">45B XXL</t>
  </si>
  <si>
    <t xml:space="preserve">AC07 0</t>
  </si>
  <si>
    <t xml:space="preserve">AC95 0</t>
  </si>
  <si>
    <t xml:space="preserve">078 XXL</t>
  </si>
  <si>
    <t xml:space="preserve">07AU L</t>
  </si>
  <si>
    <t xml:space="preserve">07AU M</t>
  </si>
  <si>
    <t xml:space="preserve">07AU S</t>
  </si>
  <si>
    <t xml:space="preserve">07AU XL</t>
  </si>
  <si>
    <t xml:space="preserve">07AU XXL</t>
  </si>
  <si>
    <t xml:space="preserve">10 M</t>
  </si>
  <si>
    <t xml:space="preserve">11 XXL</t>
  </si>
  <si>
    <t xml:space="preserve">11EU L</t>
  </si>
  <si>
    <t xml:space="preserve">11EU M</t>
  </si>
  <si>
    <t xml:space="preserve">11EU XL</t>
  </si>
  <si>
    <t xml:space="preserve">11EU XXL</t>
  </si>
  <si>
    <t xml:space="preserve">16 XXL</t>
  </si>
  <si>
    <t xml:space="preserve">20 XXL</t>
  </si>
  <si>
    <t xml:space="preserve">21 XL</t>
  </si>
  <si>
    <t xml:space="preserve">213CTSL L</t>
  </si>
  <si>
    <t xml:space="preserve">213CTSL M</t>
  </si>
  <si>
    <t xml:space="preserve">213CTSL S</t>
  </si>
  <si>
    <t xml:space="preserve">213CTSR L</t>
  </si>
  <si>
    <t xml:space="preserve">213CTSR M</t>
  </si>
  <si>
    <t xml:space="preserve">213CTSR S</t>
  </si>
  <si>
    <t xml:space="preserve">237 0</t>
  </si>
  <si>
    <t xml:space="preserve">238 L</t>
  </si>
  <si>
    <t xml:space="preserve">238 M</t>
  </si>
  <si>
    <t xml:space="preserve">238 S</t>
  </si>
  <si>
    <t xml:space="preserve">238 XL</t>
  </si>
  <si>
    <t xml:space="preserve">250 0</t>
  </si>
  <si>
    <t xml:space="preserve">251 0</t>
  </si>
  <si>
    <t xml:space="preserve">268 0</t>
  </si>
  <si>
    <t xml:space="preserve">28 L</t>
  </si>
  <si>
    <t xml:space="preserve">28 M</t>
  </si>
  <si>
    <t xml:space="preserve">28 S</t>
  </si>
  <si>
    <t xml:space="preserve">28 XL</t>
  </si>
  <si>
    <t xml:space="preserve">28 XS</t>
  </si>
  <si>
    <t xml:space="preserve">301CW-36-40</t>
  </si>
  <si>
    <t xml:space="preserve">313 0</t>
  </si>
  <si>
    <t xml:space="preserve">320 0</t>
  </si>
  <si>
    <t xml:space="preserve">34 L</t>
  </si>
  <si>
    <t xml:space="preserve">34 M</t>
  </si>
  <si>
    <t xml:space="preserve">34 S</t>
  </si>
  <si>
    <t xml:space="preserve">34 XL</t>
  </si>
  <si>
    <t xml:space="preserve">34 XXL</t>
  </si>
  <si>
    <t xml:space="preserve">34+ L</t>
  </si>
  <si>
    <t xml:space="preserve">34+ M</t>
  </si>
  <si>
    <t xml:space="preserve">34+ S</t>
  </si>
  <si>
    <t xml:space="preserve">34+ XL</t>
  </si>
  <si>
    <t xml:space="preserve">35 XXL</t>
  </si>
  <si>
    <t xml:space="preserve">350 0</t>
  </si>
  <si>
    <t xml:space="preserve">351 0</t>
  </si>
  <si>
    <t xml:space="preserve">3611 0</t>
  </si>
  <si>
    <t xml:space="preserve">362-L-R</t>
  </si>
  <si>
    <t xml:space="preserve">379COM-35-38</t>
  </si>
  <si>
    <t xml:space="preserve">379COM-39-42</t>
  </si>
  <si>
    <t xml:space="preserve">379COM-43-46</t>
  </si>
  <si>
    <t xml:space="preserve">379MSP-43-46</t>
  </si>
  <si>
    <t xml:space="preserve">379WRK-35-38</t>
  </si>
  <si>
    <t xml:space="preserve">379WRK-39-42</t>
  </si>
  <si>
    <t xml:space="preserve">379WRK-43-46</t>
  </si>
  <si>
    <t xml:space="preserve">388BL 0</t>
  </si>
  <si>
    <t xml:space="preserve">388BR 0</t>
  </si>
  <si>
    <t xml:space="preserve">390G-43-46</t>
  </si>
  <si>
    <t xml:space="preserve">390W-35-38</t>
  </si>
  <si>
    <t xml:space="preserve">390W-43-46</t>
  </si>
  <si>
    <t xml:space="preserve">394B-35-38</t>
  </si>
  <si>
    <t xml:space="preserve">394B-39-42</t>
  </si>
  <si>
    <t xml:space="preserve">394B-43-46</t>
  </si>
  <si>
    <t xml:space="preserve">395B-43-46</t>
  </si>
  <si>
    <t xml:space="preserve">40 0</t>
  </si>
  <si>
    <t xml:space="preserve">45E M</t>
  </si>
  <si>
    <t xml:space="preserve">45EC L</t>
  </si>
  <si>
    <t xml:space="preserve">45EC M</t>
  </si>
  <si>
    <t xml:space="preserve">45EC S</t>
  </si>
  <si>
    <t xml:space="preserve">45EC XL</t>
  </si>
  <si>
    <t xml:space="preserve">59D L</t>
  </si>
  <si>
    <t xml:space="preserve">59D XL</t>
  </si>
  <si>
    <t xml:space="preserve">59L M</t>
  </si>
  <si>
    <t xml:space="preserve">59L XL</t>
  </si>
  <si>
    <t xml:space="preserve">59R L</t>
  </si>
  <si>
    <t xml:space="preserve">59R M</t>
  </si>
  <si>
    <t xml:space="preserve">60 L</t>
  </si>
  <si>
    <t xml:space="preserve">60 M</t>
  </si>
  <si>
    <t xml:space="preserve">60 S</t>
  </si>
  <si>
    <t xml:space="preserve">804AT-B</t>
  </si>
  <si>
    <t xml:space="preserve">804AT-BL</t>
  </si>
  <si>
    <t xml:space="preserve">804AT-C</t>
  </si>
  <si>
    <t xml:space="preserve">805AT-B</t>
  </si>
  <si>
    <t xml:space="preserve">805AT-BL</t>
  </si>
  <si>
    <t xml:space="preserve">805AT-C</t>
  </si>
  <si>
    <t xml:space="preserve">805AT-W</t>
  </si>
  <si>
    <t xml:space="preserve">91B 0</t>
  </si>
  <si>
    <t xml:space="preserve">95 XXL</t>
  </si>
  <si>
    <t xml:space="preserve">AC11 0</t>
  </si>
  <si>
    <t xml:space="preserve">FC342 0</t>
  </si>
  <si>
    <t xml:space="preserve">SC25 L</t>
  </si>
  <si>
    <t xml:space="preserve">SC25 M</t>
  </si>
  <si>
    <t xml:space="preserve">SC35L L</t>
  </si>
  <si>
    <t xml:space="preserve">SC35R L</t>
  </si>
  <si>
    <t xml:space="preserve">SC39 M</t>
  </si>
  <si>
    <t xml:space="preserve">SC39 S</t>
  </si>
  <si>
    <t xml:space="preserve">SC422 L</t>
  </si>
  <si>
    <t xml:space="preserve">SC422 M</t>
  </si>
  <si>
    <t xml:space="preserve">SH333 0</t>
  </si>
  <si>
    <t xml:space="preserve">SH422 1</t>
  </si>
  <si>
    <t xml:space="preserve">SH422 2</t>
  </si>
  <si>
    <t xml:space="preserve">SH422 3</t>
  </si>
  <si>
    <t xml:space="preserve">SH422 4</t>
  </si>
  <si>
    <t xml:space="preserve">SH422 5</t>
  </si>
  <si>
    <t xml:space="preserve">ST11 0</t>
  </si>
  <si>
    <t xml:space="preserve">ST25 0</t>
  </si>
  <si>
    <t xml:space="preserve">ST28 0</t>
  </si>
  <si>
    <t xml:space="preserve">ST37 0</t>
  </si>
  <si>
    <t xml:space="preserve">ST49 0</t>
  </si>
  <si>
    <t xml:space="preserve">ST91 0</t>
  </si>
  <si>
    <t xml:space="preserve">T25C 0</t>
  </si>
  <si>
    <t xml:space="preserve">T78 L</t>
  </si>
  <si>
    <t xml:space="preserve">T78 M</t>
  </si>
  <si>
    <t xml:space="preserve">T78 XL</t>
  </si>
  <si>
    <t xml:space="preserve">T78 XXL</t>
  </si>
  <si>
    <t xml:space="preserve">308 L</t>
  </si>
  <si>
    <t xml:space="preserve">308 M</t>
  </si>
  <si>
    <t xml:space="preserve">3444B 0</t>
  </si>
  <si>
    <t xml:space="preserve">3622S 0</t>
  </si>
  <si>
    <t xml:space="preserve">38 0</t>
  </si>
  <si>
    <t xml:space="preserve">390B-39-42</t>
  </si>
  <si>
    <t xml:space="preserve">390B-43-46</t>
  </si>
  <si>
    <t xml:space="preserve">PD340 0</t>
  </si>
  <si>
    <t xml:space="preserve">PD342 0</t>
  </si>
  <si>
    <t xml:space="preserve">PD344 0</t>
  </si>
  <si>
    <t xml:space="preserve">EC-078 L</t>
  </si>
  <si>
    <t xml:space="preserve">EC-078 M</t>
  </si>
  <si>
    <t xml:space="preserve">EC-078 XL</t>
  </si>
  <si>
    <t xml:space="preserve">EC-078 XXL</t>
  </si>
  <si>
    <t xml:space="preserve">EC-11NOR L</t>
  </si>
  <si>
    <t xml:space="preserve">EC-11NOR M</t>
  </si>
  <si>
    <t xml:space="preserve">EC-11NOR S</t>
  </si>
  <si>
    <t xml:space="preserve">EC-11NOR XL</t>
  </si>
  <si>
    <t xml:space="preserve">EC-11NOR XXL</t>
  </si>
  <si>
    <t xml:space="preserve">EC-11STO L</t>
  </si>
  <si>
    <t xml:space="preserve">EC-11STO M</t>
  </si>
  <si>
    <t xml:space="preserve">EC-11STO S</t>
  </si>
  <si>
    <t xml:space="preserve">EC-11STO XL</t>
  </si>
  <si>
    <t xml:space="preserve">EC-11STO XXL</t>
  </si>
  <si>
    <t xml:space="preserve">EC-11STOB L</t>
  </si>
  <si>
    <t xml:space="preserve">EC-11STOB M</t>
  </si>
  <si>
    <t xml:space="preserve">EC-11STOB S</t>
  </si>
  <si>
    <t xml:space="preserve">EC-11STOB XL</t>
  </si>
  <si>
    <t xml:space="preserve">EC-11STOB XXL</t>
  </si>
  <si>
    <t xml:space="preserve">13B L</t>
  </si>
  <si>
    <t xml:space="preserve">13B S</t>
  </si>
  <si>
    <t xml:space="preserve">386</t>
  </si>
  <si>
    <t xml:space="preserve">EC-59D L</t>
  </si>
  <si>
    <t xml:space="preserve">EC-59D M</t>
  </si>
  <si>
    <t xml:space="preserve">EC-59D S</t>
  </si>
  <si>
    <t xml:space="preserve">EC-59D XL</t>
  </si>
  <si>
    <t xml:space="preserve">EC-59D XXL</t>
  </si>
  <si>
    <t xml:space="preserve">EC-59L L</t>
  </si>
  <si>
    <t xml:space="preserve">EC-59L M</t>
  </si>
  <si>
    <t xml:space="preserve">EC-59L S</t>
  </si>
  <si>
    <t xml:space="preserve">EC-59L XL</t>
  </si>
  <si>
    <t xml:space="preserve">EC-59R L</t>
  </si>
  <si>
    <t xml:space="preserve">EC-59R M</t>
  </si>
  <si>
    <t xml:space="preserve">EC-59R S</t>
  </si>
  <si>
    <t xml:space="preserve">EC-59R XL</t>
  </si>
  <si>
    <t xml:space="preserve">EC-59R XXL</t>
  </si>
  <si>
    <t xml:space="preserve">EC-59DB L</t>
  </si>
  <si>
    <t xml:space="preserve">EC-59DB M</t>
  </si>
  <si>
    <t xml:space="preserve">EC-59DB S</t>
  </si>
  <si>
    <t xml:space="preserve">EC-59DB XL</t>
  </si>
  <si>
    <t xml:space="preserve">EC-59DB XXL</t>
  </si>
  <si>
    <t xml:space="preserve">EC-59LB L</t>
  </si>
  <si>
    <t xml:space="preserve">EC-59LB M</t>
  </si>
  <si>
    <t xml:space="preserve">EC-59LB S</t>
  </si>
  <si>
    <t xml:space="preserve">EC-59LB XL</t>
  </si>
  <si>
    <t xml:space="preserve">EC-59LB XXL</t>
  </si>
  <si>
    <t xml:space="preserve">EC-59RB L</t>
  </si>
  <si>
    <t xml:space="preserve">EC-59RB M</t>
  </si>
  <si>
    <t xml:space="preserve">EC-59RB S</t>
  </si>
  <si>
    <t xml:space="preserve">EC-59RB XL</t>
  </si>
  <si>
    <t xml:space="preserve">EC-59RB XXL</t>
  </si>
  <si>
    <t xml:space="preserve">EC-DIFF</t>
  </si>
  <si>
    <t xml:space="preserve">AC95</t>
  </si>
  <si>
    <t xml:space="preserve">FC3162 0</t>
  </si>
  <si>
    <t xml:space="preserve">FC3422 0</t>
  </si>
  <si>
    <t xml:space="preserve">FC342K 0</t>
  </si>
  <si>
    <t xml:space="preserve">TC342 0</t>
  </si>
  <si>
    <t xml:space="preserve">077A XXL</t>
  </si>
  <si>
    <t xml:space="preserve">077A-L-XL</t>
  </si>
  <si>
    <t xml:space="preserve">077A-S-M</t>
  </si>
  <si>
    <t xml:space="preserve">11STO L</t>
  </si>
  <si>
    <t xml:space="preserve">11STO M</t>
  </si>
  <si>
    <t xml:space="preserve">11STO XL</t>
  </si>
  <si>
    <t xml:space="preserve">11STO XXL</t>
  </si>
  <si>
    <t xml:space="preserve">11UG L</t>
  </si>
  <si>
    <t xml:space="preserve">239B-L-XL</t>
  </si>
  <si>
    <t xml:space="preserve">239B-S-M</t>
  </si>
  <si>
    <t xml:space="preserve">239TR-L-XL</t>
  </si>
  <si>
    <t xml:space="preserve">333 0</t>
  </si>
  <si>
    <t xml:space="preserve">45E L</t>
  </si>
  <si>
    <t xml:space="preserve">45E S</t>
  </si>
  <si>
    <t xml:space="preserve">45E XL</t>
  </si>
  <si>
    <t xml:space="preserve">45E XXL</t>
  </si>
  <si>
    <t xml:space="preserve">820 0</t>
  </si>
  <si>
    <t xml:space="preserve">85+ L</t>
  </si>
  <si>
    <t xml:space="preserve">85+ M</t>
  </si>
  <si>
    <t xml:space="preserve">85+ XL</t>
  </si>
  <si>
    <t xml:space="preserve">95 XL</t>
  </si>
  <si>
    <t xml:space="preserve">11PS L</t>
  </si>
  <si>
    <t xml:space="preserve">11PS S</t>
  </si>
  <si>
    <t xml:space="preserve">11PS XL</t>
  </si>
  <si>
    <t xml:space="preserve">11PS XXL</t>
  </si>
  <si>
    <t xml:space="preserve">15W L</t>
  </si>
  <si>
    <t xml:space="preserve">26 L</t>
  </si>
  <si>
    <t xml:space="preserve">26 M</t>
  </si>
  <si>
    <t xml:space="preserve">26 S</t>
  </si>
  <si>
    <t xml:space="preserve">26 XL</t>
  </si>
  <si>
    <t xml:space="preserve">26 XXL</t>
  </si>
  <si>
    <t xml:space="preserve">45 XXL</t>
  </si>
  <si>
    <t xml:space="preserve">74-L-XL</t>
  </si>
  <si>
    <t xml:space="preserve">SC95 L</t>
  </si>
  <si>
    <t xml:space="preserve">SH422 6</t>
  </si>
  <si>
    <t xml:space="preserve">ST20 0</t>
  </si>
  <si>
    <t xml:space="preserve">T95 S</t>
  </si>
  <si>
    <t xml:space="preserve">10 L</t>
  </si>
  <si>
    <t xml:space="preserve">10 XL</t>
  </si>
  <si>
    <t xml:space="preserve">13 XL</t>
  </si>
  <si>
    <t xml:space="preserve">13 XXL</t>
  </si>
  <si>
    <t xml:space="preserve">301CM-41-45</t>
  </si>
  <si>
    <t xml:space="preserve">301JW-36-40</t>
  </si>
  <si>
    <t xml:space="preserve">3672 0</t>
  </si>
  <si>
    <t xml:space="preserve">41 L</t>
  </si>
  <si>
    <t xml:space="preserve">41 M</t>
  </si>
  <si>
    <t xml:space="preserve">41 S</t>
  </si>
  <si>
    <t xml:space="preserve">41 XL</t>
  </si>
  <si>
    <t xml:space="preserve">50 L</t>
  </si>
  <si>
    <t xml:space="preserve">50 M</t>
  </si>
  <si>
    <t xml:space="preserve">50 XL</t>
  </si>
  <si>
    <t xml:space="preserve">59D M</t>
  </si>
  <si>
    <t xml:space="preserve">59D S</t>
  </si>
  <si>
    <t xml:space="preserve">76 L</t>
  </si>
  <si>
    <t xml:space="preserve">76 M</t>
  </si>
  <si>
    <t xml:space="preserve">76 S</t>
  </si>
  <si>
    <t xml:space="preserve">76 XL</t>
  </si>
  <si>
    <t xml:space="preserve">AC40 0</t>
  </si>
  <si>
    <t xml:space="preserve">ST3555-L-XL</t>
  </si>
  <si>
    <t xml:space="preserve">ST3555-S-M</t>
  </si>
  <si>
    <t xml:space="preserve">ST433 0</t>
  </si>
  <si>
    <t xml:space="preserve">T78 S</t>
  </si>
  <si>
    <t xml:space="preserve">202 0</t>
  </si>
  <si>
    <t xml:space="preserve">370K 0</t>
  </si>
  <si>
    <t xml:space="preserve">55 L</t>
  </si>
  <si>
    <t xml:space="preserve">55 XL</t>
  </si>
  <si>
    <t xml:space="preserve">75 L</t>
  </si>
  <si>
    <t xml:space="preserve">95B XXL</t>
  </si>
  <si>
    <t xml:space="preserve">T45 L</t>
  </si>
  <si>
    <t xml:space="preserve">T45 M</t>
  </si>
  <si>
    <t xml:space="preserve">T45 S</t>
  </si>
  <si>
    <t xml:space="preserve">T45 XL</t>
  </si>
  <si>
    <t xml:space="preserve">70N S</t>
  </si>
  <si>
    <t xml:space="preserve">70N XS</t>
  </si>
  <si>
    <t xml:space="preserve">T45X XL</t>
  </si>
  <si>
    <t xml:space="preserve">14 0</t>
  </si>
  <si>
    <t xml:space="preserve">32 XL</t>
  </si>
  <si>
    <t xml:space="preserve">45 XS</t>
  </si>
  <si>
    <t xml:space="preserve">49 L</t>
  </si>
  <si>
    <t xml:space="preserve">49 M</t>
  </si>
  <si>
    <t xml:space="preserve">49 S</t>
  </si>
  <si>
    <t xml:space="preserve">49 XL</t>
  </si>
  <si>
    <t xml:space="preserve">49 XXL</t>
  </si>
  <si>
    <t xml:space="preserve">75 M</t>
  </si>
  <si>
    <t xml:space="preserve">75 S</t>
  </si>
  <si>
    <t xml:space="preserve">75 XL</t>
  </si>
  <si>
    <t xml:space="preserve">AC49 0</t>
  </si>
  <si>
    <t xml:space="preserve">FC333 0</t>
  </si>
  <si>
    <t xml:space="preserve">FC334 0</t>
  </si>
  <si>
    <t xml:space="preserve">34+ XXL</t>
  </si>
  <si>
    <t xml:space="preserve">60 XL</t>
  </si>
  <si>
    <t xml:space="preserve">70N L</t>
  </si>
  <si>
    <t xml:space="preserve">70N M</t>
  </si>
  <si>
    <t xml:space="preserve">11STO S</t>
  </si>
  <si>
    <t xml:space="preserve">3666 0</t>
  </si>
  <si>
    <t xml:space="preserve">95 XS</t>
  </si>
  <si>
    <t xml:space="preserve">TRANS Crosswalk — ITEM NAME (NetSuite/SALES short codes) &lt;-&gt; CHEMIPAL CODE &lt;-&gt; CHEMIPAL NAME (PPLAY1 long text)</t>
  </si>
  <si>
    <t xml:space="preserve">Source: kirill/reference/TRANS - item name to CHEMIPAL code.xlsx. PRIMARY match source (short NetSuite-style item codes, same format as SALES). Column D is a whitespace-normalized helper.</t>
  </si>
  <si>
    <t xml:space="preserve">CHEMIPAL CODE</t>
  </si>
  <si>
    <t xml:space="preserve">CHEMIPAL NAME</t>
  </si>
  <si>
    <t xml:space="preserve">ITEM NAME (normalized)</t>
  </si>
  <si>
    <t xml:space="preserve">40-רצועת פיקה לברך</t>
  </si>
  <si>
    <t xml:space="preserve">4022 רצועת """"פיקה""""+כרית</t>
  </si>
  <si>
    <t xml:space="preserve">41  XL.מ.ברך מוצלב+ספירלות בצד</t>
  </si>
  <si>
    <t xml:space="preserve">41 Lמ.ברך מוצלב+ספירלות בצדדים</t>
  </si>
  <si>
    <t xml:space="preserve">41 Mמ.ברך מוצלב+ספירלות בצדדים</t>
  </si>
  <si>
    <t xml:space="preserve">41 Sמ.ברך מוצלב+ספירלות בצדדים</t>
  </si>
  <si>
    <t xml:space="preserve">41X L</t>
  </si>
  <si>
    <t xml:space="preserve">41X L מגן ברך מוצלב+מוט</t>
  </si>
  <si>
    <t xml:space="preserve">41X XL</t>
  </si>
  <si>
    <t xml:space="preserve">41X XL מגן ברך מוצלב+מוט</t>
  </si>
  <si>
    <t xml:space="preserve">422 S</t>
  </si>
  <si>
    <t xml:space="preserve">422 Sמ.ברך+כרית סיל.סביב לפיקה</t>
  </si>
  <si>
    <t xml:space="preserve">422E XXXL</t>
  </si>
  <si>
    <t xml:space="preserve">422E XXXL מגן ברך ארוך עם כרית</t>
  </si>
  <si>
    <t xml:space="preserve">45  XS מגן ברך רגיל לבן</t>
  </si>
  <si>
    <t xml:space="preserve">45 L מגן ברך לבן</t>
  </si>
  <si>
    <t xml:space="preserve">45 M מגן ברך לבן</t>
  </si>
  <si>
    <t xml:space="preserve">45 S מגן ברך לבן</t>
  </si>
  <si>
    <t xml:space="preserve">45 XL מגן ברך לבן</t>
  </si>
  <si>
    <t xml:space="preserve">45 XXL מגן ברך לבן</t>
  </si>
  <si>
    <t xml:space="preserve">45B L מגן ברך שחור</t>
  </si>
  <si>
    <t xml:space="preserve">45B M מגן ברך שחור</t>
  </si>
  <si>
    <t xml:space="preserve">45B S מגן ברך שחור</t>
  </si>
  <si>
    <t xml:space="preserve">45B XL מגן ברך שחור</t>
  </si>
  <si>
    <t xml:space="preserve">45B XXLמגן ברך שחור</t>
  </si>
  <si>
    <t xml:space="preserve">45C L מגן ברך חום</t>
  </si>
  <si>
    <t xml:space="preserve">45C M מגן ברך חום</t>
  </si>
  <si>
    <t xml:space="preserve">45C S מגן ברך חום</t>
  </si>
  <si>
    <t xml:space="preserve">45C XL מגן ברך חום</t>
  </si>
  <si>
    <t xml:space="preserve">45E  L        מגן ברך ארוך לבן</t>
  </si>
  <si>
    <t xml:space="preserve">45E Mמגן ברך ארוך לבן</t>
  </si>
  <si>
    <t xml:space="preserve">45E Sמגן ברך ארוך לבן</t>
  </si>
  <si>
    <t xml:space="preserve">45E XLמגן ברך ארוך לבן</t>
  </si>
  <si>
    <t xml:space="preserve">45E XXLמגן ברך ארוך לבן</t>
  </si>
  <si>
    <t xml:space="preserve">45EC L 'מגן ברך ארוך בז</t>
  </si>
  <si>
    <t xml:space="preserve">45EC M 'מגן ברך ארוך בז</t>
  </si>
  <si>
    <t xml:space="preserve">45EC S 'מגן ברך ארוך בז</t>
  </si>
  <si>
    <t xml:space="preserve">45EC XL'מגן ברך ארוך בז</t>
  </si>
  <si>
    <t xml:space="preserve">45EC XXL</t>
  </si>
  <si>
    <t xml:space="preserve">45EC XXL'מגן ברך ארוך בז</t>
  </si>
  <si>
    <t xml:space="preserve">48 L</t>
  </si>
  <si>
    <t xml:space="preserve">48 L מגן ברך מחמם</t>
  </si>
  <si>
    <t xml:space="preserve">48 M</t>
  </si>
  <si>
    <t xml:space="preserve">48 M מגן ברך מחמם</t>
  </si>
  <si>
    <t xml:space="preserve">AC40 רצועה לפיקת הברך</t>
  </si>
  <si>
    <t xml:space="preserve">AC43D מגן ברך + צירים</t>
  </si>
  <si>
    <t xml:space="preserve">AC45X מגן ברך עם תמיכות</t>
  </si>
  <si>
    <t xml:space="preserve">S-XLST422 מגן ברך+כרית ג'ל</t>
  </si>
  <si>
    <t xml:space="preserve">SC422 S</t>
  </si>
  <si>
    <t xml:space="preserve">SC422  S מגן ברך</t>
  </si>
  <si>
    <t xml:space="preserve">SC422 XXL</t>
  </si>
  <si>
    <t xml:space="preserve">SC422 XXLמגן ברך</t>
  </si>
  <si>
    <t xml:space="preserve">SH422 1 תומך ברך גנושילד</t>
  </si>
  <si>
    <t xml:space="preserve">SH422 2 תומך ברך גנושילד</t>
  </si>
  <si>
    <t xml:space="preserve">SH422 3 תומך ברך גנושילד</t>
  </si>
  <si>
    <t xml:space="preserve">SH422 4 תומך ברך גנושילד</t>
  </si>
  <si>
    <t xml:space="preserve">SH422 5 תומך ברך גנושילד</t>
  </si>
  <si>
    <t xml:space="preserve">SH422 6 תומך ברך גנושילד</t>
  </si>
  <si>
    <t xml:space="preserve">ST433 H מגן ברך עם ציר</t>
  </si>
  <si>
    <t xml:space="preserve">T 45 L מגן ברך רגיל</t>
  </si>
  <si>
    <t xml:space="preserve">T 45 M מגן ברך רגיל</t>
  </si>
  <si>
    <t xml:space="preserve">T 45XL מגן ברך רגיל</t>
  </si>
  <si>
    <t xml:space="preserve">T45 S מגן ברך רגיל</t>
  </si>
  <si>
    <t xml:space="preserve">T45 XXL</t>
  </si>
  <si>
    <t xml:space="preserve">T45 XXL מגן ברך רגיל</t>
  </si>
  <si>
    <t xml:space="preserve">T45X XXL</t>
  </si>
  <si>
    <t xml:space="preserve">T45X-XXLמגן ברך רגיל</t>
  </si>
  <si>
    <t xml:space="preserve">T45X XL מגן ברך רגיל</t>
  </si>
  <si>
    <t xml:space="preserve">3444B גרבי ג'ל לריכוך עור העקב</t>
  </si>
  <si>
    <t xml:space="preserve">390B 39-42.גרב.כסף לסכרתיים שח</t>
  </si>
  <si>
    <t xml:space="preserve">390B 43-46.גרב.כסף לסכרתיים שח</t>
  </si>
  <si>
    <t xml:space="preserve">390B-35-38</t>
  </si>
  <si>
    <t xml:space="preserve">390B גרב.כסף לסכרתים שחור35-38</t>
  </si>
  <si>
    <t xml:space="preserve">390G-35-38</t>
  </si>
  <si>
    <t xml:space="preserve">390G ג.כסף לסכרתיים אפור35-38</t>
  </si>
  <si>
    <t xml:space="preserve">390W גרב כסף לסכרתיים לבן35-38</t>
  </si>
  <si>
    <t xml:space="preserve">390W-39-42</t>
  </si>
  <si>
    <t xml:space="preserve">390W גרב.כסף לסכרתיים לבן39-42</t>
  </si>
  <si>
    <t xml:space="preserve">390W גרב.כסף לסכרתיים לבן43-46</t>
  </si>
  <si>
    <t xml:space="preserve">394B גרב.כסף לסכרתים שחור35-38</t>
  </si>
  <si>
    <t xml:space="preserve">394B גרב.כסף לסכרתים שחור39-42</t>
  </si>
  <si>
    <t xml:space="preserve">394B גרב.כסף לסכרתים שחור43-46</t>
  </si>
  <si>
    <t xml:space="preserve">394W-35-38</t>
  </si>
  <si>
    <t xml:space="preserve">394W 35-38 גרב.כסף לסכרתים לבן</t>
  </si>
  <si>
    <t xml:space="preserve">394W-39-42</t>
  </si>
  <si>
    <t xml:space="preserve">394W 39-42 גרב.כסף לסכרתים לבן</t>
  </si>
  <si>
    <t xml:space="preserve">394W-43-46</t>
  </si>
  <si>
    <t xml:space="preserve">394W 43-46 גרב.כסף לסכרתים לבן</t>
  </si>
  <si>
    <t xml:space="preserve">395B גרבי קיץ אנטי בקטריא39-42</t>
  </si>
  <si>
    <t xml:space="preserve">395B גרבי קיץ אנטי בקטריא43-46</t>
  </si>
  <si>
    <t xml:space="preserve">397 39-42 גרבי טיסה מידה</t>
  </si>
  <si>
    <t xml:space="preserve">397A-גרבי טיסה אנטי בקטרי35-38</t>
  </si>
  <si>
    <t xml:space="preserve">397A-גרבי טיסה אנטי בקטרי39-42</t>
  </si>
  <si>
    <t xml:space="preserve">397A-גרבי טיסה אנטי בקטרי43-46</t>
  </si>
  <si>
    <t xml:space="preserve">G390.43-46 גרבי כסף לסכרת מידה</t>
  </si>
  <si>
    <t xml:space="preserve">ST3555 S-Mגרב לילה לטיפ.בדורבן</t>
  </si>
  <si>
    <t xml:space="preserve">ST3555L-XLגרב לילה לטיפ.בדורבן</t>
  </si>
  <si>
    <t xml:space="preserve">06U L</t>
  </si>
  <si>
    <t xml:space="preserve">06U L ח.בטן מותנית צר</t>
  </si>
  <si>
    <t xml:space="preserve">06U XL</t>
  </si>
  <si>
    <t xml:space="preserve">06U XL ח.בטן מותנית צר</t>
  </si>
  <si>
    <t xml:space="preserve">077A   XXL חגורת גב עם חיזוקים</t>
  </si>
  <si>
    <t xml:space="preserve">077A L-XLחגורת גב</t>
  </si>
  <si>
    <t xml:space="preserve">077A S-M חגורת גב</t>
  </si>
  <si>
    <t xml:space="preserve">078 L חגורת גב +סגירה</t>
  </si>
  <si>
    <t xml:space="preserve">078G-L חגורת גב אפורה</t>
  </si>
  <si>
    <t xml:space="preserve">078G-M חגורת גב אפורה</t>
  </si>
  <si>
    <t xml:space="preserve">078G-S חגורת גב אפורה</t>
  </si>
  <si>
    <t xml:space="preserve">078G-XLחגורת גב אפורה</t>
  </si>
  <si>
    <t xml:space="preserve">078G-XXLחגורת גב אפורה</t>
  </si>
  <si>
    <t xml:space="preserve">078XL חגורת גב +סגירה כפולה</t>
  </si>
  <si>
    <t xml:space="preserve">078XXL חגורת גב +סגירה כפולה</t>
  </si>
  <si>
    <t xml:space="preserve">07AU L ח.גב """"איטלקית"""" אורירית</t>
  </si>
  <si>
    <t xml:space="preserve">07AU M ח.גב """"איטלקית"""" אורירית</t>
  </si>
  <si>
    <t xml:space="preserve">07AU S ח.גב """"איטלקית"""" אורירית</t>
  </si>
  <si>
    <t xml:space="preserve">07AU XL ח.גב """"איטלקית"""" אורירית</t>
  </si>
  <si>
    <t xml:space="preserve">07AU XXL.ח.גב """"איטלקית"""" אוריר</t>
  </si>
  <si>
    <t xml:space="preserve">10 L """"חגורת גב """"לומבו</t>
  </si>
  <si>
    <t xml:space="preserve">10 M """"חגורת גב """"לומבו</t>
  </si>
  <si>
    <t xml:space="preserve">10 XL """"חגורת גב """"לומבו</t>
  </si>
  <si>
    <t xml:space="preserve">11 L""""חגורת בטן""""אורירית</t>
  </si>
  <si>
    <t xml:space="preserve">11 M""""חגורת בטן""""אורירית</t>
  </si>
  <si>
    <t xml:space="preserve">11 S""""חגורת בטן""""אורירית</t>
  </si>
  <si>
    <t xml:space="preserve">11 XL""""חגורת בטן""""אורירית</t>
  </si>
  <si>
    <t xml:space="preserve">11 XXL""""חגורת בטן""""אורירית</t>
  </si>
  <si>
    <t xml:space="preserve">11EU L ח.בטן לאחר ניתוח</t>
  </si>
  <si>
    <t xml:space="preserve">11EU M ח.בטן לאחר ניתוח</t>
  </si>
  <si>
    <t xml:space="preserve">11EU XLח.בטן לאחר ניתוח</t>
  </si>
  <si>
    <t xml:space="preserve">11EU XXL חגורת בטןלאחר ניתוח</t>
  </si>
  <si>
    <t xml:space="preserve">11PS Lחגורה למנותחי בטן</t>
  </si>
  <si>
    <t xml:space="preserve">11PS Sחגורה למנותחי בטן</t>
  </si>
  <si>
    <t xml:space="preserve">11PS XLחגורה למנותחי בטן</t>
  </si>
  <si>
    <t xml:space="preserve">11PS XXLחגורה למנותחי בטן</t>
  </si>
  <si>
    <t xml:space="preserve">11STO L חגורה אחרי ניתוח</t>
  </si>
  <si>
    <t xml:space="preserve">11STO M חגורה אחרי ניתוח</t>
  </si>
  <si>
    <t xml:space="preserve">11STO S חגורה אחרי ניתוח</t>
  </si>
  <si>
    <t xml:space="preserve">11STO XL  חגורה אחרי ניתוח</t>
  </si>
  <si>
    <t xml:space="preserve">11STO XXL חגורה אחרי ניתוח</t>
  </si>
  <si>
    <t xml:space="preserve">11TO L</t>
  </si>
  <si>
    <t xml:space="preserve">11TO L חגורה למנותחי בית החזה</t>
  </si>
  <si>
    <t xml:space="preserve">11TO M</t>
  </si>
  <si>
    <t xml:space="preserve">11TO M חגורה למנותחי בית החזה</t>
  </si>
  <si>
    <t xml:space="preserve">11TO S</t>
  </si>
  <si>
    <t xml:space="preserve">11TO S חגורה למנותחי בית החזה</t>
  </si>
  <si>
    <t xml:space="preserve">11TO XL</t>
  </si>
  <si>
    <t xml:space="preserve">11TO XLחגורה למנותחי בית החזה</t>
  </si>
  <si>
    <t xml:space="preserve">11TO XXL</t>
  </si>
  <si>
    <t xml:space="preserve">11TO XXLחגורה למנותחי בית החזה</t>
  </si>
  <si>
    <t xml:space="preserve">13 XL חגורה לשבר טבור</t>
  </si>
  <si>
    <t xml:space="preserve">13 XXL חגורה לשבר טבור</t>
  </si>
  <si>
    <t xml:space="preserve">14 0 חגורה למנותחי בית חזה</t>
  </si>
  <si>
    <t xml:space="preserve">15W L חגורת צלעות לאשה</t>
  </si>
  <si>
    <t xml:space="preserve">16 L-XL חגורת הריון</t>
  </si>
  <si>
    <t xml:space="preserve">16 S-M חגורת הריון</t>
  </si>
  <si>
    <t xml:space="preserve">16 XXL חגורת הריון</t>
  </si>
  <si>
    <t xml:space="preserve">70N L חגורת פאבליק</t>
  </si>
  <si>
    <t xml:space="preserve">70N M חגורת פאבליק</t>
  </si>
  <si>
    <t xml:space="preserve">70N S חגורת פאבליק</t>
  </si>
  <si>
    <t xml:space="preserve">70N XS חגורת פאבליק</t>
  </si>
  <si>
    <t xml:space="preserve">AC-07 חגורת גב עם תמיכות</t>
  </si>
  <si>
    <t xml:space="preserve">AC-11 חגורת בטן קלה</t>
  </si>
  <si>
    <t xml:space="preserve">L 11 אפורUG חגורת בטן</t>
  </si>
  <si>
    <t xml:space="preserve">M078 חגורת גב +סגירה כפולה</t>
  </si>
  <si>
    <t xml:space="preserve">S078 חגורת גב +סגירה כפולה</t>
  </si>
  <si>
    <t xml:space="preserve">ST11  חגורת בטן</t>
  </si>
  <si>
    <t xml:space="preserve">T11C L</t>
  </si>
  <si>
    <t xml:space="preserve">T11C L  חגורת גב פוג'יאמה</t>
  </si>
  <si>
    <t xml:space="preserve">T11C M</t>
  </si>
  <si>
    <t xml:space="preserve">T11C M  חגורת גב פוג'יאמה</t>
  </si>
  <si>
    <t xml:space="preserve">T11C S</t>
  </si>
  <si>
    <t xml:space="preserve">T11C S  חגורת גב פוג'יאמה</t>
  </si>
  <si>
    <t xml:space="preserve">T11C XL</t>
  </si>
  <si>
    <t xml:space="preserve">T11C XL חגורת גב פוג'יאמה</t>
  </si>
  <si>
    <t xml:space="preserve">T11C XXL</t>
  </si>
  <si>
    <t xml:space="preserve">T11C XXL חגורת גב פוג'יאמה</t>
  </si>
  <si>
    <t xml:space="preserve">804AT-B      טייפ חבישה לספורט</t>
  </si>
  <si>
    <t xml:space="preserve">804AT-BL     טייפ חבישה לספורט</t>
  </si>
  <si>
    <t xml:space="preserve">804AT-C      טייפ חבישה לספורט</t>
  </si>
  <si>
    <t xml:space="preserve">804AT-W</t>
  </si>
  <si>
    <t xml:space="preserve">804AT-W      טייפ חבישה לספורט</t>
  </si>
  <si>
    <t xml:space="preserve">805AT-B אתלטיק טייפ שחור 20מ""""מ</t>
  </si>
  <si>
    <t xml:space="preserve">805AT-BLאתלטיק טייפ כחול 20מ""""מ</t>
  </si>
  <si>
    <t xml:space="preserve">805AT-Cאתלטיק טייפ בז' 20מ""""מ20</t>
  </si>
  <si>
    <t xml:space="preserve">805AT-W  אתלטיק טייפ לבן 20מ""""מ</t>
  </si>
  <si>
    <t xml:space="preserve">808KT-B        טייפ קינזיולוגי</t>
  </si>
  <si>
    <t xml:space="preserve">808KT-BL       טייפ קינזיולוגי</t>
  </si>
  <si>
    <t xml:space="preserve">808KT-C        טייפ קינזיולוגי</t>
  </si>
  <si>
    <t xml:space="preserve">808KT-P        טייפ קינזיולוגי</t>
  </si>
  <si>
    <t xml:space="preserve">239B L-XL STRAP4U</t>
  </si>
  <si>
    <t xml:space="preserve">239B S-M STRAP4U</t>
  </si>
  <si>
    <t xml:space="preserve">239TR L-XL STRAP4U</t>
  </si>
  <si>
    <t xml:space="preserve">FC342-נוזל לציפורן חודרנית</t>
  </si>
  <si>
    <t xml:space="preserve">שרוול לגבס ארוך רגל</t>
  </si>
  <si>
    <t xml:space="preserve">שרוול לגבס קצר רגל</t>
  </si>
  <si>
    <t xml:space="preserve">FC321 0</t>
  </si>
  <si>
    <t xml:space="preserve">FC321-מלח אמבט לכף הרגל</t>
  </si>
  <si>
    <t xml:space="preserve">FC334  תרסיס דאודורנט לכף הרגל</t>
  </si>
  <si>
    <t xml:space="preserve">FC335 0</t>
  </si>
  <si>
    <t xml:space="preserve">FC335 טלק מעושר באלוורה</t>
  </si>
  <si>
    <t xml:space="preserve">FCתרסיס דאודורנט אנטיבק.נעל333</t>
  </si>
  <si>
    <t xml:space="preserve">שרוול לגבס ארוך יד</t>
  </si>
  <si>
    <t xml:space="preserve">שרוול לגבס קצר יד</t>
  </si>
  <si>
    <t xml:space="preserve">74 L-XL מיצב כתפיים</t>
  </si>
  <si>
    <t xml:space="preserve">75 XXL</t>
  </si>
  <si>
    <t xml:space="preserve">75  XXL מיישר כתף יציב ישור צר</t>
  </si>
  <si>
    <t xml:space="preserve">75 Lמיישר כתף יציב יישור גב צר</t>
  </si>
  <si>
    <t xml:space="preserve">75 Mמיישר כתף יציב יישור גב צר</t>
  </si>
  <si>
    <t xml:space="preserve">75 Sמיישר כתף יציב יישור גב צר</t>
  </si>
  <si>
    <t xml:space="preserve">75 XLמיישר כתף יציב יישור ג.צר</t>
  </si>
  <si>
    <t xml:space="preserve">76 Lמיישר כתף יציב יישור רחב</t>
  </si>
  <si>
    <t xml:space="preserve">76 Mמיישר כתף יציב,יישור רחב</t>
  </si>
  <si>
    <t xml:space="preserve">76 Sמיישר כתף יציב יישור ג.רחב</t>
  </si>
  <si>
    <t xml:space="preserve">76 XLמיישר כתף יציב יישור רחב</t>
  </si>
  <si>
    <t xml:space="preserve">87 L</t>
  </si>
  <si>
    <t xml:space="preserve">87 L מקבע כתף ויד</t>
  </si>
  <si>
    <t xml:space="preserve">87 M</t>
  </si>
  <si>
    <t xml:space="preserve">87 M מקבע כתף ויד</t>
  </si>
  <si>
    <t xml:space="preserve">87 S</t>
  </si>
  <si>
    <t xml:space="preserve">87 S מקבע כתף ויד</t>
  </si>
  <si>
    <t xml:space="preserve">87 XL</t>
  </si>
  <si>
    <t xml:space="preserve">87 XL מקבע כתף ויד</t>
  </si>
  <si>
    <t xml:space="preserve">87 XXL</t>
  </si>
  <si>
    <t xml:space="preserve">87 XXL מקבע כתף ויד</t>
  </si>
  <si>
    <t xml:space="preserve">AC75 XXL  מיישר כתפיים אקטיב</t>
  </si>
  <si>
    <t xml:space="preserve">AC75 מישר כתפיים אקטיב</t>
  </si>
  <si>
    <t xml:space="preserve">T78 L תומך זרוע וכתף</t>
  </si>
  <si>
    <t xml:space="preserve">T78 M תומך זרוע וכתף</t>
  </si>
  <si>
    <t xml:space="preserve">T78 S תומך זרוע וכתף</t>
  </si>
  <si>
    <t xml:space="preserve">T78 XLתומך זרוע וכתף</t>
  </si>
  <si>
    <t xml:space="preserve">T78 XXL תומך זרוע וכתף</t>
  </si>
  <si>
    <t xml:space="preserve">LF360 מדרס מטטרזלי לנעלי עקב</t>
  </si>
  <si>
    <t xml:space="preserve">LF370 ריפוד סיליקון לעקב אחורי</t>
  </si>
  <si>
    <t xml:space="preserve">LF371 ריפוד סיליקון לנעלי אצבע</t>
  </si>
  <si>
    <t xml:space="preserve">LF374 ריפוד סיליק.לעקב תחתון</t>
  </si>
  <si>
    <t xml:space="preserve">LF377 L-מדרס סיליקון לנעלי עקב</t>
  </si>
  <si>
    <t xml:space="preserve">LF377 M-מדרס סיליקון לנעלי עקב</t>
  </si>
  <si>
    <t xml:space="preserve">LF377 S-מדרס סיליקון לנעלי עקב</t>
  </si>
  <si>
    <t xml:space="preserve">LF378 L</t>
  </si>
  <si>
    <t xml:space="preserve">LF378 L מדרס ג'ל לנעלי עקב</t>
  </si>
  <si>
    <t xml:space="preserve">LFריפוד סיליק.לכרית כף הרגל373</t>
  </si>
  <si>
    <t xml:space="preserve">302 W מדרס לאישה</t>
  </si>
  <si>
    <t xml:space="preserve">302 מדרס ג'ל לגבר</t>
  </si>
  <si>
    <t xml:space="preserve">303-37-38</t>
  </si>
  <si>
    <t xml:space="preserve">303 37-38 מדרסי סיליק.לח.סכרת</t>
  </si>
  <si>
    <t xml:space="preserve">303-41-42</t>
  </si>
  <si>
    <t xml:space="preserve">303 41-42 מדרסי סיליק.לח.סכרת</t>
  </si>
  <si>
    <t xml:space="preserve">303-45-46</t>
  </si>
  <si>
    <t xml:space="preserve">303 45-46 מדרסי סיליק.לח.סכרת</t>
  </si>
  <si>
    <t xml:space="preserve">305GA-37-38</t>
  </si>
  <si>
    <t xml:space="preserve">305GA מדרס אורטופ.מתכוון37-38</t>
  </si>
  <si>
    <t xml:space="preserve">305GA-39-40</t>
  </si>
  <si>
    <t xml:space="preserve">305GA מדרס אורטופ.מתכוון39-40</t>
  </si>
  <si>
    <t xml:space="preserve">305GA-41-42</t>
  </si>
  <si>
    <t xml:space="preserve">305GA מדרס אורטופ.מתכוון41-42</t>
  </si>
  <si>
    <t xml:space="preserve">305GA-43-44</t>
  </si>
  <si>
    <t xml:space="preserve">305GA מדרס אורטופ.מתכוון43-44</t>
  </si>
  <si>
    <t xml:space="preserve">305GA-45-46</t>
  </si>
  <si>
    <t xml:space="preserve">305GA מדרס אורטופ.מתכוון45-46</t>
  </si>
  <si>
    <t xml:space="preserve">35-38 מדרסי אפיק ג'ל נוחות</t>
  </si>
  <si>
    <t xml:space="preserve">35-38 מדרסי אפיק ג'ל עבודה</t>
  </si>
  <si>
    <t xml:space="preserve">39-42 מדרסי אפיק ג'ל נוחות</t>
  </si>
  <si>
    <t xml:space="preserve">39-42 מדרסי אפיק ג'ל עבודה</t>
  </si>
  <si>
    <t xml:space="preserve">43-47 מדרסי אפיק ג'ל נוחות</t>
  </si>
  <si>
    <t xml:space="preserve">43-47 מדרסי אפיק ג'ל עבודה</t>
  </si>
  <si>
    <t xml:space="preserve">LF378 M</t>
  </si>
  <si>
    <t xml:space="preserve">LF378 M מדרס ג'ל לנעלי עקב</t>
  </si>
  <si>
    <t xml:space="preserve">LF378 S</t>
  </si>
  <si>
    <t xml:space="preserve">LF378 S מדרס ג'ל לנעלי עקב</t>
  </si>
  <si>
    <t xml:space="preserve">מדרסי אפיק ג'ל מולט.ספורט35-38</t>
  </si>
  <si>
    <t xml:space="preserve">מדרסי אפיק ג'ל מולט.ספורט43-47</t>
  </si>
  <si>
    <t xml:space="preserve">מדרסי אפיק ג'ל מולטי ספור39-42</t>
  </si>
  <si>
    <t xml:space="preserve">50 L מתלה אשכים לאחר ניתוח</t>
  </si>
  <si>
    <t xml:space="preserve">50 M מתלה אשכים לאחר ניתוח</t>
  </si>
  <si>
    <t xml:space="preserve">50 XL מתלה אשכים לאחר ניתוח</t>
  </si>
  <si>
    <t xml:space="preserve">55 L מתלה אשכים לספורטאים</t>
  </si>
  <si>
    <t xml:space="preserve">55 XL מתלה אשכים לספורטאים</t>
  </si>
  <si>
    <t xml:space="preserve">59D L חגורת שבר דו צדדי</t>
  </si>
  <si>
    <t xml:space="preserve">59D M חגורת שבר דו צדדי</t>
  </si>
  <si>
    <t xml:space="preserve">59D S חגורת שבר דו צדדי</t>
  </si>
  <si>
    <t xml:space="preserve">59D XL חגורת שבר דו צדדי</t>
  </si>
  <si>
    <t xml:space="preserve">59L L</t>
  </si>
  <si>
    <t xml:space="preserve">59L L חגורת שבר לצד שמאל</t>
  </si>
  <si>
    <t xml:space="preserve">59L M חגורת שבר לצד שמאל</t>
  </si>
  <si>
    <t xml:space="preserve">59L S</t>
  </si>
  <si>
    <t xml:space="preserve">59L S חגורת שבר לצד שמאל</t>
  </si>
  <si>
    <t xml:space="preserve">59L XLחגורת שבר לצד שמאל</t>
  </si>
  <si>
    <t xml:space="preserve">59R L חגורת שבר לצד ימין</t>
  </si>
  <si>
    <t xml:space="preserve">59R M חגורת שבר לצד ימין</t>
  </si>
  <si>
    <t xml:space="preserve">59R S</t>
  </si>
  <si>
    <t xml:space="preserve">59R S חגורת שבר לצד ימין</t>
  </si>
  <si>
    <t xml:space="preserve">59R XL</t>
  </si>
  <si>
    <t xml:space="preserve">59R XL חגורת שבר לצד ימין</t>
  </si>
  <si>
    <t xml:space="preserve">91B חבק טניס אלבו</t>
  </si>
  <si>
    <t xml:space="preserve">922 L</t>
  </si>
  <si>
    <t xml:space="preserve">922L.חבק יד לטניס כרית סיליק</t>
  </si>
  <si>
    <t xml:space="preserve">922 XL</t>
  </si>
  <si>
    <t xml:space="preserve">922XLחבק יד לטניס כרית סיליק</t>
  </si>
  <si>
    <t xml:space="preserve">95 L מגן מרפק רגיל לבן</t>
  </si>
  <si>
    <t xml:space="preserve">95 M מגן מרפק רגיל לבן</t>
  </si>
  <si>
    <t xml:space="preserve">95 S מגן מרפק רגיל לבן</t>
  </si>
  <si>
    <t xml:space="preserve">95 XL מגן מרפק רגיל לבן</t>
  </si>
  <si>
    <t xml:space="preserve">95 XS מגן מרפק רגיל לבן</t>
  </si>
  <si>
    <t xml:space="preserve">95 XXL מגן מרפק רגיל לבן</t>
  </si>
  <si>
    <t xml:space="preserve">95B L מגן מרפק שחור</t>
  </si>
  <si>
    <t xml:space="preserve">95B M מגן מרפק שחור</t>
  </si>
  <si>
    <t xml:space="preserve">95B S מגן מרפק שחור</t>
  </si>
  <si>
    <t xml:space="preserve">95B XL מגן מרפק שחור</t>
  </si>
  <si>
    <t xml:space="preserve">95B XXLמגן מרפק שחור</t>
  </si>
  <si>
    <t xml:space="preserve">95C L 'מגן מרפק בז</t>
  </si>
  <si>
    <t xml:space="preserve">95C M 'מגן מרפק בז</t>
  </si>
  <si>
    <t xml:space="preserve">95C S 'מגן מרפק בז</t>
  </si>
  <si>
    <t xml:space="preserve">95C XL'מגן מרפק בז</t>
  </si>
  <si>
    <t xml:space="preserve">95C XS</t>
  </si>
  <si>
    <t xml:space="preserve">95C XS'מגן מרפק בז</t>
  </si>
  <si>
    <t xml:space="preserve">95C XXL</t>
  </si>
  <si>
    <t xml:space="preserve">95C XXL'מגן מרפק בז</t>
  </si>
  <si>
    <t xml:space="preserve">AC91 חבק טניס</t>
  </si>
  <si>
    <t xml:space="preserve">AC95 מגן מרפק</t>
  </si>
  <si>
    <t xml:space="preserve">SC95 S</t>
  </si>
  <si>
    <t xml:space="preserve">SC95 S מגן מרפק</t>
  </si>
  <si>
    <t xml:space="preserve">ST91 מגן מרפק לטניס</t>
  </si>
  <si>
    <t xml:space="preserve">(missing in TRANS source - cell was blank/error)</t>
  </si>
  <si>
    <t xml:space="preserve">T90 רצועת טניס אלבו עם פלסטיק</t>
  </si>
  <si>
    <t xml:space="preserve">T95 S מגן מרפק רגיל</t>
  </si>
  <si>
    <t xml:space="preserve">85 L (מתלה ליד )כיס</t>
  </si>
  <si>
    <t xml:space="preserve">85 M (מתלה ליד )כיס</t>
  </si>
  <si>
    <t xml:space="preserve">85 S (מתלה ליד )כיס</t>
  </si>
  <si>
    <t xml:space="preserve">85 XL (מתלה ליד )כיס</t>
  </si>
  <si>
    <t xml:space="preserve">85+ Lמתלה ליד)כיס(+רצועת חיזוק</t>
  </si>
  <si>
    <t xml:space="preserve">85+ Mמתלה ליד)כיס(+רצועת חיזוק</t>
  </si>
  <si>
    <t xml:space="preserve">85+ XLמתלה ליד)כיס(רצועת חיזוק</t>
  </si>
  <si>
    <t xml:space="preserve">85B L</t>
  </si>
  <si>
    <t xml:space="preserve">85B L מתלה רשת לזרוע שחור</t>
  </si>
  <si>
    <t xml:space="preserve">85B M</t>
  </si>
  <si>
    <t xml:space="preserve">85B M מתלה רשת לזרוע שחור</t>
  </si>
  <si>
    <t xml:space="preserve">85B S</t>
  </si>
  <si>
    <t xml:space="preserve">85B S מתלה רשת לזרוע שחור</t>
  </si>
  <si>
    <t xml:space="preserve">85B XL</t>
  </si>
  <si>
    <t xml:space="preserve">85B XL מתלה רשת לזרוע שחור</t>
  </si>
  <si>
    <t xml:space="preserve">85K מתלה ליד לילדים</t>
  </si>
  <si>
    <t xml:space="preserve">307 L עקבים לדורבן-זוג כריות</t>
  </si>
  <si>
    <t xml:space="preserve">307 M עקבים לדורבן-זוג כריות</t>
  </si>
  <si>
    <t xml:space="preserve">307 S עקבים לדורבן-זוג כריות</t>
  </si>
  <si>
    <t xml:space="preserve">307 XL כרית סיליקון לעקב</t>
  </si>
  <si>
    <t xml:space="preserve">308 Lעקבים סיליקון כחול לדורבן</t>
  </si>
  <si>
    <t xml:space="preserve">308 Mעקבים סיליק.כחול לדורבן</t>
  </si>
  <si>
    <t xml:space="preserve">311'מדב.ג'ל למניעת שפשוף 5 יח</t>
  </si>
  <si>
    <t xml:space="preserve">312 9 מ""""ס להתאמהX5 מדבקה גדולה</t>
  </si>
  <si>
    <t xml:space="preserve">313 סט פלסטרים נגד שפשופים</t>
  </si>
  <si>
    <t xml:space="preserve">320 בליסטר פלסטר</t>
  </si>
  <si>
    <t xml:space="preserve">3611 שרוול מטטרזלי מסיליקון</t>
  </si>
  <si>
    <t xml:space="preserve">3622S מדבקה לשחרור לחץ 2 יח</t>
  </si>
  <si>
    <t xml:space="preserve">3623 כרית ליישור אצבע פטיש</t>
  </si>
  <si>
    <t xml:space="preserve">363-L-R</t>
  </si>
  <si>
    <t xml:space="preserve">363  בננה לתמיכת אצבעות ז.כרית</t>
  </si>
  <si>
    <t xml:space="preserve">364 XLמפריד אצבע סיליקון ליבלת</t>
  </si>
  <si>
    <t xml:space="preserve">3641-מיישר בוהן סיליקון קשיח</t>
  </si>
  <si>
    <t xml:space="preserve">364S Lמפר.אצבע סיליק. ליבל.זוג</t>
  </si>
  <si>
    <t xml:space="preserve">365  X-Lטבעת אלסטית מסיליקון</t>
  </si>
  <si>
    <t xml:space="preserve">365 S-Lטבעת אלסטית מסיליקון</t>
  </si>
  <si>
    <t xml:space="preserve">3655 שרוול מסיליקון לאצבע</t>
  </si>
  <si>
    <t xml:space="preserve">3666 מפריד הלוקס</t>
  </si>
  <si>
    <t xml:space="preserve">366S-'מדבק.לשחרור לחץ מיבלת2יח</t>
  </si>
  <si>
    <t xml:space="preserve">3672 שרוול מגן לבוניון</t>
  </si>
  <si>
    <t xml:space="preserve">3674 0 מ.בוניון+מפריד אצבע</t>
  </si>
  <si>
    <t xml:space="preserve">3675    מגן זרת מסיליקון</t>
  </si>
  <si>
    <t xml:space="preserve">3677S-מד.לשחרור לחץ א.הבוניון</t>
  </si>
  <si>
    <t xml:space="preserve">369   XL אצבעון מסיליקון יחידה</t>
  </si>
  <si>
    <t xml:space="preserve">369  S-L אצבעון מסיליקון יחידה</t>
  </si>
  <si>
    <t xml:space="preserve">38 .חבישת""""הלוקס ולגוס""""לאחר נית</t>
  </si>
  <si>
    <t xml:space="preserve">386  מיישר בוניון-האלוקס ולגוס</t>
  </si>
  <si>
    <t xml:space="preserve">820 0 כרית חום וקור</t>
  </si>
  <si>
    <t xml:space="preserve">URI 3667 מגן בוניון</t>
  </si>
  <si>
    <t xml:space="preserve">כרית מטטרזלי סיליקון362</t>
  </si>
  <si>
    <t xml:space="preserve">PD 344-אבן טבעית להסרת עור קשה</t>
  </si>
  <si>
    <t xml:space="preserve">PD340-קוצץ ציפורניים</t>
  </si>
  <si>
    <t xml:space="preserve">PD341 0</t>
  </si>
  <si>
    <t xml:space="preserve">PD341-מקצוע להסרת עור קשה</t>
  </si>
  <si>
    <t xml:space="preserve">PD342-פומפיה להסרת עור קשה</t>
  </si>
  <si>
    <t xml:space="preserve">PD346 0</t>
  </si>
  <si>
    <t xml:space="preserve">PD346-10 סכינים למקצוע</t>
  </si>
  <si>
    <t xml:space="preserve">213CTSR L ימין CTS כפפות</t>
  </si>
  <si>
    <t xml:space="preserve">20 L חבק יד מתכוון עם צמדן</t>
  </si>
  <si>
    <t xml:space="preserve">20 M חבק יד מתכוון עם צמדן</t>
  </si>
  <si>
    <t xml:space="preserve">20 S חבק יד מתכוון עם צמדן</t>
  </si>
  <si>
    <t xml:space="preserve">20 XL חבק יד מתכוון עם צמדן</t>
  </si>
  <si>
    <t xml:space="preserve">20 XXL חבק יד מתכוון עם צמדן</t>
  </si>
  <si>
    <t xml:space="preserve">202  ONE SIZE חבק יד</t>
  </si>
  <si>
    <t xml:space="preserve">21 L  חבק יד ארוך</t>
  </si>
  <si>
    <t xml:space="preserve">21 M  חבק יד ארוך</t>
  </si>
  <si>
    <t xml:space="preserve">21 S  חבק יד ארוך</t>
  </si>
  <si>
    <t xml:space="preserve">21 XL חבק יד ארוך</t>
  </si>
  <si>
    <t xml:space="preserve">21 XS</t>
  </si>
  <si>
    <t xml:space="preserve">21 XS מגן יד</t>
  </si>
  <si>
    <t xml:space="preserve">211 L</t>
  </si>
  <si>
    <t xml:space="preserve">211L כפפות לחץ</t>
  </si>
  <si>
    <t xml:space="preserve">211 M</t>
  </si>
  <si>
    <t xml:space="preserve">211M כפפות לחץ</t>
  </si>
  <si>
    <t xml:space="preserve">211 S</t>
  </si>
  <si>
    <t xml:space="preserve">211S כפפות לחץ</t>
  </si>
  <si>
    <t xml:space="preserve">211 XL</t>
  </si>
  <si>
    <t xml:space="preserve">211XL כפפות לחץ</t>
  </si>
  <si>
    <t xml:space="preserve">212 L</t>
  </si>
  <si>
    <t xml:space="preserve">212L כפפות אגודל לחץ</t>
  </si>
  <si>
    <t xml:space="preserve">212 M</t>
  </si>
  <si>
    <t xml:space="preserve">212M כפפות אגודל לחץ</t>
  </si>
  <si>
    <t xml:space="preserve">212 S</t>
  </si>
  <si>
    <t xml:space="preserve">212S כפפות אגודל לחץ</t>
  </si>
  <si>
    <t xml:space="preserve">212 XL</t>
  </si>
  <si>
    <t xml:space="preserve">212XL כפפות אגודל לחץ</t>
  </si>
  <si>
    <t xml:space="preserve">213CTS  S ימין CTS כפפות</t>
  </si>
  <si>
    <t xml:space="preserve">213CTSL L שמאל CTS כפפות</t>
  </si>
  <si>
    <t xml:space="preserve">213CTSL M שמאל CTS כפפות</t>
  </si>
  <si>
    <t xml:space="preserve">213CTSL S שמאל CTS כפפות</t>
  </si>
  <si>
    <t xml:space="preserve">213CTSR M ימין CTS כפפות</t>
  </si>
  <si>
    <t xml:space="preserve">238L סד ליישור אצבע</t>
  </si>
  <si>
    <t xml:space="preserve">238M סד ליישור אצבע</t>
  </si>
  <si>
    <t xml:space="preserve">238S סד ליישור אצבע</t>
  </si>
  <si>
    <t xml:space="preserve">238XL סד ליישור אצבע</t>
  </si>
  <si>
    <t xml:space="preserve">26 L סד ליד דו צדדי לאחר שבר</t>
  </si>
  <si>
    <t xml:space="preserve">26 M סד ליד דו צדדי לאחר שבר</t>
  </si>
  <si>
    <t xml:space="preserve">26 S סד ליד דו צדדי לאחר שבר</t>
  </si>
  <si>
    <t xml:space="preserve">26 XL סד ליד דו צדדי לאחר שבר</t>
  </si>
  <si>
    <t xml:space="preserve">26 XXL סד ליד דו צדדי לאחר שבר</t>
  </si>
  <si>
    <t xml:space="preserve">266 סד ליד דו צדדי</t>
  </si>
  <si>
    <t xml:space="preserve">268 סד לאגודל</t>
  </si>
  <si>
    <t xml:space="preserve">28-XS סד לאגודל לאחר שבר</t>
  </si>
  <si>
    <t xml:space="preserve">28 L סד לאגודל לאחר שבר</t>
  </si>
  <si>
    <t xml:space="preserve">28 M סד לאגודל לאחר שבר</t>
  </si>
  <si>
    <t xml:space="preserve">28 S סד לאגודל לאחר שבר</t>
  </si>
  <si>
    <t xml:space="preserve">28 XL סד לאגודל לאחר שבר</t>
  </si>
  <si>
    <t xml:space="preserve">AC-28 סד לאגודל</t>
  </si>
  <si>
    <t xml:space="preserve">ST20 חבק יד</t>
  </si>
  <si>
    <t xml:space="preserve">ST25 חבק שורש לכף היד</t>
  </si>
  <si>
    <t xml:space="preserve">ST28 סד אגודלי עם מוט תמיכה</t>
  </si>
  <si>
    <t xml:space="preserve">T20-L-XL</t>
  </si>
  <si>
    <t xml:space="preserve">T20 L-XL  חבק יד עם צמדן</t>
  </si>
  <si>
    <t xml:space="preserve">T20-S-M</t>
  </si>
  <si>
    <t xml:space="preserve">T20 S-M חבק יד עם צמדן</t>
  </si>
  <si>
    <t xml:space="preserve">T20C-L-XL</t>
  </si>
  <si>
    <t xml:space="preserve">T20C L-XL חבק יד עם צמדן חום</t>
  </si>
  <si>
    <t xml:space="preserve">T20C-S-M</t>
  </si>
  <si>
    <t xml:space="preserve">T20C S-M חבק יד עם צמדןחום</t>
  </si>
  <si>
    <t xml:space="preserve">T25-חבק יד אגודלי</t>
  </si>
  <si>
    <t xml:space="preserve">T25B 0</t>
  </si>
  <si>
    <t xml:space="preserve">T25B   חבק יד אגודלי</t>
  </si>
  <si>
    <t xml:space="preserve">T25C-חבק יד אגודלי</t>
  </si>
  <si>
    <t xml:space="preserve">T28 XL</t>
  </si>
  <si>
    <t xml:space="preserve">T28 XL סד לאגודל כפפה</t>
  </si>
  <si>
    <t xml:space="preserve">T28A L-XL סד לאגודל</t>
  </si>
  <si>
    <t xml:space="preserve">T28A S-M סד לאגודל</t>
  </si>
  <si>
    <t xml:space="preserve">T28AC-L-XL</t>
  </si>
  <si>
    <t xml:space="preserve">T28AC L-XL סד לאגודל</t>
  </si>
  <si>
    <t xml:space="preserve">T28AC-S-M</t>
  </si>
  <si>
    <t xml:space="preserve">T28AC S-M סד לאגודל</t>
  </si>
  <si>
    <t xml:space="preserve">T28C XL</t>
  </si>
  <si>
    <t xml:space="preserve">T28C  XL סד לאגודל כפפה</t>
  </si>
  <si>
    <t xml:space="preserve">T28C L</t>
  </si>
  <si>
    <t xml:space="preserve">T28C L סד לאגודל כפפה</t>
  </si>
  <si>
    <t xml:space="preserve">סד קיבוע לאצבע הדק</t>
  </si>
  <si>
    <t xml:space="preserve">60 L צוארון ספוגי</t>
  </si>
  <si>
    <t xml:space="preserve">60 M צוארון ספוגי</t>
  </si>
  <si>
    <t xml:space="preserve">60 S צוארון ספוגי</t>
  </si>
  <si>
    <t xml:space="preserve">60 XL צוארון ספוגי</t>
  </si>
  <si>
    <t xml:space="preserve">32 XL סד קרסול+מוטות אלומיניום</t>
  </si>
  <si>
    <t xml:space="preserve">322 L</t>
  </si>
  <si>
    <t xml:space="preserve">322-L מגן קרסול+כרית סילקון</t>
  </si>
  <si>
    <t xml:space="preserve">322 XL</t>
  </si>
  <si>
    <t xml:space="preserve">322XL מגן קרסול+כרית סילקון</t>
  </si>
  <si>
    <t xml:space="preserve">333 סד לקרסול עם כריות אויר</t>
  </si>
  <si>
    <t xml:space="preserve">34  L מגן קרסול עקב סגור</t>
  </si>
  <si>
    <t xml:space="preserve">34  M מגן קרסול עקב סגור</t>
  </si>
  <si>
    <t xml:space="preserve">34  S מגן קרסול עקב סגור</t>
  </si>
  <si>
    <t xml:space="preserve">34 XL מגן קרסול עקב סגור</t>
  </si>
  <si>
    <t xml:space="preserve">34 XXL מגן קרסול עקב סגור</t>
  </si>
  <si>
    <t xml:space="preserve">34+ L מגן קרסול עקב סגור+רצוע</t>
  </si>
  <si>
    <t xml:space="preserve">34+ M מגן קרסול עקב סגור+רצוע</t>
  </si>
  <si>
    <t xml:space="preserve">34+ S מגן קרסול עקב סגור+רצוע</t>
  </si>
  <si>
    <t xml:space="preserve">34+XL מגן קרסול עקב סגור+רצוע</t>
  </si>
  <si>
    <t xml:space="preserve">34+XXL מ.קרסול+עכב סגור+רצועות</t>
  </si>
  <si>
    <t xml:space="preserve">35 L מגן קרסול לבן</t>
  </si>
  <si>
    <t xml:space="preserve">35 M מגן קרסול לבן</t>
  </si>
  <si>
    <t xml:space="preserve">35 S מגן קרסול לבן</t>
  </si>
  <si>
    <t xml:space="preserve">35 XL מגן קרסול לבן</t>
  </si>
  <si>
    <t xml:space="preserve">35 XXL מגן קרסול לבן</t>
  </si>
  <si>
    <t xml:space="preserve">35B L מגן קרסול שחור</t>
  </si>
  <si>
    <t xml:space="preserve">35B M מגן קרסול שחור</t>
  </si>
  <si>
    <t xml:space="preserve">35B S מגן קרסול שחור</t>
  </si>
  <si>
    <t xml:space="preserve">35B XL מגן קרסול שחור</t>
  </si>
  <si>
    <t xml:space="preserve">35B XXL מגן קרסול שחור</t>
  </si>
  <si>
    <t xml:space="preserve">35C L מגן קרסול חום</t>
  </si>
  <si>
    <t xml:space="preserve">35C M מגן קרסול חום</t>
  </si>
  <si>
    <t xml:space="preserve">35C S מגן קרסול חום</t>
  </si>
  <si>
    <t xml:space="preserve">35C XL מגן קרסול חום</t>
  </si>
  <si>
    <t xml:space="preserve">AC37 מגן קרסול נושם</t>
  </si>
  <si>
    <t xml:space="preserve">SH333 מקבע קרסול</t>
  </si>
  <si>
    <t xml:space="preserve">ST37 חבק לקרסול</t>
  </si>
  <si>
    <t xml:space="preserve">301CM 41-45 'רפידת ג'ל בז</t>
  </si>
  <si>
    <t xml:space="preserve">301CW 36-40 'רפידת ג'ל בז</t>
  </si>
  <si>
    <t xml:space="preserve">301JW רפידת ג'ל כחול36-40</t>
  </si>
  <si>
    <t xml:space="preserve">370  רפידת נוחות-זוג</t>
  </si>
  <si>
    <t xml:space="preserve">370K 0 רפידת לילדים אנטי ריח</t>
  </si>
  <si>
    <t xml:space="preserve">371 רפידת מגבת כותנה-זוג</t>
  </si>
  <si>
    <t xml:space="preserve">372 רפידת אנטי ריח -זוג</t>
  </si>
  <si>
    <t xml:space="preserve">374 רפידת בולמת זעזועים -זוג</t>
  </si>
  <si>
    <t xml:space="preserve">377-35</t>
  </si>
  <si>
    <t xml:space="preserve">377  רפ.אורטופדית ספורט זוג35</t>
  </si>
  <si>
    <t xml:space="preserve">46-47 רפידת ספורט 376 מידה</t>
  </si>
  <si>
    <t xml:space="preserve">49  L מגן ירך</t>
  </si>
  <si>
    <t xml:space="preserve">49  M מגן ירך</t>
  </si>
  <si>
    <t xml:space="preserve">49  S מגן ירך</t>
  </si>
  <si>
    <t xml:space="preserve">49 XL מגן ירך</t>
  </si>
  <si>
    <t xml:space="preserve">49 XXL מגן ירך</t>
  </si>
  <si>
    <t xml:space="preserve">AC49 מגן ירך</t>
  </si>
  <si>
    <t xml:space="preserve">ST49 מגן ירך</t>
  </si>
  <si>
    <t xml:space="preserve">T39 S</t>
  </si>
  <si>
    <t xml:space="preserve">T39  S מגן שוק</t>
  </si>
  <si>
    <t xml:space="preserve">AC-25 חבק לשורש כף היד</t>
  </si>
  <si>
    <t xml:space="preserve">AC-27L סד לש.כף יד שמאל</t>
  </si>
  <si>
    <t xml:space="preserve">AC-27R סד לש.כף יד ימין</t>
  </si>
  <si>
    <t xml:space="preserve">SC25  L חבק יד</t>
  </si>
  <si>
    <t xml:space="preserve">SC25  M חבק יד</t>
  </si>
  <si>
    <t xml:space="preserve">SC25 S</t>
  </si>
  <si>
    <t xml:space="preserve">SC25  S חבק יד</t>
  </si>
  <si>
    <t xml:space="preserve">SC25 XL</t>
  </si>
  <si>
    <t xml:space="preserve">SC25 XL חבק יד</t>
  </si>
  <si>
    <t xml:space="preserve">SC35L  L מגן קרסול שמאל</t>
  </si>
  <si>
    <t xml:space="preserve">SC35L M</t>
  </si>
  <si>
    <t xml:space="preserve">SC35L  M מגן קרסול שמאל</t>
  </si>
  <si>
    <t xml:space="preserve">SC35L S</t>
  </si>
  <si>
    <t xml:space="preserve">SC35L  S מגן קרסול שמאל</t>
  </si>
  <si>
    <t xml:space="preserve">SC35L XL</t>
  </si>
  <si>
    <t xml:space="preserve">SC35L XL מגן קרסול שמאל</t>
  </si>
  <si>
    <t xml:space="preserve">SC35R  L מגן קרסול ימין</t>
  </si>
  <si>
    <t xml:space="preserve">SC35R M</t>
  </si>
  <si>
    <t xml:space="preserve">SC35R  M מגן קרסול ימין</t>
  </si>
  <si>
    <t xml:space="preserve">SC35R S</t>
  </si>
  <si>
    <t xml:space="preserve">SC35R  S מגן קרסול ימין</t>
  </si>
  <si>
    <t xml:space="preserve">SC35R XL</t>
  </si>
  <si>
    <t xml:space="preserve">SC35R  XLמגן קרסול ימין</t>
  </si>
  <si>
    <t xml:space="preserve">SC39 L</t>
  </si>
  <si>
    <t xml:space="preserve">SC39  L מגן שוק</t>
  </si>
  <si>
    <t xml:space="preserve">SC39  M מגן שוק</t>
  </si>
  <si>
    <t xml:space="preserve">SC39  S מגן שוק</t>
  </si>
  <si>
    <t xml:space="preserve">SC39 XL</t>
  </si>
  <si>
    <t xml:space="preserve">SC39 XL מגן שוק</t>
  </si>
  <si>
    <t xml:space="preserve">SC39 XXL</t>
  </si>
  <si>
    <t xml:space="preserve">SC39 XXLמגן שוק</t>
  </si>
  <si>
    <t xml:space="preserve">SC422  L מגן ברך</t>
  </si>
  <si>
    <t xml:space="preserve">SC422  M מגן ברך</t>
  </si>
  <si>
    <t xml:space="preserve">SC422 XL</t>
  </si>
  <si>
    <t xml:space="preserve">SC422 XL מגן ברך</t>
  </si>
  <si>
    <t xml:space="preserve">SC95 L מגן מרפק</t>
  </si>
  <si>
    <t xml:space="preserve">SC95 M</t>
  </si>
  <si>
    <t xml:space="preserve">SC95 M מגן מרפק</t>
  </si>
  <si>
    <t xml:space="preserve">SC95 XL</t>
  </si>
  <si>
    <t xml:space="preserve">SC95 XLמגן מרפק</t>
  </si>
  <si>
    <t xml:space="preserve">381 0</t>
  </si>
  <si>
    <t xml:space="preserve">381 HV רצועה אלסטית</t>
  </si>
  <si>
    <t xml:space="preserve">388B L סד לילה שחור לבוהן ימין</t>
  </si>
  <si>
    <t xml:space="preserve">388B L סד לילה שחור לבוהן שמאל</t>
  </si>
  <si>
    <t xml:space="preserve">801  תחבושת אלסטית מקררת</t>
  </si>
  <si>
    <t xml:space="preserve">806CB-BEIGE      תחבושת א.נצמ</t>
  </si>
  <si>
    <t xml:space="preserve">806CB-BLACK      תחבושת א.נצמ</t>
  </si>
  <si>
    <t xml:space="preserve">806CB-GREEN      תחבושת א.נצמ</t>
  </si>
  <si>
    <t xml:space="preserve">806CB-PINK       תחבושת א.נצמ</t>
  </si>
  <si>
    <t xml:space="preserve">807CB-B</t>
  </si>
  <si>
    <t xml:space="preserve">807B-Bתחבושת נצמדת שחור 20 מ""""מ</t>
  </si>
  <si>
    <t xml:space="preserve">807CB-BL</t>
  </si>
  <si>
    <t xml:space="preserve">807CB-BLתחבושת נצמדת כחול20מ""""מ</t>
  </si>
  <si>
    <t xml:space="preserve">807CB-C</t>
  </si>
  <si>
    <t xml:space="preserve">807CB-Cתחבושת נצמדת בז' 20 מ""""מ</t>
  </si>
  <si>
    <t xml:space="preserve">807CB-P</t>
  </si>
  <si>
    <t xml:space="preserve">807CB-P תחבושת נצמדת ורוד 20ממ</t>
  </si>
  <si>
    <t xml:space="preserve">Catalog — global מק"ט (CHEMIPAL Code) &lt;-&gt; Item Name (PPLAY1 long text), from "חנה_1" export</t>
  </si>
  <si>
    <t xml:space="preserve">Source: kirill/reference/catalog-item-codes-חנה_1.xlsx. FALLBACK match source (mostly long PPLAY1-format text, rarely matches SALES short codes directly - kept for completeness/verification per instruction).</t>
  </si>
  <si>
    <t xml:space="preserve">Item Name</t>
  </si>
  <si>
    <t xml:space="preserve">Item Name (normalized)</t>
  </si>
  <si>
    <t xml:space="preserve">BE CARE  תחבושת אלסטית 10ס""מ</t>
  </si>
  <si>
    <t xml:space="preserve">BE CARE  תחבושת אלסטית 5 ס""מ</t>
  </si>
  <si>
    <t xml:space="preserve">BE CARE  תחבושת אלסטית 7.5סמ</t>
  </si>
  <si>
    <t xml:space="preserve">BE CARE CB BEIGE</t>
  </si>
  <si>
    <t xml:space="preserve">BE CARE CB BLACK</t>
  </si>
  <si>
    <t xml:space="preserve">BE CARE CB GREEN</t>
  </si>
  <si>
    <t xml:space="preserve">BE CARE CB PINK</t>
  </si>
  <si>
    <t xml:space="preserve">BE CARE KT BEIGE</t>
  </si>
  <si>
    <t xml:space="preserve">BE CARE KT BLACK</t>
  </si>
  <si>
    <t xml:space="preserve">BE CARE KT BLUE</t>
  </si>
  <si>
    <t xml:space="preserve">BE CARE KT PINK</t>
  </si>
  <si>
    <t xml:space="preserve">4022 רצועת ""פיקה""+כרית</t>
  </si>
  <si>
    <t xml:space="preserve">41 XS מ.ברך מוצלב+מוטות</t>
  </si>
  <si>
    <t xml:space="preserve">41 XXL.מ.ברך מוצלב+ספירלות בצד</t>
  </si>
  <si>
    <t xml:space="preserve">41X M מגן ברך מוצלב+מוט</t>
  </si>
  <si>
    <t xml:space="preserve">41X S מגן ברך מוצלב+מוט</t>
  </si>
  <si>
    <t xml:space="preserve">41X XS מגן ברך מוצלב+מוט</t>
  </si>
  <si>
    <t xml:space="preserve">41X XXL מגן ברך מוצלב+מוט</t>
  </si>
  <si>
    <t xml:space="preserve">422 Lמ.ברך+כרית סיל.סביב לפיקה</t>
  </si>
  <si>
    <t xml:space="preserve">422 Mמ.ברך+כרית סיל.סביב לפיקה</t>
  </si>
  <si>
    <t xml:space="preserve">422 XLמ.ברך+כרית סיל.סביב לפיק</t>
  </si>
  <si>
    <t xml:space="preserve">422 XXLמ.ברך+כרית סיל.סב. פיקה</t>
  </si>
  <si>
    <t xml:space="preserve">422+ L מ.ברך סיליק.רצועות לבן</t>
  </si>
  <si>
    <t xml:space="preserve">422+ Mמ.ברך סיל.רצועות חזק לבן</t>
  </si>
  <si>
    <t xml:space="preserve">422+ XLמ.ברך סיליק.לבן</t>
  </si>
  <si>
    <t xml:space="preserve">422+ XXLמ.ברך סיל.רצוע.חזק לבן</t>
  </si>
  <si>
    <t xml:space="preserve">422E L מגן ברך ארוך עם כרית</t>
  </si>
  <si>
    <t xml:space="preserve">422E M מגן ברך ארוך עם כרית</t>
  </si>
  <si>
    <t xml:space="preserve">422E S מגן ברך ארוך עם כרית</t>
  </si>
  <si>
    <t xml:space="preserve">422E XL מגן ברך ארוך עם כרית</t>
  </si>
  <si>
    <t xml:space="preserve">422E XXL מגן ברך ארוך עם כרית</t>
  </si>
  <si>
    <t xml:space="preserve">422N L מ.ברך אפור+כרית סיליקון</t>
  </si>
  <si>
    <t xml:space="preserve">422N M מ.ברך אפור+כרית סיליקון</t>
  </si>
  <si>
    <t xml:space="preserve">422N XLמ.ברך אפור+כרית סיליקון</t>
  </si>
  <si>
    <t xml:space="preserve">422N XXL.מ.ברך אפור+כרית סיליק</t>
  </si>
  <si>
    <t xml:space="preserve">44G XL-Lסד ברך לאחר ניתוח</t>
  </si>
  <si>
    <t xml:space="preserve">48 S מגן ברך מחמם</t>
  </si>
  <si>
    <t xml:space="preserve">48 XL מגן ברך מחמם</t>
  </si>
  <si>
    <t xml:space="preserve">48 XXL מגן ברך מחמם</t>
  </si>
  <si>
    <t xml:space="preserve">T40 רצועת פיקה לברך</t>
  </si>
  <si>
    <t xml:space="preserve">T402 L מיצב פיקה</t>
  </si>
  <si>
    <t xml:space="preserve">T402 M מיצב פיקה</t>
  </si>
  <si>
    <t xml:space="preserve">T402 S מיצב פיקה</t>
  </si>
  <si>
    <t xml:space="preserve">T402 XL מיצב פיקה</t>
  </si>
  <si>
    <t xml:space="preserve">T402 XXL מיצב פיקה</t>
  </si>
  <si>
    <t xml:space="preserve">T40B רצועה לפיקה</t>
  </si>
  <si>
    <t xml:space="preserve">T43 SKI XXL מגן ברך לסקי</t>
  </si>
  <si>
    <t xml:space="preserve">T433 XL מגן ברך משופר</t>
  </si>
  <si>
    <t xml:space="preserve">T43SKI L מגן ברך לסקי</t>
  </si>
  <si>
    <t xml:space="preserve">T43SKI M מגן ברך לסקי</t>
  </si>
  <si>
    <t xml:space="preserve">T43SKI XLמגן ברך לסקי</t>
  </si>
  <si>
    <t xml:space="preserve">T45X L מגן ברך רגיל</t>
  </si>
  <si>
    <t xml:space="preserve">T45X M מגן ברך רגיל</t>
  </si>
  <si>
    <t xml:space="preserve">T45X S מגן ברך רגיל</t>
  </si>
  <si>
    <t xml:space="preserve">3444 0   גרביים+סיליקון</t>
  </si>
  <si>
    <t xml:space="preserve">3445Wתתגרב לבן סיליקון טיפ יום</t>
  </si>
  <si>
    <t xml:space="preserve">390G 39-42.גרב.כסף לסכרתיים אפ</t>
  </si>
  <si>
    <t xml:space="preserve">394G גרב.כסף לסכרתים אפור35-38</t>
  </si>
  <si>
    <t xml:space="preserve">394G גרב.כסף לסכרתים אפור39-42</t>
  </si>
  <si>
    <t xml:space="preserve">394G גרב.כסף לסכרתים אפור43-46</t>
  </si>
  <si>
    <t xml:space="preserve">396-35-38 גרביים טרמיות</t>
  </si>
  <si>
    <t xml:space="preserve">396-39-42 גרביים טרמיות</t>
  </si>
  <si>
    <t xml:space="preserve">397 35-38 גרבי טיסה מידה</t>
  </si>
  <si>
    <t xml:space="preserve">397 43-46 גרבי טיסה מידה</t>
  </si>
  <si>
    <t xml:space="preserve">06 L  ""ח.גב קלה ""מיקדו</t>
  </si>
  <si>
    <t xml:space="preserve">06 M  ""ח.גב קלה ""מיקדו</t>
  </si>
  <si>
    <t xml:space="preserve">06 S  ""ח.גב קלה ""מיקדו</t>
  </si>
  <si>
    <t xml:space="preserve">06 XL ""ח.גב קלה ""מיקדו</t>
  </si>
  <si>
    <t xml:space="preserve">06 XXL ""ח.גב קלה ""מיקדו</t>
  </si>
  <si>
    <t xml:space="preserve">06U  XXL ח.בטן מותנית צר</t>
  </si>
  <si>
    <t xml:space="preserve">06U M ח.בטן מותנית צר</t>
  </si>
  <si>
    <t xml:space="preserve">06W S חגורת גב לנשים</t>
  </si>
  <si>
    <t xml:space="preserve">078C L'חגורת גב+סגירה כפו בז</t>
  </si>
  <si>
    <t xml:space="preserve">078C M'חגורת גב+סגירה כפו בז</t>
  </si>
  <si>
    <t xml:space="preserve">078C S'חגורת גב+סגירה כפו בז</t>
  </si>
  <si>
    <t xml:space="preserve">078C XLתתחגורת גב+סגירה כפו בז</t>
  </si>
  <si>
    <t xml:space="preserve">078C XXL 'חג.גב+סגירה כפו בז</t>
  </si>
  <si>
    <t xml:space="preserve">079  M ח.גב סג.כפולה שחור+אדום</t>
  </si>
  <si>
    <t xml:space="preserve">079 L ח.גב סג.כפולה שחור+אדום</t>
  </si>
  <si>
    <t xml:space="preserve">079 S ח.גב סג. כפולה שחור+אדום</t>
  </si>
  <si>
    <t xml:space="preserve">079 XL ח.גב סג.כפולה שחור+אדום</t>
  </si>
  <si>
    <t xml:space="preserve">079 XXLח.גב סג.כפולה שחור+אדום</t>
  </si>
  <si>
    <t xml:space="preserve">07AU L ח.גב ""איטלקית"" אורירית</t>
  </si>
  <si>
    <t xml:space="preserve">07AU M ח.גב ""איטלקית"" אורירית</t>
  </si>
  <si>
    <t xml:space="preserve">07AU S ח.גב ""איטלקית"" אורירית</t>
  </si>
  <si>
    <t xml:space="preserve">07AU XL ח.גב ""איטלקית"" אורירית</t>
  </si>
  <si>
    <t xml:space="preserve">07AU XXL.ח.גב ""איטלקית"" אוריר</t>
  </si>
  <si>
    <t xml:space="preserve">07UC L-XLח.גב אמר+סגירה כפ.חום</t>
  </si>
  <si>
    <t xml:space="preserve">10 L ""חגורת גב ""לומבו</t>
  </si>
  <si>
    <t xml:space="preserve">10 M ""חגורת גב ""לומבו</t>
  </si>
  <si>
    <t xml:space="preserve">10 S ""חגורת גב ""לומבו</t>
  </si>
  <si>
    <t xml:space="preserve">10 XL ""חגורת גב ""לומבו</t>
  </si>
  <si>
    <t xml:space="preserve">10 XXL""חגורת גב ""לומבו</t>
  </si>
  <si>
    <t xml:space="preserve">11 L""חגורת בטן""אורירית</t>
  </si>
  <si>
    <t xml:space="preserve">11 M""חגורת בטן""אורירית</t>
  </si>
  <si>
    <t xml:space="preserve">11 S""חגורת בטן""אורירית</t>
  </si>
  <si>
    <t xml:space="preserve">11 XL""חגורת בטן""אורירית</t>
  </si>
  <si>
    <t xml:space="preserve">11 XS  חגורת בטן</t>
  </si>
  <si>
    <t xml:space="preserve">11 XXL""חגורת בטן""אורירית</t>
  </si>
  <si>
    <t xml:space="preserve">11EU S ח.בטן לאחר ניתוח</t>
  </si>
  <si>
    <t xml:space="preserve">11PS Mחגורה למנותחי בטן</t>
  </si>
  <si>
    <t xml:space="preserve">11U Lחגורת בטן וחזה אחרי ניתוח</t>
  </si>
  <si>
    <t xml:space="preserve">11U Mחגורת בטן וחזה אחרי ניתוח</t>
  </si>
  <si>
    <t xml:space="preserve">11U XL ח.בטן לאחר ניתוח קלה</t>
  </si>
  <si>
    <t xml:space="preserve">11UC'M'תתחגורת בטן עממית בז</t>
  </si>
  <si>
    <t xml:space="preserve">11UC S'תתחגורת בטן עממית בז</t>
  </si>
  <si>
    <t xml:space="preserve">11UC XL 'תתחגורת בטן עממ.בז</t>
  </si>
  <si>
    <t xml:space="preserve">12 L ח.גב מגנטית+מוטות תמיכה</t>
  </si>
  <si>
    <t xml:space="preserve">12 M ח.גב מגנטית+מוטות תמיכה</t>
  </si>
  <si>
    <t xml:space="preserve">12 S ח.גב מגנטית+מוטות תמיכה</t>
  </si>
  <si>
    <t xml:space="preserve">12 XL ח.גב מגנטית+מוטות תמיכה</t>
  </si>
  <si>
    <t xml:space="preserve">13 L חגורה לשבר טבור</t>
  </si>
  <si>
    <t xml:space="preserve">13 M חגורה לשבר טבור</t>
  </si>
  <si>
    <t xml:space="preserve">13 S חגורה לשבר טבור</t>
  </si>
  <si>
    <t xml:space="preserve">15M L חגורת צלעות לגבר</t>
  </si>
  <si>
    <t xml:space="preserve">15M M חגורת צלעות לגבר</t>
  </si>
  <si>
    <t xml:space="preserve">15M XL חגורת צלעות לגבר</t>
  </si>
  <si>
    <t xml:space="preserve">15W M חגורת צלעות לאשה</t>
  </si>
  <si>
    <t xml:space="preserve">15W XL חגורת צלעות לאשה</t>
  </si>
  <si>
    <t xml:space="preserve">15W XXL חגורת צלעות לאשה</t>
  </si>
  <si>
    <t xml:space="preserve">18  XL.ח.הריון מכנס למניעת כאב</t>
  </si>
  <si>
    <t xml:space="preserve">18 L ח.הריון מכנס למניעת כאבים</t>
  </si>
  <si>
    <t xml:space="preserve">18 M ח.הריון מכנס למניעת כאבים</t>
  </si>
  <si>
    <t xml:space="preserve">18 S ח.הריון מכנס למניעת כאבים</t>
  </si>
  <si>
    <t xml:space="preserve">19 L-XLחגורת הריון בכאב.חזק</t>
  </si>
  <si>
    <t xml:space="preserve">19 S-M חגורת הריון בכאב חזק</t>
  </si>
  <si>
    <t xml:space="preserve">70 L חגורת פיסוק פאב</t>
  </si>
  <si>
    <t xml:space="preserve">70 M חגורת פיסוק פאב</t>
  </si>
  <si>
    <t xml:space="preserve">70 S חגורת פיסוק פאב</t>
  </si>
  <si>
    <t xml:space="preserve">776 L  ח.גב גבוהה</t>
  </si>
  <si>
    <t xml:space="preserve">776 M  ח.גב גבוהה</t>
  </si>
  <si>
    <t xml:space="preserve">776 XL ח.גב גבוהה</t>
  </si>
  <si>
    <t xml:space="preserve">L-XL 099 חגורת גב שרוכים</t>
  </si>
  <si>
    <t xml:space="preserve">M 11 אפורUG חגורת בטן</t>
  </si>
  <si>
    <t xml:space="preserve">S-M 099 חגורת גב שרוכים</t>
  </si>
  <si>
    <t xml:space="preserve">S 11 אפורUGחגורת בטן</t>
  </si>
  <si>
    <t xml:space="preserve">XL 11 אפורUG חגורת בטן</t>
  </si>
  <si>
    <t xml:space="preserve">XXL 11אפורUGחגורת בטן</t>
  </si>
  <si>
    <t xml:space="preserve">805AT-B אתלטיק טייפ שחור 20מ""מ</t>
  </si>
  <si>
    <t xml:space="preserve">805AT-BLאתלטיק טייפ כחול 20מ""מ</t>
  </si>
  <si>
    <t xml:space="preserve">805AT-Cאתלטיק טייפ בז' 20מ""מ20</t>
  </si>
  <si>
    <t xml:space="preserve">805AT-W  אתלטיק טייפ לבן 20מ""מ</t>
  </si>
  <si>
    <t xml:space="preserve">239P S-M STRAP4U</t>
  </si>
  <si>
    <t xml:space="preserve">67 כרית שינה חלומי</t>
  </si>
  <si>
    <t xml:space="preserve">FCתתסבון אנטי ספטי לכף הרגל350</t>
  </si>
  <si>
    <t xml:space="preserve">STRAP4U DISPLAY 239D</t>
  </si>
  <si>
    <t xml:space="preserve">74  SM מיצב כתפיים</t>
  </si>
  <si>
    <t xml:space="preserve">76 XXL מישר כתפיים רחב</t>
  </si>
  <si>
    <t xml:space="preserve">776 S  ח.גב גבוהה</t>
  </si>
  <si>
    <t xml:space="preserve">78 M מגן למרפק כתף</t>
  </si>
  <si>
    <t xml:space="preserve">78 XXLמגן למרפק כתף</t>
  </si>
  <si>
    <t xml:space="preserve">78A  M מגן למפרק כתף</t>
  </si>
  <si>
    <t xml:space="preserve">78A L מגן למפרק כתף</t>
  </si>
  <si>
    <t xml:space="preserve">78A S מגן למפרק כתף</t>
  </si>
  <si>
    <t xml:space="preserve">78A XL מגן למפרק כתף</t>
  </si>
  <si>
    <t xml:space="preserve">78A XXL מגן למפרק כתף</t>
  </si>
  <si>
    <t xml:space="preserve">300M תתמדרס.ציפוי עור גבר זו43</t>
  </si>
  <si>
    <t xml:space="preserve">300M תתמדרס/ציפוי עור גבר זו44</t>
  </si>
  <si>
    <t xml:space="preserve">302SP M מדרס ג'ל ספורט לגבר</t>
  </si>
  <si>
    <t xml:space="preserve">302SP Wמדרס ג'ל ספורט לאישה</t>
  </si>
  <si>
    <t xml:space="preserve">303 39-40 מדרסי סיליק.לח.סכרת</t>
  </si>
  <si>
    <t xml:space="preserve">303 43-44 מדרסי סיליק.לח.סכרת</t>
  </si>
  <si>
    <t xml:space="preserve">305GA מדרס אורטופ.מתכוון35-36</t>
  </si>
  <si>
    <t xml:space="preserve">305GA מדרס מתכוונן47-48</t>
  </si>
  <si>
    <t xml:space="preserve">310Lמדרס 3/4לכאבי דורבן וספורט</t>
  </si>
  <si>
    <t xml:space="preserve">310Mמדרס 3/4לכאבי דורבן וספורט</t>
  </si>
  <si>
    <t xml:space="preserve">310Sמדרס 3/4לכאבי דורבן וספורט</t>
  </si>
  <si>
    <t xml:space="preserve">50 S מתלה אשכים לאחר ניתוח</t>
  </si>
  <si>
    <t xml:space="preserve">50 XXL מתלה אשכים לאחר ניתוח</t>
  </si>
  <si>
    <t xml:space="preserve">55 M מתלה אשכים לספורטאים</t>
  </si>
  <si>
    <t xml:space="preserve">55 S מתלה אשכים לספורטאים</t>
  </si>
  <si>
    <t xml:space="preserve">55 XXL מתלה אשכים לספורטאים</t>
  </si>
  <si>
    <t xml:space="preserve">59D XXLחגורת שבר דו צדדי</t>
  </si>
  <si>
    <t xml:space="preserve">604L מסכה ארקי</t>
  </si>
  <si>
    <t xml:space="preserve">604XL מסכה ארקי</t>
  </si>
  <si>
    <t xml:space="preserve">605XL מסכה אלה</t>
  </si>
  <si>
    <t xml:space="preserve">655L ""מסכה ""גדי</t>
  </si>
  <si>
    <t xml:space="preserve">91  חבק ""טניס אלבו רצועה</t>
  </si>
  <si>
    <t xml:space="preserve">911 חבק לטניס אלבו</t>
  </si>
  <si>
    <t xml:space="preserve">922M.מחבק יד לטניס כרית סילי</t>
  </si>
  <si>
    <t xml:space="preserve">922S.חבק יד לטניס כרית סיליק</t>
  </si>
  <si>
    <t xml:space="preserve">922XXLמגן מרפק+כרית סילקון</t>
  </si>
  <si>
    <t xml:space="preserve">95+ L מגן מרפק+רצועה לטניס</t>
  </si>
  <si>
    <t xml:space="preserve">95+ M מגן מרפק+רצועה לטניס</t>
  </si>
  <si>
    <t xml:space="preserve">95+ XL מגן מרפק+רצועה לטניס</t>
  </si>
  <si>
    <t xml:space="preserve">95G XXLמגן מרפק אפור</t>
  </si>
  <si>
    <t xml:space="preserve">SC95 XXL מגן מרפק</t>
  </si>
  <si>
    <t xml:space="preserve">T91  L-XL רצועת טניס אלבו</t>
  </si>
  <si>
    <t xml:space="preserve">T91 S-M רצועת טניס אלבו</t>
  </si>
  <si>
    <t xml:space="preserve">T95 L מגן מרפק רגיל</t>
  </si>
  <si>
    <t xml:space="preserve">T95 M מגן מרפק רגיל</t>
  </si>
  <si>
    <t xml:space="preserve">T95 XLמגן מרפק רגיל</t>
  </si>
  <si>
    <t xml:space="preserve">T95+ L מגן מרפק +רצועה</t>
  </si>
  <si>
    <t xml:space="preserve">T95+ XLמגן מרפק +רצועה</t>
  </si>
  <si>
    <t xml:space="preserve">80 L תתמתלה ליד רצועה</t>
  </si>
  <si>
    <t xml:space="preserve">80 M תתמתלה ליד רצועה</t>
  </si>
  <si>
    <t xml:space="preserve">80 S תתמתלה ליד רצועה</t>
  </si>
  <si>
    <t xml:space="preserve">80 XL  תתמתלה ליד</t>
  </si>
  <si>
    <t xml:space="preserve">82 0 מתלה יד מספוג</t>
  </si>
  <si>
    <t xml:space="preserve">85+ Sמתלה ליד)כיס(+רצועת חיזוק</t>
  </si>
  <si>
    <t xml:space="preserve">306  L זוג עקבים סיליקון</t>
  </si>
  <si>
    <t xml:space="preserve">308 Sעקבים סיליק.כחול לדורבן</t>
  </si>
  <si>
    <t xml:space="preserve">309 L תתמוקפאעקב סיליקון+ קשת</t>
  </si>
  <si>
    <t xml:space="preserve">309 M תתעקב סיליקון+ קשת</t>
  </si>
  <si>
    <t xml:space="preserve">309 S תתמוקפאעקב סיליקון+ קשת</t>
  </si>
  <si>
    <t xml:space="preserve">312 9 מ""ס להתאמהX5 מדבקה גדולה</t>
  </si>
  <si>
    <t xml:space="preserve">38 .חבישת""הלוקס ולגוס""לאחר נית</t>
  </si>
  <si>
    <t xml:space="preserve">388L סד לילה לבוהן</t>
  </si>
  <si>
    <t xml:space="preserve">388R סד לילה לבוהן</t>
  </si>
  <si>
    <t xml:space="preserve">PD343-פומפיה מאבן להסר.עור</t>
  </si>
  <si>
    <t xml:space="preserve">PD350-תתמשופית ניקל קדמיום</t>
  </si>
  <si>
    <t xml:space="preserve">21 XXL מגן יד</t>
  </si>
  <si>
    <t xml:space="preserve">24 M(תתחבקון ליד )ללא צמדן</t>
  </si>
  <si>
    <t xml:space="preserve">25 L חבק יד אגודלי</t>
  </si>
  <si>
    <t xml:space="preserve">25 M חבק יד אגודלי</t>
  </si>
  <si>
    <t xml:space="preserve">25 S חבק יד אגודלי</t>
  </si>
  <si>
    <t xml:space="preserve">25 XL חבק יד אגודלי</t>
  </si>
  <si>
    <t xml:space="preserve">26 XS סד ליד דו צדדי לאחר שבר</t>
  </si>
  <si>
    <t xml:space="preserve">267LB  L-XLסד יד שמאל שחור</t>
  </si>
  <si>
    <t xml:space="preserve">267LB  S-M סד יד שמאל שחור</t>
  </si>
  <si>
    <t xml:space="preserve">267LC   S-M'סד יד שמאל בז</t>
  </si>
  <si>
    <t xml:space="preserve">267LC  L-XL 'סד יד שמאל בז</t>
  </si>
  <si>
    <t xml:space="preserve">267LC  XXL'סד יד שמאל בז</t>
  </si>
  <si>
    <t xml:space="preserve">267RB  L-XLסד יד ימין שחור</t>
  </si>
  <si>
    <t xml:space="preserve">267RB  S-M סד יד ימין שחור</t>
  </si>
  <si>
    <t xml:space="preserve">267RC  L-XL 'סד יד ימין בז</t>
  </si>
  <si>
    <t xml:space="preserve">267RC  S-M 'סד יד ימין בז</t>
  </si>
  <si>
    <t xml:space="preserve">267RC XXL 'סד יד ימין בז</t>
  </si>
  <si>
    <t xml:space="preserve">27 R-M סד ליד ימין</t>
  </si>
  <si>
    <t xml:space="preserve">278 L-XL סד יד ואגודל</t>
  </si>
  <si>
    <t xml:space="preserve">278 S-M סד יד ואגודל</t>
  </si>
  <si>
    <t xml:space="preserve">27L L סד ליד שמאל</t>
  </si>
  <si>
    <t xml:space="preserve">27L M סד ליד שמאל</t>
  </si>
  <si>
    <t xml:space="preserve">27L S סד ליד שמאל</t>
  </si>
  <si>
    <t xml:space="preserve">27L XLסד ליד שמאל</t>
  </si>
  <si>
    <t xml:space="preserve">27R L סד ליד ימין</t>
  </si>
  <si>
    <t xml:space="preserve">27R XLסד ליד ימין</t>
  </si>
  <si>
    <t xml:space="preserve">28 XXL סד לאגודל לאחר שבר</t>
  </si>
  <si>
    <t xml:space="preserve">28A S-M  סד לאגודל</t>
  </si>
  <si>
    <t xml:space="preserve">T26 L סד לאגודל דו צדדי</t>
  </si>
  <si>
    <t xml:space="preserve">T26 M סד לאגודל דו צדדי</t>
  </si>
  <si>
    <t xml:space="preserve">T26 S סד לאגודל דו צדדי</t>
  </si>
  <si>
    <t xml:space="preserve">T26 XLסד לאגודל דו צדדי</t>
  </si>
  <si>
    <t xml:space="preserve">T27L L סד ליד שמאל</t>
  </si>
  <si>
    <t xml:space="preserve">T27L M סד ליד שמאל</t>
  </si>
  <si>
    <t xml:space="preserve">T27L S סד ליד שמאל</t>
  </si>
  <si>
    <t xml:space="preserve">T27L XL סד ליד שמאל</t>
  </si>
  <si>
    <t xml:space="preserve">T27R Mסד ליד ימין</t>
  </si>
  <si>
    <t xml:space="preserve">T27R Sסד ליד ימין</t>
  </si>
  <si>
    <t xml:space="preserve">T27R XLסד ליד ימין</t>
  </si>
  <si>
    <t xml:space="preserve">T28 L סד לאגודל כפפה</t>
  </si>
  <si>
    <t xml:space="preserve">T28 M סד לאגודל כפפה</t>
  </si>
  <si>
    <t xml:space="preserve">T28 S סד לאגודל כפפה</t>
  </si>
  <si>
    <t xml:space="preserve">T28 XXLסד לאגודל צד ימין</t>
  </si>
  <si>
    <t xml:space="preserve">T28A XS סד לאגודל</t>
  </si>
  <si>
    <t xml:space="preserve">T28C M סד לאגודל כפפה</t>
  </si>
  <si>
    <t xml:space="preserve">T28C S סד לאגודל כפפה</t>
  </si>
  <si>
    <t xml:space="preserve">1314-    62 L צוארון ספוגי</t>
  </si>
  <si>
    <t xml:space="preserve">60 XXL צוארון ספוגי</t>
  </si>
  <si>
    <t xml:space="preserve">60XS צוארון ספוגי</t>
  </si>
  <si>
    <t xml:space="preserve">62 M צוארון ספוגי</t>
  </si>
  <si>
    <t xml:space="preserve">62 S צוארון ספוגי</t>
  </si>
  <si>
    <t xml:space="preserve">62 XL צוארון ספוגי</t>
  </si>
  <si>
    <t xml:space="preserve">63 L צוארון פלסטי מתכוון</t>
  </si>
  <si>
    <t xml:space="preserve">63 M צוארון פלסטי מתכוון</t>
  </si>
  <si>
    <t xml:space="preserve">63 S צוארון פלסטי מתכוון</t>
  </si>
  <si>
    <t xml:space="preserve">FC310-תתקרם הגנה לכף הרגל</t>
  </si>
  <si>
    <t xml:space="preserve">FC311-תתקרם דאודורנט לכף הרגל</t>
  </si>
  <si>
    <t xml:space="preserve">FC312-תתקרם מירוק גרגרי פילינג</t>
  </si>
  <si>
    <t xml:space="preserve">FC313- תתקרם ריכוך</t>
  </si>
  <si>
    <t xml:space="preserve">FC314-תתטלק נוזלי</t>
  </si>
  <si>
    <t xml:space="preserve">FC315-תתג'ל צינון</t>
  </si>
  <si>
    <t xml:space="preserve">FC316   קרם רגליים שיקומי</t>
  </si>
  <si>
    <t xml:space="preserve">FC330Z-תתדאו'אנטי בקט.לנעל120</t>
  </si>
  <si>
    <t xml:space="preserve">FC331Z- 120 תתתרסיס מרענן לרגל</t>
  </si>
  <si>
    <t xml:space="preserve">FC341-טיפות נגד פטרת הציפורן</t>
  </si>
  <si>
    <t xml:space="preserve">30 L מגן קרסול מתכוון עם סקוטש</t>
  </si>
  <si>
    <t xml:space="preserve">30 M מגן קרסול מתכוון עם סקוטש</t>
  </si>
  <si>
    <t xml:space="preserve">30 S מגן קרסול מתכוון עם סקוטש</t>
  </si>
  <si>
    <t xml:space="preserve">30 XL מגן קרסול מתכוון סקוטש</t>
  </si>
  <si>
    <t xml:space="preserve">30 XXL מגן קרסול מתכוון+סקוטש</t>
  </si>
  <si>
    <t xml:space="preserve">32 L  סד קרסול+מוטות אלומיניום</t>
  </si>
  <si>
    <t xml:space="preserve">32 M  סד קרסול+מוטות אלומיניום</t>
  </si>
  <si>
    <t xml:space="preserve">322-M מגן קרסול+כרית סילקון</t>
  </si>
  <si>
    <t xml:space="preserve">322-S מגן קרסול+כרית סילקון</t>
  </si>
  <si>
    <t xml:space="preserve">322XXLמגן קרסול+כרית סילקון</t>
  </si>
  <si>
    <t xml:space="preserve">33 Lסד קל לקרסול עם סדי פלסטיק</t>
  </si>
  <si>
    <t xml:space="preserve">33 Mסד קל לקרסול עם סדי פלסטיק</t>
  </si>
  <si>
    <t xml:space="preserve">33 Sסד קל לקרסול עם סדי פלסטיק</t>
  </si>
  <si>
    <t xml:space="preserve">33 XL.סד קל לקרסול עם סדי פלסט</t>
  </si>
  <si>
    <t xml:space="preserve">332CL'מייצב קרסול עם שרוכים בז</t>
  </si>
  <si>
    <t xml:space="preserve">332CM'מייצב קרסול עם שרוכים בז</t>
  </si>
  <si>
    <t xml:space="preserve">332CS'מייצב קרסול עם שרוכים בז</t>
  </si>
  <si>
    <t xml:space="preserve">332CXLמייצב קרסול עם שרוכים בז</t>
  </si>
  <si>
    <t xml:space="preserve">332CXXLמיצב קרסול עם שרוכים בז</t>
  </si>
  <si>
    <t xml:space="preserve">34 XS מגן קרסול עקב סגור</t>
  </si>
  <si>
    <t xml:space="preserve">35 XS מגן קרסול לבן</t>
  </si>
  <si>
    <t xml:space="preserve">35C XXL מגן קרסול חום</t>
  </si>
  <si>
    <t xml:space="preserve">T32 S סד קרסול+מוטות אלומיניום</t>
  </si>
  <si>
    <t xml:space="preserve">T33  L  סד לקרסול</t>
  </si>
  <si>
    <t xml:space="preserve">T33  M  סד לקרסול</t>
  </si>
  <si>
    <t xml:space="preserve">T33 XXL סד לקרסול</t>
  </si>
  <si>
    <t xml:space="preserve">T35 Lמגן קרסול+ צמדן</t>
  </si>
  <si>
    <t xml:space="preserve">T35 Mמגן קרסול+ צמדן</t>
  </si>
  <si>
    <t xml:space="preserve">T35 Sמגן קרסול+ צמדן</t>
  </si>
  <si>
    <t xml:space="preserve">T35 XLמגן קרסול+ צמדן</t>
  </si>
  <si>
    <t xml:space="preserve">301JM רפידת ג'ל כחול40-45</t>
  </si>
  <si>
    <t xml:space="preserve">35-37 רפידת ספורט 376 מידה</t>
  </si>
  <si>
    <t xml:space="preserve">377   רפ.ורטופדית ספורט זוג38</t>
  </si>
  <si>
    <t xml:space="preserve">377   רפידה אורט.ספורט זוג43</t>
  </si>
  <si>
    <t xml:space="preserve">377  רפ.אורטופדית ספורט זוג37</t>
  </si>
  <si>
    <t xml:space="preserve">377  רפ.אורטופדית ספורט זוג39</t>
  </si>
  <si>
    <t xml:space="preserve">377  רפ.אורטופדית ספורט זוג40</t>
  </si>
  <si>
    <t xml:space="preserve">377  רפ.אורטופדית ספורט זוג46</t>
  </si>
  <si>
    <t xml:space="preserve">377  רפידה אורט.ספורט זוג44</t>
  </si>
  <si>
    <t xml:space="preserve">377  רפידה אורטופ.ספורט זוג41</t>
  </si>
  <si>
    <t xml:space="preserve">377 רפ.אורטופדית ספורט זוג36</t>
  </si>
  <si>
    <t xml:space="preserve">377 רפ.אורטופדית ספורט זוג45</t>
  </si>
  <si>
    <t xml:space="preserve">377 רפידה אורטופ.ספורט זוג42</t>
  </si>
  <si>
    <t xml:space="preserve">38-40 רפידת ספורט 376 מידה</t>
  </si>
  <si>
    <t xml:space="preserve">41-43 רפידת ספורט 376 מידה</t>
  </si>
  <si>
    <t xml:space="preserve">44-45 רפידת ספורט 376 מידה</t>
  </si>
  <si>
    <t xml:space="preserve">SP372 רפידה אנטי ריח ספורט</t>
  </si>
  <si>
    <t xml:space="preserve">T39  M מגן שוק</t>
  </si>
  <si>
    <t xml:space="preserve">T39 XL מגן שוק</t>
  </si>
  <si>
    <t xml:space="preserve">T49 M מגן ירך</t>
  </si>
  <si>
    <t xml:space="preserve">T49 XS מגן ירך</t>
  </si>
  <si>
    <t xml:space="preserve">T39  L מגן שוק</t>
  </si>
  <si>
    <t xml:space="preserve">807B-Bתחבושת נצמדת שחור 20 מ""מ</t>
  </si>
  <si>
    <t xml:space="preserve">807CB-BLתחבושת נצמדת כחול20מ""מ</t>
  </si>
  <si>
    <t xml:space="preserve">807CB-Cתחבושת נצמדת בז' 20 מ""מ</t>
  </si>
  <si>
    <t xml:space="preserve">B10 - תחבושת אלסטית 10 ס""מ</t>
  </si>
  <si>
    <t xml:space="preserve">B10 - תחבושת אלסטית 5ס""מ</t>
  </si>
  <si>
    <t xml:space="preserve">B75 תחבושת אלסטית 7.5ס""מ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</si>
</sst>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#,##0"/>
    <numFmt numFmtId="167" formatCode="#,##0.00"/>
    <numFmt numFmtId="168" formatCode="0.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  <col collapsed="false" customWidth="true" hidden="false" outlineLevel="0" max="3" min="3" style="1" width="14"/>
    <col collapsed="false" customWidth="true" hidden="false" outlineLevel="0" max="5" min="4" style="1" width="15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43.2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</row>
    <row r="5" customFormat="false" ht="15" hidden="false" customHeight="false" outlineLevel="0" collapsed="false">
      <c r="A5" s="6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</row>
    <row r="7" customFormat="false" ht="15" hidden="false" customHeight="false" outlineLevel="0" collapsed="false">
      <c r="A7" s="7" t="s">
        <v>6</v>
      </c>
      <c r="B7" s="7" t="s">
        <v>7</v>
      </c>
    </row>
    <row r="8" customFormat="false" ht="15" hidden="false" customHeight="false" outlineLevel="0" collapsed="false">
      <c r="A8" s="7" t="s">
        <v>8</v>
      </c>
      <c r="B8" s="7" t="s">
        <v>9</v>
      </c>
    </row>
    <row r="9" customFormat="false" ht="15" hidden="false" customHeight="false" outlineLevel="0" collapsed="false">
      <c r="A9" s="7" t="s">
        <v>10</v>
      </c>
      <c r="B9" s="7" t="s">
        <v>11</v>
      </c>
    </row>
    <row r="10" customFormat="false" ht="15" hidden="false" customHeight="false" outlineLevel="0" collapsed="false">
      <c r="A10" s="7" t="s">
        <v>12</v>
      </c>
      <c r="B10" s="7" t="s">
        <v>13</v>
      </c>
    </row>
    <row r="11" customFormat="false" ht="15" hidden="false" customHeight="false" outlineLevel="0" collapsed="false">
      <c r="A11" s="7" t="s">
        <v>14</v>
      </c>
      <c r="B11" s="7" t="s">
        <v>15</v>
      </c>
    </row>
    <row r="13" customFormat="false" ht="15" hidden="false" customHeight="false" outlineLevel="0" collapsed="false">
      <c r="A13" s="6" t="s">
        <v>16</v>
      </c>
    </row>
    <row r="14" customFormat="false" ht="15" hidden="false" customHeight="false" outlineLevel="0" collapsed="false">
      <c r="A14" s="3" t="s">
        <v>4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</row>
    <row r="15" customFormat="false" ht="15" hidden="false" customHeight="false" outlineLevel="0" collapsed="false">
      <c r="A15" s="7" t="s">
        <v>6</v>
      </c>
      <c r="B15" s="7" t="n">
        <v>557</v>
      </c>
      <c r="C15" s="8" t="n">
        <v>145075</v>
      </c>
      <c r="D15" s="9" t="n">
        <v>3269265.56</v>
      </c>
      <c r="E15" s="8" t="n">
        <v>132547</v>
      </c>
      <c r="F15" s="9" t="n">
        <v>2649713.86</v>
      </c>
      <c r="G15" s="7" t="n">
        <v>129</v>
      </c>
      <c r="H15" s="7" t="n">
        <v>45</v>
      </c>
    </row>
    <row r="16" customFormat="false" ht="15" hidden="false" customHeight="false" outlineLevel="0" collapsed="false">
      <c r="A16" s="7" t="s">
        <v>8</v>
      </c>
      <c r="B16" s="7" t="n">
        <v>79</v>
      </c>
      <c r="C16" s="8" t="n">
        <v>27158</v>
      </c>
      <c r="D16" s="9" t="n">
        <v>2705391.22</v>
      </c>
      <c r="E16" s="8" t="n">
        <v>23757</v>
      </c>
      <c r="F16" s="9" t="n">
        <v>2062598.93</v>
      </c>
      <c r="G16" s="7" t="n">
        <v>17</v>
      </c>
      <c r="H16" s="7" t="n">
        <v>6</v>
      </c>
    </row>
    <row r="18" customFormat="false" ht="15" hidden="false" customHeight="false" outlineLevel="0" collapsed="false">
      <c r="A18" s="6" t="s">
        <v>24</v>
      </c>
    </row>
    <row r="19" customFormat="false" ht="15" hidden="false" customHeight="false" outlineLevel="0" collapsed="false">
      <c r="A19" s="3" t="s">
        <v>25</v>
      </c>
      <c r="B19" s="3" t="s">
        <v>26</v>
      </c>
      <c r="C19" s="3" t="s">
        <v>27</v>
      </c>
      <c r="D19" s="3" t="s">
        <v>28</v>
      </c>
      <c r="E19" s="3" t="s">
        <v>29</v>
      </c>
    </row>
    <row r="20" customFormat="false" ht="15" hidden="false" customHeight="false" outlineLevel="0" collapsed="false">
      <c r="A20" s="7" t="s">
        <v>30</v>
      </c>
      <c r="B20" s="7" t="n">
        <v>136</v>
      </c>
      <c r="C20" s="7" t="n">
        <v>15</v>
      </c>
      <c r="D20" s="10" t="n">
        <v>0.7937</v>
      </c>
      <c r="E20" s="10" t="n">
        <v>0.7785</v>
      </c>
    </row>
    <row r="21" customFormat="false" ht="15" hidden="false" customHeight="false" outlineLevel="0" collapsed="false">
      <c r="A21" s="7" t="s">
        <v>31</v>
      </c>
      <c r="B21" s="7" t="n">
        <v>49</v>
      </c>
      <c r="C21" s="7" t="n">
        <v>5</v>
      </c>
      <c r="D21" s="10" t="n">
        <v>0.9518</v>
      </c>
      <c r="E21" s="10" t="n">
        <v>0.926</v>
      </c>
    </row>
    <row r="22" customFormat="false" ht="15" hidden="false" customHeight="false" outlineLevel="0" collapsed="false">
      <c r="A22" s="7" t="s">
        <v>32</v>
      </c>
      <c r="B22" s="7" t="n">
        <v>246</v>
      </c>
      <c r="C22" s="7" t="n">
        <v>33</v>
      </c>
      <c r="D22" s="10" t="n">
        <v>0.8522</v>
      </c>
      <c r="E22" s="10" t="n">
        <v>0.8475</v>
      </c>
    </row>
    <row r="23" customFormat="false" ht="15" hidden="false" customHeight="false" outlineLevel="0" collapsed="false">
      <c r="A23" s="7" t="s">
        <v>33</v>
      </c>
      <c r="B23" s="7" t="n">
        <v>6</v>
      </c>
      <c r="C23" s="7" t="n">
        <v>1</v>
      </c>
      <c r="D23" s="10" t="n">
        <v>1</v>
      </c>
      <c r="E23" s="10" t="n">
        <v>1</v>
      </c>
    </row>
    <row r="24" customFormat="false" ht="15" hidden="false" customHeight="false" outlineLevel="0" collapsed="false">
      <c r="A24" s="7" t="s">
        <v>34</v>
      </c>
      <c r="B24" s="7" t="n">
        <v>38</v>
      </c>
      <c r="C24" s="7" t="n">
        <v>9</v>
      </c>
      <c r="D24" s="10" t="n">
        <v>0.9825</v>
      </c>
      <c r="E24" s="10" t="n">
        <v>0.9621</v>
      </c>
    </row>
    <row r="25" customFormat="false" ht="15" hidden="false" customHeight="false" outlineLevel="0" collapsed="false">
      <c r="A25" s="7" t="s">
        <v>8</v>
      </c>
      <c r="B25" s="7" t="n">
        <v>80</v>
      </c>
      <c r="C25" s="7" t="n">
        <v>58</v>
      </c>
      <c r="D25" s="10" t="n">
        <v>0.632</v>
      </c>
      <c r="E25" s="10" t="n">
        <v>0.4268</v>
      </c>
    </row>
    <row r="26" customFormat="false" ht="15" hidden="false" customHeight="false" outlineLevel="0" collapsed="false">
      <c r="A26" s="7" t="s">
        <v>35</v>
      </c>
      <c r="B26" s="7" t="n">
        <v>87</v>
      </c>
      <c r="C26" s="7" t="n">
        <v>15</v>
      </c>
      <c r="D26" s="10" t="n">
        <v>0.8646</v>
      </c>
      <c r="E26" s="10" t="n">
        <v>0.7472</v>
      </c>
    </row>
    <row r="27" customFormat="false" ht="15" hidden="false" customHeight="false" outlineLevel="0" collapsed="false">
      <c r="A27" s="7" t="s">
        <v>36</v>
      </c>
      <c r="B27" s="7" t="n">
        <v>112</v>
      </c>
      <c r="C27" s="7" t="n">
        <v>45</v>
      </c>
      <c r="D27" s="10" t="n">
        <v>0.3391</v>
      </c>
      <c r="E27" s="10" t="n">
        <v>0.1866</v>
      </c>
    </row>
    <row r="28" customFormat="false" ht="15" hidden="false" customHeight="false" outlineLevel="0" collapsed="false">
      <c r="A28" s="7" t="s">
        <v>37</v>
      </c>
      <c r="B28" s="7" t="n">
        <v>184</v>
      </c>
      <c r="C28" s="7" t="n">
        <v>50</v>
      </c>
      <c r="D28" s="10" t="n">
        <v>0.7982</v>
      </c>
      <c r="E28" s="10" t="n">
        <v>0.7787</v>
      </c>
    </row>
    <row r="29" customFormat="false" ht="15" hidden="false" customHeight="false" outlineLevel="0" collapsed="false">
      <c r="A29" s="7" t="s">
        <v>38</v>
      </c>
      <c r="B29" s="7" t="n">
        <v>205</v>
      </c>
      <c r="C29" s="7" t="n">
        <v>44</v>
      </c>
      <c r="D29" s="10" t="n">
        <v>0.8927</v>
      </c>
      <c r="E29" s="10" t="n">
        <v>0.8627</v>
      </c>
    </row>
    <row r="30" customFormat="false" ht="15" hidden="false" customHeight="false" outlineLevel="0" collapsed="false">
      <c r="A30" s="7" t="s">
        <v>39</v>
      </c>
      <c r="B30" s="7" t="n">
        <v>22</v>
      </c>
      <c r="C30" s="7" t="n">
        <v>1</v>
      </c>
      <c r="D30" s="10" t="n">
        <v>1</v>
      </c>
      <c r="E30" s="10" t="n">
        <v>1</v>
      </c>
    </row>
    <row r="31" customFormat="false" ht="15" hidden="false" customHeight="false" outlineLevel="0" collapsed="false">
      <c r="A31" s="7" t="s">
        <v>40</v>
      </c>
      <c r="B31" s="7" t="n">
        <v>33</v>
      </c>
      <c r="C31" s="7" t="n">
        <v>12</v>
      </c>
      <c r="D31" s="10" t="n">
        <v>0.6837</v>
      </c>
      <c r="E31" s="10" t="n">
        <v>0.6929</v>
      </c>
    </row>
    <row r="32" customFormat="false" ht="15" hidden="false" customHeight="false" outlineLevel="0" collapsed="false">
      <c r="A32" s="7" t="s">
        <v>41</v>
      </c>
      <c r="B32" s="7" t="n">
        <v>46</v>
      </c>
      <c r="C32" s="7" t="n">
        <v>20</v>
      </c>
      <c r="D32" s="10" t="n">
        <v>0.5607</v>
      </c>
      <c r="E32" s="10" t="n">
        <v>0.5258</v>
      </c>
    </row>
    <row r="33" customFormat="false" ht="15" hidden="false" customHeight="false" outlineLevel="0" collapsed="false">
      <c r="A33" s="7" t="s">
        <v>42</v>
      </c>
      <c r="B33" s="7" t="n">
        <v>218</v>
      </c>
      <c r="C33" s="7" t="n">
        <v>57</v>
      </c>
      <c r="D33" s="10" t="n">
        <v>0.8311</v>
      </c>
      <c r="E33" s="10" t="n">
        <v>0.7623</v>
      </c>
    </row>
    <row r="34" customFormat="false" ht="15" hidden="false" customHeight="false" outlineLevel="0" collapsed="false">
      <c r="A34" s="7" t="s">
        <v>43</v>
      </c>
      <c r="B34" s="7" t="n">
        <v>91</v>
      </c>
      <c r="C34" s="7" t="n">
        <v>31</v>
      </c>
      <c r="D34" s="10" t="n">
        <v>0.785</v>
      </c>
      <c r="E34" s="10" t="n">
        <v>0.7603</v>
      </c>
    </row>
    <row r="35" customFormat="false" ht="15" hidden="false" customHeight="false" outlineLevel="0" collapsed="false">
      <c r="A35" s="7" t="s">
        <v>44</v>
      </c>
      <c r="B35" s="7" t="n">
        <v>92</v>
      </c>
      <c r="C35" s="7" t="n">
        <v>10</v>
      </c>
      <c r="D35" s="10" t="n">
        <v>0.8341</v>
      </c>
      <c r="E35" s="10" t="n">
        <v>0.8154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9" min="8" style="1" width="30"/>
    <col collapsed="false" customWidth="true" hidden="false" outlineLevel="0" max="10" min="10" style="1" width="20"/>
  </cols>
  <sheetData>
    <row r="1" customFormat="false" ht="16.15" hidden="false" customHeight="false" outlineLevel="0" collapsed="false">
      <c r="A1" s="11" t="s">
        <v>45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43.25" hidden="false" customHeight="true" outlineLevel="0" collapsed="false">
      <c r="A3" s="5" t="s">
        <v>46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12" t="s">
        <v>47</v>
      </c>
      <c r="G4" s="13" t="s">
        <v>48</v>
      </c>
      <c r="H4" s="14" t="n">
        <f aca="false">12/9.5</f>
        <v>1.26315789473684</v>
      </c>
    </row>
    <row r="6" customFormat="false" ht="26.85" hidden="false" customHeight="false" outlineLevel="0" collapsed="false">
      <c r="A6" s="15" t="s">
        <v>49</v>
      </c>
      <c r="B6" s="15" t="s">
        <v>50</v>
      </c>
      <c r="C6" s="15" t="s">
        <v>51</v>
      </c>
      <c r="D6" s="15" t="s">
        <v>52</v>
      </c>
      <c r="E6" s="15" t="s">
        <v>53</v>
      </c>
      <c r="F6" s="15" t="s">
        <v>54</v>
      </c>
      <c r="G6" s="15" t="s">
        <v>55</v>
      </c>
      <c r="H6" s="15" t="s">
        <v>56</v>
      </c>
      <c r="I6" s="15" t="s">
        <v>57</v>
      </c>
      <c r="J6" s="15" t="s">
        <v>58</v>
      </c>
    </row>
    <row r="7" customFormat="false" ht="15" hidden="false" customHeight="false" outlineLevel="0" collapsed="false">
      <c r="A7" s="16" t="n">
        <f aca="false">IF(ISNUMBER($J7),$J7,"")</f>
        <v>4408267</v>
      </c>
      <c r="B7" s="16" t="str">
        <f aca="false">IFERROR(INDEX('SALES Raw'!$B$6:$B$1634,MATCH($J7,'SALES Raw'!$J$6:$J$1634,0)),$J7)</f>
        <v>ST25 0</v>
      </c>
      <c r="C7" s="16" t="str">
        <f aca="false">IF(ISNUMBER($J7),IFERROR(INDEX('TRANS'!$C:$C,MATCH($J7,'TRANS'!$B:$B,0)),IFERROR(INDEX('Catalog'!$B:$B,MATCH($J7,'Catalog'!$A:$A,0)),$B7)),$B7)</f>
        <v>ST25 חבק שורש לכף היד</v>
      </c>
      <c r="D7" s="8" t="n">
        <f aca="false">SUMIFS('SALES Raw'!$C$6:$C$1634,'SALES Raw'!$J$6:$J$1634,$J7,'SALES Raw'!$K$6:$K$1634,"Y")</f>
        <v>5918</v>
      </c>
      <c r="E7" s="8" t="n">
        <f aca="false">SUMIFS('SALES Raw'!$D$6:$D$1634,'SALES Raw'!$J$6:$J$1634,$J7,'SALES Raw'!$K$6:$K$1634,"Y")</f>
        <v>82554.57</v>
      </c>
      <c r="F7" s="8" t="n">
        <f aca="false">SUMIFS('SALES Raw'!$E$6:$E$1634,'SALES Raw'!$J$6:$J$1634,$J7,'SALES Raw'!$K$6:$K$1634,"Y")*$H$4</f>
        <v>8182.73684210526</v>
      </c>
      <c r="G7" s="8" t="n">
        <f aca="false">SUMIFS('SALES Raw'!$F$6:$F$1634,'SALES Raw'!$J$6:$J$1634,$J7,'SALES Raw'!$K$6:$K$1634,"Y")*$H$4</f>
        <v>113752.762105263</v>
      </c>
      <c r="H7" s="16" t="s">
        <v>42</v>
      </c>
      <c r="I7" s="16" t="s">
        <v>40</v>
      </c>
      <c r="J7" s="16" t="n">
        <v>4408267</v>
      </c>
    </row>
    <row r="8" customFormat="false" ht="15" hidden="false" customHeight="false" outlineLevel="0" collapsed="false">
      <c r="A8" s="16" t="n">
        <f aca="false">IF(ISNUMBER($J8),$J8,"")</f>
        <v>4401002</v>
      </c>
      <c r="B8" s="16" t="str">
        <f aca="false">IFERROR(INDEX('SALES Raw'!$B$6:$B$1634,MATCH($J8,'SALES Raw'!$J$6:$J$1634,0)),$J8)</f>
        <v>PD344 0</v>
      </c>
      <c r="C8" s="16" t="str">
        <f aca="false">IF(ISNUMBER($J8),IFERROR(INDEX('TRANS'!$C:$C,MATCH($J8,'TRANS'!$B:$B,0)),IFERROR(INDEX('Catalog'!$B:$B,MATCH($J8,'Catalog'!$A:$A,0)),$B8)),$B8)</f>
        <v>PD 344-אבן טבעית להסרת עור קשה</v>
      </c>
      <c r="D8" s="8" t="n">
        <f aca="false">SUMIFS('SALES Raw'!$C$6:$C$1634,'SALES Raw'!$J$6:$J$1634,$J8,'SALES Raw'!$K$6:$K$1634,"Y")</f>
        <v>4400</v>
      </c>
      <c r="E8" s="8" t="n">
        <f aca="false">SUMIFS('SALES Raw'!$D$6:$D$1634,'SALES Raw'!$J$6:$J$1634,$J8,'SALES Raw'!$K$6:$K$1634,"Y")</f>
        <v>20662.34</v>
      </c>
      <c r="F8" s="8" t="n">
        <f aca="false">SUMIFS('SALES Raw'!$E$6:$E$1634,'SALES Raw'!$J$6:$J$1634,$J8,'SALES Raw'!$K$6:$K$1634,"Y")*$H$4</f>
        <v>7200</v>
      </c>
      <c r="G8" s="8" t="n">
        <f aca="false">SUMIFS('SALES Raw'!$F$6:$F$1634,'SALES Raw'!$J$6:$J$1634,$J8,'SALES Raw'!$K$6:$K$1634,"Y")*$H$4</f>
        <v>30682.5347368421</v>
      </c>
      <c r="H8" s="16" t="s">
        <v>34</v>
      </c>
      <c r="I8" s="16"/>
      <c r="J8" s="16" t="n">
        <v>4401002</v>
      </c>
    </row>
    <row r="9" customFormat="false" ht="15" hidden="false" customHeight="false" outlineLevel="0" collapsed="false">
      <c r="A9" s="16" t="str">
        <f aca="false">IF(ISNUMBER($J9),$J9,"")</f>
        <v/>
      </c>
      <c r="B9" s="16" t="str">
        <f aca="false">IFERROR(INDEX('SALES Raw'!$B$6:$B$1634,MATCH($J9,'SALES Raw'!$J$6:$J$1634,0)),$J9)</f>
        <v>ST45X 0</v>
      </c>
      <c r="C9" s="16" t="str">
        <f aca="false">IF(ISNUMBER($J9),IFERROR(INDEX('TRANS'!$C:$C,MATCH($J9,'TRANS'!$B:$B,0)),IFERROR(INDEX('Catalog'!$B:$B,MATCH($J9,'Catalog'!$A:$A,0)),$B9)),$B9)</f>
        <v>ST45X 0</v>
      </c>
      <c r="D9" s="8" t="n">
        <f aca="false">SUMIFS('SALES Raw'!$C$6:$C$1634,'SALES Raw'!$J$6:$J$1634,$J9,'SALES Raw'!$K$6:$K$1634,"Y")</f>
        <v>2423</v>
      </c>
      <c r="E9" s="8" t="n">
        <f aca="false">SUMIFS('SALES Raw'!$D$6:$D$1634,'SALES Raw'!$J$6:$J$1634,$J9,'SALES Raw'!$K$6:$K$1634,"Y")</f>
        <v>43468.16</v>
      </c>
      <c r="F9" s="8" t="n">
        <f aca="false">SUMIFS('SALES Raw'!$E$6:$E$1634,'SALES Raw'!$J$6:$J$1634,$J9,'SALES Raw'!$K$6:$K$1634,"Y")*$H$4</f>
        <v>4172.21052631579</v>
      </c>
      <c r="G9" s="8" t="n">
        <f aca="false">SUMIFS('SALES Raw'!$F$6:$F$1634,'SALES Raw'!$J$6:$J$1634,$J9,'SALES Raw'!$K$6:$K$1634,"Y")*$H$4</f>
        <v>69031.2126315789</v>
      </c>
      <c r="H9" s="16" t="s">
        <v>42</v>
      </c>
      <c r="I9" s="16" t="s">
        <v>41</v>
      </c>
      <c r="J9" s="16" t="s">
        <v>59</v>
      </c>
    </row>
    <row r="10" customFormat="false" ht="15" hidden="false" customHeight="false" outlineLevel="0" collapsed="false">
      <c r="A10" s="16" t="n">
        <f aca="false">IF(ISNUMBER($J10),$J10,"")</f>
        <v>4421000</v>
      </c>
      <c r="B10" s="16" t="str">
        <f aca="false">IFERROR(INDEX('SALES Raw'!$B$6:$B$1634,MATCH($J10,'SALES Raw'!$J$6:$J$1634,0)),$J10)</f>
        <v>3655 0</v>
      </c>
      <c r="C10" s="16" t="str">
        <f aca="false">IF(ISNUMBER($J10),IFERROR(INDEX('TRANS'!$C:$C,MATCH($J10,'TRANS'!$B:$B,0)),IFERROR(INDEX('Catalog'!$B:$B,MATCH($J10,'Catalog'!$A:$A,0)),$B10)),$B10)</f>
        <v>3655 שרוול מסיליקון לאצבע</v>
      </c>
      <c r="D10" s="8" t="n">
        <f aca="false">SUMIFS('SALES Raw'!$C$6:$C$1634,'SALES Raw'!$J$6:$J$1634,$J10,'SALES Raw'!$K$6:$K$1634,"Y")</f>
        <v>3370</v>
      </c>
      <c r="E10" s="8" t="n">
        <f aca="false">SUMIFS('SALES Raw'!$D$6:$D$1634,'SALES Raw'!$J$6:$J$1634,$J10,'SALES Raw'!$K$6:$K$1634,"Y")</f>
        <v>33479.31</v>
      </c>
      <c r="F10" s="8" t="n">
        <f aca="false">SUMIFS('SALES Raw'!$E$6:$E$1634,'SALES Raw'!$J$6:$J$1634,$J10,'SALES Raw'!$K$6:$K$1634,"Y")*$H$4</f>
        <v>3786.94736842105</v>
      </c>
      <c r="G10" s="8" t="n">
        <f aca="false">SUMIFS('SALES Raw'!$F$6:$F$1634,'SALES Raw'!$J$6:$J$1634,$J10,'SALES Raw'!$K$6:$K$1634,"Y")*$H$4</f>
        <v>33298.4336842105</v>
      </c>
      <c r="H10" s="16" t="s">
        <v>34</v>
      </c>
      <c r="I10" s="16" t="s">
        <v>42</v>
      </c>
      <c r="J10" s="16" t="n">
        <v>4421000</v>
      </c>
    </row>
    <row r="11" customFormat="false" ht="15" hidden="false" customHeight="false" outlineLevel="0" collapsed="false">
      <c r="A11" s="16" t="n">
        <f aca="false">IF(ISNUMBER($J11),$J11,"")</f>
        <v>4422000</v>
      </c>
      <c r="B11" s="16" t="str">
        <f aca="false">IFERROR(INDEX('SALES Raw'!$B$6:$B$1634,MATCH($J11,'SALES Raw'!$J$6:$J$1634,0)),$J11)</f>
        <v>801 0</v>
      </c>
      <c r="C11" s="16" t="str">
        <f aca="false">IF(ISNUMBER($J11),IFERROR(INDEX('TRANS'!$C:$C,MATCH($J11,'TRANS'!$B:$B,0)),IFERROR(INDEX('Catalog'!$B:$B,MATCH($J11,'Catalog'!$A:$A,0)),$B11)),$B11)</f>
        <v>801  תחבושת אלסטית מקררת</v>
      </c>
      <c r="D11" s="8" t="n">
        <f aca="false">SUMIFS('SALES Raw'!$C$6:$C$1634,'SALES Raw'!$J$6:$J$1634,$J11,'SALES Raw'!$K$6:$K$1634,"Y")</f>
        <v>3155</v>
      </c>
      <c r="E11" s="8" t="n">
        <f aca="false">SUMIFS('SALES Raw'!$D$6:$D$1634,'SALES Raw'!$J$6:$J$1634,$J11,'SALES Raw'!$K$6:$K$1634,"Y")</f>
        <v>34776.77</v>
      </c>
      <c r="F11" s="8" t="n">
        <f aca="false">SUMIFS('SALES Raw'!$E$6:$E$1634,'SALES Raw'!$J$6:$J$1634,$J11,'SALES Raw'!$K$6:$K$1634,"Y")*$H$4</f>
        <v>3776.84210526316</v>
      </c>
      <c r="G11" s="8" t="n">
        <f aca="false">SUMIFS('SALES Raw'!$F$6:$F$1634,'SALES Raw'!$J$6:$J$1634,$J11,'SALES Raw'!$K$6:$K$1634,"Y")*$H$4</f>
        <v>37543.1873684211</v>
      </c>
      <c r="H11" s="16" t="s">
        <v>34</v>
      </c>
      <c r="I11" s="16" t="s">
        <v>30</v>
      </c>
      <c r="J11" s="16" t="n">
        <v>4422000</v>
      </c>
    </row>
    <row r="12" customFormat="false" ht="15" hidden="false" customHeight="false" outlineLevel="0" collapsed="false">
      <c r="A12" s="16" t="n">
        <f aca="false">IF(ISNUMBER($J12),$J12,"")</f>
        <v>4408207</v>
      </c>
      <c r="B12" s="16" t="str">
        <f aca="false">IFERROR(INDEX('SALES Raw'!$B$6:$B$1634,MATCH($J12,'SALES Raw'!$J$6:$J$1634,0)),$J12)</f>
        <v>AC25 0</v>
      </c>
      <c r="C12" s="16" t="str">
        <f aca="false">IF(ISNUMBER($J12),IFERROR(INDEX('TRANS'!$C:$C,MATCH($J12,'TRANS'!$B:$B,0)),IFERROR(INDEX('Catalog'!$B:$B,MATCH($J12,'Catalog'!$A:$A,0)),$B12)),$B12)</f>
        <v>AC-25 חבק לשורש כף היד</v>
      </c>
      <c r="D12" s="8" t="n">
        <f aca="false">SUMIFS('SALES Raw'!$C$6:$C$1634,'SALES Raw'!$J$6:$J$1634,$J12,'SALES Raw'!$K$6:$K$1634,"Y")</f>
        <v>3919</v>
      </c>
      <c r="E12" s="8" t="n">
        <f aca="false">SUMIFS('SALES Raw'!$D$6:$D$1634,'SALES Raw'!$J$6:$J$1634,$J12,'SALES Raw'!$K$6:$K$1634,"Y")</f>
        <v>63285.34</v>
      </c>
      <c r="F12" s="8" t="n">
        <f aca="false">SUMIFS('SALES Raw'!$E$6:$E$1634,'SALES Raw'!$J$6:$J$1634,$J12,'SALES Raw'!$K$6:$K$1634,"Y")*$H$4</f>
        <v>3645.47368421053</v>
      </c>
      <c r="G12" s="8" t="n">
        <f aca="false">SUMIFS('SALES Raw'!$F$6:$F$1634,'SALES Raw'!$J$6:$J$1634,$J12,'SALES Raw'!$K$6:$K$1634,"Y")*$H$4</f>
        <v>53520.8463157895</v>
      </c>
      <c r="H12" s="16" t="s">
        <v>42</v>
      </c>
      <c r="I12" s="16" t="s">
        <v>38</v>
      </c>
      <c r="J12" s="16" t="n">
        <v>4408207</v>
      </c>
    </row>
    <row r="13" customFormat="false" ht="15" hidden="false" customHeight="false" outlineLevel="0" collapsed="false">
      <c r="A13" s="16" t="n">
        <f aca="false">IF(ISNUMBER($J13),$J13,"")</f>
        <v>4415028</v>
      </c>
      <c r="B13" s="16" t="str">
        <f aca="false">IFERROR(INDEX('SALES Raw'!$B$6:$B$1634,MATCH($J13,'SALES Raw'!$J$6:$J$1634,0)),$J13)</f>
        <v>AC28 0</v>
      </c>
      <c r="C13" s="16" t="str">
        <f aca="false">IF(ISNUMBER($J13),IFERROR(INDEX('TRANS'!$C:$C,MATCH($J13,'TRANS'!$B:$B,0)),IFERROR(INDEX('Catalog'!$B:$B,MATCH($J13,'Catalog'!$A:$A,0)),$B13)),$B13)</f>
        <v>AC-28 סד לאגודל</v>
      </c>
      <c r="D13" s="8" t="n">
        <f aca="false">SUMIFS('SALES Raw'!$C$6:$C$1634,'SALES Raw'!$J$6:$J$1634,$J13,'SALES Raw'!$K$6:$K$1634,"Y")</f>
        <v>2555</v>
      </c>
      <c r="E13" s="8" t="n">
        <f aca="false">SUMIFS('SALES Raw'!$D$6:$D$1634,'SALES Raw'!$J$6:$J$1634,$J13,'SALES Raw'!$K$6:$K$1634,"Y")</f>
        <v>41350.21</v>
      </c>
      <c r="F13" s="8" t="n">
        <f aca="false">SUMIFS('SALES Raw'!$E$6:$E$1634,'SALES Raw'!$J$6:$J$1634,$J13,'SALES Raw'!$K$6:$K$1634,"Y")*$H$4</f>
        <v>2418.94736842105</v>
      </c>
      <c r="G13" s="8" t="n">
        <f aca="false">SUMIFS('SALES Raw'!$F$6:$F$1634,'SALES Raw'!$J$6:$J$1634,$J13,'SALES Raw'!$K$6:$K$1634,"Y")*$H$4</f>
        <v>36333.1705263158</v>
      </c>
      <c r="H13" s="16" t="s">
        <v>38</v>
      </c>
      <c r="I13" s="16" t="s">
        <v>30</v>
      </c>
      <c r="J13" s="16" t="n">
        <v>4415028</v>
      </c>
    </row>
    <row r="14" customFormat="false" ht="15" hidden="false" customHeight="false" outlineLevel="0" collapsed="false">
      <c r="A14" s="16" t="n">
        <f aca="false">IF(ISNUMBER($J14),$J14,"")</f>
        <v>4422024</v>
      </c>
      <c r="B14" s="16" t="str">
        <f aca="false">IFERROR(INDEX('SALES Raw'!$B$6:$B$1634,MATCH($J14,'SALES Raw'!$J$6:$J$1634,0)),$J14)</f>
        <v>806CB-B</v>
      </c>
      <c r="C14" s="16" t="str">
        <f aca="false">IF(ISNUMBER($J14),IFERROR(INDEX('TRANS'!$C:$C,MATCH($J14,'TRANS'!$B:$B,0)),IFERROR(INDEX('Catalog'!$B:$B,MATCH($J14,'Catalog'!$A:$A,0)),$B14)),$B14)</f>
        <v>806CB-BLACK      תחבושת א.נצמ</v>
      </c>
      <c r="D14" s="8" t="n">
        <f aca="false">SUMIFS('SALES Raw'!$C$6:$C$1634,'SALES Raw'!$J$6:$J$1634,$J14,'SALES Raw'!$K$6:$K$1634,"Y")</f>
        <v>3124</v>
      </c>
      <c r="E14" s="8" t="n">
        <f aca="false">SUMIFS('SALES Raw'!$D$6:$D$1634,'SALES Raw'!$J$6:$J$1634,$J14,'SALES Raw'!$K$6:$K$1634,"Y")</f>
        <v>23525.18</v>
      </c>
      <c r="F14" s="8" t="n">
        <f aca="false">SUMIFS('SALES Raw'!$E$6:$E$1634,'SALES Raw'!$J$6:$J$1634,$J14,'SALES Raw'!$K$6:$K$1634,"Y")*$H$4</f>
        <v>2243.36842105263</v>
      </c>
      <c r="G14" s="8" t="n">
        <f aca="false">SUMIFS('SALES Raw'!$F$6:$F$1634,'SALES Raw'!$J$6:$J$1634,$J14,'SALES Raw'!$K$6:$K$1634,"Y")*$H$4</f>
        <v>15205.8947368421</v>
      </c>
      <c r="H14" s="16" t="s">
        <v>30</v>
      </c>
      <c r="I14" s="16" t="s">
        <v>42</v>
      </c>
      <c r="J14" s="16" t="n">
        <v>4422024</v>
      </c>
    </row>
    <row r="15" customFormat="false" ht="15" hidden="false" customHeight="false" outlineLevel="0" collapsed="false">
      <c r="A15" s="16" t="n">
        <f aca="false">IF(ISNUMBER($J15),$J15,"")</f>
        <v>4422023</v>
      </c>
      <c r="B15" s="16" t="str">
        <f aca="false">IFERROR(INDEX('SALES Raw'!$B$6:$B$1634,MATCH($J15,'SALES Raw'!$J$6:$J$1634,0)),$J15)</f>
        <v>806CB-C</v>
      </c>
      <c r="C15" s="16" t="str">
        <f aca="false">IF(ISNUMBER($J15),IFERROR(INDEX('TRANS'!$C:$C,MATCH($J15,'TRANS'!$B:$B,0)),IFERROR(INDEX('Catalog'!$B:$B,MATCH($J15,'Catalog'!$A:$A,0)),$B15)),$B15)</f>
        <v>806CB-BEIGE      תחבושת א.נצמ</v>
      </c>
      <c r="D15" s="8" t="n">
        <f aca="false">SUMIFS('SALES Raw'!$C$6:$C$1634,'SALES Raw'!$J$6:$J$1634,$J15,'SALES Raw'!$K$6:$K$1634,"Y")</f>
        <v>2610</v>
      </c>
      <c r="E15" s="8" t="n">
        <f aca="false">SUMIFS('SALES Raw'!$D$6:$D$1634,'SALES Raw'!$J$6:$J$1634,$J15,'SALES Raw'!$K$6:$K$1634,"Y")</f>
        <v>19811.07</v>
      </c>
      <c r="F15" s="8" t="n">
        <f aca="false">SUMIFS('SALES Raw'!$E$6:$E$1634,'SALES Raw'!$J$6:$J$1634,$J15,'SALES Raw'!$K$6:$K$1634,"Y")*$H$4</f>
        <v>2122.10526315789</v>
      </c>
      <c r="G15" s="8" t="n">
        <f aca="false">SUMIFS('SALES Raw'!$F$6:$F$1634,'SALES Raw'!$J$6:$J$1634,$J15,'SALES Raw'!$K$6:$K$1634,"Y")*$H$4</f>
        <v>14397.7263157895</v>
      </c>
      <c r="H15" s="16" t="s">
        <v>30</v>
      </c>
      <c r="I15" s="16" t="s">
        <v>42</v>
      </c>
      <c r="J15" s="16" t="n">
        <v>4422023</v>
      </c>
    </row>
    <row r="16" customFormat="false" ht="15" hidden="false" customHeight="false" outlineLevel="0" collapsed="false">
      <c r="A16" s="16" t="str">
        <f aca="false">IF(ISNUMBER($J16),$J16,"")</f>
        <v/>
      </c>
      <c r="B16" s="16" t="str">
        <f aca="false">IFERROR(INDEX('SALES Raw'!$B$6:$B$1634,MATCH($J16,'SALES Raw'!$J$6:$J$1634,0)),$J16)</f>
        <v>49PS L</v>
      </c>
      <c r="C16" s="16" t="str">
        <f aca="false">IF(ISNUMBER($J16),IFERROR(INDEX('TRANS'!$C:$C,MATCH($J16,'TRANS'!$B:$B,0)),IFERROR(INDEX('Catalog'!$B:$B,MATCH($J16,'Catalog'!$A:$A,0)),$B16)),$B16)</f>
        <v>49PS L</v>
      </c>
      <c r="D16" s="8" t="n">
        <f aca="false">SUMIFS('SALES Raw'!$C$6:$C$1634,'SALES Raw'!$J$6:$J$1634,$J16,'SALES Raw'!$K$6:$K$1634,"Y")</f>
        <v>961</v>
      </c>
      <c r="E16" s="8" t="n">
        <f aca="false">SUMIFS('SALES Raw'!$D$6:$D$1634,'SALES Raw'!$J$6:$J$1634,$J16,'SALES Raw'!$K$6:$K$1634,"Y")</f>
        <v>56565.47</v>
      </c>
      <c r="F16" s="8" t="n">
        <f aca="false">SUMIFS('SALES Raw'!$E$6:$E$1634,'SALES Raw'!$J$6:$J$1634,$J16,'SALES Raw'!$K$6:$K$1634,"Y")*$H$4</f>
        <v>2014.73684210526</v>
      </c>
      <c r="G16" s="8" t="n">
        <f aca="false">SUMIFS('SALES Raw'!$F$6:$F$1634,'SALES Raw'!$J$6:$J$1634,$J16,'SALES Raw'!$K$6:$K$1634,"Y")*$H$4</f>
        <v>112001.570526316</v>
      </c>
      <c r="H16" s="16" t="s">
        <v>36</v>
      </c>
      <c r="I16" s="16"/>
      <c r="J16" s="16" t="s">
        <v>60</v>
      </c>
    </row>
    <row r="17" customFormat="false" ht="15" hidden="false" customHeight="false" outlineLevel="0" collapsed="false">
      <c r="A17" s="16" t="n">
        <f aca="false">IF(ISNUMBER($J17),$J17,"")</f>
        <v>4413328</v>
      </c>
      <c r="B17" s="16" t="str">
        <f aca="false">IFERROR(INDEX('SALES Raw'!$B$6:$B$1634,MATCH($J17,'SALES Raw'!$J$6:$J$1634,0)),$J17)</f>
        <v>AC43D 0</v>
      </c>
      <c r="C17" s="16" t="str">
        <f aca="false">IF(ISNUMBER($J17),IFERROR(INDEX('TRANS'!$C:$C,MATCH($J17,'TRANS'!$B:$B,0)),IFERROR(INDEX('Catalog'!$B:$B,MATCH($J17,'Catalog'!$A:$A,0)),$B17)),$B17)</f>
        <v>AC43D מגן ברך + צירים</v>
      </c>
      <c r="D17" s="8" t="n">
        <f aca="false">SUMIFS('SALES Raw'!$C$6:$C$1634,'SALES Raw'!$J$6:$J$1634,$J17,'SALES Raw'!$K$6:$K$1634,"Y")</f>
        <v>2124</v>
      </c>
      <c r="E17" s="8" t="n">
        <f aca="false">SUMIFS('SALES Raw'!$D$6:$D$1634,'SALES Raw'!$J$6:$J$1634,$J17,'SALES Raw'!$K$6:$K$1634,"Y")</f>
        <v>101797.75</v>
      </c>
      <c r="F17" s="8" t="n">
        <f aca="false">SUMIFS('SALES Raw'!$E$6:$E$1634,'SALES Raw'!$J$6:$J$1634,$J17,'SALES Raw'!$K$6:$K$1634,"Y")*$H$4</f>
        <v>1777.26315789474</v>
      </c>
      <c r="G17" s="8" t="n">
        <f aca="false">SUMIFS('SALES Raw'!$F$6:$F$1634,'SALES Raw'!$J$6:$J$1634,$J17,'SALES Raw'!$K$6:$K$1634,"Y")*$H$4</f>
        <v>78322.0042105263</v>
      </c>
      <c r="H17" s="16" t="s">
        <v>42</v>
      </c>
      <c r="I17" s="16" t="s">
        <v>38</v>
      </c>
      <c r="J17" s="16" t="n">
        <v>4413328</v>
      </c>
    </row>
    <row r="18" customFormat="false" ht="15" hidden="false" customHeight="false" outlineLevel="0" collapsed="false">
      <c r="A18" s="16" t="str">
        <f aca="false">IF(ISNUMBER($J18),$J18,"")</f>
        <v/>
      </c>
      <c r="B18" s="16" t="str">
        <f aca="false">IFERROR(INDEX('SALES Raw'!$B$6:$B$1634,MATCH($J18,'SALES Raw'!$J$6:$J$1634,0)),$J18)</f>
        <v>808KTP-C</v>
      </c>
      <c r="C18" s="16" t="str">
        <f aca="false">IF(ISNUMBER($J18),IFERROR(INDEX('TRANS'!$C:$C,MATCH($J18,'TRANS'!$B:$B,0)),IFERROR(INDEX('Catalog'!$B:$B,MATCH($J18,'Catalog'!$A:$A,0)),$B18)),$B18)</f>
        <v>808KTP-C</v>
      </c>
      <c r="D18" s="8" t="n">
        <f aca="false">SUMIFS('SALES Raw'!$C$6:$C$1634,'SALES Raw'!$J$6:$J$1634,$J18,'SALES Raw'!$K$6:$K$1634,"Y")</f>
        <v>1700</v>
      </c>
      <c r="E18" s="8" t="n">
        <f aca="false">SUMIFS('SALES Raw'!$D$6:$D$1634,'SALES Raw'!$J$6:$J$1634,$J18,'SALES Raw'!$K$6:$K$1634,"Y")</f>
        <v>32023.54</v>
      </c>
      <c r="F18" s="8" t="n">
        <f aca="false">SUMIFS('SALES Raw'!$E$6:$E$1634,'SALES Raw'!$J$6:$J$1634,$J18,'SALES Raw'!$K$6:$K$1634,"Y")*$H$4</f>
        <v>1768.42105263158</v>
      </c>
      <c r="G18" s="8" t="n">
        <f aca="false">SUMIFS('SALES Raw'!$F$6:$F$1634,'SALES Raw'!$J$6:$J$1634,$J18,'SALES Raw'!$K$6:$K$1634,"Y")*$H$4</f>
        <v>29027.6084210526</v>
      </c>
      <c r="H18" s="16" t="s">
        <v>30</v>
      </c>
      <c r="I18" s="16"/>
      <c r="J18" s="16" t="s">
        <v>61</v>
      </c>
    </row>
    <row r="19" customFormat="false" ht="15" hidden="false" customHeight="false" outlineLevel="0" collapsed="false">
      <c r="A19" s="16" t="n">
        <f aca="false">IF(ISNUMBER($J19),$J19,"")</f>
        <v>4422026</v>
      </c>
      <c r="B19" s="16" t="str">
        <f aca="false">IFERROR(INDEX('SALES Raw'!$B$6:$B$1634,MATCH($J19,'SALES Raw'!$J$6:$J$1634,0)),$J19)</f>
        <v>806CB-P</v>
      </c>
      <c r="C19" s="16" t="str">
        <f aca="false">IF(ISNUMBER($J19),IFERROR(INDEX('TRANS'!$C:$C,MATCH($J19,'TRANS'!$B:$B,0)),IFERROR(INDEX('Catalog'!$B:$B,MATCH($J19,'Catalog'!$A:$A,0)),$B19)),$B19)</f>
        <v>806CB-PINK       תחבושת א.נצמ</v>
      </c>
      <c r="D19" s="8" t="n">
        <f aca="false">SUMIFS('SALES Raw'!$C$6:$C$1634,'SALES Raw'!$J$6:$J$1634,$J19,'SALES Raw'!$K$6:$K$1634,"Y")</f>
        <v>1915</v>
      </c>
      <c r="E19" s="8" t="n">
        <f aca="false">SUMIFS('SALES Raw'!$D$6:$D$1634,'SALES Raw'!$J$6:$J$1634,$J19,'SALES Raw'!$K$6:$K$1634,"Y")</f>
        <v>14493.04</v>
      </c>
      <c r="F19" s="8" t="n">
        <f aca="false">SUMIFS('SALES Raw'!$E$6:$E$1634,'SALES Raw'!$J$6:$J$1634,$J19,'SALES Raw'!$K$6:$K$1634,"Y")*$H$4</f>
        <v>1695.15789473684</v>
      </c>
      <c r="G19" s="8" t="n">
        <f aca="false">SUMIFS('SALES Raw'!$F$6:$F$1634,'SALES Raw'!$J$6:$J$1634,$J19,'SALES Raw'!$K$6:$K$1634,"Y")*$H$4</f>
        <v>11593.1494736842</v>
      </c>
      <c r="H19" s="16" t="s">
        <v>30</v>
      </c>
      <c r="I19" s="16" t="s">
        <v>42</v>
      </c>
      <c r="J19" s="16" t="n">
        <v>4422026</v>
      </c>
    </row>
    <row r="20" customFormat="false" ht="15" hidden="false" customHeight="false" outlineLevel="0" collapsed="false">
      <c r="A20" s="16" t="str">
        <f aca="false">IF(ISNUMBER($J20),$J20,"")</f>
        <v/>
      </c>
      <c r="B20" s="16" t="str">
        <f aca="false">IFERROR(INDEX('SALES Raw'!$B$6:$B$1634,MATCH($J20,'SALES Raw'!$J$6:$J$1634,0)),$J20)</f>
        <v>808KTP-B</v>
      </c>
      <c r="C20" s="16" t="str">
        <f aca="false">IF(ISNUMBER($J20),IFERROR(INDEX('TRANS'!$C:$C,MATCH($J20,'TRANS'!$B:$B,0)),IFERROR(INDEX('Catalog'!$B:$B,MATCH($J20,'Catalog'!$A:$A,0)),$B20)),$B20)</f>
        <v>808KTP-B</v>
      </c>
      <c r="D20" s="8" t="n">
        <f aca="false">SUMIFS('SALES Raw'!$C$6:$C$1634,'SALES Raw'!$J$6:$J$1634,$J20,'SALES Raw'!$K$6:$K$1634,"Y")</f>
        <v>1800</v>
      </c>
      <c r="E20" s="8" t="n">
        <f aca="false">SUMIFS('SALES Raw'!$D$6:$D$1634,'SALES Raw'!$J$6:$J$1634,$J20,'SALES Raw'!$K$6:$K$1634,"Y")</f>
        <v>33646.56</v>
      </c>
      <c r="F20" s="8" t="n">
        <f aca="false">SUMIFS('SALES Raw'!$E$6:$E$1634,'SALES Raw'!$J$6:$J$1634,$J20,'SALES Raw'!$K$6:$K$1634,"Y")*$H$4</f>
        <v>1642.10526315789</v>
      </c>
      <c r="G20" s="8" t="n">
        <f aca="false">SUMIFS('SALES Raw'!$F$6:$F$1634,'SALES Raw'!$J$6:$J$1634,$J20,'SALES Raw'!$K$6:$K$1634,"Y")*$H$4</f>
        <v>27227.9368421053</v>
      </c>
      <c r="H20" s="16" t="s">
        <v>30</v>
      </c>
      <c r="I20" s="16"/>
      <c r="J20" s="16" t="s">
        <v>62</v>
      </c>
    </row>
    <row r="21" customFormat="false" ht="15" hidden="false" customHeight="false" outlineLevel="0" collapsed="false">
      <c r="A21" s="16" t="str">
        <f aca="false">IF(ISNUMBER($J21),$J21,"")</f>
        <v/>
      </c>
      <c r="B21" s="16" t="str">
        <f aca="false">IFERROR(INDEX('SALES Raw'!$B$6:$B$1634,MATCH($J21,'SALES Raw'!$J$6:$J$1634,0)),$J21)</f>
        <v>808KTP-P</v>
      </c>
      <c r="C21" s="16" t="str">
        <f aca="false">IF(ISNUMBER($J21),IFERROR(INDEX('TRANS'!$C:$C,MATCH($J21,'TRANS'!$B:$B,0)),IFERROR(INDEX('Catalog'!$B:$B,MATCH($J21,'Catalog'!$A:$A,0)),$B21)),$B21)</f>
        <v>808KTP-P</v>
      </c>
      <c r="D21" s="8" t="n">
        <f aca="false">SUMIFS('SALES Raw'!$C$6:$C$1634,'SALES Raw'!$J$6:$J$1634,$J21,'SALES Raw'!$K$6:$K$1634,"Y")</f>
        <v>1600</v>
      </c>
      <c r="E21" s="8" t="n">
        <f aca="false">SUMIFS('SALES Raw'!$D$6:$D$1634,'SALES Raw'!$J$6:$J$1634,$J21,'SALES Raw'!$K$6:$K$1634,"Y")</f>
        <v>30065.76</v>
      </c>
      <c r="F21" s="8" t="n">
        <f aca="false">SUMIFS('SALES Raw'!$E$6:$E$1634,'SALES Raw'!$J$6:$J$1634,$J21,'SALES Raw'!$K$6:$K$1634,"Y")*$H$4</f>
        <v>1642.10526315789</v>
      </c>
      <c r="G21" s="8" t="n">
        <f aca="false">SUMIFS('SALES Raw'!$F$6:$F$1634,'SALES Raw'!$J$6:$J$1634,$J21,'SALES Raw'!$K$6:$K$1634,"Y")*$H$4</f>
        <v>27227.9368421053</v>
      </c>
      <c r="H21" s="16" t="s">
        <v>30</v>
      </c>
      <c r="I21" s="16"/>
      <c r="J21" s="16" t="s">
        <v>63</v>
      </c>
    </row>
    <row r="22" customFormat="false" ht="15" hidden="false" customHeight="false" outlineLevel="0" collapsed="false">
      <c r="A22" s="16" t="str">
        <f aca="false">IF(ISNUMBER($J22),$J22,"")</f>
        <v/>
      </c>
      <c r="B22" s="16" t="str">
        <f aca="false">IFERROR(INDEX('SALES Raw'!$B$6:$B$1634,MATCH($J22,'SALES Raw'!$J$6:$J$1634,0)),$J22)</f>
        <v>808KTP-BL</v>
      </c>
      <c r="C22" s="16" t="str">
        <f aca="false">IF(ISNUMBER($J22),IFERROR(INDEX('TRANS'!$C:$C,MATCH($J22,'TRANS'!$B:$B,0)),IFERROR(INDEX('Catalog'!$B:$B,MATCH($J22,'Catalog'!$A:$A,0)),$B22)),$B22)</f>
        <v>808KTP-BL</v>
      </c>
      <c r="D22" s="8" t="n">
        <f aca="false">SUMIFS('SALES Raw'!$C$6:$C$1634,'SALES Raw'!$J$6:$J$1634,$J22,'SALES Raw'!$K$6:$K$1634,"Y")</f>
        <v>1450</v>
      </c>
      <c r="E22" s="8" t="n">
        <f aca="false">SUMIFS('SALES Raw'!$D$6:$D$1634,'SALES Raw'!$J$6:$J$1634,$J22,'SALES Raw'!$K$6:$K$1634,"Y")</f>
        <v>27344.66</v>
      </c>
      <c r="F22" s="8" t="n">
        <f aca="false">SUMIFS('SALES Raw'!$E$6:$E$1634,'SALES Raw'!$J$6:$J$1634,$J22,'SALES Raw'!$K$6:$K$1634,"Y")*$H$4</f>
        <v>1515.78947368421</v>
      </c>
      <c r="G22" s="8" t="n">
        <f aca="false">SUMIFS('SALES Raw'!$F$6:$F$1634,'SALES Raw'!$J$6:$J$1634,$J22,'SALES Raw'!$K$6:$K$1634,"Y")*$H$4</f>
        <v>25340.6652631579</v>
      </c>
      <c r="H22" s="16" t="s">
        <v>30</v>
      </c>
      <c r="I22" s="16"/>
      <c r="J22" s="16" t="s">
        <v>64</v>
      </c>
    </row>
    <row r="23" customFormat="false" ht="15" hidden="false" customHeight="false" outlineLevel="0" collapsed="false">
      <c r="A23" s="16" t="n">
        <f aca="false">IF(ISNUMBER($J23),$J23,"")</f>
        <v>4415161</v>
      </c>
      <c r="B23" s="16" t="str">
        <f aca="false">IFERROR(INDEX('SALES Raw'!$B$6:$B$1634,MATCH($J23,'SALES Raw'!$J$6:$J$1634,0)),$J23)</f>
        <v>238 M</v>
      </c>
      <c r="C23" s="16" t="str">
        <f aca="false">IF(ISNUMBER($J23),IFERROR(INDEX('TRANS'!$C:$C,MATCH($J23,'TRANS'!$B:$B,0)),IFERROR(INDEX('Catalog'!$B:$B,MATCH($J23,'Catalog'!$A:$A,0)),$B23)),$B23)</f>
        <v>238M סד ליישור אצבע</v>
      </c>
      <c r="D23" s="8" t="n">
        <f aca="false">SUMIFS('SALES Raw'!$C$6:$C$1634,'SALES Raw'!$J$6:$J$1634,$J23,'SALES Raw'!$K$6:$K$1634,"Y")</f>
        <v>1458</v>
      </c>
      <c r="E23" s="8" t="n">
        <f aca="false">SUMIFS('SALES Raw'!$D$6:$D$1634,'SALES Raw'!$J$6:$J$1634,$J23,'SALES Raw'!$K$6:$K$1634,"Y")</f>
        <v>12345.54</v>
      </c>
      <c r="F23" s="8" t="n">
        <f aca="false">SUMIFS('SALES Raw'!$E$6:$E$1634,'SALES Raw'!$J$6:$J$1634,$J23,'SALES Raw'!$K$6:$K$1634,"Y")*$H$4</f>
        <v>1514.52631578947</v>
      </c>
      <c r="G23" s="8" t="n">
        <f aca="false">SUMIFS('SALES Raw'!$F$6:$F$1634,'SALES Raw'!$J$6:$J$1634,$J23,'SALES Raw'!$K$6:$K$1634,"Y")*$H$4</f>
        <v>12119.8357894737</v>
      </c>
      <c r="H23" s="16" t="s">
        <v>38</v>
      </c>
      <c r="I23" s="16" t="s">
        <v>42</v>
      </c>
      <c r="J23" s="16" t="n">
        <v>4415161</v>
      </c>
    </row>
    <row r="24" customFormat="false" ht="15" hidden="false" customHeight="false" outlineLevel="0" collapsed="false">
      <c r="A24" s="16" t="n">
        <f aca="false">IF(ISNUMBER($J24),$J24,"")</f>
        <v>4408203</v>
      </c>
      <c r="B24" s="16" t="str">
        <f aca="false">IFERROR(INDEX('SALES Raw'!$B$6:$B$1634,MATCH($J24,'SALES Raw'!$J$6:$J$1634,0)),$J24)</f>
        <v>14 0</v>
      </c>
      <c r="C24" s="16" t="str">
        <f aca="false">IF(ISNUMBER($J24),IFERROR(INDEX('TRANS'!$C:$C,MATCH($J24,'TRANS'!$B:$B,0)),IFERROR(INDEX('Catalog'!$B:$B,MATCH($J24,'Catalog'!$A:$A,0)),$B24)),$B24)</f>
        <v>14 0 חגורה למנותחי בית חזה</v>
      </c>
      <c r="D24" s="8" t="n">
        <f aca="false">SUMIFS('SALES Raw'!$C$6:$C$1634,'SALES Raw'!$J$6:$J$1634,$J24,'SALES Raw'!$K$6:$K$1634,"Y")</f>
        <v>1455</v>
      </c>
      <c r="E24" s="8" t="n">
        <f aca="false">SUMIFS('SALES Raw'!$D$6:$D$1634,'SALES Raw'!$J$6:$J$1634,$J24,'SALES Raw'!$K$6:$K$1634,"Y")</f>
        <v>115804.66</v>
      </c>
      <c r="F24" s="8" t="n">
        <f aca="false">SUMIFS('SALES Raw'!$E$6:$E$1634,'SALES Raw'!$J$6:$J$1634,$J24,'SALES Raw'!$K$6:$K$1634,"Y")*$H$4</f>
        <v>1509.47368421053</v>
      </c>
      <c r="G24" s="8" t="n">
        <f aca="false">SUMIFS('SALES Raw'!$F$6:$F$1634,'SALES Raw'!$J$6:$J$1634,$J24,'SALES Raw'!$K$6:$K$1634,"Y")*$H$4</f>
        <v>119013.814736842</v>
      </c>
      <c r="H24" s="16" t="s">
        <v>44</v>
      </c>
      <c r="I24" s="16" t="s">
        <v>42</v>
      </c>
      <c r="J24" s="16" t="n">
        <v>4408203</v>
      </c>
    </row>
    <row r="25" customFormat="false" ht="15" hidden="false" customHeight="false" outlineLevel="0" collapsed="false">
      <c r="A25" s="16" t="n">
        <f aca="false">IF(ISNUMBER($J25),$J25,"")</f>
        <v>4401001</v>
      </c>
      <c r="B25" s="16" t="str">
        <f aca="false">IFERROR(INDEX('SALES Raw'!$B$6:$B$1634,MATCH($J25,'SALES Raw'!$J$6:$J$1634,0)),$J25)</f>
        <v>369-XL</v>
      </c>
      <c r="C25" s="16" t="str">
        <f aca="false">IF(ISNUMBER($J25),IFERROR(INDEX('TRANS'!$C:$C,MATCH($J25,'TRANS'!$B:$B,0)),IFERROR(INDEX('Catalog'!$B:$B,MATCH($J25,'Catalog'!$A:$A,0)),$B25)),$B25)</f>
        <v>369   XL אצבעון מסיליקון יחידה</v>
      </c>
      <c r="D25" s="8" t="n">
        <f aca="false">SUMIFS('SALES Raw'!$C$6:$C$1634,'SALES Raw'!$J$6:$J$1634,$J25,'SALES Raw'!$K$6:$K$1634,"Y")</f>
        <v>1531</v>
      </c>
      <c r="E25" s="8" t="n">
        <f aca="false">SUMIFS('SALES Raw'!$D$6:$D$1634,'SALES Raw'!$J$6:$J$1634,$J25,'SALES Raw'!$K$6:$K$1634,"Y")</f>
        <v>18553.76</v>
      </c>
      <c r="F25" s="8" t="n">
        <f aca="false">SUMIFS('SALES Raw'!$E$6:$E$1634,'SALES Raw'!$J$6:$J$1634,$J25,'SALES Raw'!$K$6:$K$1634,"Y")*$H$4</f>
        <v>1505.68421052632</v>
      </c>
      <c r="G25" s="8" t="n">
        <f aca="false">SUMIFS('SALES Raw'!$F$6:$F$1634,'SALES Raw'!$J$6:$J$1634,$J25,'SALES Raw'!$K$6:$K$1634,"Y")*$H$4</f>
        <v>16714.32</v>
      </c>
      <c r="H25" s="16" t="s">
        <v>34</v>
      </c>
      <c r="I25" s="16" t="s">
        <v>30</v>
      </c>
      <c r="J25" s="16" t="n">
        <v>4401001</v>
      </c>
    </row>
    <row r="26" customFormat="false" ht="15" hidden="false" customHeight="false" outlineLevel="0" collapsed="false">
      <c r="A26" s="16" t="n">
        <f aca="false">IF(ISNUMBER($J26),$J26,"")</f>
        <v>4420000</v>
      </c>
      <c r="B26" s="16" t="str">
        <f aca="false">IFERROR(INDEX('SALES Raw'!$B$6:$B$1634,MATCH($J26,'SALES Raw'!$J$6:$J$1634,0)),$J26)</f>
        <v>370 0</v>
      </c>
      <c r="C26" s="16" t="str">
        <f aca="false">IF(ISNUMBER($J26),IFERROR(INDEX('TRANS'!$C:$C,MATCH($J26,'TRANS'!$B:$B,0)),IFERROR(INDEX('Catalog'!$B:$B,MATCH($J26,'Catalog'!$A:$A,0)),$B26)),$B26)</f>
        <v>370  רפידת נוחות-זוג</v>
      </c>
      <c r="D26" s="8" t="n">
        <f aca="false">SUMIFS('SALES Raw'!$C$6:$C$1634,'SALES Raw'!$J$6:$J$1634,$J26,'SALES Raw'!$K$6:$K$1634,"Y")</f>
        <v>1640</v>
      </c>
      <c r="E26" s="8" t="n">
        <f aca="false">SUMIFS('SALES Raw'!$D$6:$D$1634,'SALES Raw'!$J$6:$J$1634,$J26,'SALES Raw'!$K$6:$K$1634,"Y")</f>
        <v>10748.95</v>
      </c>
      <c r="F26" s="8" t="n">
        <f aca="false">SUMIFS('SALES Raw'!$E$6:$E$1634,'SALES Raw'!$J$6:$J$1634,$J26,'SALES Raw'!$K$6:$K$1634,"Y")*$H$4</f>
        <v>1429.89473684211</v>
      </c>
      <c r="G26" s="8" t="n">
        <f aca="false">SUMIFS('SALES Raw'!$F$6:$F$1634,'SALES Raw'!$J$6:$J$1634,$J26,'SALES Raw'!$K$6:$K$1634,"Y")*$H$4</f>
        <v>8489.20421052632</v>
      </c>
      <c r="H26" s="16" t="s">
        <v>30</v>
      </c>
      <c r="I26" s="16" t="s">
        <v>38</v>
      </c>
      <c r="J26" s="16" t="n">
        <v>4420000</v>
      </c>
    </row>
    <row r="27" customFormat="false" ht="15" hidden="false" customHeight="false" outlineLevel="0" collapsed="false">
      <c r="A27" s="16" t="n">
        <f aca="false">IF(ISNUMBER($J27),$J27,"")</f>
        <v>4413326</v>
      </c>
      <c r="B27" s="16" t="str">
        <f aca="false">IFERROR(INDEX('SALES Raw'!$B$6:$B$1634,MATCH($J27,'SALES Raw'!$J$6:$J$1634,0)),$J27)</f>
        <v>AC37 0</v>
      </c>
      <c r="C27" s="16" t="str">
        <f aca="false">IF(ISNUMBER($J27),IFERROR(INDEX('TRANS'!$C:$C,MATCH($J27,'TRANS'!$B:$B,0)),IFERROR(INDEX('Catalog'!$B:$B,MATCH($J27,'Catalog'!$A:$A,0)),$B27)),$B27)</f>
        <v>AC37 מגן קרסול נושם</v>
      </c>
      <c r="D27" s="8" t="n">
        <f aca="false">SUMIFS('SALES Raw'!$C$6:$C$1634,'SALES Raw'!$J$6:$J$1634,$J27,'SALES Raw'!$K$6:$K$1634,"Y")</f>
        <v>1655</v>
      </c>
      <c r="E27" s="8" t="n">
        <f aca="false">SUMIFS('SALES Raw'!$D$6:$D$1634,'SALES Raw'!$J$6:$J$1634,$J27,'SALES Raw'!$K$6:$K$1634,"Y")</f>
        <v>34322.38</v>
      </c>
      <c r="F27" s="8" t="n">
        <f aca="false">SUMIFS('SALES Raw'!$E$6:$E$1634,'SALES Raw'!$J$6:$J$1634,$J27,'SALES Raw'!$K$6:$K$1634,"Y")*$H$4</f>
        <v>1418.52631578947</v>
      </c>
      <c r="G27" s="8" t="n">
        <f aca="false">SUMIFS('SALES Raw'!$F$6:$F$1634,'SALES Raw'!$J$6:$J$1634,$J27,'SALES Raw'!$K$6:$K$1634,"Y")*$H$4</f>
        <v>26127.8652631579</v>
      </c>
      <c r="H27" s="16" t="s">
        <v>38</v>
      </c>
      <c r="I27" s="16" t="s">
        <v>30</v>
      </c>
      <c r="J27" s="16" t="n">
        <v>4413326</v>
      </c>
    </row>
    <row r="28" customFormat="false" ht="15" hidden="false" customHeight="false" outlineLevel="0" collapsed="false">
      <c r="A28" s="16" t="n">
        <f aca="false">IF(ISNUMBER($J28),$J28,"")</f>
        <v>4415162</v>
      </c>
      <c r="B28" s="16" t="str">
        <f aca="false">IFERROR(INDEX('SALES Raw'!$B$6:$B$1634,MATCH($J28,'SALES Raw'!$J$6:$J$1634,0)),$J28)</f>
        <v>238 L</v>
      </c>
      <c r="C28" s="16" t="str">
        <f aca="false">IF(ISNUMBER($J28),IFERROR(INDEX('TRANS'!$C:$C,MATCH($J28,'TRANS'!$B:$B,0)),IFERROR(INDEX('Catalog'!$B:$B,MATCH($J28,'Catalog'!$A:$A,0)),$B28)),$B28)</f>
        <v>238L סד ליישור אצבע</v>
      </c>
      <c r="D28" s="8" t="n">
        <f aca="false">SUMIFS('SALES Raw'!$C$6:$C$1634,'SALES Raw'!$J$6:$J$1634,$J28,'SALES Raw'!$K$6:$K$1634,"Y")</f>
        <v>1361</v>
      </c>
      <c r="E28" s="8" t="n">
        <f aca="false">SUMIFS('SALES Raw'!$D$6:$D$1634,'SALES Raw'!$J$6:$J$1634,$J28,'SALES Raw'!$K$6:$K$1634,"Y")</f>
        <v>11520.84</v>
      </c>
      <c r="F28" s="8" t="n">
        <f aca="false">SUMIFS('SALES Raw'!$E$6:$E$1634,'SALES Raw'!$J$6:$J$1634,$J28,'SALES Raw'!$K$6:$K$1634,"Y")*$H$4</f>
        <v>1405.89473684211</v>
      </c>
      <c r="G28" s="8" t="n">
        <f aca="false">SUMIFS('SALES Raw'!$F$6:$F$1634,'SALES Raw'!$J$6:$J$1634,$J28,'SALES Raw'!$K$6:$K$1634,"Y")*$H$4</f>
        <v>11276.3368421053</v>
      </c>
      <c r="H28" s="16" t="s">
        <v>38</v>
      </c>
      <c r="I28" s="16" t="s">
        <v>42</v>
      </c>
      <c r="J28" s="16" t="n">
        <v>4415162</v>
      </c>
    </row>
    <row r="29" customFormat="false" ht="15" hidden="false" customHeight="false" outlineLevel="0" collapsed="false">
      <c r="A29" s="16" t="n">
        <f aca="false">IF(ISNUMBER($J29),$J29,"")</f>
        <v>4422025</v>
      </c>
      <c r="B29" s="16" t="str">
        <f aca="false">IFERROR(INDEX('SALES Raw'!$B$6:$B$1634,MATCH($J29,'SALES Raw'!$J$6:$J$1634,0)),$J29)</f>
        <v>806CB-GR</v>
      </c>
      <c r="C29" s="16" t="str">
        <f aca="false">IF(ISNUMBER($J29),IFERROR(INDEX('TRANS'!$C:$C,MATCH($J29,'TRANS'!$B:$B,0)),IFERROR(INDEX('Catalog'!$B:$B,MATCH($J29,'Catalog'!$A:$A,0)),$B29)),$B29)</f>
        <v>806CB-GREEN      תחבושת א.נצמ</v>
      </c>
      <c r="D29" s="8" t="n">
        <f aca="false">SUMIFS('SALES Raw'!$C$6:$C$1634,'SALES Raw'!$J$6:$J$1634,$J29,'SALES Raw'!$K$6:$K$1634,"Y")</f>
        <v>1344</v>
      </c>
      <c r="E29" s="8" t="n">
        <f aca="false">SUMIFS('SALES Raw'!$D$6:$D$1634,'SALES Raw'!$J$6:$J$1634,$J29,'SALES Raw'!$K$6:$K$1634,"Y")</f>
        <v>10054.69</v>
      </c>
      <c r="F29" s="8" t="n">
        <f aca="false">SUMIFS('SALES Raw'!$E$6:$E$1634,'SALES Raw'!$J$6:$J$1634,$J29,'SALES Raw'!$K$6:$K$1634,"Y")*$H$4</f>
        <v>1268.21052631579</v>
      </c>
      <c r="G29" s="8" t="n">
        <f aca="false">SUMIFS('SALES Raw'!$F$6:$F$1634,'SALES Raw'!$J$6:$J$1634,$J29,'SALES Raw'!$K$6:$K$1634,"Y")*$H$4</f>
        <v>8633.41894736842</v>
      </c>
      <c r="H29" s="16" t="s">
        <v>30</v>
      </c>
      <c r="I29" s="16" t="s">
        <v>42</v>
      </c>
      <c r="J29" s="16" t="n">
        <v>4422025</v>
      </c>
    </row>
    <row r="30" customFormat="false" ht="15" hidden="false" customHeight="false" outlineLevel="0" collapsed="false">
      <c r="A30" s="16" t="n">
        <f aca="false">IF(ISNUMBER($J30),$J30,"")</f>
        <v>4413329</v>
      </c>
      <c r="B30" s="16" t="str">
        <f aca="false">IFERROR(INDEX('SALES Raw'!$B$6:$B$1634,MATCH($J30,'SALES Raw'!$J$6:$J$1634,0)),$J30)</f>
        <v>AC45X 0</v>
      </c>
      <c r="C30" s="16" t="str">
        <f aca="false">IF(ISNUMBER($J30),IFERROR(INDEX('TRANS'!$C:$C,MATCH($J30,'TRANS'!$B:$B,0)),IFERROR(INDEX('Catalog'!$B:$B,MATCH($J30,'Catalog'!$A:$A,0)),$B30)),$B30)</f>
        <v>AC45X מגן ברך עם תמיכות</v>
      </c>
      <c r="D30" s="8" t="n">
        <f aca="false">SUMIFS('SALES Raw'!$C$6:$C$1634,'SALES Raw'!$J$6:$J$1634,$J30,'SALES Raw'!$K$6:$K$1634,"Y")</f>
        <v>2250</v>
      </c>
      <c r="E30" s="8" t="n">
        <f aca="false">SUMIFS('SALES Raw'!$D$6:$D$1634,'SALES Raw'!$J$6:$J$1634,$J30,'SALES Raw'!$K$6:$K$1634,"Y")</f>
        <v>82409.18</v>
      </c>
      <c r="F30" s="8" t="n">
        <f aca="false">SUMIFS('SALES Raw'!$E$6:$E$1634,'SALES Raw'!$J$6:$J$1634,$J30,'SALES Raw'!$K$6:$K$1634,"Y")*$H$4</f>
        <v>1248</v>
      </c>
      <c r="G30" s="8" t="n">
        <f aca="false">SUMIFS('SALES Raw'!$F$6:$F$1634,'SALES Raw'!$J$6:$J$1634,$J30,'SALES Raw'!$K$6:$K$1634,"Y")*$H$4</f>
        <v>41549.0778947368</v>
      </c>
      <c r="H30" s="16" t="s">
        <v>38</v>
      </c>
      <c r="I30" s="16" t="s">
        <v>30</v>
      </c>
      <c r="J30" s="16" t="n">
        <v>4413329</v>
      </c>
    </row>
    <row r="31" customFormat="false" ht="15" hidden="false" customHeight="false" outlineLevel="0" collapsed="false">
      <c r="A31" s="16" t="n">
        <f aca="false">IF(ISNUMBER($J31),$J31,"")</f>
        <v>4415158</v>
      </c>
      <c r="B31" s="16" t="str">
        <f aca="false">IFERROR(INDEX('SALES Raw'!$B$6:$B$1634,MATCH($J31,'SALES Raw'!$J$6:$J$1634,0)),$J31)</f>
        <v>266 0</v>
      </c>
      <c r="C31" s="16" t="str">
        <f aca="false">IF(ISNUMBER($J31),IFERROR(INDEX('TRANS'!$C:$C,MATCH($J31,'TRANS'!$B:$B,0)),IFERROR(INDEX('Catalog'!$B:$B,MATCH($J31,'Catalog'!$A:$A,0)),$B31)),$B31)</f>
        <v>266 סד ליד דו צדדי</v>
      </c>
      <c r="D31" s="8" t="n">
        <f aca="false">SUMIFS('SALES Raw'!$C$6:$C$1634,'SALES Raw'!$J$6:$J$1634,$J31,'SALES Raw'!$K$6:$K$1634,"Y")</f>
        <v>1124</v>
      </c>
      <c r="E31" s="8" t="n">
        <f aca="false">SUMIFS('SALES Raw'!$D$6:$D$1634,'SALES Raw'!$J$6:$J$1634,$J31,'SALES Raw'!$K$6:$K$1634,"Y")</f>
        <v>25315.91</v>
      </c>
      <c r="F31" s="8" t="n">
        <f aca="false">SUMIFS('SALES Raw'!$E$6:$E$1634,'SALES Raw'!$J$6:$J$1634,$J31,'SALES Raw'!$K$6:$K$1634,"Y")*$H$4</f>
        <v>1241.68421052632</v>
      </c>
      <c r="G31" s="8" t="n">
        <f aca="false">SUMIFS('SALES Raw'!$F$6:$F$1634,'SALES Raw'!$J$6:$J$1634,$J31,'SALES Raw'!$K$6:$K$1634,"Y")*$H$4</f>
        <v>25994.1347368421</v>
      </c>
      <c r="H31" s="16" t="s">
        <v>38</v>
      </c>
      <c r="I31" s="16" t="s">
        <v>42</v>
      </c>
      <c r="J31" s="16" t="n">
        <v>4415158</v>
      </c>
    </row>
    <row r="32" customFormat="false" ht="15" hidden="false" customHeight="false" outlineLevel="0" collapsed="false">
      <c r="A32" s="16" t="str">
        <f aca="false">IF(ISNUMBER($J32),$J32,"")</f>
        <v/>
      </c>
      <c r="B32" s="16" t="str">
        <f aca="false">IFERROR(INDEX('SALES Raw'!$B$6:$B$1634,MATCH($J32,'SALES Raw'!$J$6:$J$1634,0)),$J32)</f>
        <v>49PS M</v>
      </c>
      <c r="C32" s="16" t="str">
        <f aca="false">IF(ISNUMBER($J32),IFERROR(INDEX('TRANS'!$C:$C,MATCH($J32,'TRANS'!$B:$B,0)),IFERROR(INDEX('Catalog'!$B:$B,MATCH($J32,'Catalog'!$A:$A,0)),$B32)),$B32)</f>
        <v>49PS M</v>
      </c>
      <c r="D32" s="8" t="n">
        <f aca="false">SUMIFS('SALES Raw'!$C$6:$C$1634,'SALES Raw'!$J$6:$J$1634,$J32,'SALES Raw'!$K$6:$K$1634,"Y")</f>
        <v>1201</v>
      </c>
      <c r="E32" s="8" t="n">
        <f aca="false">SUMIFS('SALES Raw'!$D$6:$D$1634,'SALES Raw'!$J$6:$J$1634,$J32,'SALES Raw'!$K$6:$K$1634,"Y")</f>
        <v>71527.56</v>
      </c>
      <c r="F32" s="8" t="n">
        <f aca="false">SUMIFS('SALES Raw'!$E$6:$E$1634,'SALES Raw'!$J$6:$J$1634,$J32,'SALES Raw'!$K$6:$K$1634,"Y")*$H$4</f>
        <v>1182.31578947368</v>
      </c>
      <c r="G32" s="8" t="n">
        <f aca="false">SUMIFS('SALES Raw'!$F$6:$F$1634,'SALES Raw'!$J$6:$J$1634,$J32,'SALES Raw'!$K$6:$K$1634,"Y")*$H$4</f>
        <v>64715.7852631579</v>
      </c>
      <c r="H32" s="16" t="s">
        <v>36</v>
      </c>
      <c r="I32" s="16"/>
      <c r="J32" s="16" t="s">
        <v>65</v>
      </c>
    </row>
    <row r="33" customFormat="false" ht="15" hidden="false" customHeight="false" outlineLevel="0" collapsed="false">
      <c r="A33" s="16" t="n">
        <f aca="false">IF(ISNUMBER($J33),$J33,"")</f>
        <v>4408205</v>
      </c>
      <c r="B33" s="16" t="str">
        <f aca="false">IFERROR(INDEX('SALES Raw'!$B$6:$B$1634,MATCH($J33,'SALES Raw'!$J$6:$J$1634,0)),$J33)</f>
        <v>AC07 0</v>
      </c>
      <c r="C33" s="16" t="str">
        <f aca="false">IF(ISNUMBER($J33),IFERROR(INDEX('TRANS'!$C:$C,MATCH($J33,'TRANS'!$B:$B,0)),IFERROR(INDEX('Catalog'!$B:$B,MATCH($J33,'Catalog'!$A:$A,0)),$B33)),$B33)</f>
        <v>AC-07 חגורת גב עם תמיכות</v>
      </c>
      <c r="D33" s="8" t="n">
        <f aca="false">SUMIFS('SALES Raw'!$C$6:$C$1634,'SALES Raw'!$J$6:$J$1634,$J33,'SALES Raw'!$K$6:$K$1634,"Y")</f>
        <v>1548</v>
      </c>
      <c r="E33" s="8" t="n">
        <f aca="false">SUMIFS('SALES Raw'!$D$6:$D$1634,'SALES Raw'!$J$6:$J$1634,$J33,'SALES Raw'!$K$6:$K$1634,"Y")</f>
        <v>66533.35</v>
      </c>
      <c r="F33" s="8" t="n">
        <f aca="false">SUMIFS('SALES Raw'!$E$6:$E$1634,'SALES Raw'!$J$6:$J$1634,$J33,'SALES Raw'!$K$6:$K$1634,"Y")*$H$4</f>
        <v>1139.36842105263</v>
      </c>
      <c r="G33" s="8" t="n">
        <f aca="false">SUMIFS('SALES Raw'!$F$6:$F$1634,'SALES Raw'!$J$6:$J$1634,$J33,'SALES Raw'!$K$6:$K$1634,"Y")*$H$4</f>
        <v>42974.7284210526</v>
      </c>
      <c r="H33" s="16" t="s">
        <v>38</v>
      </c>
      <c r="I33" s="16" t="s">
        <v>42</v>
      </c>
      <c r="J33" s="16" t="n">
        <v>4408205</v>
      </c>
    </row>
    <row r="34" customFormat="false" ht="15" hidden="false" customHeight="false" outlineLevel="0" collapsed="false">
      <c r="A34" s="16" t="n">
        <f aca="false">IF(ISNUMBER($J34),$J34,"")</f>
        <v>4401000</v>
      </c>
      <c r="B34" s="16" t="str">
        <f aca="false">IFERROR(INDEX('SALES Raw'!$B$6:$B$1634,MATCH($J34,'SALES Raw'!$J$6:$J$1634,0)),$J34)</f>
        <v>369-S-L</v>
      </c>
      <c r="C34" s="16" t="str">
        <f aca="false">IF(ISNUMBER($J34),IFERROR(INDEX('TRANS'!$C:$C,MATCH($J34,'TRANS'!$B:$B,0)),IFERROR(INDEX('Catalog'!$B:$B,MATCH($J34,'Catalog'!$A:$A,0)),$B34)),$B34)</f>
        <v>369  S-L אצבעון מסיליקון יחידה</v>
      </c>
      <c r="D34" s="8" t="n">
        <f aca="false">SUMIFS('SALES Raw'!$C$6:$C$1634,'SALES Raw'!$J$6:$J$1634,$J34,'SALES Raw'!$K$6:$K$1634,"Y")</f>
        <v>1519</v>
      </c>
      <c r="E34" s="8" t="n">
        <f aca="false">SUMIFS('SALES Raw'!$D$6:$D$1634,'SALES Raw'!$J$6:$J$1634,$J34,'SALES Raw'!$K$6:$K$1634,"Y")</f>
        <v>15947.17</v>
      </c>
      <c r="F34" s="8" t="n">
        <f aca="false">SUMIFS('SALES Raw'!$E$6:$E$1634,'SALES Raw'!$J$6:$J$1634,$J34,'SALES Raw'!$K$6:$K$1634,"Y")*$H$4</f>
        <v>1128</v>
      </c>
      <c r="G34" s="8" t="n">
        <f aca="false">SUMIFS('SALES Raw'!$F$6:$F$1634,'SALES Raw'!$J$6:$J$1634,$J34,'SALES Raw'!$K$6:$K$1634,"Y")*$H$4</f>
        <v>10840.0294736842</v>
      </c>
      <c r="H34" s="16" t="s">
        <v>34</v>
      </c>
      <c r="I34" s="16" t="s">
        <v>44</v>
      </c>
      <c r="J34" s="16" t="n">
        <v>4401000</v>
      </c>
    </row>
    <row r="35" customFormat="false" ht="15" hidden="false" customHeight="false" outlineLevel="0" collapsed="false">
      <c r="A35" s="16" t="n">
        <f aca="false">IF(ISNUMBER($J35),$J35,"")</f>
        <v>4413060</v>
      </c>
      <c r="B35" s="16" t="str">
        <f aca="false">IFERROR(INDEX('SALES Raw'!$B$6:$B$1634,MATCH($J35,'SALES Raw'!$J$6:$J$1634,0)),$J35)</f>
        <v>364 XL</v>
      </c>
      <c r="C35" s="16" t="str">
        <f aca="false">IF(ISNUMBER($J35),IFERROR(INDEX('TRANS'!$C:$C,MATCH($J35,'TRANS'!$B:$B,0)),IFERROR(INDEX('Catalog'!$B:$B,MATCH($J35,'Catalog'!$A:$A,0)),$B35)),$B35)</f>
        <v>364 XLמפריד אצבע סיליקון ליבלת</v>
      </c>
      <c r="D35" s="8" t="n">
        <f aca="false">SUMIFS('SALES Raw'!$C$6:$C$1634,'SALES Raw'!$J$6:$J$1634,$J35,'SALES Raw'!$K$6:$K$1634,"Y")</f>
        <v>1592</v>
      </c>
      <c r="E35" s="8" t="n">
        <f aca="false">SUMIFS('SALES Raw'!$D$6:$D$1634,'SALES Raw'!$J$6:$J$1634,$J35,'SALES Raw'!$K$6:$K$1634,"Y")</f>
        <v>8854.48</v>
      </c>
      <c r="F35" s="8" t="n">
        <f aca="false">SUMIFS('SALES Raw'!$E$6:$E$1634,'SALES Raw'!$J$6:$J$1634,$J35,'SALES Raw'!$K$6:$K$1634,"Y")*$H$4</f>
        <v>1119.15789473684</v>
      </c>
      <c r="G35" s="8" t="n">
        <f aca="false">SUMIFS('SALES Raw'!$F$6:$F$1634,'SALES Raw'!$J$6:$J$1634,$J35,'SALES Raw'!$K$6:$K$1634,"Y")*$H$4</f>
        <v>5689.61684210526</v>
      </c>
      <c r="H35" s="16" t="s">
        <v>44</v>
      </c>
      <c r="I35" s="16" t="s">
        <v>30</v>
      </c>
      <c r="J35" s="16" t="n">
        <v>4413060</v>
      </c>
    </row>
    <row r="36" customFormat="false" ht="15" hidden="false" customHeight="false" outlineLevel="0" collapsed="false">
      <c r="A36" s="16" t="n">
        <f aca="false">IF(ISNUMBER($J36),$J36,"")</f>
        <v>4415160</v>
      </c>
      <c r="B36" s="16" t="str">
        <f aca="false">IFERROR(INDEX('SALES Raw'!$B$6:$B$1634,MATCH($J36,'SALES Raw'!$J$6:$J$1634,0)),$J36)</f>
        <v>238 S</v>
      </c>
      <c r="C36" s="16" t="str">
        <f aca="false">IF(ISNUMBER($J36),IFERROR(INDEX('TRANS'!$C:$C,MATCH($J36,'TRANS'!$B:$B,0)),IFERROR(INDEX('Catalog'!$B:$B,MATCH($J36,'Catalog'!$A:$A,0)),$B36)),$B36)</f>
        <v>238S סד ליישור אצבע</v>
      </c>
      <c r="D36" s="8" t="n">
        <f aca="false">SUMIFS('SALES Raw'!$C$6:$C$1634,'SALES Raw'!$J$6:$J$1634,$J36,'SALES Raw'!$K$6:$K$1634,"Y")</f>
        <v>1012</v>
      </c>
      <c r="E36" s="8" t="n">
        <f aca="false">SUMIFS('SALES Raw'!$D$6:$D$1634,'SALES Raw'!$J$6:$J$1634,$J36,'SALES Raw'!$K$6:$K$1634,"Y")</f>
        <v>8535.53</v>
      </c>
      <c r="F36" s="8" t="n">
        <f aca="false">SUMIFS('SALES Raw'!$E$6:$E$1634,'SALES Raw'!$J$6:$J$1634,$J36,'SALES Raw'!$K$6:$K$1634,"Y")*$H$4</f>
        <v>1091.36842105263</v>
      </c>
      <c r="G36" s="8" t="n">
        <f aca="false">SUMIFS('SALES Raw'!$F$6:$F$1634,'SALES Raw'!$J$6:$J$1634,$J36,'SALES Raw'!$K$6:$K$1634,"Y")*$H$4</f>
        <v>8753.84842105263</v>
      </c>
      <c r="H36" s="16" t="s">
        <v>42</v>
      </c>
      <c r="I36" s="16" t="s">
        <v>38</v>
      </c>
      <c r="J36" s="16" t="n">
        <v>4415160</v>
      </c>
    </row>
    <row r="37" customFormat="false" ht="15" hidden="false" customHeight="false" outlineLevel="0" collapsed="false">
      <c r="A37" s="16" t="str">
        <f aca="false">IF(ISNUMBER($J37),$J37,"")</f>
        <v/>
      </c>
      <c r="B37" s="16" t="str">
        <f aca="false">IFERROR(INDEX('SALES Raw'!$B$6:$B$1634,MATCH($J37,'SALES Raw'!$J$6:$J$1634,0)),$J37)</f>
        <v>305-43-44</v>
      </c>
      <c r="C37" s="16" t="str">
        <f aca="false">IF(ISNUMBER($J37),IFERROR(INDEX('TRANS'!$C:$C,MATCH($J37,'TRANS'!$B:$B,0)),IFERROR(INDEX('Catalog'!$B:$B,MATCH($J37,'Catalog'!$A:$A,0)),$B37)),$B37)</f>
        <v>305-43-44</v>
      </c>
      <c r="D37" s="8" t="n">
        <f aca="false">SUMIFS('SALES Raw'!$C$6:$C$1634,'SALES Raw'!$J$6:$J$1634,$J37,'SALES Raw'!$K$6:$K$1634,"Y")</f>
        <v>1060</v>
      </c>
      <c r="E37" s="8" t="n">
        <f aca="false">SUMIFS('SALES Raw'!$D$6:$D$1634,'SALES Raw'!$J$6:$J$1634,$J37,'SALES Raw'!$K$6:$K$1634,"Y")</f>
        <v>36441.37</v>
      </c>
      <c r="F37" s="8" t="n">
        <f aca="false">SUMIFS('SALES Raw'!$E$6:$E$1634,'SALES Raw'!$J$6:$J$1634,$J37,'SALES Raw'!$K$6:$K$1634,"Y")*$H$4</f>
        <v>1035.78947368421</v>
      </c>
      <c r="G37" s="8" t="n">
        <f aca="false">SUMIFS('SALES Raw'!$F$6:$F$1634,'SALES Raw'!$J$6:$J$1634,$J37,'SALES Raw'!$K$6:$K$1634,"Y")*$H$4</f>
        <v>34898.0210526316</v>
      </c>
      <c r="H37" s="16" t="s">
        <v>44</v>
      </c>
      <c r="I37" s="16" t="s">
        <v>38</v>
      </c>
      <c r="J37" s="16" t="s">
        <v>66</v>
      </c>
    </row>
    <row r="38" customFormat="false" ht="15" hidden="false" customHeight="false" outlineLevel="0" collapsed="false">
      <c r="A38" s="16" t="n">
        <f aca="false">IF(ISNUMBER($J38),$J38,"")</f>
        <v>4408208</v>
      </c>
      <c r="B38" s="16" t="str">
        <f aca="false">IFERROR(INDEX('SALES Raw'!$B$6:$B$1634,MATCH($J38,'SALES Raw'!$J$6:$J$1634,0)),$J38)</f>
        <v>AC91 0</v>
      </c>
      <c r="C38" s="16" t="str">
        <f aca="false">IF(ISNUMBER($J38),IFERROR(INDEX('TRANS'!$C:$C,MATCH($J38,'TRANS'!$B:$B,0)),IFERROR(INDEX('Catalog'!$B:$B,MATCH($J38,'Catalog'!$A:$A,0)),$B38)),$B38)</f>
        <v>AC91 חבק טניס</v>
      </c>
      <c r="D38" s="8" t="n">
        <f aca="false">SUMIFS('SALES Raw'!$C$6:$C$1634,'SALES Raw'!$J$6:$J$1634,$J38,'SALES Raw'!$K$6:$K$1634,"Y")</f>
        <v>1266</v>
      </c>
      <c r="E38" s="8" t="n">
        <f aca="false">SUMIFS('SALES Raw'!$D$6:$D$1634,'SALES Raw'!$J$6:$J$1634,$J38,'SALES Raw'!$K$6:$K$1634,"Y")</f>
        <v>20026.99</v>
      </c>
      <c r="F38" s="8" t="n">
        <f aca="false">SUMIFS('SALES Raw'!$E$6:$E$1634,'SALES Raw'!$J$6:$J$1634,$J38,'SALES Raw'!$K$6:$K$1634,"Y")*$H$4</f>
        <v>1029.47368421053</v>
      </c>
      <c r="G38" s="8" t="n">
        <f aca="false">SUMIFS('SALES Raw'!$F$6:$F$1634,'SALES Raw'!$J$6:$J$1634,$J38,'SALES Raw'!$K$6:$K$1634,"Y")*$H$4</f>
        <v>15668.3621052632</v>
      </c>
      <c r="H38" s="16" t="s">
        <v>38</v>
      </c>
      <c r="I38" s="16" t="s">
        <v>42</v>
      </c>
      <c r="J38" s="16" t="n">
        <v>4408208</v>
      </c>
    </row>
    <row r="39" customFormat="false" ht="15" hidden="false" customHeight="false" outlineLevel="0" collapsed="false">
      <c r="A39" s="16" t="n">
        <f aca="false">IF(ISNUMBER($J39),$J39,"")</f>
        <v>4416000</v>
      </c>
      <c r="B39" s="16" t="str">
        <f aca="false">IFERROR(INDEX('SALES Raw'!$B$6:$B$1634,MATCH($J39,'SALES Raw'!$J$6:$J$1634,0)),$J39)</f>
        <v>307 L</v>
      </c>
      <c r="C39" s="16" t="str">
        <f aca="false">IF(ISNUMBER($J39),IFERROR(INDEX('TRANS'!$C:$C,MATCH($J39,'TRANS'!$B:$B,0)),IFERROR(INDEX('Catalog'!$B:$B,MATCH($J39,'Catalog'!$A:$A,0)),$B39)),$B39)</f>
        <v>307 L עקבים לדורבן-זוג כריות</v>
      </c>
      <c r="D39" s="8" t="n">
        <f aca="false">SUMIFS('SALES Raw'!$C$6:$C$1634,'SALES Raw'!$J$6:$J$1634,$J39,'SALES Raw'!$K$6:$K$1634,"Y")</f>
        <v>926</v>
      </c>
      <c r="E39" s="8" t="n">
        <f aca="false">SUMIFS('SALES Raw'!$D$6:$D$1634,'SALES Raw'!$J$6:$J$1634,$J39,'SALES Raw'!$K$6:$K$1634,"Y")</f>
        <v>29317.24</v>
      </c>
      <c r="F39" s="8" t="n">
        <f aca="false">SUMIFS('SALES Raw'!$E$6:$E$1634,'SALES Raw'!$J$6:$J$1634,$J39,'SALES Raw'!$K$6:$K$1634,"Y")*$H$4</f>
        <v>1020.63157894737</v>
      </c>
      <c r="G39" s="8" t="n">
        <f aca="false">SUMIFS('SALES Raw'!$F$6:$F$1634,'SALES Raw'!$J$6:$J$1634,$J39,'SALES Raw'!$K$6:$K$1634,"Y")*$H$4</f>
        <v>29800.2821052632</v>
      </c>
      <c r="H39" s="16" t="s">
        <v>44</v>
      </c>
      <c r="I39" s="16" t="s">
        <v>30</v>
      </c>
      <c r="J39" s="16" t="n">
        <v>4416000</v>
      </c>
    </row>
    <row r="40" customFormat="false" ht="15" hidden="false" customHeight="false" outlineLevel="0" collapsed="false">
      <c r="A40" s="16" t="n">
        <f aca="false">IF(ISNUMBER($J40),$J40,"")</f>
        <v>4408270</v>
      </c>
      <c r="B40" s="16" t="str">
        <f aca="false">IFERROR(INDEX('SALES Raw'!$B$6:$B$1634,MATCH($J40,'SALES Raw'!$J$6:$J$1634,0)),$J40)</f>
        <v>ST11 0</v>
      </c>
      <c r="C40" s="16" t="str">
        <f aca="false">IF(ISNUMBER($J40),IFERROR(INDEX('TRANS'!$C:$C,MATCH($J40,'TRANS'!$B:$B,0)),IFERROR(INDEX('Catalog'!$B:$B,MATCH($J40,'Catalog'!$A:$A,0)),$B40)),$B40)</f>
        <v>ST11  חגורת בטן</v>
      </c>
      <c r="D40" s="8" t="n">
        <f aca="false">SUMIFS('SALES Raw'!$C$6:$C$1634,'SALES Raw'!$J$6:$J$1634,$J40,'SALES Raw'!$K$6:$K$1634,"Y")</f>
        <v>201</v>
      </c>
      <c r="E40" s="8" t="n">
        <f aca="false">SUMIFS('SALES Raw'!$D$6:$D$1634,'SALES Raw'!$J$6:$J$1634,$J40,'SALES Raw'!$K$6:$K$1634,"Y")</f>
        <v>5487.51</v>
      </c>
      <c r="F40" s="8" t="n">
        <f aca="false">SUMIFS('SALES Raw'!$E$6:$E$1634,'SALES Raw'!$J$6:$J$1634,$J40,'SALES Raw'!$K$6:$K$1634,"Y")*$H$4</f>
        <v>1008</v>
      </c>
      <c r="G40" s="8" t="n">
        <f aca="false">SUMIFS('SALES Raw'!$F$6:$F$1634,'SALES Raw'!$J$6:$J$1634,$J40,'SALES Raw'!$K$6:$K$1634,"Y")*$H$4</f>
        <v>40878.1263157895</v>
      </c>
      <c r="H40" s="16" t="s">
        <v>42</v>
      </c>
      <c r="I40" s="16" t="s">
        <v>41</v>
      </c>
      <c r="J40" s="16" t="n">
        <v>4408270</v>
      </c>
    </row>
    <row r="41" customFormat="false" ht="15" hidden="false" customHeight="false" outlineLevel="0" collapsed="false">
      <c r="A41" s="16" t="n">
        <f aca="false">IF(ISNUMBER($J41),$J41,"")</f>
        <v>4416001</v>
      </c>
      <c r="B41" s="16" t="str">
        <f aca="false">IFERROR(INDEX('SALES Raw'!$B$6:$B$1634,MATCH($J41,'SALES Raw'!$J$6:$J$1634,0)),$J41)</f>
        <v>307 M</v>
      </c>
      <c r="C41" s="16" t="str">
        <f aca="false">IF(ISNUMBER($J41),IFERROR(INDEX('TRANS'!$C:$C,MATCH($J41,'TRANS'!$B:$B,0)),IFERROR(INDEX('Catalog'!$B:$B,MATCH($J41,'Catalog'!$A:$A,0)),$B41)),$B41)</f>
        <v>307 M עקבים לדורבן-זוג כריות</v>
      </c>
      <c r="D41" s="8" t="n">
        <f aca="false">SUMIFS('SALES Raw'!$C$6:$C$1634,'SALES Raw'!$J$6:$J$1634,$J41,'SALES Raw'!$K$6:$K$1634,"Y")</f>
        <v>1127</v>
      </c>
      <c r="E41" s="8" t="n">
        <f aca="false">SUMIFS('SALES Raw'!$D$6:$D$1634,'SALES Raw'!$J$6:$J$1634,$J41,'SALES Raw'!$K$6:$K$1634,"Y")</f>
        <v>35825.85</v>
      </c>
      <c r="F41" s="8" t="n">
        <f aca="false">SUMIFS('SALES Raw'!$E$6:$E$1634,'SALES Raw'!$J$6:$J$1634,$J41,'SALES Raw'!$K$6:$K$1634,"Y")*$H$4</f>
        <v>960</v>
      </c>
      <c r="G41" s="8" t="n">
        <f aca="false">SUMIFS('SALES Raw'!$F$6:$F$1634,'SALES Raw'!$J$6:$J$1634,$J41,'SALES Raw'!$K$6:$K$1634,"Y")*$H$4</f>
        <v>28228.0042105263</v>
      </c>
      <c r="H41" s="16" t="s">
        <v>44</v>
      </c>
      <c r="I41" s="16" t="s">
        <v>30</v>
      </c>
      <c r="J41" s="16" t="n">
        <v>4416001</v>
      </c>
    </row>
    <row r="42" customFormat="false" ht="15" hidden="false" customHeight="false" outlineLevel="0" collapsed="false">
      <c r="A42" s="16" t="n">
        <f aca="false">IF(ISNUMBER($J42),$J42,"")</f>
        <v>4420002</v>
      </c>
      <c r="B42" s="16" t="str">
        <f aca="false">IFERROR(INDEX('SALES Raw'!$B$6:$B$1634,MATCH($J42,'SALES Raw'!$J$6:$J$1634,0)),$J42)</f>
        <v>372 0</v>
      </c>
      <c r="C42" s="16" t="str">
        <f aca="false">IF(ISNUMBER($J42),IFERROR(INDEX('TRANS'!$C:$C,MATCH($J42,'TRANS'!$B:$B,0)),IFERROR(INDEX('Catalog'!$B:$B,MATCH($J42,'Catalog'!$A:$A,0)),$B42)),$B42)</f>
        <v>372 רפידת אנטי ריח -זוג</v>
      </c>
      <c r="D42" s="8" t="n">
        <f aca="false">SUMIFS('SALES Raw'!$C$6:$C$1634,'SALES Raw'!$J$6:$J$1634,$J42,'SALES Raw'!$K$6:$K$1634,"Y")</f>
        <v>1465</v>
      </c>
      <c r="E42" s="8" t="n">
        <f aca="false">SUMIFS('SALES Raw'!$D$6:$D$1634,'SALES Raw'!$J$6:$J$1634,$J42,'SALES Raw'!$K$6:$K$1634,"Y")</f>
        <v>11998.32</v>
      </c>
      <c r="F42" s="8" t="n">
        <f aca="false">SUMIFS('SALES Raw'!$E$6:$E$1634,'SALES Raw'!$J$6:$J$1634,$J42,'SALES Raw'!$K$6:$K$1634,"Y")*$H$4</f>
        <v>953.684210526316</v>
      </c>
      <c r="G42" s="8" t="n">
        <f aca="false">SUMIFS('SALES Raw'!$F$6:$F$1634,'SALES Raw'!$J$6:$J$1634,$J42,'SALES Raw'!$K$6:$K$1634,"Y")*$H$4</f>
        <v>6938.27368421053</v>
      </c>
      <c r="H42" s="16" t="s">
        <v>30</v>
      </c>
      <c r="I42" s="16" t="s">
        <v>38</v>
      </c>
      <c r="J42" s="16" t="n">
        <v>4420002</v>
      </c>
    </row>
    <row r="43" customFormat="false" ht="15" hidden="false" customHeight="false" outlineLevel="0" collapsed="false">
      <c r="A43" s="16" t="n">
        <f aca="false">IF(ISNUMBER($J43),$J43,"")</f>
        <v>4403043</v>
      </c>
      <c r="B43" s="16" t="str">
        <f aca="false">IFERROR(INDEX('SALES Raw'!$B$6:$B$1634,MATCH($J43,'SALES Raw'!$J$6:$J$1634,0)),$J43)</f>
        <v>397A-43-46</v>
      </c>
      <c r="C43" s="16" t="str">
        <f aca="false">IF(ISNUMBER($J43),IFERROR(INDEX('TRANS'!$C:$C,MATCH($J43,'TRANS'!$B:$B,0)),IFERROR(INDEX('Catalog'!$B:$B,MATCH($J43,'Catalog'!$A:$A,0)),$B43)),$B43)</f>
        <v>397A-גרבי טיסה אנטי בקטרי43-46</v>
      </c>
      <c r="D43" s="8" t="n">
        <f aca="false">SUMIFS('SALES Raw'!$C$6:$C$1634,'SALES Raw'!$J$6:$J$1634,$J43,'SALES Raw'!$K$6:$K$1634,"Y")</f>
        <v>104</v>
      </c>
      <c r="E43" s="8" t="n">
        <f aca="false">SUMIFS('SALES Raw'!$D$6:$D$1634,'SALES Raw'!$J$6:$J$1634,$J43,'SALES Raw'!$K$6:$K$1634,"Y")</f>
        <v>3325.37</v>
      </c>
      <c r="F43" s="8" t="n">
        <f aca="false">SUMIFS('SALES Raw'!$E$6:$E$1634,'SALES Raw'!$J$6:$J$1634,$J43,'SALES Raw'!$K$6:$K$1634,"Y")*$H$4</f>
        <v>939.789473684211</v>
      </c>
      <c r="G43" s="8" t="n">
        <f aca="false">SUMIFS('SALES Raw'!$F$6:$F$1634,'SALES Raw'!$J$6:$J$1634,$J43,'SALES Raw'!$K$6:$K$1634,"Y")*$H$4</f>
        <v>27366.6063157895</v>
      </c>
      <c r="H43" s="16" t="s">
        <v>30</v>
      </c>
      <c r="I43" s="16" t="s">
        <v>31</v>
      </c>
      <c r="J43" s="16" t="n">
        <v>4403043</v>
      </c>
    </row>
    <row r="44" customFormat="false" ht="15" hidden="false" customHeight="false" outlineLevel="0" collapsed="false">
      <c r="A44" s="16" t="n">
        <f aca="false">IF(ISNUMBER($J44),$J44,"")</f>
        <v>4403042</v>
      </c>
      <c r="B44" s="16" t="str">
        <f aca="false">IFERROR(INDEX('SALES Raw'!$B$6:$B$1634,MATCH($J44,'SALES Raw'!$J$6:$J$1634,0)),$J44)</f>
        <v>397A-39-42</v>
      </c>
      <c r="C44" s="16" t="str">
        <f aca="false">IF(ISNUMBER($J44),IFERROR(INDEX('TRANS'!$C:$C,MATCH($J44,'TRANS'!$B:$B,0)),IFERROR(INDEX('Catalog'!$B:$B,MATCH($J44,'Catalog'!$A:$A,0)),$B44)),$B44)</f>
        <v>397A-גרבי טיסה אנטי בקטרי39-42</v>
      </c>
      <c r="D44" s="8" t="n">
        <f aca="false">SUMIFS('SALES Raw'!$C$6:$C$1634,'SALES Raw'!$J$6:$J$1634,$J44,'SALES Raw'!$K$6:$K$1634,"Y")</f>
        <v>153</v>
      </c>
      <c r="E44" s="8" t="n">
        <f aca="false">SUMIFS('SALES Raw'!$D$6:$D$1634,'SALES Raw'!$J$6:$J$1634,$J44,'SALES Raw'!$K$6:$K$1634,"Y")</f>
        <v>4987.94</v>
      </c>
      <c r="F44" s="8" t="n">
        <f aca="false">SUMIFS('SALES Raw'!$E$6:$E$1634,'SALES Raw'!$J$6:$J$1634,$J44,'SALES Raw'!$K$6:$K$1634,"Y")*$H$4</f>
        <v>937.263157894737</v>
      </c>
      <c r="G44" s="8" t="n">
        <f aca="false">SUMIFS('SALES Raw'!$F$6:$F$1634,'SALES Raw'!$J$6:$J$1634,$J44,'SALES Raw'!$K$6:$K$1634,"Y")*$H$4</f>
        <v>27036.1642105263</v>
      </c>
      <c r="H44" s="16" t="s">
        <v>30</v>
      </c>
      <c r="I44" s="16" t="s">
        <v>31</v>
      </c>
      <c r="J44" s="16" t="n">
        <v>4403042</v>
      </c>
    </row>
    <row r="45" customFormat="false" ht="15" hidden="false" customHeight="false" outlineLevel="0" collapsed="false">
      <c r="A45" s="16" t="n">
        <f aca="false">IF(ISNUMBER($J45),$J45,"")</f>
        <v>4413135</v>
      </c>
      <c r="B45" s="16" t="str">
        <f aca="false">IFERROR(INDEX('SALES Raw'!$B$6:$B$1634,MATCH($J45,'SALES Raw'!$J$6:$J$1634,0)),$J45)</f>
        <v>85 L</v>
      </c>
      <c r="C45" s="16" t="str">
        <f aca="false">IF(ISNUMBER($J45),IFERROR(INDEX('TRANS'!$C:$C,MATCH($J45,'TRANS'!$B:$B,0)),IFERROR(INDEX('Catalog'!$B:$B,MATCH($J45,'Catalog'!$A:$A,0)),$B45)),$B45)</f>
        <v>85 L (מתלה ליד )כיס</v>
      </c>
      <c r="D45" s="8" t="n">
        <f aca="false">SUMIFS('SALES Raw'!$C$6:$C$1634,'SALES Raw'!$J$6:$J$1634,$J45,'SALES Raw'!$K$6:$K$1634,"Y")</f>
        <v>960</v>
      </c>
      <c r="E45" s="8" t="n">
        <f aca="false">SUMIFS('SALES Raw'!$D$6:$D$1634,'SALES Raw'!$J$6:$J$1634,$J45,'SALES Raw'!$K$6:$K$1634,"Y")</f>
        <v>22768.04</v>
      </c>
      <c r="F45" s="8" t="n">
        <f aca="false">SUMIFS('SALES Raw'!$E$6:$E$1634,'SALES Raw'!$J$6:$J$1634,$J45,'SALES Raw'!$K$6:$K$1634,"Y")*$H$4</f>
        <v>920.842105263158</v>
      </c>
      <c r="G45" s="8" t="n">
        <f aca="false">SUMIFS('SALES Raw'!$F$6:$F$1634,'SALES Raw'!$J$6:$J$1634,$J45,'SALES Raw'!$K$6:$K$1634,"Y")*$H$4</f>
        <v>19247.1915789474</v>
      </c>
      <c r="H45" s="16" t="s">
        <v>42</v>
      </c>
      <c r="I45" s="16" t="s">
        <v>30</v>
      </c>
      <c r="J45" s="16" t="n">
        <v>4413135</v>
      </c>
    </row>
    <row r="46" customFormat="false" ht="15" hidden="false" customHeight="false" outlineLevel="0" collapsed="false">
      <c r="A46" s="16" t="str">
        <f aca="false">IF(ISNUMBER($J46),$J46,"")</f>
        <v/>
      </c>
      <c r="B46" s="16" t="str">
        <f aca="false">IFERROR(INDEX('SALES Raw'!$B$6:$B$1634,MATCH($J46,'SALES Raw'!$J$6:$J$1634,0)),$J46)</f>
        <v>305-39-40</v>
      </c>
      <c r="C46" s="16" t="str">
        <f aca="false">IF(ISNUMBER($J46),IFERROR(INDEX('TRANS'!$C:$C,MATCH($J46,'TRANS'!$B:$B,0)),IFERROR(INDEX('Catalog'!$B:$B,MATCH($J46,'Catalog'!$A:$A,0)),$B46)),$B46)</f>
        <v>305-39-40</v>
      </c>
      <c r="D46" s="8" t="n">
        <f aca="false">SUMIFS('SALES Raw'!$C$6:$C$1634,'SALES Raw'!$J$6:$J$1634,$J46,'SALES Raw'!$K$6:$K$1634,"Y")</f>
        <v>905</v>
      </c>
      <c r="E46" s="8" t="n">
        <f aca="false">SUMIFS('SALES Raw'!$D$6:$D$1634,'SALES Raw'!$J$6:$J$1634,$J46,'SALES Raw'!$K$6:$K$1634,"Y")</f>
        <v>31218.78</v>
      </c>
      <c r="F46" s="8" t="n">
        <f aca="false">SUMIFS('SALES Raw'!$E$6:$E$1634,'SALES Raw'!$J$6:$J$1634,$J46,'SALES Raw'!$K$6:$K$1634,"Y")*$H$4</f>
        <v>879.157894736842</v>
      </c>
      <c r="G46" s="8" t="n">
        <f aca="false">SUMIFS('SALES Raw'!$F$6:$F$1634,'SALES Raw'!$J$6:$J$1634,$J46,'SALES Raw'!$K$6:$K$1634,"Y")*$H$4</f>
        <v>29669.4063157895</v>
      </c>
      <c r="H46" s="16" t="s">
        <v>44</v>
      </c>
      <c r="I46" s="16" t="s">
        <v>38</v>
      </c>
      <c r="J46" s="16" t="s">
        <v>67</v>
      </c>
    </row>
    <row r="47" customFormat="false" ht="15" hidden="false" customHeight="false" outlineLevel="0" collapsed="false">
      <c r="A47" s="16" t="str">
        <f aca="false">IF(ISNUMBER($J47),$J47,"")</f>
        <v/>
      </c>
      <c r="B47" s="16" t="str">
        <f aca="false">IFERROR(INDEX('SALES Raw'!$B$6:$B$1634,MATCH($J47,'SALES Raw'!$J$6:$J$1634,0)),$J47)</f>
        <v>305-41-42</v>
      </c>
      <c r="C47" s="16" t="str">
        <f aca="false">IF(ISNUMBER($J47),IFERROR(INDEX('TRANS'!$C:$C,MATCH($J47,'TRANS'!$B:$B,0)),IFERROR(INDEX('Catalog'!$B:$B,MATCH($J47,'Catalog'!$A:$A,0)),$B47)),$B47)</f>
        <v>305-41-42</v>
      </c>
      <c r="D47" s="8" t="n">
        <f aca="false">SUMIFS('SALES Raw'!$C$6:$C$1634,'SALES Raw'!$J$6:$J$1634,$J47,'SALES Raw'!$K$6:$K$1634,"Y")</f>
        <v>977</v>
      </c>
      <c r="E47" s="8" t="n">
        <f aca="false">SUMIFS('SALES Raw'!$D$6:$D$1634,'SALES Raw'!$J$6:$J$1634,$J47,'SALES Raw'!$K$6:$K$1634,"Y")</f>
        <v>33422.24</v>
      </c>
      <c r="F47" s="8" t="n">
        <f aca="false">SUMIFS('SALES Raw'!$E$6:$E$1634,'SALES Raw'!$J$6:$J$1634,$J47,'SALES Raw'!$K$6:$K$1634,"Y")*$H$4</f>
        <v>869.052631578947</v>
      </c>
      <c r="G47" s="8" t="n">
        <f aca="false">SUMIFS('SALES Raw'!$F$6:$F$1634,'SALES Raw'!$J$6:$J$1634,$J47,'SALES Raw'!$K$6:$K$1634,"Y")*$H$4</f>
        <v>29473.2757894737</v>
      </c>
      <c r="H47" s="16" t="s">
        <v>44</v>
      </c>
      <c r="I47" s="16" t="s">
        <v>38</v>
      </c>
      <c r="J47" s="16" t="s">
        <v>68</v>
      </c>
    </row>
    <row r="48" customFormat="false" ht="15" hidden="false" customHeight="false" outlineLevel="0" collapsed="false">
      <c r="A48" s="16" t="n">
        <f aca="false">IF(ISNUMBER($J48),$J48,"")</f>
        <v>4415027</v>
      </c>
      <c r="B48" s="16" t="str">
        <f aca="false">IFERROR(INDEX('SALES Raw'!$B$6:$B$1634,MATCH($J48,'SALES Raw'!$J$6:$J$1634,0)),$J48)</f>
        <v>AC27R 0</v>
      </c>
      <c r="C48" s="16" t="str">
        <f aca="false">IF(ISNUMBER($J48),IFERROR(INDEX('TRANS'!$C:$C,MATCH($J48,'TRANS'!$B:$B,0)),IFERROR(INDEX('Catalog'!$B:$B,MATCH($J48,'Catalog'!$A:$A,0)),$B48)),$B48)</f>
        <v>AC-27R סד לש.כף יד ימין</v>
      </c>
      <c r="D48" s="8" t="n">
        <f aca="false">SUMIFS('SALES Raw'!$C$6:$C$1634,'SALES Raw'!$J$6:$J$1634,$J48,'SALES Raw'!$K$6:$K$1634,"Y")</f>
        <v>1160</v>
      </c>
      <c r="E48" s="8" t="n">
        <f aca="false">SUMIFS('SALES Raw'!$D$6:$D$1634,'SALES Raw'!$J$6:$J$1634,$J48,'SALES Raw'!$K$6:$K$1634,"Y")</f>
        <v>25244.8</v>
      </c>
      <c r="F48" s="8" t="n">
        <f aca="false">SUMIFS('SALES Raw'!$E$6:$E$1634,'SALES Raw'!$J$6:$J$1634,$J48,'SALES Raw'!$K$6:$K$1634,"Y")*$H$4</f>
        <v>858.947368421053</v>
      </c>
      <c r="G48" s="8" t="n">
        <f aca="false">SUMIFS('SALES Raw'!$F$6:$F$1634,'SALES Raw'!$J$6:$J$1634,$J48,'SALES Raw'!$K$6:$K$1634,"Y")*$H$4</f>
        <v>17179.3515789474</v>
      </c>
      <c r="H48" s="16" t="s">
        <v>38</v>
      </c>
      <c r="I48" s="16" t="s">
        <v>30</v>
      </c>
      <c r="J48" s="16" t="n">
        <v>4415027</v>
      </c>
    </row>
    <row r="49" customFormat="false" ht="15" hidden="false" customHeight="false" outlineLevel="0" collapsed="false">
      <c r="A49" s="16" t="n">
        <f aca="false">IF(ISNUMBER($J49),$J49,"")</f>
        <v>4413059</v>
      </c>
      <c r="B49" s="16" t="str">
        <f aca="false">IFERROR(INDEX('SALES Raw'!$B$6:$B$1634,MATCH($J49,'SALES Raw'!$J$6:$J$1634,0)),$J49)</f>
        <v>364-S-L</v>
      </c>
      <c r="C49" s="16" t="str">
        <f aca="false">IF(ISNUMBER($J49),IFERROR(INDEX('TRANS'!$C:$C,MATCH($J49,'TRANS'!$B:$B,0)),IFERROR(INDEX('Catalog'!$B:$B,MATCH($J49,'Catalog'!$A:$A,0)),$B49)),$B49)</f>
        <v>364S Lמפר.אצבע סיליק. ליבל.זוג</v>
      </c>
      <c r="D49" s="8" t="n">
        <f aca="false">SUMIFS('SALES Raw'!$C$6:$C$1634,'SALES Raw'!$J$6:$J$1634,$J49,'SALES Raw'!$K$6:$K$1634,"Y")</f>
        <v>1143</v>
      </c>
      <c r="E49" s="8" t="n">
        <f aca="false">SUMIFS('SALES Raw'!$D$6:$D$1634,'SALES Raw'!$J$6:$J$1634,$J49,'SALES Raw'!$K$6:$K$1634,"Y")</f>
        <v>8118</v>
      </c>
      <c r="F49" s="8" t="n">
        <f aca="false">SUMIFS('SALES Raw'!$E$6:$E$1634,'SALES Raw'!$J$6:$J$1634,$J49,'SALES Raw'!$K$6:$K$1634,"Y")*$H$4</f>
        <v>842.526315789474</v>
      </c>
      <c r="G49" s="8" t="n">
        <f aca="false">SUMIFS('SALES Raw'!$F$6:$F$1634,'SALES Raw'!$J$6:$J$1634,$J49,'SALES Raw'!$K$6:$K$1634,"Y")*$H$4</f>
        <v>5535.42315789474</v>
      </c>
      <c r="H49" s="16" t="s">
        <v>34</v>
      </c>
      <c r="I49" s="16" t="s">
        <v>30</v>
      </c>
      <c r="J49" s="16" t="n">
        <v>4413059</v>
      </c>
    </row>
    <row r="50" customFormat="false" ht="15" hidden="false" customHeight="false" outlineLevel="0" collapsed="false">
      <c r="A50" s="16" t="n">
        <f aca="false">IF(ISNUMBER($J50),$J50,"")</f>
        <v>4408269</v>
      </c>
      <c r="B50" s="16" t="str">
        <f aca="false">IFERROR(INDEX('SALES Raw'!$B$6:$B$1634,MATCH($J50,'SALES Raw'!$J$6:$J$1634,0)),$J50)</f>
        <v>ST37 0</v>
      </c>
      <c r="C50" s="16" t="str">
        <f aca="false">IF(ISNUMBER($J50),IFERROR(INDEX('TRANS'!$C:$C,MATCH($J50,'TRANS'!$B:$B,0)),IFERROR(INDEX('Catalog'!$B:$B,MATCH($J50,'Catalog'!$A:$A,0)),$B50)),$B50)</f>
        <v>ST37 חבק לקרסול</v>
      </c>
      <c r="D50" s="8" t="n">
        <f aca="false">SUMIFS('SALES Raw'!$C$6:$C$1634,'SALES Raw'!$J$6:$J$1634,$J50,'SALES Raw'!$K$6:$K$1634,"Y")</f>
        <v>890</v>
      </c>
      <c r="E50" s="8" t="n">
        <f aca="false">SUMIFS('SALES Raw'!$D$6:$D$1634,'SALES Raw'!$J$6:$J$1634,$J50,'SALES Raw'!$K$6:$K$1634,"Y")</f>
        <v>14616.28</v>
      </c>
      <c r="F50" s="8" t="n">
        <f aca="false">SUMIFS('SALES Raw'!$E$6:$E$1634,'SALES Raw'!$J$6:$J$1634,$J50,'SALES Raw'!$K$6:$K$1634,"Y")*$H$4</f>
        <v>802.105263157895</v>
      </c>
      <c r="G50" s="8" t="n">
        <f aca="false">SUMIFS('SALES Raw'!$F$6:$F$1634,'SALES Raw'!$J$6:$J$1634,$J50,'SALES Raw'!$K$6:$K$1634,"Y")*$H$4</f>
        <v>11520.5178947368</v>
      </c>
      <c r="H50" s="16" t="s">
        <v>42</v>
      </c>
      <c r="I50" s="16" t="s">
        <v>40</v>
      </c>
      <c r="J50" s="16" t="n">
        <v>4408269</v>
      </c>
    </row>
    <row r="51" customFormat="false" ht="15" hidden="false" customHeight="false" outlineLevel="0" collapsed="false">
      <c r="A51" s="16" t="n">
        <f aca="false">IF(ISNUMBER($J51),$J51,"")</f>
        <v>4413136</v>
      </c>
      <c r="B51" s="16" t="str">
        <f aca="false">IFERROR(INDEX('SALES Raw'!$B$6:$B$1634,MATCH($J51,'SALES Raw'!$J$6:$J$1634,0)),$J51)</f>
        <v>85 M</v>
      </c>
      <c r="C51" s="16" t="str">
        <f aca="false">IF(ISNUMBER($J51),IFERROR(INDEX('TRANS'!$C:$C,MATCH($J51,'TRANS'!$B:$B,0)),IFERROR(INDEX('Catalog'!$B:$B,MATCH($J51,'Catalog'!$A:$A,0)),$B51)),$B51)</f>
        <v>85 M (מתלה ליד )כיס</v>
      </c>
      <c r="D51" s="8" t="n">
        <f aca="false">SUMIFS('SALES Raw'!$C$6:$C$1634,'SALES Raw'!$J$6:$J$1634,$J51,'SALES Raw'!$K$6:$K$1634,"Y")</f>
        <v>850</v>
      </c>
      <c r="E51" s="8" t="n">
        <f aca="false">SUMIFS('SALES Raw'!$D$6:$D$1634,'SALES Raw'!$J$6:$J$1634,$J51,'SALES Raw'!$K$6:$K$1634,"Y")</f>
        <v>20073.98</v>
      </c>
      <c r="F51" s="8" t="n">
        <f aca="false">SUMIFS('SALES Raw'!$E$6:$E$1634,'SALES Raw'!$J$6:$J$1634,$J51,'SALES Raw'!$K$6:$K$1634,"Y")*$H$4</f>
        <v>795.789473684211</v>
      </c>
      <c r="G51" s="8" t="n">
        <f aca="false">SUMIFS('SALES Raw'!$F$6:$F$1634,'SALES Raw'!$J$6:$J$1634,$J51,'SALES Raw'!$K$6:$K$1634,"Y")*$H$4</f>
        <v>16350.0126315789</v>
      </c>
      <c r="H51" s="16" t="s">
        <v>38</v>
      </c>
      <c r="I51" s="16" t="s">
        <v>42</v>
      </c>
      <c r="J51" s="16" t="n">
        <v>4413136</v>
      </c>
    </row>
    <row r="52" customFormat="false" ht="15" hidden="false" customHeight="false" outlineLevel="0" collapsed="false">
      <c r="A52" s="16" t="n">
        <f aca="false">IF(ISNUMBER($J52),$J52,"")</f>
        <v>4420003</v>
      </c>
      <c r="B52" s="16" t="str">
        <f aca="false">IFERROR(INDEX('SALES Raw'!$B$6:$B$1634,MATCH($J52,'SALES Raw'!$J$6:$J$1634,0)),$J52)</f>
        <v>374 0</v>
      </c>
      <c r="C52" s="16" t="str">
        <f aca="false">IF(ISNUMBER($J52),IFERROR(INDEX('TRANS'!$C:$C,MATCH($J52,'TRANS'!$B:$B,0)),IFERROR(INDEX('Catalog'!$B:$B,MATCH($J52,'Catalog'!$A:$A,0)),$B52)),$B52)</f>
        <v>374 רפידת בולמת זעזועים -זוג</v>
      </c>
      <c r="D52" s="8" t="n">
        <f aca="false">SUMIFS('SALES Raw'!$C$6:$C$1634,'SALES Raw'!$J$6:$J$1634,$J52,'SALES Raw'!$K$6:$K$1634,"Y")</f>
        <v>930</v>
      </c>
      <c r="E52" s="8" t="n">
        <f aca="false">SUMIFS('SALES Raw'!$D$6:$D$1634,'SALES Raw'!$J$6:$J$1634,$J52,'SALES Raw'!$K$6:$K$1634,"Y")</f>
        <v>8315.15</v>
      </c>
      <c r="F52" s="8" t="n">
        <f aca="false">SUMIFS('SALES Raw'!$E$6:$E$1634,'SALES Raw'!$J$6:$J$1634,$J52,'SALES Raw'!$K$6:$K$1634,"Y")*$H$4</f>
        <v>783.157894736842</v>
      </c>
      <c r="G52" s="8" t="n">
        <f aca="false">SUMIFS('SALES Raw'!$F$6:$F$1634,'SALES Raw'!$J$6:$J$1634,$J52,'SALES Raw'!$K$6:$K$1634,"Y")*$H$4</f>
        <v>6458.46315789474</v>
      </c>
      <c r="H52" s="16" t="s">
        <v>30</v>
      </c>
      <c r="I52" s="16" t="s">
        <v>38</v>
      </c>
      <c r="J52" s="16" t="n">
        <v>4420003</v>
      </c>
    </row>
    <row r="53" customFormat="false" ht="15" hidden="false" customHeight="false" outlineLevel="0" collapsed="false">
      <c r="A53" s="16" t="n">
        <f aca="false">IF(ISNUMBER($J53),$J53,"")</f>
        <v>4413370</v>
      </c>
      <c r="B53" s="16" t="str">
        <f aca="false">IFERROR(INDEX('SALES Raw'!$B$6:$B$1634,MATCH($J53,'SALES Raw'!$J$6:$J$1634,0)),$J53)</f>
        <v>3674 0</v>
      </c>
      <c r="C53" s="16" t="str">
        <f aca="false">IF(ISNUMBER($J53),IFERROR(INDEX('TRANS'!$C:$C,MATCH($J53,'TRANS'!$B:$B,0)),IFERROR(INDEX('Catalog'!$B:$B,MATCH($J53,'Catalog'!$A:$A,0)),$B53)),$B53)</f>
        <v>3674 0 מ.בוניון+מפריד אצבע</v>
      </c>
      <c r="D53" s="8" t="n">
        <f aca="false">SUMIFS('SALES Raw'!$C$6:$C$1634,'SALES Raw'!$J$6:$J$1634,$J53,'SALES Raw'!$K$6:$K$1634,"Y")</f>
        <v>1003</v>
      </c>
      <c r="E53" s="8" t="n">
        <f aca="false">SUMIFS('SALES Raw'!$D$6:$D$1634,'SALES Raw'!$J$6:$J$1634,$J53,'SALES Raw'!$K$6:$K$1634,"Y")</f>
        <v>16863.61</v>
      </c>
      <c r="F53" s="8" t="n">
        <f aca="false">SUMIFS('SALES Raw'!$E$6:$E$1634,'SALES Raw'!$J$6:$J$1634,$J53,'SALES Raw'!$K$6:$K$1634,"Y")*$H$4</f>
        <v>780.631578947368</v>
      </c>
      <c r="G53" s="8" t="n">
        <f aca="false">SUMIFS('SALES Raw'!$F$6:$F$1634,'SALES Raw'!$J$6:$J$1634,$J53,'SALES Raw'!$K$6:$K$1634,"Y")*$H$4</f>
        <v>12464.2989473684</v>
      </c>
      <c r="H53" s="16" t="s">
        <v>44</v>
      </c>
      <c r="I53" s="16" t="s">
        <v>31</v>
      </c>
      <c r="J53" s="16" t="n">
        <v>4413370</v>
      </c>
    </row>
    <row r="54" customFormat="false" ht="15" hidden="false" customHeight="false" outlineLevel="0" collapsed="false">
      <c r="A54" s="16" t="n">
        <f aca="false">IF(ISNUMBER($J54),$J54,"")</f>
        <v>4408053</v>
      </c>
      <c r="B54" s="16" t="str">
        <f aca="false">IFERROR(INDEX('SALES Raw'!$B$6:$B$1634,MATCH($J54,'SALES Raw'!$J$6:$J$1634,0)),$J54)</f>
        <v>21 M</v>
      </c>
      <c r="C54" s="16" t="str">
        <f aca="false">IF(ISNUMBER($J54),IFERROR(INDEX('TRANS'!$C:$C,MATCH($J54,'TRANS'!$B:$B,0)),IFERROR(INDEX('Catalog'!$B:$B,MATCH($J54,'Catalog'!$A:$A,0)),$B54)),$B54)</f>
        <v>21 M  חבק יד ארוך</v>
      </c>
      <c r="D54" s="8" t="n">
        <f aca="false">SUMIFS('SALES Raw'!$C$6:$C$1634,'SALES Raw'!$J$6:$J$1634,$J54,'SALES Raw'!$K$6:$K$1634,"Y")</f>
        <v>752</v>
      </c>
      <c r="E54" s="8" t="n">
        <f aca="false">SUMIFS('SALES Raw'!$D$6:$D$1634,'SALES Raw'!$J$6:$J$1634,$J54,'SALES Raw'!$K$6:$K$1634,"Y")</f>
        <v>14150.06</v>
      </c>
      <c r="F54" s="8" t="n">
        <f aca="false">SUMIFS('SALES Raw'!$E$6:$E$1634,'SALES Raw'!$J$6:$J$1634,$J54,'SALES Raw'!$K$6:$K$1634,"Y")*$H$4</f>
        <v>762.947368421053</v>
      </c>
      <c r="G54" s="8" t="n">
        <f aca="false">SUMIFS('SALES Raw'!$F$6:$F$1634,'SALES Raw'!$J$6:$J$1634,$J54,'SALES Raw'!$K$6:$K$1634,"Y")*$H$4</f>
        <v>12675.0821052632</v>
      </c>
      <c r="H54" s="16" t="s">
        <v>38</v>
      </c>
      <c r="I54" s="16" t="s">
        <v>30</v>
      </c>
      <c r="J54" s="16" t="n">
        <v>4408053</v>
      </c>
    </row>
    <row r="55" customFormat="false" ht="15" hidden="false" customHeight="false" outlineLevel="0" collapsed="false">
      <c r="A55" s="16" t="n">
        <f aca="false">IF(ISNUMBER($J55),$J55,"")</f>
        <v>4413348</v>
      </c>
      <c r="B55" s="16" t="str">
        <f aca="false">IFERROR(INDEX('SALES Raw'!$B$6:$B$1634,MATCH($J55,'SALES Raw'!$J$6:$J$1634,0)),$J55)</f>
        <v>302M 0</v>
      </c>
      <c r="C55" s="16" t="str">
        <f aca="false">IF(ISNUMBER($J55),IFERROR(INDEX('TRANS'!$C:$C,MATCH($J55,'TRANS'!$B:$B,0)),IFERROR(INDEX('Catalog'!$B:$B,MATCH($J55,'Catalog'!$A:$A,0)),$B55)),$B55)</f>
        <v>302 מדרס ג'ל לגבר</v>
      </c>
      <c r="D55" s="8" t="n">
        <f aca="false">SUMIFS('SALES Raw'!$C$6:$C$1634,'SALES Raw'!$J$6:$J$1634,$J55,'SALES Raw'!$K$6:$K$1634,"Y")</f>
        <v>506</v>
      </c>
      <c r="E55" s="8" t="n">
        <f aca="false">SUMIFS('SALES Raw'!$D$6:$D$1634,'SALES Raw'!$J$6:$J$1634,$J55,'SALES Raw'!$K$6:$K$1634,"Y")</f>
        <v>16882.6</v>
      </c>
      <c r="F55" s="8" t="n">
        <f aca="false">SUMIFS('SALES Raw'!$E$6:$E$1634,'SALES Raw'!$J$6:$J$1634,$J55,'SALES Raw'!$K$6:$K$1634,"Y")*$H$4</f>
        <v>761.684210526316</v>
      </c>
      <c r="G55" s="8" t="n">
        <f aca="false">SUMIFS('SALES Raw'!$F$6:$F$1634,'SALES Raw'!$J$6:$J$1634,$J55,'SALES Raw'!$K$6:$K$1634,"Y")*$H$4</f>
        <v>22570.7242105263</v>
      </c>
      <c r="H55" s="16" t="s">
        <v>30</v>
      </c>
      <c r="I55" s="16" t="s">
        <v>38</v>
      </c>
      <c r="J55" s="16" t="n">
        <v>4413348</v>
      </c>
    </row>
    <row r="56" customFormat="false" ht="15" hidden="false" customHeight="false" outlineLevel="0" collapsed="false">
      <c r="A56" s="16" t="n">
        <f aca="false">IF(ISNUMBER($J56),$J56,"")</f>
        <v>4409000</v>
      </c>
      <c r="B56" s="16" t="str">
        <f aca="false">IFERROR(INDEX('SALES Raw'!$B$6:$B$1634,MATCH($J56,'SALES Raw'!$J$6:$J$1634,0)),$J56)</f>
        <v>365-S-L</v>
      </c>
      <c r="C56" s="16" t="str">
        <f aca="false">IF(ISNUMBER($J56),IFERROR(INDEX('TRANS'!$C:$C,MATCH($J56,'TRANS'!$B:$B,0)),IFERROR(INDEX('Catalog'!$B:$B,MATCH($J56,'Catalog'!$A:$A,0)),$B56)),$B56)</f>
        <v>365 S-Lטבעת אלסטית מסיליקון</v>
      </c>
      <c r="D56" s="8" t="n">
        <f aca="false">SUMIFS('SALES Raw'!$C$6:$C$1634,'SALES Raw'!$J$6:$J$1634,$J56,'SALES Raw'!$K$6:$K$1634,"Y")</f>
        <v>974</v>
      </c>
      <c r="E56" s="8" t="n">
        <f aca="false">SUMIFS('SALES Raw'!$D$6:$D$1634,'SALES Raw'!$J$6:$J$1634,$J56,'SALES Raw'!$K$6:$K$1634,"Y")</f>
        <v>7863.69</v>
      </c>
      <c r="F56" s="8" t="n">
        <f aca="false">SUMIFS('SALES Raw'!$E$6:$E$1634,'SALES Raw'!$J$6:$J$1634,$J56,'SALES Raw'!$K$6:$K$1634,"Y")*$H$4</f>
        <v>738.947368421053</v>
      </c>
      <c r="G56" s="8" t="n">
        <f aca="false">SUMIFS('SALES Raw'!$F$6:$F$1634,'SALES Raw'!$J$6:$J$1634,$J56,'SALES Raw'!$K$6:$K$1634,"Y")*$H$4</f>
        <v>5140.82526315789</v>
      </c>
      <c r="H56" s="16" t="s">
        <v>30</v>
      </c>
      <c r="I56" s="16" t="s">
        <v>34</v>
      </c>
      <c r="J56" s="16" t="n">
        <v>4409000</v>
      </c>
    </row>
    <row r="57" customFormat="false" ht="15" hidden="false" customHeight="false" outlineLevel="0" collapsed="false">
      <c r="A57" s="16" t="n">
        <f aca="false">IF(ISNUMBER($J57),$J57,"")</f>
        <v>4408268</v>
      </c>
      <c r="B57" s="16" t="str">
        <f aca="false">IFERROR(INDEX('SALES Raw'!$B$6:$B$1634,MATCH($J57,'SALES Raw'!$J$6:$J$1634,0)),$J57)</f>
        <v>ST20 0</v>
      </c>
      <c r="C57" s="16" t="str">
        <f aca="false">IF(ISNUMBER($J57),IFERROR(INDEX('TRANS'!$C:$C,MATCH($J57,'TRANS'!$B:$B,0)),IFERROR(INDEX('Catalog'!$B:$B,MATCH($J57,'Catalog'!$A:$A,0)),$B57)),$B57)</f>
        <v>ST20 חבק יד</v>
      </c>
      <c r="D57" s="8" t="n">
        <f aca="false">SUMIFS('SALES Raw'!$C$6:$C$1634,'SALES Raw'!$J$6:$J$1634,$J57,'SALES Raw'!$K$6:$K$1634,"Y")</f>
        <v>486</v>
      </c>
      <c r="E57" s="8" t="n">
        <f aca="false">SUMIFS('SALES Raw'!$D$6:$D$1634,'SALES Raw'!$J$6:$J$1634,$J57,'SALES Raw'!$K$6:$K$1634,"Y")</f>
        <v>5123.82</v>
      </c>
      <c r="F57" s="8" t="n">
        <f aca="false">SUMIFS('SALES Raw'!$E$6:$E$1634,'SALES Raw'!$J$6:$J$1634,$J57,'SALES Raw'!$K$6:$K$1634,"Y")*$H$4</f>
        <v>733.894736842105</v>
      </c>
      <c r="G57" s="8" t="n">
        <f aca="false">SUMIFS('SALES Raw'!$F$6:$F$1634,'SALES Raw'!$J$6:$J$1634,$J57,'SALES Raw'!$K$6:$K$1634,"Y")*$H$4</f>
        <v>7041.25894736842</v>
      </c>
      <c r="H57" s="16" t="s">
        <v>38</v>
      </c>
      <c r="I57" s="16" t="s">
        <v>36</v>
      </c>
      <c r="J57" s="16" t="n">
        <v>4408268</v>
      </c>
    </row>
    <row r="58" customFormat="false" ht="15" hidden="false" customHeight="false" outlineLevel="0" collapsed="false">
      <c r="A58" s="16" t="str">
        <f aca="false">IF(ISNUMBER($J58),$J58,"")</f>
        <v/>
      </c>
      <c r="B58" s="16" t="str">
        <f aca="false">IFERROR(INDEX('SALES Raw'!$B$6:$B$1634,MATCH($J58,'SALES Raw'!$J$6:$J$1634,0)),$J58)</f>
        <v>376-41-43</v>
      </c>
      <c r="C58" s="16" t="str">
        <f aca="false">IF(ISNUMBER($J58),IFERROR(INDEX('TRANS'!$C:$C,MATCH($J58,'TRANS'!$B:$B,0)),IFERROR(INDEX('Catalog'!$B:$B,MATCH($J58,'Catalog'!$A:$A,0)),$B58)),$B58)</f>
        <v>376-41-43</v>
      </c>
      <c r="D58" s="8" t="n">
        <f aca="false">SUMIFS('SALES Raw'!$C$6:$C$1634,'SALES Raw'!$J$6:$J$1634,$J58,'SALES Raw'!$K$6:$K$1634,"Y")</f>
        <v>936</v>
      </c>
      <c r="E58" s="8" t="n">
        <f aca="false">SUMIFS('SALES Raw'!$D$6:$D$1634,'SALES Raw'!$J$6:$J$1634,$J58,'SALES Raw'!$K$6:$K$1634,"Y")</f>
        <v>15663.52</v>
      </c>
      <c r="F58" s="8" t="n">
        <f aca="false">SUMIFS('SALES Raw'!$E$6:$E$1634,'SALES Raw'!$J$6:$J$1634,$J58,'SALES Raw'!$K$6:$K$1634,"Y")*$H$4</f>
        <v>730.105263157895</v>
      </c>
      <c r="G58" s="8" t="n">
        <f aca="false">SUMIFS('SALES Raw'!$F$6:$F$1634,'SALES Raw'!$J$6:$J$1634,$J58,'SALES Raw'!$K$6:$K$1634,"Y")*$H$4</f>
        <v>11383.4526315789</v>
      </c>
      <c r="H58" s="16" t="s">
        <v>30</v>
      </c>
      <c r="I58" s="16" t="s">
        <v>38</v>
      </c>
      <c r="J58" s="16" t="s">
        <v>69</v>
      </c>
    </row>
    <row r="59" customFormat="false" ht="15" hidden="false" customHeight="false" outlineLevel="0" collapsed="false">
      <c r="A59" s="16" t="str">
        <f aca="false">IF(ISNUMBER($J59),$J59,"")</f>
        <v/>
      </c>
      <c r="B59" s="16" t="str">
        <f aca="false">IFERROR(INDEX('SALES Raw'!$B$6:$B$1634,MATCH($J59,'SALES Raw'!$J$6:$J$1634,0)),$J59)</f>
        <v>49PS XL</v>
      </c>
      <c r="C59" s="16" t="str">
        <f aca="false">IF(ISNUMBER($J59),IFERROR(INDEX('TRANS'!$C:$C,MATCH($J59,'TRANS'!$B:$B,0)),IFERROR(INDEX('Catalog'!$B:$B,MATCH($J59,'Catalog'!$A:$A,0)),$B59)),$B59)</f>
        <v>49PS XL</v>
      </c>
      <c r="D59" s="8" t="n">
        <f aca="false">SUMIFS('SALES Raw'!$C$6:$C$1634,'SALES Raw'!$J$6:$J$1634,$J59,'SALES Raw'!$K$6:$K$1634,"Y")</f>
        <v>457</v>
      </c>
      <c r="E59" s="8" t="n">
        <f aca="false">SUMIFS('SALES Raw'!$D$6:$D$1634,'SALES Raw'!$J$6:$J$1634,$J59,'SALES Raw'!$K$6:$K$1634,"Y")</f>
        <v>26963.79</v>
      </c>
      <c r="F59" s="8" t="n">
        <f aca="false">SUMIFS('SALES Raw'!$E$6:$E$1634,'SALES Raw'!$J$6:$J$1634,$J59,'SALES Raw'!$K$6:$K$1634,"Y")*$H$4</f>
        <v>694.736842105263</v>
      </c>
      <c r="G59" s="8" t="n">
        <f aca="false">SUMIFS('SALES Raw'!$F$6:$F$1634,'SALES Raw'!$J$6:$J$1634,$J59,'SALES Raw'!$K$6:$K$1634,"Y")*$H$4</f>
        <v>40255.1873684211</v>
      </c>
      <c r="H59" s="16" t="s">
        <v>36</v>
      </c>
      <c r="I59" s="16"/>
      <c r="J59" s="16" t="s">
        <v>70</v>
      </c>
    </row>
    <row r="60" customFormat="false" ht="15" hidden="false" customHeight="false" outlineLevel="0" collapsed="false">
      <c r="A60" s="16" t="n">
        <f aca="false">IF(ISNUMBER($J60),$J60,"")</f>
        <v>4415163</v>
      </c>
      <c r="B60" s="16" t="str">
        <f aca="false">IFERROR(INDEX('SALES Raw'!$B$6:$B$1634,MATCH($J60,'SALES Raw'!$J$6:$J$1634,0)),$J60)</f>
        <v>238 XL</v>
      </c>
      <c r="C60" s="16" t="str">
        <f aca="false">IF(ISNUMBER($J60),IFERROR(INDEX('TRANS'!$C:$C,MATCH($J60,'TRANS'!$B:$B,0)),IFERROR(INDEX('Catalog'!$B:$B,MATCH($J60,'Catalog'!$A:$A,0)),$B60)),$B60)</f>
        <v>238XL סד ליישור אצבע</v>
      </c>
      <c r="D60" s="8" t="n">
        <f aca="false">SUMIFS('SALES Raw'!$C$6:$C$1634,'SALES Raw'!$J$6:$J$1634,$J60,'SALES Raw'!$K$6:$K$1634,"Y")</f>
        <v>674</v>
      </c>
      <c r="E60" s="8" t="n">
        <f aca="false">SUMIFS('SALES Raw'!$D$6:$D$1634,'SALES Raw'!$J$6:$J$1634,$J60,'SALES Raw'!$K$6:$K$1634,"Y")</f>
        <v>5751.74</v>
      </c>
      <c r="F60" s="8" t="n">
        <f aca="false">SUMIFS('SALES Raw'!$E$6:$E$1634,'SALES Raw'!$J$6:$J$1634,$J60,'SALES Raw'!$K$6:$K$1634,"Y")*$H$4</f>
        <v>679.578947368421</v>
      </c>
      <c r="G60" s="8" t="n">
        <f aca="false">SUMIFS('SALES Raw'!$F$6:$F$1634,'SALES Raw'!$J$6:$J$1634,$J60,'SALES Raw'!$K$6:$K$1634,"Y")*$H$4</f>
        <v>5522.89263157895</v>
      </c>
      <c r="H60" s="16" t="s">
        <v>42</v>
      </c>
      <c r="I60" s="16" t="s">
        <v>44</v>
      </c>
      <c r="J60" s="16" t="n">
        <v>4415163</v>
      </c>
    </row>
    <row r="61" customFormat="false" ht="15" hidden="false" customHeight="false" outlineLevel="0" collapsed="false">
      <c r="A61" s="16" t="n">
        <f aca="false">IF(ISNUMBER($J61),$J61,"")</f>
        <v>4413056</v>
      </c>
      <c r="B61" s="16" t="str">
        <f aca="false">IFERROR(INDEX('SALES Raw'!$B$6:$B$1634,MATCH($J61,'SALES Raw'!$J$6:$J$1634,0)),$J61)</f>
        <v>LF360 0</v>
      </c>
      <c r="C61" s="16" t="str">
        <f aca="false">IF(ISNUMBER($J61),IFERROR(INDEX('TRANS'!$C:$C,MATCH($J61,'TRANS'!$B:$B,0)),IFERROR(INDEX('Catalog'!$B:$B,MATCH($J61,'Catalog'!$A:$A,0)),$B61)),$B61)</f>
        <v>LF360 מדרס מטטרזלי לנעלי עקב</v>
      </c>
      <c r="D61" s="8" t="n">
        <f aca="false">SUMIFS('SALES Raw'!$C$6:$C$1634,'SALES Raw'!$J$6:$J$1634,$J61,'SALES Raw'!$K$6:$K$1634,"Y")</f>
        <v>778</v>
      </c>
      <c r="E61" s="8" t="n">
        <f aca="false">SUMIFS('SALES Raw'!$D$6:$D$1634,'SALES Raw'!$J$6:$J$1634,$J61,'SALES Raw'!$K$6:$K$1634,"Y")</f>
        <v>9479.1</v>
      </c>
      <c r="F61" s="8" t="n">
        <f aca="false">SUMIFS('SALES Raw'!$E$6:$E$1634,'SALES Raw'!$J$6:$J$1634,$J61,'SALES Raw'!$K$6:$K$1634,"Y")*$H$4</f>
        <v>679.578947368421</v>
      </c>
      <c r="G61" s="8" t="n">
        <f aca="false">SUMIFS('SALES Raw'!$F$6:$F$1634,'SALES Raw'!$J$6:$J$1634,$J61,'SALES Raw'!$K$6:$K$1634,"Y")*$H$4</f>
        <v>7406.52631578947</v>
      </c>
      <c r="H61" s="16" t="s">
        <v>30</v>
      </c>
      <c r="I61" s="16" t="s">
        <v>38</v>
      </c>
      <c r="J61" s="16" t="n">
        <v>4413056</v>
      </c>
    </row>
    <row r="62" customFormat="false" ht="15" hidden="false" customHeight="false" outlineLevel="0" collapsed="false">
      <c r="A62" s="16" t="n">
        <f aca="false">IF(ISNUMBER($J62),$J62,"")</f>
        <v>4403041</v>
      </c>
      <c r="B62" s="16" t="str">
        <f aca="false">IFERROR(INDEX('SALES Raw'!$B$6:$B$1634,MATCH($J62,'SALES Raw'!$J$6:$J$1634,0)),$J62)</f>
        <v>397A-35-38</v>
      </c>
      <c r="C62" s="16" t="str">
        <f aca="false">IF(ISNUMBER($J62),IFERROR(INDEX('TRANS'!$C:$C,MATCH($J62,'TRANS'!$B:$B,0)),IFERROR(INDEX('Catalog'!$B:$B,MATCH($J62,'Catalog'!$A:$A,0)),$B62)),$B62)</f>
        <v>397A-גרבי טיסה אנטי בקטרי35-38</v>
      </c>
      <c r="D62" s="8" t="n">
        <f aca="false">SUMIFS('SALES Raw'!$C$6:$C$1634,'SALES Raw'!$J$6:$J$1634,$J62,'SALES Raw'!$K$6:$K$1634,"Y")</f>
        <v>101</v>
      </c>
      <c r="E62" s="8" t="n">
        <f aca="false">SUMIFS('SALES Raw'!$D$6:$D$1634,'SALES Raw'!$J$6:$J$1634,$J62,'SALES Raw'!$K$6:$K$1634,"Y")</f>
        <v>3325.24</v>
      </c>
      <c r="F62" s="8" t="n">
        <f aca="false">SUMIFS('SALES Raw'!$E$6:$E$1634,'SALES Raw'!$J$6:$J$1634,$J62,'SALES Raw'!$K$6:$K$1634,"Y")*$H$4</f>
        <v>674.526315789474</v>
      </c>
      <c r="G62" s="8" t="n">
        <f aca="false">SUMIFS('SALES Raw'!$F$6:$F$1634,'SALES Raw'!$J$6:$J$1634,$J62,'SALES Raw'!$K$6:$K$1634,"Y")*$H$4</f>
        <v>21180.8210526316</v>
      </c>
      <c r="H62" s="16" t="s">
        <v>30</v>
      </c>
      <c r="I62" s="16" t="s">
        <v>31</v>
      </c>
      <c r="J62" s="16" t="n">
        <v>4403041</v>
      </c>
    </row>
    <row r="63" customFormat="false" ht="15" hidden="false" customHeight="false" outlineLevel="0" collapsed="false">
      <c r="A63" s="16" t="n">
        <f aca="false">IF(ISNUMBER($J63),$J63,"")</f>
        <v>4413452</v>
      </c>
      <c r="B63" s="16" t="str">
        <f aca="false">IFERROR(INDEX('SALES Raw'!$B$6:$B$1634,MATCH($J63,'SALES Raw'!$J$6:$J$1634,0)),$J63)</f>
        <v>386 0</v>
      </c>
      <c r="C63" s="16" t="str">
        <f aca="false">IF(ISNUMBER($J63),IFERROR(INDEX('TRANS'!$C:$C,MATCH($J63,'TRANS'!$B:$B,0)),IFERROR(INDEX('Catalog'!$B:$B,MATCH($J63,'Catalog'!$A:$A,0)),$B63)),$B63)</f>
        <v>386  מיישר בוניון-האלוקס ולגוס</v>
      </c>
      <c r="D63" s="8" t="n">
        <f aca="false">SUMIFS('SALES Raw'!$C$6:$C$1634,'SALES Raw'!$J$6:$J$1634,$J63,'SALES Raw'!$K$6:$K$1634,"Y")</f>
        <v>865</v>
      </c>
      <c r="E63" s="8" t="n">
        <f aca="false">SUMIFS('SALES Raw'!$D$6:$D$1634,'SALES Raw'!$J$6:$J$1634,$J63,'SALES Raw'!$K$6:$K$1634,"Y")</f>
        <v>17268.15</v>
      </c>
      <c r="F63" s="8" t="n">
        <f aca="false">SUMIFS('SALES Raw'!$E$6:$E$1634,'SALES Raw'!$J$6:$J$1634,$J63,'SALES Raw'!$K$6:$K$1634,"Y")*$H$4</f>
        <v>651.789473684211</v>
      </c>
      <c r="G63" s="8" t="n">
        <f aca="false">SUMIFS('SALES Raw'!$F$6:$F$1634,'SALES Raw'!$J$6:$J$1634,$J63,'SALES Raw'!$K$6:$K$1634,"Y")*$H$4</f>
        <v>11795.9747368421</v>
      </c>
      <c r="H63" s="16" t="s">
        <v>30</v>
      </c>
      <c r="I63" s="16" t="s">
        <v>38</v>
      </c>
      <c r="J63" s="16" t="n">
        <v>4413452</v>
      </c>
    </row>
    <row r="64" customFormat="false" ht="15" hidden="false" customHeight="false" outlineLevel="0" collapsed="false">
      <c r="A64" s="16" t="n">
        <f aca="false">IF(ISNUMBER($J64),$J64,"")</f>
        <v>4408098</v>
      </c>
      <c r="B64" s="16" t="str">
        <f aca="false">IFERROR(INDEX('SALES Raw'!$B$6:$B$1634,MATCH($J64,'SALES Raw'!$J$6:$J$1634,0)),$J64)</f>
        <v>T25 0</v>
      </c>
      <c r="C64" s="16" t="str">
        <f aca="false">IF(ISNUMBER($J64),IFERROR(INDEX('TRANS'!$C:$C,MATCH($J64,'TRANS'!$B:$B,0)),IFERROR(INDEX('Catalog'!$B:$B,MATCH($J64,'Catalog'!$A:$A,0)),$B64)),$B64)</f>
        <v>T25-חבק יד אגודלי</v>
      </c>
      <c r="D64" s="8" t="n">
        <f aca="false">SUMIFS('SALES Raw'!$C$6:$C$1634,'SALES Raw'!$J$6:$J$1634,$J64,'SALES Raw'!$K$6:$K$1634,"Y")</f>
        <v>582</v>
      </c>
      <c r="E64" s="8" t="n">
        <f aca="false">SUMIFS('SALES Raw'!$D$6:$D$1634,'SALES Raw'!$J$6:$J$1634,$J64,'SALES Raw'!$K$6:$K$1634,"Y")</f>
        <v>14809.62</v>
      </c>
      <c r="F64" s="8" t="n">
        <f aca="false">SUMIFS('SALES Raw'!$E$6:$E$1634,'SALES Raw'!$J$6:$J$1634,$J64,'SALES Raw'!$K$6:$K$1634,"Y")*$H$4</f>
        <v>646.736842105263</v>
      </c>
      <c r="G64" s="8" t="n">
        <f aca="false">SUMIFS('SALES Raw'!$F$6:$F$1634,'SALES Raw'!$J$6:$J$1634,$J64,'SALES Raw'!$K$6:$K$1634,"Y")*$H$4</f>
        <v>13666.4968421053</v>
      </c>
      <c r="H64" s="16" t="s">
        <v>30</v>
      </c>
      <c r="I64" s="16" t="s">
        <v>36</v>
      </c>
      <c r="J64" s="16" t="n">
        <v>4408098</v>
      </c>
    </row>
    <row r="65" customFormat="false" ht="15" hidden="false" customHeight="false" outlineLevel="0" collapsed="false">
      <c r="A65" s="16" t="n">
        <f aca="false">IF(ISNUMBER($J65),$J65,"")</f>
        <v>4415177</v>
      </c>
      <c r="B65" s="16" t="str">
        <f aca="false">IFERROR(INDEX('SALES Raw'!$B$6:$B$1634,MATCH($J65,'SALES Raw'!$J$6:$J$1634,0)),$J65)</f>
        <v>ST28 0</v>
      </c>
      <c r="C65" s="16" t="str">
        <f aca="false">IF(ISNUMBER($J65),IFERROR(INDEX('TRANS'!$C:$C,MATCH($J65,'TRANS'!$B:$B,0)),IFERROR(INDEX('Catalog'!$B:$B,MATCH($J65,'Catalog'!$A:$A,0)),$B65)),$B65)</f>
        <v>ST28 סד אגודלי עם מוט תמיכה</v>
      </c>
      <c r="D65" s="8" t="n">
        <f aca="false">SUMIFS('SALES Raw'!$C$6:$C$1634,'SALES Raw'!$J$6:$J$1634,$J65,'SALES Raw'!$K$6:$K$1634,"Y")</f>
        <v>415</v>
      </c>
      <c r="E65" s="8" t="n">
        <f aca="false">SUMIFS('SALES Raw'!$D$6:$D$1634,'SALES Raw'!$J$6:$J$1634,$J65,'SALES Raw'!$K$6:$K$1634,"Y")</f>
        <v>6714.29</v>
      </c>
      <c r="F65" s="8" t="n">
        <f aca="false">SUMIFS('SALES Raw'!$E$6:$E$1634,'SALES Raw'!$J$6:$J$1634,$J65,'SALES Raw'!$K$6:$K$1634,"Y")*$H$4</f>
        <v>626.526315789474</v>
      </c>
      <c r="G65" s="8" t="n">
        <f aca="false">SUMIFS('SALES Raw'!$F$6:$F$1634,'SALES Raw'!$J$6:$J$1634,$J65,'SALES Raw'!$K$6:$K$1634,"Y")*$H$4</f>
        <v>9593.84842105263</v>
      </c>
      <c r="H65" s="16" t="s">
        <v>42</v>
      </c>
      <c r="I65" s="16" t="s">
        <v>40</v>
      </c>
      <c r="J65" s="16" t="n">
        <v>4415177</v>
      </c>
    </row>
    <row r="66" customFormat="false" ht="15" hidden="false" customHeight="false" outlineLevel="0" collapsed="false">
      <c r="A66" s="16" t="str">
        <f aca="false">IF(ISNUMBER($J66),$J66,"")</f>
        <v/>
      </c>
      <c r="B66" s="16" t="str">
        <f aca="false">IFERROR(INDEX('SALES Raw'!$B$6:$B$1634,MATCH($J66,'SALES Raw'!$J$6:$J$1634,0)),$J66)</f>
        <v>ST95 0</v>
      </c>
      <c r="C66" s="16" t="str">
        <f aca="false">IF(ISNUMBER($J66),IFERROR(INDEX('TRANS'!$C:$C,MATCH($J66,'TRANS'!$B:$B,0)),IFERROR(INDEX('Catalog'!$B:$B,MATCH($J66,'Catalog'!$A:$A,0)),$B66)),$B66)</f>
        <v>ST95 0</v>
      </c>
      <c r="D66" s="8" t="n">
        <f aca="false">SUMIFS('SALES Raw'!$C$6:$C$1634,'SALES Raw'!$J$6:$J$1634,$J66,'SALES Raw'!$K$6:$K$1634,"Y")</f>
        <v>277</v>
      </c>
      <c r="E66" s="8" t="n">
        <f aca="false">SUMIFS('SALES Raw'!$D$6:$D$1634,'SALES Raw'!$J$6:$J$1634,$J66,'SALES Raw'!$K$6:$K$1634,"Y")</f>
        <v>5117.81</v>
      </c>
      <c r="F66" s="8" t="n">
        <f aca="false">SUMIFS('SALES Raw'!$E$6:$E$1634,'SALES Raw'!$J$6:$J$1634,$J66,'SALES Raw'!$K$6:$K$1634,"Y")*$H$4</f>
        <v>606.315789473684</v>
      </c>
      <c r="G66" s="8" t="n">
        <f aca="false">SUMIFS('SALES Raw'!$F$6:$F$1634,'SALES Raw'!$J$6:$J$1634,$J66,'SALES Raw'!$K$6:$K$1634,"Y")*$H$4</f>
        <v>10811.2168421053</v>
      </c>
      <c r="H66" s="16" t="s">
        <v>42</v>
      </c>
      <c r="I66" s="16" t="s">
        <v>34</v>
      </c>
      <c r="J66" s="16" t="s">
        <v>71</v>
      </c>
    </row>
    <row r="67" customFormat="false" ht="15" hidden="false" customHeight="false" outlineLevel="0" collapsed="false">
      <c r="A67" s="16" t="n">
        <f aca="false">IF(ISNUMBER($J67),$J67,"")</f>
        <v>4413492</v>
      </c>
      <c r="B67" s="16" t="str">
        <f aca="false">IFERROR(INDEX('SALES Raw'!$B$6:$B$1634,MATCH($J67,'SALES Raw'!$J$6:$J$1634,0)),$J67)</f>
        <v>35B M</v>
      </c>
      <c r="C67" s="16" t="str">
        <f aca="false">IF(ISNUMBER($J67),IFERROR(INDEX('TRANS'!$C:$C,MATCH($J67,'TRANS'!$B:$B,0)),IFERROR(INDEX('Catalog'!$B:$B,MATCH($J67,'Catalog'!$A:$A,0)),$B67)),$B67)</f>
        <v>35B M מגן קרסול שחור</v>
      </c>
      <c r="D67" s="8" t="n">
        <f aca="false">SUMIFS('SALES Raw'!$C$6:$C$1634,'SALES Raw'!$J$6:$J$1634,$J67,'SALES Raw'!$K$6:$K$1634,"Y")</f>
        <v>685</v>
      </c>
      <c r="E67" s="8" t="n">
        <f aca="false">SUMIFS('SALES Raw'!$D$6:$D$1634,'SALES Raw'!$J$6:$J$1634,$J67,'SALES Raw'!$K$6:$K$1634,"Y")</f>
        <v>8938.42</v>
      </c>
      <c r="F67" s="8" t="n">
        <f aca="false">SUMIFS('SALES Raw'!$E$6:$E$1634,'SALES Raw'!$J$6:$J$1634,$J67,'SALES Raw'!$K$6:$K$1634,"Y")*$H$4</f>
        <v>568.421052631579</v>
      </c>
      <c r="G67" s="8" t="n">
        <f aca="false">SUMIFS('SALES Raw'!$F$6:$F$1634,'SALES Raw'!$J$6:$J$1634,$J67,'SALES Raw'!$K$6:$K$1634,"Y")*$H$4</f>
        <v>6457.92</v>
      </c>
      <c r="H67" s="16" t="s">
        <v>30</v>
      </c>
      <c r="I67" s="16" t="s">
        <v>38</v>
      </c>
      <c r="J67" s="16" t="n">
        <v>4413492</v>
      </c>
    </row>
    <row r="68" customFormat="false" ht="15" hidden="false" customHeight="false" outlineLevel="0" collapsed="false">
      <c r="A68" s="16" t="n">
        <f aca="false">IF(ISNUMBER($J68),$J68,"")</f>
        <v>4420024</v>
      </c>
      <c r="B68" s="16" t="str">
        <f aca="false">IFERROR(INDEX('SALES Raw'!$B$6:$B$1634,MATCH($J68,'SALES Raw'!$J$6:$J$1634,0)),$J68)</f>
        <v>LF373 0</v>
      </c>
      <c r="C68" s="16" t="str">
        <f aca="false">IF(ISNUMBER($J68),IFERROR(INDEX('TRANS'!$C:$C,MATCH($J68,'TRANS'!$B:$B,0)),IFERROR(INDEX('Catalog'!$B:$B,MATCH($J68,'Catalog'!$A:$A,0)),$B68)),$B68)</f>
        <v>LFריפוד סיליק.לכרית כף הרגל373</v>
      </c>
      <c r="D68" s="8" t="n">
        <f aca="false">SUMIFS('SALES Raw'!$C$6:$C$1634,'SALES Raw'!$J$6:$J$1634,$J68,'SALES Raw'!$K$6:$K$1634,"Y")</f>
        <v>560</v>
      </c>
      <c r="E68" s="8" t="n">
        <f aca="false">SUMIFS('SALES Raw'!$D$6:$D$1634,'SALES Raw'!$J$6:$J$1634,$J68,'SALES Raw'!$K$6:$K$1634,"Y")</f>
        <v>6355.25</v>
      </c>
      <c r="F68" s="8" t="n">
        <f aca="false">SUMIFS('SALES Raw'!$E$6:$E$1634,'SALES Raw'!$J$6:$J$1634,$J68,'SALES Raw'!$K$6:$K$1634,"Y")*$H$4</f>
        <v>549.473684210526</v>
      </c>
      <c r="G68" s="8" t="n">
        <f aca="false">SUMIFS('SALES Raw'!$F$6:$F$1634,'SALES Raw'!$J$6:$J$1634,$J68,'SALES Raw'!$K$6:$K$1634,"Y")*$H$4</f>
        <v>5450.27368421053</v>
      </c>
      <c r="H68" s="16" t="s">
        <v>30</v>
      </c>
      <c r="I68" s="16" t="s">
        <v>38</v>
      </c>
      <c r="J68" s="16" t="n">
        <v>4420024</v>
      </c>
    </row>
    <row r="69" customFormat="false" ht="15" hidden="false" customHeight="false" outlineLevel="0" collapsed="false">
      <c r="A69" s="16" t="n">
        <f aca="false">IF(ISNUMBER($J69),$J69,"")</f>
        <v>4413099</v>
      </c>
      <c r="B69" s="16" t="str">
        <f aca="false">IFERROR(INDEX('SALES Raw'!$B$6:$B$1634,MATCH($J69,'SALES Raw'!$J$6:$J$1634,0)),$J69)</f>
        <v>45C M</v>
      </c>
      <c r="C69" s="16" t="str">
        <f aca="false">IF(ISNUMBER($J69),IFERROR(INDEX('TRANS'!$C:$C,MATCH($J69,'TRANS'!$B:$B,0)),IFERROR(INDEX('Catalog'!$B:$B,MATCH($J69,'Catalog'!$A:$A,0)),$B69)),$B69)</f>
        <v>45C M מגן ברך חום</v>
      </c>
      <c r="D69" s="8" t="n">
        <f aca="false">SUMIFS('SALES Raw'!$C$6:$C$1634,'SALES Raw'!$J$6:$J$1634,$J69,'SALES Raw'!$K$6:$K$1634,"Y")</f>
        <v>660</v>
      </c>
      <c r="E69" s="8" t="n">
        <f aca="false">SUMIFS('SALES Raw'!$D$6:$D$1634,'SALES Raw'!$J$6:$J$1634,$J69,'SALES Raw'!$K$6:$K$1634,"Y")</f>
        <v>8305.71</v>
      </c>
      <c r="F69" s="8" t="n">
        <f aca="false">SUMIFS('SALES Raw'!$E$6:$E$1634,'SALES Raw'!$J$6:$J$1634,$J69,'SALES Raw'!$K$6:$K$1634,"Y")*$H$4</f>
        <v>546.947368421053</v>
      </c>
      <c r="G69" s="8" t="n">
        <f aca="false">SUMIFS('SALES Raw'!$F$6:$F$1634,'SALES Raw'!$J$6:$J$1634,$J69,'SALES Raw'!$K$6:$K$1634,"Y")*$H$4</f>
        <v>6081.97894736842</v>
      </c>
      <c r="H69" s="16" t="s">
        <v>30</v>
      </c>
      <c r="I69" s="16" t="s">
        <v>38</v>
      </c>
      <c r="J69" s="16" t="n">
        <v>4413099</v>
      </c>
    </row>
    <row r="70" customFormat="false" ht="15" hidden="false" customHeight="false" outlineLevel="0" collapsed="false">
      <c r="A70" s="16" t="str">
        <f aca="false">IF(ISNUMBER($J70),$J70,"")</f>
        <v/>
      </c>
      <c r="B70" s="16" t="str">
        <f aca="false">IFERROR(INDEX('SALES Raw'!$B$6:$B$1634,MATCH($J70,'SALES Raw'!$J$6:$J$1634,0)),$J70)</f>
        <v>376-38-40</v>
      </c>
      <c r="C70" s="16" t="str">
        <f aca="false">IF(ISNUMBER($J70),IFERROR(INDEX('TRANS'!$C:$C,MATCH($J70,'TRANS'!$B:$B,0)),IFERROR(INDEX('Catalog'!$B:$B,MATCH($J70,'Catalog'!$A:$A,0)),$B70)),$B70)</f>
        <v>376-38-40</v>
      </c>
      <c r="D70" s="8" t="n">
        <f aca="false">SUMIFS('SALES Raw'!$C$6:$C$1634,'SALES Raw'!$J$6:$J$1634,$J70,'SALES Raw'!$K$6:$K$1634,"Y")</f>
        <v>708</v>
      </c>
      <c r="E70" s="8" t="n">
        <f aca="false">SUMIFS('SALES Raw'!$D$6:$D$1634,'SALES Raw'!$J$6:$J$1634,$J70,'SALES Raw'!$K$6:$K$1634,"Y")</f>
        <v>12538.96</v>
      </c>
      <c r="F70" s="8" t="n">
        <f aca="false">SUMIFS('SALES Raw'!$E$6:$E$1634,'SALES Raw'!$J$6:$J$1634,$J70,'SALES Raw'!$K$6:$K$1634,"Y")*$H$4</f>
        <v>543.157894736842</v>
      </c>
      <c r="G70" s="8" t="n">
        <f aca="false">SUMIFS('SALES Raw'!$F$6:$F$1634,'SALES Raw'!$J$6:$J$1634,$J70,'SALES Raw'!$K$6:$K$1634,"Y")*$H$4</f>
        <v>8985.81473684211</v>
      </c>
      <c r="H70" s="16" t="s">
        <v>30</v>
      </c>
      <c r="I70" s="16" t="s">
        <v>38</v>
      </c>
      <c r="J70" s="16" t="s">
        <v>72</v>
      </c>
    </row>
    <row r="71" customFormat="false" ht="15" hidden="false" customHeight="false" outlineLevel="0" collapsed="false">
      <c r="A71" s="16" t="n">
        <f aca="false">IF(ISNUMBER($J71),$J71,"")</f>
        <v>4413495</v>
      </c>
      <c r="B71" s="16" t="str">
        <f aca="false">IFERROR(INDEX('SALES Raw'!$B$6:$B$1634,MATCH($J71,'SALES Raw'!$J$6:$J$1634,0)),$J71)</f>
        <v>45B L</v>
      </c>
      <c r="C71" s="16" t="str">
        <f aca="false">IF(ISNUMBER($J71),IFERROR(INDEX('TRANS'!$C:$C,MATCH($J71,'TRANS'!$B:$B,0)),IFERROR(INDEX('Catalog'!$B:$B,MATCH($J71,'Catalog'!$A:$A,0)),$B71)),$B71)</f>
        <v>45B L מגן ברך שחור</v>
      </c>
      <c r="D71" s="8" t="n">
        <f aca="false">SUMIFS('SALES Raw'!$C$6:$C$1634,'SALES Raw'!$J$6:$J$1634,$J71,'SALES Raw'!$K$6:$K$1634,"Y")</f>
        <v>900</v>
      </c>
      <c r="E71" s="8" t="n">
        <f aca="false">SUMIFS('SALES Raw'!$D$6:$D$1634,'SALES Raw'!$J$6:$J$1634,$J71,'SALES Raw'!$K$6:$K$1634,"Y")</f>
        <v>11734.54</v>
      </c>
      <c r="F71" s="8" t="n">
        <f aca="false">SUMIFS('SALES Raw'!$E$6:$E$1634,'SALES Raw'!$J$6:$J$1634,$J71,'SALES Raw'!$K$6:$K$1634,"Y")*$H$4</f>
        <v>543.157894736842</v>
      </c>
      <c r="G71" s="8" t="n">
        <f aca="false">SUMIFS('SALES Raw'!$F$6:$F$1634,'SALES Raw'!$J$6:$J$1634,$J71,'SALES Raw'!$K$6:$K$1634,"Y")*$H$4</f>
        <v>6649.55368421053</v>
      </c>
      <c r="H71" s="16" t="s">
        <v>30</v>
      </c>
      <c r="I71" s="16" t="s">
        <v>38</v>
      </c>
      <c r="J71" s="16" t="n">
        <v>4413495</v>
      </c>
    </row>
    <row r="72" customFormat="false" ht="15" hidden="false" customHeight="false" outlineLevel="0" collapsed="false">
      <c r="A72" s="16" t="n">
        <f aca="false">IF(ISNUMBER($J72),$J72,"")</f>
        <v>4413497</v>
      </c>
      <c r="B72" s="16" t="str">
        <f aca="false">IFERROR(INDEX('SALES Raw'!$B$6:$B$1634,MATCH($J72,'SALES Raw'!$J$6:$J$1634,0)),$J72)</f>
        <v>45B M</v>
      </c>
      <c r="C72" s="16" t="str">
        <f aca="false">IF(ISNUMBER($J72),IFERROR(INDEX('TRANS'!$C:$C,MATCH($J72,'TRANS'!$B:$B,0)),IFERROR(INDEX('Catalog'!$B:$B,MATCH($J72,'Catalog'!$A:$A,0)),$B72)),$B72)</f>
        <v>45B M מגן ברך שחור</v>
      </c>
      <c r="D72" s="8" t="n">
        <f aca="false">SUMIFS('SALES Raw'!$C$6:$C$1634,'SALES Raw'!$J$6:$J$1634,$J72,'SALES Raw'!$K$6:$K$1634,"Y")</f>
        <v>852</v>
      </c>
      <c r="E72" s="8" t="n">
        <f aca="false">SUMIFS('SALES Raw'!$D$6:$D$1634,'SALES Raw'!$J$6:$J$1634,$J72,'SALES Raw'!$K$6:$K$1634,"Y")</f>
        <v>11114.16</v>
      </c>
      <c r="F72" s="8" t="n">
        <f aca="false">SUMIFS('SALES Raw'!$E$6:$E$1634,'SALES Raw'!$J$6:$J$1634,$J72,'SALES Raw'!$K$6:$K$1634,"Y")*$H$4</f>
        <v>540.631578947368</v>
      </c>
      <c r="G72" s="8" t="n">
        <f aca="false">SUMIFS('SALES Raw'!$F$6:$F$1634,'SALES Raw'!$J$6:$J$1634,$J72,'SALES Raw'!$K$6:$K$1634,"Y")*$H$4</f>
        <v>6237.73894736842</v>
      </c>
      <c r="H72" s="16" t="s">
        <v>30</v>
      </c>
      <c r="I72" s="16" t="s">
        <v>38</v>
      </c>
      <c r="J72" s="16" t="n">
        <v>4413497</v>
      </c>
    </row>
    <row r="73" customFormat="false" ht="15" hidden="false" customHeight="false" outlineLevel="0" collapsed="false">
      <c r="A73" s="16" t="n">
        <f aca="false">IF(ISNUMBER($J73),$J73,"")</f>
        <v>4415026</v>
      </c>
      <c r="B73" s="16" t="str">
        <f aca="false">IFERROR(INDEX('SALES Raw'!$B$6:$B$1634,MATCH($J73,'SALES Raw'!$J$6:$J$1634,0)),$J73)</f>
        <v>AC27L 0</v>
      </c>
      <c r="C73" s="16" t="str">
        <f aca="false">IF(ISNUMBER($J73),IFERROR(INDEX('TRANS'!$C:$C,MATCH($J73,'TRANS'!$B:$B,0)),IFERROR(INDEX('Catalog'!$B:$B,MATCH($J73,'Catalog'!$A:$A,0)),$B73)),$B73)</f>
        <v>AC-27L סד לש.כף יד שמאל</v>
      </c>
      <c r="D73" s="8" t="n">
        <f aca="false">SUMIFS('SALES Raw'!$C$6:$C$1634,'SALES Raw'!$J$6:$J$1634,$J73,'SALES Raw'!$K$6:$K$1634,"Y")</f>
        <v>930</v>
      </c>
      <c r="E73" s="8" t="n">
        <f aca="false">SUMIFS('SALES Raw'!$D$6:$D$1634,'SALES Raw'!$J$6:$J$1634,$J73,'SALES Raw'!$K$6:$K$1634,"Y")</f>
        <v>19368.39</v>
      </c>
      <c r="F73" s="8" t="n">
        <f aca="false">SUMIFS('SALES Raw'!$E$6:$E$1634,'SALES Raw'!$J$6:$J$1634,$J73,'SALES Raw'!$K$6:$K$1634,"Y")*$H$4</f>
        <v>530.526315789474</v>
      </c>
      <c r="G73" s="8" t="n">
        <f aca="false">SUMIFS('SALES Raw'!$F$6:$F$1634,'SALES Raw'!$J$6:$J$1634,$J73,'SALES Raw'!$K$6:$K$1634,"Y")*$H$4</f>
        <v>10242.8210526316</v>
      </c>
      <c r="H73" s="16" t="s">
        <v>38</v>
      </c>
      <c r="I73" s="16" t="s">
        <v>39</v>
      </c>
      <c r="J73" s="16" t="n">
        <v>4415026</v>
      </c>
    </row>
    <row r="74" customFormat="false" ht="15" hidden="false" customHeight="false" outlineLevel="0" collapsed="false">
      <c r="A74" s="16" t="n">
        <f aca="false">IF(ISNUMBER($J74),$J74,"")</f>
        <v>4413531</v>
      </c>
      <c r="B74" s="16" t="str">
        <f aca="false">IFERROR(INDEX('SALES Raw'!$B$6:$B$1634,MATCH($J74,'SALES Raw'!$J$6:$J$1634,0)),$J74)</f>
        <v>ST91 0</v>
      </c>
      <c r="C74" s="16" t="str">
        <f aca="false">IF(ISNUMBER($J74),IFERROR(INDEX('TRANS'!$C:$C,MATCH($J74,'TRANS'!$B:$B,0)),IFERROR(INDEX('Catalog'!$B:$B,MATCH($J74,'Catalog'!$A:$A,0)),$B74)),$B74)</f>
        <v>ST91 מגן מרפק לטניס</v>
      </c>
      <c r="D74" s="8" t="n">
        <f aca="false">SUMIFS('SALES Raw'!$C$6:$C$1634,'SALES Raw'!$J$6:$J$1634,$J74,'SALES Raw'!$K$6:$K$1634,"Y")</f>
        <v>395</v>
      </c>
      <c r="E74" s="8" t="n">
        <f aca="false">SUMIFS('SALES Raw'!$D$6:$D$1634,'SALES Raw'!$J$6:$J$1634,$J74,'SALES Raw'!$K$6:$K$1634,"Y")</f>
        <v>5864.17</v>
      </c>
      <c r="F74" s="8" t="n">
        <f aca="false">SUMIFS('SALES Raw'!$E$6:$E$1634,'SALES Raw'!$J$6:$J$1634,$J74,'SALES Raw'!$K$6:$K$1634,"Y")*$H$4</f>
        <v>524.21052631579</v>
      </c>
      <c r="G74" s="8" t="n">
        <f aca="false">SUMIFS('SALES Raw'!$F$6:$F$1634,'SALES Raw'!$J$6:$J$1634,$J74,'SALES Raw'!$K$6:$K$1634,"Y")*$H$4</f>
        <v>7608.65684210526</v>
      </c>
      <c r="H74" s="16" t="s">
        <v>42</v>
      </c>
      <c r="I74" s="16" t="s">
        <v>41</v>
      </c>
      <c r="J74" s="16" t="n">
        <v>4413531</v>
      </c>
    </row>
    <row r="75" customFormat="false" ht="15" hidden="false" customHeight="false" outlineLevel="0" collapsed="false">
      <c r="A75" s="16" t="n">
        <f aca="false">IF(ISNUMBER($J75),$J75,"")</f>
        <v>4420001</v>
      </c>
      <c r="B75" s="16" t="str">
        <f aca="false">IFERROR(INDEX('SALES Raw'!$B$6:$B$1634,MATCH($J75,'SALES Raw'!$J$6:$J$1634,0)),$J75)</f>
        <v>371 0</v>
      </c>
      <c r="C75" s="16" t="str">
        <f aca="false">IF(ISNUMBER($J75),IFERROR(INDEX('TRANS'!$C:$C,MATCH($J75,'TRANS'!$B:$B,0)),IFERROR(INDEX('Catalog'!$B:$B,MATCH($J75,'Catalog'!$A:$A,0)),$B75)),$B75)</f>
        <v>371 רפידת מגבת כותנה-זוג</v>
      </c>
      <c r="D75" s="8" t="n">
        <f aca="false">SUMIFS('SALES Raw'!$C$6:$C$1634,'SALES Raw'!$J$6:$J$1634,$J75,'SALES Raw'!$K$6:$K$1634,"Y")</f>
        <v>810</v>
      </c>
      <c r="E75" s="8" t="n">
        <f aca="false">SUMIFS('SALES Raw'!$D$6:$D$1634,'SALES Raw'!$J$6:$J$1634,$J75,'SALES Raw'!$K$6:$K$1634,"Y")</f>
        <v>5017.78</v>
      </c>
      <c r="F75" s="8" t="n">
        <f aca="false">SUMIFS('SALES Raw'!$E$6:$E$1634,'SALES Raw'!$J$6:$J$1634,$J75,'SALES Raw'!$K$6:$K$1634,"Y")*$H$4</f>
        <v>517.894736842105</v>
      </c>
      <c r="G75" s="8" t="n">
        <f aca="false">SUMIFS('SALES Raw'!$F$6:$F$1634,'SALES Raw'!$J$6:$J$1634,$J75,'SALES Raw'!$K$6:$K$1634,"Y")*$H$4</f>
        <v>2902.45894736842</v>
      </c>
      <c r="H75" s="16" t="s">
        <v>30</v>
      </c>
      <c r="I75" s="16" t="s">
        <v>38</v>
      </c>
      <c r="J75" s="16" t="n">
        <v>4420001</v>
      </c>
    </row>
    <row r="76" customFormat="false" ht="15" hidden="false" customHeight="false" outlineLevel="0" collapsed="false">
      <c r="A76" s="16" t="n">
        <f aca="false">IF(ISNUMBER($J76),$J76,"")</f>
        <v>4413453</v>
      </c>
      <c r="B76" s="16" t="str">
        <f aca="false">IFERROR(INDEX('SALES Raw'!$B$6:$B$1634,MATCH($J76,'SALES Raw'!$J$6:$J$1634,0)),$J76)</f>
        <v>AC75-S-XL</v>
      </c>
      <c r="C76" s="16" t="str">
        <f aca="false">IF(ISNUMBER($J76),IFERROR(INDEX('TRANS'!$C:$C,MATCH($J76,'TRANS'!$B:$B,0)),IFERROR(INDEX('Catalog'!$B:$B,MATCH($J76,'Catalog'!$A:$A,0)),$B76)),$B76)</f>
        <v>AC75 מישר כתפיים אקטיב</v>
      </c>
      <c r="D76" s="8" t="n">
        <f aca="false">SUMIFS('SALES Raw'!$C$6:$C$1634,'SALES Raw'!$J$6:$J$1634,$J76,'SALES Raw'!$K$6:$K$1634,"Y")</f>
        <v>988</v>
      </c>
      <c r="E76" s="8" t="n">
        <f aca="false">SUMIFS('SALES Raw'!$D$6:$D$1634,'SALES Raw'!$J$6:$J$1634,$J76,'SALES Raw'!$K$6:$K$1634,"Y")</f>
        <v>35315.98</v>
      </c>
      <c r="F76" s="8" t="n">
        <f aca="false">SUMIFS('SALES Raw'!$E$6:$E$1634,'SALES Raw'!$J$6:$J$1634,$J76,'SALES Raw'!$K$6:$K$1634,"Y")*$H$4</f>
        <v>510.315789473684</v>
      </c>
      <c r="G76" s="8" t="n">
        <f aca="false">SUMIFS('SALES Raw'!$F$6:$F$1634,'SALES Raw'!$J$6:$J$1634,$J76,'SALES Raw'!$K$6:$K$1634,"Y")*$H$4</f>
        <v>19301.8610526316</v>
      </c>
      <c r="H76" s="16" t="s">
        <v>30</v>
      </c>
      <c r="I76" s="16" t="s">
        <v>44</v>
      </c>
      <c r="J76" s="16" t="n">
        <v>4413453</v>
      </c>
    </row>
    <row r="77" customFormat="false" ht="15" hidden="false" customHeight="false" outlineLevel="0" collapsed="false">
      <c r="A77" s="16" t="n">
        <f aca="false">IF(ISNUMBER($J77),$J77,"")</f>
        <v>4411001</v>
      </c>
      <c r="B77" s="16" t="str">
        <f aca="false">IFERROR(INDEX('SALES Raw'!$B$6:$B$1634,MATCH($J77,'SALES Raw'!$J$6:$J$1634,0)),$J77)</f>
        <v>3623 0</v>
      </c>
      <c r="C77" s="16" t="str">
        <f aca="false">IF(ISNUMBER($J77),IFERROR(INDEX('TRANS'!$C:$C,MATCH($J77,'TRANS'!$B:$B,0)),IFERROR(INDEX('Catalog'!$B:$B,MATCH($J77,'Catalog'!$A:$A,0)),$B77)),$B77)</f>
        <v>3623 כרית ליישור אצבע פטיש</v>
      </c>
      <c r="D77" s="8" t="n">
        <f aca="false">SUMIFS('SALES Raw'!$C$6:$C$1634,'SALES Raw'!$J$6:$J$1634,$J77,'SALES Raw'!$K$6:$K$1634,"Y")</f>
        <v>760</v>
      </c>
      <c r="E77" s="8" t="n">
        <f aca="false">SUMIFS('SALES Raw'!$D$6:$D$1634,'SALES Raw'!$J$6:$J$1634,$J77,'SALES Raw'!$K$6:$K$1634,"Y")</f>
        <v>13163.91</v>
      </c>
      <c r="F77" s="8" t="n">
        <f aca="false">SUMIFS('SALES Raw'!$E$6:$E$1634,'SALES Raw'!$J$6:$J$1634,$J77,'SALES Raw'!$K$6:$K$1634,"Y")*$H$4</f>
        <v>505.263157894737</v>
      </c>
      <c r="G77" s="8" t="n">
        <f aca="false">SUMIFS('SALES Raw'!$F$6:$F$1634,'SALES Raw'!$J$6:$J$1634,$J77,'SALES Raw'!$K$6:$K$1634,"Y")*$H$4</f>
        <v>7596.46736842105</v>
      </c>
      <c r="H77" s="16" t="s">
        <v>38</v>
      </c>
      <c r="I77" s="16" t="s">
        <v>42</v>
      </c>
      <c r="J77" s="16" t="n">
        <v>4411001</v>
      </c>
    </row>
    <row r="78" customFormat="false" ht="15" hidden="false" customHeight="false" outlineLevel="0" collapsed="false">
      <c r="A78" s="16" t="str">
        <f aca="false">IF(ISNUMBER($J78),$J78,"")</f>
        <v/>
      </c>
      <c r="B78" s="16" t="str">
        <f aca="false">IFERROR(INDEX('SALES Raw'!$B$6:$B$1634,MATCH($J78,'SALES Raw'!$J$6:$J$1634,0)),$J78)</f>
        <v>376-44-45</v>
      </c>
      <c r="C78" s="16" t="str">
        <f aca="false">IF(ISNUMBER($J78),IFERROR(INDEX('TRANS'!$C:$C,MATCH($J78,'TRANS'!$B:$B,0)),IFERROR(INDEX('Catalog'!$B:$B,MATCH($J78,'Catalog'!$A:$A,0)),$B78)),$B78)</f>
        <v>376-44-45</v>
      </c>
      <c r="D78" s="8" t="n">
        <f aca="false">SUMIFS('SALES Raw'!$C$6:$C$1634,'SALES Raw'!$J$6:$J$1634,$J78,'SALES Raw'!$K$6:$K$1634,"Y")</f>
        <v>669</v>
      </c>
      <c r="E78" s="8" t="n">
        <f aca="false">SUMIFS('SALES Raw'!$D$6:$D$1634,'SALES Raw'!$J$6:$J$1634,$J78,'SALES Raw'!$K$6:$K$1634,"Y")</f>
        <v>11855.32</v>
      </c>
      <c r="F78" s="8" t="n">
        <f aca="false">SUMIFS('SALES Raw'!$E$6:$E$1634,'SALES Raw'!$J$6:$J$1634,$J78,'SALES Raw'!$K$6:$K$1634,"Y")*$H$4</f>
        <v>504</v>
      </c>
      <c r="G78" s="8" t="n">
        <f aca="false">SUMIFS('SALES Raw'!$F$6:$F$1634,'SALES Raw'!$J$6:$J$1634,$J78,'SALES Raw'!$K$6:$K$1634,"Y")*$H$4</f>
        <v>7615.59157894737</v>
      </c>
      <c r="H78" s="16" t="s">
        <v>30</v>
      </c>
      <c r="I78" s="16" t="s">
        <v>38</v>
      </c>
      <c r="J78" s="16" t="s">
        <v>73</v>
      </c>
    </row>
    <row r="79" customFormat="false" ht="15" hidden="false" customHeight="false" outlineLevel="0" collapsed="false">
      <c r="A79" s="16" t="n">
        <f aca="false">IF(ISNUMBER($J79),$J79,"")</f>
        <v>4408261</v>
      </c>
      <c r="B79" s="16" t="str">
        <f aca="false">IFERROR(INDEX('SALES Raw'!$B$6:$B$1634,MATCH($J79,'SALES Raw'!$J$6:$J$1634,0)),$J79)</f>
        <v>11STO L</v>
      </c>
      <c r="C79" s="16" t="str">
        <f aca="false">IF(ISNUMBER($J79),IFERROR(INDEX('TRANS'!$C:$C,MATCH($J79,'TRANS'!$B:$B,0)),IFERROR(INDEX('Catalog'!$B:$B,MATCH($J79,'Catalog'!$A:$A,0)),$B79)),$B79)</f>
        <v>11STO L חגורה אחרי ניתוח</v>
      </c>
      <c r="D79" s="8" t="n">
        <f aca="false">SUMIFS('SALES Raw'!$C$6:$C$1634,'SALES Raw'!$J$6:$J$1634,$J79,'SALES Raw'!$K$6:$K$1634,"Y")</f>
        <v>505</v>
      </c>
      <c r="E79" s="8" t="n">
        <f aca="false">SUMIFS('SALES Raw'!$D$6:$D$1634,'SALES Raw'!$J$6:$J$1634,$J79,'SALES Raw'!$K$6:$K$1634,"Y")</f>
        <v>31184.8</v>
      </c>
      <c r="F79" s="8" t="n">
        <f aca="false">SUMIFS('SALES Raw'!$E$6:$E$1634,'SALES Raw'!$J$6:$J$1634,$J79,'SALES Raw'!$K$6:$K$1634,"Y")*$H$4</f>
        <v>501.473684210526</v>
      </c>
      <c r="G79" s="8" t="n">
        <f aca="false">SUMIFS('SALES Raw'!$F$6:$F$1634,'SALES Raw'!$J$6:$J$1634,$J79,'SALES Raw'!$K$6:$K$1634,"Y")*$H$4</f>
        <v>30976.5473684211</v>
      </c>
      <c r="H79" s="16" t="s">
        <v>44</v>
      </c>
      <c r="I79" s="16" t="s">
        <v>35</v>
      </c>
      <c r="J79" s="16" t="n">
        <v>4408261</v>
      </c>
    </row>
    <row r="80" customFormat="false" ht="15" hidden="false" customHeight="false" outlineLevel="0" collapsed="false">
      <c r="A80" s="16" t="n">
        <f aca="false">IF(ISNUMBER($J80),$J80,"")</f>
        <v>4413093</v>
      </c>
      <c r="B80" s="16" t="str">
        <f aca="false">IFERROR(INDEX('SALES Raw'!$B$6:$B$1634,MATCH($J80,'SALES Raw'!$J$6:$J$1634,0)),$J80)</f>
        <v>45 M</v>
      </c>
      <c r="C80" s="16" t="str">
        <f aca="false">IF(ISNUMBER($J80),IFERROR(INDEX('TRANS'!$C:$C,MATCH($J80,'TRANS'!$B:$B,0)),IFERROR(INDEX('Catalog'!$B:$B,MATCH($J80,'Catalog'!$A:$A,0)),$B80)),$B80)</f>
        <v>45 M מגן ברך לבן</v>
      </c>
      <c r="D80" s="8" t="n">
        <f aca="false">SUMIFS('SALES Raw'!$C$6:$C$1634,'SALES Raw'!$J$6:$J$1634,$J80,'SALES Raw'!$K$6:$K$1634,"Y")</f>
        <v>642</v>
      </c>
      <c r="E80" s="8" t="n">
        <f aca="false">SUMIFS('SALES Raw'!$D$6:$D$1634,'SALES Raw'!$J$6:$J$1634,$J80,'SALES Raw'!$K$6:$K$1634,"Y")</f>
        <v>7678.34</v>
      </c>
      <c r="F80" s="8" t="n">
        <f aca="false">SUMIFS('SALES Raw'!$E$6:$E$1634,'SALES Raw'!$J$6:$J$1634,$J80,'SALES Raw'!$K$6:$K$1634,"Y")*$H$4</f>
        <v>496.421052631579</v>
      </c>
      <c r="G80" s="8" t="n">
        <f aca="false">SUMIFS('SALES Raw'!$F$6:$F$1634,'SALES Raw'!$J$6:$J$1634,$J80,'SALES Raw'!$K$6:$K$1634,"Y")*$H$4</f>
        <v>5517.80210526316</v>
      </c>
      <c r="H80" s="16" t="s">
        <v>30</v>
      </c>
      <c r="I80" s="16" t="s">
        <v>42</v>
      </c>
      <c r="J80" s="16" t="n">
        <v>4413093</v>
      </c>
    </row>
    <row r="81" customFormat="false" ht="15" hidden="false" customHeight="false" outlineLevel="0" collapsed="false">
      <c r="A81" s="16" t="str">
        <f aca="false">IF(ISNUMBER($J81),$J81,"")</f>
        <v/>
      </c>
      <c r="B81" s="16" t="str">
        <f aca="false">IFERROR(INDEX('SALES Raw'!$B$6:$B$1634,MATCH($J81,'SALES Raw'!$J$6:$J$1634,0)),$J81)</f>
        <v>305-37-38</v>
      </c>
      <c r="C81" s="16" t="str">
        <f aca="false">IF(ISNUMBER($J81),IFERROR(INDEX('TRANS'!$C:$C,MATCH($J81,'TRANS'!$B:$B,0)),IFERROR(INDEX('Catalog'!$B:$B,MATCH($J81,'Catalog'!$A:$A,0)),$B81)),$B81)</f>
        <v>305-37-38</v>
      </c>
      <c r="D81" s="8" t="n">
        <f aca="false">SUMIFS('SALES Raw'!$C$6:$C$1634,'SALES Raw'!$J$6:$J$1634,$J81,'SALES Raw'!$K$6:$K$1634,"Y")</f>
        <v>624</v>
      </c>
      <c r="E81" s="8" t="n">
        <f aca="false">SUMIFS('SALES Raw'!$D$6:$D$1634,'SALES Raw'!$J$6:$J$1634,$J81,'SALES Raw'!$K$6:$K$1634,"Y")</f>
        <v>21678.93</v>
      </c>
      <c r="F81" s="8" t="n">
        <f aca="false">SUMIFS('SALES Raw'!$E$6:$E$1634,'SALES Raw'!$J$6:$J$1634,$J81,'SALES Raw'!$K$6:$K$1634,"Y")*$H$4</f>
        <v>493.894736842105</v>
      </c>
      <c r="G81" s="8" t="n">
        <f aca="false">SUMIFS('SALES Raw'!$F$6:$F$1634,'SALES Raw'!$J$6:$J$1634,$J81,'SALES Raw'!$K$6:$K$1634,"Y")*$H$4</f>
        <v>16728.3663157895</v>
      </c>
      <c r="H81" s="16" t="s">
        <v>44</v>
      </c>
      <c r="I81" s="16" t="s">
        <v>38</v>
      </c>
      <c r="J81" s="16" t="s">
        <v>74</v>
      </c>
    </row>
    <row r="82" customFormat="false" ht="15" hidden="false" customHeight="false" outlineLevel="0" collapsed="false">
      <c r="A82" s="16" t="n">
        <f aca="false">IF(ISNUMBER($J82),$J82,"")</f>
        <v>4413331</v>
      </c>
      <c r="B82" s="16" t="str">
        <f aca="false">IFERROR(INDEX('SALES Raw'!$B$6:$B$1634,MATCH($J82,'SALES Raw'!$J$6:$J$1634,0)),$J82)</f>
        <v>AC95 0</v>
      </c>
      <c r="C82" s="16" t="str">
        <f aca="false">IF(ISNUMBER($J82),IFERROR(INDEX('TRANS'!$C:$C,MATCH($J82,'TRANS'!$B:$B,0)),IFERROR(INDEX('Catalog'!$B:$B,MATCH($J82,'Catalog'!$A:$A,0)),$B82)),$B82)</f>
        <v>AC95 מגן מרפק</v>
      </c>
      <c r="D82" s="8" t="n">
        <f aca="false">SUMIFS('SALES Raw'!$C$6:$C$1634,'SALES Raw'!$J$6:$J$1634,$J82,'SALES Raw'!$K$6:$K$1634,"Y")</f>
        <v>603</v>
      </c>
      <c r="E82" s="8" t="n">
        <f aca="false">SUMIFS('SALES Raw'!$D$6:$D$1634,'SALES Raw'!$J$6:$J$1634,$J82,'SALES Raw'!$K$6:$K$1634,"Y")</f>
        <v>10460.01</v>
      </c>
      <c r="F82" s="8" t="n">
        <f aca="false">SUMIFS('SALES Raw'!$E$6:$E$1634,'SALES Raw'!$J$6:$J$1634,$J82,'SALES Raw'!$K$6:$K$1634,"Y")*$H$4</f>
        <v>486.315789473684</v>
      </c>
      <c r="G82" s="8" t="n">
        <f aca="false">SUMIFS('SALES Raw'!$F$6:$F$1634,'SALES Raw'!$J$6:$J$1634,$J82,'SALES Raw'!$K$6:$K$1634,"Y")*$H$4</f>
        <v>7918.67368421053</v>
      </c>
      <c r="H82" s="16" t="s">
        <v>42</v>
      </c>
      <c r="I82" s="16" t="s">
        <v>38</v>
      </c>
      <c r="J82" s="16" t="n">
        <v>4413331</v>
      </c>
    </row>
    <row r="83" customFormat="false" ht="15" hidden="false" customHeight="false" outlineLevel="0" collapsed="false">
      <c r="A83" s="16" t="n">
        <f aca="false">IF(ISNUMBER($J83),$J83,"")</f>
        <v>4413098</v>
      </c>
      <c r="B83" s="16" t="str">
        <f aca="false">IFERROR(INDEX('SALES Raw'!$B$6:$B$1634,MATCH($J83,'SALES Raw'!$J$6:$J$1634,0)),$J83)</f>
        <v>45C L</v>
      </c>
      <c r="C83" s="16" t="str">
        <f aca="false">IF(ISNUMBER($J83),IFERROR(INDEX('TRANS'!$C:$C,MATCH($J83,'TRANS'!$B:$B,0)),IFERROR(INDEX('Catalog'!$B:$B,MATCH($J83,'Catalog'!$A:$A,0)),$B83)),$B83)</f>
        <v>45C L מגן ברך חום</v>
      </c>
      <c r="D83" s="8" t="n">
        <f aca="false">SUMIFS('SALES Raw'!$C$6:$C$1634,'SALES Raw'!$J$6:$J$1634,$J83,'SALES Raw'!$K$6:$K$1634,"Y")</f>
        <v>755</v>
      </c>
      <c r="E83" s="8" t="n">
        <f aca="false">SUMIFS('SALES Raw'!$D$6:$D$1634,'SALES Raw'!$J$6:$J$1634,$J83,'SALES Raw'!$K$6:$K$1634,"Y")</f>
        <v>9396.03</v>
      </c>
      <c r="F83" s="8" t="n">
        <f aca="false">SUMIFS('SALES Raw'!$E$6:$E$1634,'SALES Raw'!$J$6:$J$1634,$J83,'SALES Raw'!$K$6:$K$1634,"Y")*$H$4</f>
        <v>469.894736842105</v>
      </c>
      <c r="G83" s="8" t="n">
        <f aca="false">SUMIFS('SALES Raw'!$F$6:$F$1634,'SALES Raw'!$J$6:$J$1634,$J83,'SALES Raw'!$K$6:$K$1634,"Y")*$H$4</f>
        <v>5174.32421052632</v>
      </c>
      <c r="H83" s="16" t="s">
        <v>30</v>
      </c>
      <c r="I83" s="16" t="s">
        <v>38</v>
      </c>
      <c r="J83" s="16" t="n">
        <v>4413098</v>
      </c>
    </row>
    <row r="84" customFormat="false" ht="15" hidden="false" customHeight="false" outlineLevel="0" collapsed="false">
      <c r="A84" s="16" t="n">
        <f aca="false">IF(ISNUMBER($J84),$J84,"")</f>
        <v>4408052</v>
      </c>
      <c r="B84" s="16" t="str">
        <f aca="false">IFERROR(INDEX('SALES Raw'!$B$6:$B$1634,MATCH($J84,'SALES Raw'!$J$6:$J$1634,0)),$J84)</f>
        <v>21 L</v>
      </c>
      <c r="C84" s="16" t="str">
        <f aca="false">IF(ISNUMBER($J84),IFERROR(INDEX('TRANS'!$C:$C,MATCH($J84,'TRANS'!$B:$B,0)),IFERROR(INDEX('Catalog'!$B:$B,MATCH($J84,'Catalog'!$A:$A,0)),$B84)),$B84)</f>
        <v>21 L  חבק יד ארוך</v>
      </c>
      <c r="D84" s="8" t="n">
        <f aca="false">SUMIFS('SALES Raw'!$C$6:$C$1634,'SALES Raw'!$J$6:$J$1634,$J84,'SALES Raw'!$K$6:$K$1634,"Y")</f>
        <v>500</v>
      </c>
      <c r="E84" s="8" t="n">
        <f aca="false">SUMIFS('SALES Raw'!$D$6:$D$1634,'SALES Raw'!$J$6:$J$1634,$J84,'SALES Raw'!$K$6:$K$1634,"Y")</f>
        <v>8976.63</v>
      </c>
      <c r="F84" s="8" t="n">
        <f aca="false">SUMIFS('SALES Raw'!$E$6:$E$1634,'SALES Raw'!$J$6:$J$1634,$J84,'SALES Raw'!$K$6:$K$1634,"Y")*$H$4</f>
        <v>459.789473684211</v>
      </c>
      <c r="G84" s="8" t="n">
        <f aca="false">SUMIFS('SALES Raw'!$F$6:$F$1634,'SALES Raw'!$J$6:$J$1634,$J84,'SALES Raw'!$K$6:$K$1634,"Y")*$H$4</f>
        <v>7469.58315789474</v>
      </c>
      <c r="H84" s="16" t="s">
        <v>38</v>
      </c>
      <c r="I84" s="16" t="s">
        <v>44</v>
      </c>
      <c r="J84" s="16" t="n">
        <v>4408052</v>
      </c>
    </row>
    <row r="85" customFormat="false" ht="15" hidden="false" customHeight="false" outlineLevel="0" collapsed="false">
      <c r="A85" s="16" t="str">
        <f aca="false">IF(ISNUMBER($J85),$J85,"")</f>
        <v/>
      </c>
      <c r="B85" s="16" t="str">
        <f aca="false">IFERROR(INDEX('SALES Raw'!$B$6:$B$1634,MATCH($J85,'SALES Raw'!$J$6:$J$1634,0)),$J85)</f>
        <v>ST27R 0</v>
      </c>
      <c r="C85" s="16" t="str">
        <f aca="false">IF(ISNUMBER($J85),IFERROR(INDEX('TRANS'!$C:$C,MATCH($J85,'TRANS'!$B:$B,0)),IFERROR(INDEX('Catalog'!$B:$B,MATCH($J85,'Catalog'!$A:$A,0)),$B85)),$B85)</f>
        <v>ST27R 0</v>
      </c>
      <c r="D85" s="8" t="n">
        <f aca="false">SUMIFS('SALES Raw'!$C$6:$C$1634,'SALES Raw'!$J$6:$J$1634,$J85,'SALES Raw'!$K$6:$K$1634,"Y")</f>
        <v>608</v>
      </c>
      <c r="E85" s="8" t="n">
        <f aca="false">SUMIFS('SALES Raw'!$D$6:$D$1634,'SALES Raw'!$J$6:$J$1634,$J85,'SALES Raw'!$K$6:$K$1634,"Y")</f>
        <v>13135.2</v>
      </c>
      <c r="F85" s="8" t="n">
        <f aca="false">SUMIFS('SALES Raw'!$E$6:$E$1634,'SALES Raw'!$J$6:$J$1634,$J85,'SALES Raw'!$K$6:$K$1634,"Y")*$H$4</f>
        <v>457.263157894737</v>
      </c>
      <c r="G85" s="8" t="n">
        <f aca="false">SUMIFS('SALES Raw'!$F$6:$F$1634,'SALES Raw'!$J$6:$J$1634,$J85,'SALES Raw'!$K$6:$K$1634,"Y")*$H$4</f>
        <v>8936.29894736842</v>
      </c>
      <c r="H85" s="16" t="s">
        <v>42</v>
      </c>
      <c r="I85" s="16" t="s">
        <v>30</v>
      </c>
      <c r="J85" s="16" t="s">
        <v>75</v>
      </c>
    </row>
    <row r="86" customFormat="false" ht="15" hidden="false" customHeight="false" outlineLevel="0" collapsed="false">
      <c r="A86" s="16" t="n">
        <f aca="false">IF(ISNUMBER($J86),$J86,"")</f>
        <v>4413490</v>
      </c>
      <c r="B86" s="16" t="str">
        <f aca="false">IFERROR(INDEX('SALES Raw'!$B$6:$B$1634,MATCH($J86,'SALES Raw'!$J$6:$J$1634,0)),$J86)</f>
        <v>35B L</v>
      </c>
      <c r="C86" s="16" t="str">
        <f aca="false">IF(ISNUMBER($J86),IFERROR(INDEX('TRANS'!$C:$C,MATCH($J86,'TRANS'!$B:$B,0)),IFERROR(INDEX('Catalog'!$B:$B,MATCH($J86,'Catalog'!$A:$A,0)),$B86)),$B86)</f>
        <v>35B L מגן קרסול שחור</v>
      </c>
      <c r="D86" s="8" t="n">
        <f aca="false">SUMIFS('SALES Raw'!$C$6:$C$1634,'SALES Raw'!$J$6:$J$1634,$J86,'SALES Raw'!$K$6:$K$1634,"Y")</f>
        <v>625</v>
      </c>
      <c r="E86" s="8" t="n">
        <f aca="false">SUMIFS('SALES Raw'!$D$6:$D$1634,'SALES Raw'!$J$6:$J$1634,$J86,'SALES Raw'!$K$6:$K$1634,"Y")</f>
        <v>8025.98</v>
      </c>
      <c r="F86" s="8" t="n">
        <f aca="false">SUMIFS('SALES Raw'!$E$6:$E$1634,'SALES Raw'!$J$6:$J$1634,$J86,'SALES Raw'!$K$6:$K$1634,"Y")*$H$4</f>
        <v>454.736842105263</v>
      </c>
      <c r="G86" s="8" t="n">
        <f aca="false">SUMIFS('SALES Raw'!$F$6:$F$1634,'SALES Raw'!$J$6:$J$1634,$J86,'SALES Raw'!$K$6:$K$1634,"Y")*$H$4</f>
        <v>5072.52631578947</v>
      </c>
      <c r="H86" s="16" t="s">
        <v>38</v>
      </c>
      <c r="I86" s="16" t="s">
        <v>30</v>
      </c>
      <c r="J86" s="16" t="n">
        <v>4413490</v>
      </c>
    </row>
    <row r="87" customFormat="false" ht="15" hidden="false" customHeight="false" outlineLevel="0" collapsed="false">
      <c r="A87" s="16" t="n">
        <f aca="false">IF(ISNUMBER($J87),$J87,"")</f>
        <v>4420022</v>
      </c>
      <c r="B87" s="16" t="str">
        <f aca="false">IFERROR(INDEX('SALES Raw'!$B$6:$B$1634,MATCH($J87,'SALES Raw'!$J$6:$J$1634,0)),$J87)</f>
        <v>LF370 0</v>
      </c>
      <c r="C87" s="16" t="str">
        <f aca="false">IF(ISNUMBER($J87),IFERROR(INDEX('TRANS'!$C:$C,MATCH($J87,'TRANS'!$B:$B,0)),IFERROR(INDEX('Catalog'!$B:$B,MATCH($J87,'Catalog'!$A:$A,0)),$B87)),$B87)</f>
        <v>LF370 ריפוד סיליקון לעקב אחורי</v>
      </c>
      <c r="D87" s="8" t="n">
        <f aca="false">SUMIFS('SALES Raw'!$C$6:$C$1634,'SALES Raw'!$J$6:$J$1634,$J87,'SALES Raw'!$K$6:$K$1634,"Y")</f>
        <v>390</v>
      </c>
      <c r="E87" s="8" t="n">
        <f aca="false">SUMIFS('SALES Raw'!$D$6:$D$1634,'SALES Raw'!$J$6:$J$1634,$J87,'SALES Raw'!$K$6:$K$1634,"Y")</f>
        <v>3217.06</v>
      </c>
      <c r="F87" s="8" t="n">
        <f aca="false">SUMIFS('SALES Raw'!$E$6:$E$1634,'SALES Raw'!$J$6:$J$1634,$J87,'SALES Raw'!$K$6:$K$1634,"Y")*$H$4</f>
        <v>442.105263157895</v>
      </c>
      <c r="G87" s="8" t="n">
        <f aca="false">SUMIFS('SALES Raw'!$F$6:$F$1634,'SALES Raw'!$J$6:$J$1634,$J87,'SALES Raw'!$K$6:$K$1634,"Y")*$H$4</f>
        <v>3125.00210526316</v>
      </c>
      <c r="H87" s="16" t="s">
        <v>30</v>
      </c>
      <c r="I87" s="16" t="s">
        <v>38</v>
      </c>
      <c r="J87" s="16" t="n">
        <v>4420022</v>
      </c>
    </row>
    <row r="88" customFormat="false" ht="15" hidden="false" customHeight="false" outlineLevel="0" collapsed="false">
      <c r="A88" s="16" t="n">
        <f aca="false">IF(ISNUMBER($J88),$J88,"")</f>
        <v>4413496</v>
      </c>
      <c r="B88" s="16" t="str">
        <f aca="false">IFERROR(INDEX('SALES Raw'!$B$6:$B$1634,MATCH($J88,'SALES Raw'!$J$6:$J$1634,0)),$J88)</f>
        <v>45B XL</v>
      </c>
      <c r="C88" s="16" t="str">
        <f aca="false">IF(ISNUMBER($J88),IFERROR(INDEX('TRANS'!$C:$C,MATCH($J88,'TRANS'!$B:$B,0)),IFERROR(INDEX('Catalog'!$B:$B,MATCH($J88,'Catalog'!$A:$A,0)),$B88)),$B88)</f>
        <v>45B XL מגן ברך שחור</v>
      </c>
      <c r="D88" s="8" t="n">
        <f aca="false">SUMIFS('SALES Raw'!$C$6:$C$1634,'SALES Raw'!$J$6:$J$1634,$J88,'SALES Raw'!$K$6:$K$1634,"Y")</f>
        <v>725</v>
      </c>
      <c r="E88" s="8" t="n">
        <f aca="false">SUMIFS('SALES Raw'!$D$6:$D$1634,'SALES Raw'!$J$6:$J$1634,$J88,'SALES Raw'!$K$6:$K$1634,"Y")</f>
        <v>9692.75</v>
      </c>
      <c r="F88" s="8" t="n">
        <f aca="false">SUMIFS('SALES Raw'!$E$6:$E$1634,'SALES Raw'!$J$6:$J$1634,$J88,'SALES Raw'!$K$6:$K$1634,"Y")*$H$4</f>
        <v>435.789473684211</v>
      </c>
      <c r="G88" s="8" t="n">
        <f aca="false">SUMIFS('SALES Raw'!$F$6:$F$1634,'SALES Raw'!$J$6:$J$1634,$J88,'SALES Raw'!$K$6:$K$1634,"Y")*$H$4</f>
        <v>5220.93473684211</v>
      </c>
      <c r="H88" s="16" t="s">
        <v>30</v>
      </c>
      <c r="I88" s="16" t="s">
        <v>38</v>
      </c>
      <c r="J88" s="16" t="n">
        <v>4413496</v>
      </c>
    </row>
    <row r="89" customFormat="false" ht="15" hidden="false" customHeight="false" outlineLevel="0" collapsed="false">
      <c r="A89" s="16" t="str">
        <f aca="false">IF(ISNUMBER($J89),$J89,"")</f>
        <v/>
      </c>
      <c r="B89" s="16" t="str">
        <f aca="false">IFERROR(INDEX('SALES Raw'!$B$6:$B$1634,MATCH($J89,'SALES Raw'!$J$6:$J$1634,0)),$J89)</f>
        <v>305-45-46</v>
      </c>
      <c r="C89" s="16" t="str">
        <f aca="false">IF(ISNUMBER($J89),IFERROR(INDEX('TRANS'!$C:$C,MATCH($J89,'TRANS'!$B:$B,0)),IFERROR(INDEX('Catalog'!$B:$B,MATCH($J89,'Catalog'!$A:$A,0)),$B89)),$B89)</f>
        <v>305-45-46</v>
      </c>
      <c r="D89" s="8" t="n">
        <f aca="false">SUMIFS('SALES Raw'!$C$6:$C$1634,'SALES Raw'!$J$6:$J$1634,$J89,'SALES Raw'!$K$6:$K$1634,"Y")</f>
        <v>521</v>
      </c>
      <c r="E89" s="8" t="n">
        <f aca="false">SUMIFS('SALES Raw'!$D$6:$D$1634,'SALES Raw'!$J$6:$J$1634,$J89,'SALES Raw'!$K$6:$K$1634,"Y")</f>
        <v>14720.05</v>
      </c>
      <c r="F89" s="8" t="n">
        <f aca="false">SUMIFS('SALES Raw'!$E$6:$E$1634,'SALES Raw'!$J$6:$J$1634,$J89,'SALES Raw'!$K$6:$K$1634,"Y")*$H$4</f>
        <v>435.789473684211</v>
      </c>
      <c r="G89" s="8" t="n">
        <f aca="false">SUMIFS('SALES Raw'!$F$6:$F$1634,'SALES Raw'!$J$6:$J$1634,$J89,'SALES Raw'!$K$6:$K$1634,"Y")*$H$4</f>
        <v>14494.6736842105</v>
      </c>
      <c r="H89" s="16" t="s">
        <v>44</v>
      </c>
      <c r="I89" s="16" t="s">
        <v>38</v>
      </c>
      <c r="J89" s="16" t="s">
        <v>76</v>
      </c>
    </row>
    <row r="90" customFormat="false" ht="15" hidden="false" customHeight="false" outlineLevel="0" collapsed="false">
      <c r="A90" s="16" t="n">
        <f aca="false">IF(ISNUMBER($J90),$J90,"")</f>
        <v>4415299</v>
      </c>
      <c r="B90" s="16" t="str">
        <f aca="false">IFERROR(INDEX('SALES Raw'!$B$6:$B$1634,MATCH($J90,'SALES Raw'!$J$6:$J$1634,0)),$J90)</f>
        <v>388BR 0</v>
      </c>
      <c r="C90" s="16" t="str">
        <f aca="false">IF(ISNUMBER($J90),IFERROR(INDEX('TRANS'!$C:$C,MATCH($J90,'TRANS'!$B:$B,0)),IFERROR(INDEX('Catalog'!$B:$B,MATCH($J90,'Catalog'!$A:$A,0)),$B90)),$B90)</f>
        <v>388B L סד לילה שחור לבוהן ימין</v>
      </c>
      <c r="D90" s="8" t="n">
        <f aca="false">SUMIFS('SALES Raw'!$C$6:$C$1634,'SALES Raw'!$J$6:$J$1634,$J90,'SALES Raw'!$K$6:$K$1634,"Y")</f>
        <v>492</v>
      </c>
      <c r="E90" s="8" t="n">
        <f aca="false">SUMIFS('SALES Raw'!$D$6:$D$1634,'SALES Raw'!$J$6:$J$1634,$J90,'SALES Raw'!$K$6:$K$1634,"Y")</f>
        <v>17918.99</v>
      </c>
      <c r="F90" s="8" t="n">
        <f aca="false">SUMIFS('SALES Raw'!$E$6:$E$1634,'SALES Raw'!$J$6:$J$1634,$J90,'SALES Raw'!$K$6:$K$1634,"Y")*$H$4</f>
        <v>435.789473684211</v>
      </c>
      <c r="G90" s="8" t="n">
        <f aca="false">SUMIFS('SALES Raw'!$F$6:$F$1634,'SALES Raw'!$J$6:$J$1634,$J90,'SALES Raw'!$K$6:$K$1634,"Y")*$H$4</f>
        <v>13762.4715789474</v>
      </c>
      <c r="H90" s="16" t="s">
        <v>44</v>
      </c>
      <c r="I90" s="16" t="s">
        <v>38</v>
      </c>
      <c r="J90" s="16" t="n">
        <v>4415299</v>
      </c>
    </row>
    <row r="91" customFormat="false" ht="15" hidden="false" customHeight="false" outlineLevel="0" collapsed="false">
      <c r="A91" s="16" t="n">
        <f aca="false">IF(ISNUMBER($J91),$J91,"")</f>
        <v>4413092</v>
      </c>
      <c r="B91" s="16" t="str">
        <f aca="false">IFERROR(INDEX('SALES Raw'!$B$6:$B$1634,MATCH($J91,'SALES Raw'!$J$6:$J$1634,0)),$J91)</f>
        <v>45 L</v>
      </c>
      <c r="C91" s="16" t="str">
        <f aca="false">IF(ISNUMBER($J91),IFERROR(INDEX('TRANS'!$C:$C,MATCH($J91,'TRANS'!$B:$B,0)),IFERROR(INDEX('Catalog'!$B:$B,MATCH($J91,'Catalog'!$A:$A,0)),$B91)),$B91)</f>
        <v>45 L מגן ברך לבן</v>
      </c>
      <c r="D91" s="8" t="n">
        <f aca="false">SUMIFS('SALES Raw'!$C$6:$C$1634,'SALES Raw'!$J$6:$J$1634,$J91,'SALES Raw'!$K$6:$K$1634,"Y")</f>
        <v>717</v>
      </c>
      <c r="E91" s="8" t="n">
        <f aca="false">SUMIFS('SALES Raw'!$D$6:$D$1634,'SALES Raw'!$J$6:$J$1634,$J91,'SALES Raw'!$K$6:$K$1634,"Y")</f>
        <v>8347.24</v>
      </c>
      <c r="F91" s="8" t="n">
        <f aca="false">SUMIFS('SALES Raw'!$E$6:$E$1634,'SALES Raw'!$J$6:$J$1634,$J91,'SALES Raw'!$K$6:$K$1634,"Y")*$H$4</f>
        <v>424.421052631579</v>
      </c>
      <c r="G91" s="8" t="n">
        <f aca="false">SUMIFS('SALES Raw'!$F$6:$F$1634,'SALES Raw'!$J$6:$J$1634,$J91,'SALES Raw'!$K$6:$K$1634,"Y")*$H$4</f>
        <v>4628.70315789474</v>
      </c>
      <c r="H91" s="16" t="s">
        <v>42</v>
      </c>
      <c r="I91" s="16" t="s">
        <v>30</v>
      </c>
      <c r="J91" s="16" t="n">
        <v>4413092</v>
      </c>
    </row>
    <row r="92" customFormat="false" ht="15" hidden="false" customHeight="false" outlineLevel="0" collapsed="false">
      <c r="A92" s="16" t="n">
        <f aca="false">IF(ISNUMBER($J92),$J92,"")</f>
        <v>4408047</v>
      </c>
      <c r="B92" s="16" t="str">
        <f aca="false">IFERROR(INDEX('SALES Raw'!$B$6:$B$1634,MATCH($J92,'SALES Raw'!$J$6:$J$1634,0)),$J92)</f>
        <v>20 M</v>
      </c>
      <c r="C92" s="16" t="str">
        <f aca="false">IF(ISNUMBER($J92),IFERROR(INDEX('TRANS'!$C:$C,MATCH($J92,'TRANS'!$B:$B,0)),IFERROR(INDEX('Catalog'!$B:$B,MATCH($J92,'Catalog'!$A:$A,0)),$B92)),$B92)</f>
        <v>20 M חבק יד מתכוון עם צמדן</v>
      </c>
      <c r="D92" s="8" t="n">
        <f aca="false">SUMIFS('SALES Raw'!$C$6:$C$1634,'SALES Raw'!$J$6:$J$1634,$J92,'SALES Raw'!$K$6:$K$1634,"Y")</f>
        <v>377</v>
      </c>
      <c r="E92" s="8" t="n">
        <f aca="false">SUMIFS('SALES Raw'!$D$6:$D$1634,'SALES Raw'!$J$6:$J$1634,$J92,'SALES Raw'!$K$6:$K$1634,"Y")</f>
        <v>7121.37</v>
      </c>
      <c r="F92" s="8" t="n">
        <f aca="false">SUMIFS('SALES Raw'!$E$6:$E$1634,'SALES Raw'!$J$6:$J$1634,$J92,'SALES Raw'!$K$6:$K$1634,"Y")*$H$4</f>
        <v>421.894736842105</v>
      </c>
      <c r="G92" s="8" t="n">
        <f aca="false">SUMIFS('SALES Raw'!$F$6:$F$1634,'SALES Raw'!$J$6:$J$1634,$J92,'SALES Raw'!$K$6:$K$1634,"Y")*$H$4</f>
        <v>6674.09684210526</v>
      </c>
      <c r="H92" s="16" t="s">
        <v>30</v>
      </c>
      <c r="I92" s="16" t="s">
        <v>38</v>
      </c>
      <c r="J92" s="16" t="n">
        <v>4408047</v>
      </c>
    </row>
    <row r="93" customFormat="false" ht="15" hidden="false" customHeight="false" outlineLevel="0" collapsed="false">
      <c r="A93" s="16" t="n">
        <f aca="false">IF(ISNUMBER($J93),$J93,"")</f>
        <v>4413100</v>
      </c>
      <c r="B93" s="16" t="str">
        <f aca="false">IFERROR(INDEX('SALES Raw'!$B$6:$B$1634,MATCH($J93,'SALES Raw'!$J$6:$J$1634,0)),$J93)</f>
        <v>45C XL</v>
      </c>
      <c r="C93" s="16" t="str">
        <f aca="false">IF(ISNUMBER($J93),IFERROR(INDEX('TRANS'!$C:$C,MATCH($J93,'TRANS'!$B:$B,0)),IFERROR(INDEX('Catalog'!$B:$B,MATCH($J93,'Catalog'!$A:$A,0)),$B93)),$B93)</f>
        <v>45C XL מגן ברך חום</v>
      </c>
      <c r="D93" s="8" t="n">
        <f aca="false">SUMIFS('SALES Raw'!$C$6:$C$1634,'SALES Raw'!$J$6:$J$1634,$J93,'SALES Raw'!$K$6:$K$1634,"Y")</f>
        <v>505</v>
      </c>
      <c r="E93" s="8" t="n">
        <f aca="false">SUMIFS('SALES Raw'!$D$6:$D$1634,'SALES Raw'!$J$6:$J$1634,$J93,'SALES Raw'!$K$6:$K$1634,"Y")</f>
        <v>6262.74</v>
      </c>
      <c r="F93" s="8" t="n">
        <f aca="false">SUMIFS('SALES Raw'!$E$6:$E$1634,'SALES Raw'!$J$6:$J$1634,$J93,'SALES Raw'!$K$6:$K$1634,"Y")*$H$4</f>
        <v>413.052631578947</v>
      </c>
      <c r="G93" s="8" t="n">
        <f aca="false">SUMIFS('SALES Raw'!$F$6:$F$1634,'SALES Raw'!$J$6:$J$1634,$J93,'SALES Raw'!$K$6:$K$1634,"Y")*$H$4</f>
        <v>4709.62105263158</v>
      </c>
      <c r="H93" s="16" t="s">
        <v>30</v>
      </c>
      <c r="I93" s="16" t="s">
        <v>38</v>
      </c>
      <c r="J93" s="16" t="n">
        <v>4413100</v>
      </c>
    </row>
    <row r="94" customFormat="false" ht="15" hidden="false" customHeight="false" outlineLevel="0" collapsed="false">
      <c r="A94" s="16" t="n">
        <f aca="false">IF(ISNUMBER($J94),$J94,"")</f>
        <v>4415298</v>
      </c>
      <c r="B94" s="16" t="str">
        <f aca="false">IFERROR(INDEX('SALES Raw'!$B$6:$B$1634,MATCH($J94,'SALES Raw'!$J$6:$J$1634,0)),$J94)</f>
        <v>388BL 0</v>
      </c>
      <c r="C94" s="16" t="str">
        <f aca="false">IF(ISNUMBER($J94),IFERROR(INDEX('TRANS'!$C:$C,MATCH($J94,'TRANS'!$B:$B,0)),IFERROR(INDEX('Catalog'!$B:$B,MATCH($J94,'Catalog'!$A:$A,0)),$B94)),$B94)</f>
        <v>388B L סד לילה שחור לבוהן שמאל</v>
      </c>
      <c r="D94" s="8" t="n">
        <f aca="false">SUMIFS('SALES Raw'!$C$6:$C$1634,'SALES Raw'!$J$6:$J$1634,$J94,'SALES Raw'!$K$6:$K$1634,"Y")</f>
        <v>454</v>
      </c>
      <c r="E94" s="8" t="n">
        <f aca="false">SUMIFS('SALES Raw'!$D$6:$D$1634,'SALES Raw'!$J$6:$J$1634,$J94,'SALES Raw'!$K$6:$K$1634,"Y")</f>
        <v>15946.59</v>
      </c>
      <c r="F94" s="8" t="n">
        <f aca="false">SUMIFS('SALES Raw'!$E$6:$E$1634,'SALES Raw'!$J$6:$J$1634,$J94,'SALES Raw'!$K$6:$K$1634,"Y")*$H$4</f>
        <v>405.473684210526</v>
      </c>
      <c r="G94" s="8" t="n">
        <f aca="false">SUMIFS('SALES Raw'!$F$6:$F$1634,'SALES Raw'!$J$6:$J$1634,$J94,'SALES Raw'!$K$6:$K$1634,"Y")*$H$4</f>
        <v>12774.8589473684</v>
      </c>
      <c r="H94" s="16" t="s">
        <v>44</v>
      </c>
      <c r="I94" s="16" t="s">
        <v>38</v>
      </c>
      <c r="J94" s="16" t="n">
        <v>4415298</v>
      </c>
    </row>
    <row r="95" customFormat="false" ht="15" hidden="false" customHeight="false" outlineLevel="0" collapsed="false">
      <c r="A95" s="16" t="str">
        <f aca="false">IF(ISNUMBER($J95),$J95,"")</f>
        <v/>
      </c>
      <c r="B95" s="16" t="str">
        <f aca="false">IFERROR(INDEX('SALES Raw'!$B$6:$B$1634,MATCH($J95,'SALES Raw'!$J$6:$J$1634,0)),$J95)</f>
        <v>ST27L 0</v>
      </c>
      <c r="C95" s="16" t="str">
        <f aca="false">IF(ISNUMBER($J95),IFERROR(INDEX('TRANS'!$C:$C,MATCH($J95,'TRANS'!$B:$B,0)),IFERROR(INDEX('Catalog'!$B:$B,MATCH($J95,'Catalog'!$A:$A,0)),$B95)),$B95)</f>
        <v>ST27L 0</v>
      </c>
      <c r="D95" s="8" t="n">
        <f aca="false">SUMIFS('SALES Raw'!$C$6:$C$1634,'SALES Raw'!$J$6:$J$1634,$J95,'SALES Raw'!$K$6:$K$1634,"Y")</f>
        <v>459</v>
      </c>
      <c r="E95" s="8" t="n">
        <f aca="false">SUMIFS('SALES Raw'!$D$6:$D$1634,'SALES Raw'!$J$6:$J$1634,$J95,'SALES Raw'!$K$6:$K$1634,"Y")</f>
        <v>11382.24</v>
      </c>
      <c r="F95" s="8" t="n">
        <f aca="false">SUMIFS('SALES Raw'!$E$6:$E$1634,'SALES Raw'!$J$6:$J$1634,$J95,'SALES Raw'!$K$6:$K$1634,"Y")*$H$4</f>
        <v>404.21052631579</v>
      </c>
      <c r="G95" s="8" t="n">
        <f aca="false">SUMIFS('SALES Raw'!$F$6:$F$1634,'SALES Raw'!$J$6:$J$1634,$J95,'SALES Raw'!$K$6:$K$1634,"Y")*$H$4</f>
        <v>7923.6</v>
      </c>
      <c r="H95" s="16" t="s">
        <v>42</v>
      </c>
      <c r="I95" s="16" t="s">
        <v>30</v>
      </c>
      <c r="J95" s="16" t="s">
        <v>77</v>
      </c>
    </row>
    <row r="96" customFormat="false" ht="15" hidden="false" customHeight="false" outlineLevel="0" collapsed="false">
      <c r="A96" s="16" t="n">
        <f aca="false">IF(ISNUMBER($J96),$J96,"")</f>
        <v>4413372</v>
      </c>
      <c r="B96" s="16" t="str">
        <f aca="false">IFERROR(INDEX('SALES Raw'!$B$6:$B$1634,MATCH($J96,'SALES Raw'!$J$6:$J$1634,0)),$J96)</f>
        <v>302W 0</v>
      </c>
      <c r="C96" s="16" t="str">
        <f aca="false">IF(ISNUMBER($J96),IFERROR(INDEX('TRANS'!$C:$C,MATCH($J96,'TRANS'!$B:$B,0)),IFERROR(INDEX('Catalog'!$B:$B,MATCH($J96,'Catalog'!$A:$A,0)),$B96)),$B96)</f>
        <v>302 W מדרס לאישה</v>
      </c>
      <c r="D96" s="8" t="n">
        <f aca="false">SUMIFS('SALES Raw'!$C$6:$C$1634,'SALES Raw'!$J$6:$J$1634,$J96,'SALES Raw'!$K$6:$K$1634,"Y")</f>
        <v>515</v>
      </c>
      <c r="E96" s="8" t="n">
        <f aca="false">SUMIFS('SALES Raw'!$D$6:$D$1634,'SALES Raw'!$J$6:$J$1634,$J96,'SALES Raw'!$K$6:$K$1634,"Y")</f>
        <v>16108.23</v>
      </c>
      <c r="F96" s="8" t="n">
        <f aca="false">SUMIFS('SALES Raw'!$E$6:$E$1634,'SALES Raw'!$J$6:$J$1634,$J96,'SALES Raw'!$K$6:$K$1634,"Y")*$H$4</f>
        <v>402.947368421053</v>
      </c>
      <c r="G96" s="8" t="n">
        <f aca="false">SUMIFS('SALES Raw'!$F$6:$F$1634,'SALES Raw'!$J$6:$J$1634,$J96,'SALES Raw'!$K$6:$K$1634,"Y")*$H$4</f>
        <v>11259.7389473684</v>
      </c>
      <c r="H96" s="16" t="s">
        <v>30</v>
      </c>
      <c r="I96" s="16" t="s">
        <v>38</v>
      </c>
      <c r="J96" s="16" t="n">
        <v>4413372</v>
      </c>
    </row>
    <row r="97" customFormat="false" ht="15" hidden="false" customHeight="false" outlineLevel="0" collapsed="false">
      <c r="A97" s="16" t="n">
        <f aca="false">IF(ISNUMBER($J97),$J97,"")</f>
        <v>4408051</v>
      </c>
      <c r="B97" s="16" t="str">
        <f aca="false">IFERROR(INDEX('SALES Raw'!$B$6:$B$1634,MATCH($J97,'SALES Raw'!$J$6:$J$1634,0)),$J97)</f>
        <v>21 S</v>
      </c>
      <c r="C97" s="16" t="str">
        <f aca="false">IF(ISNUMBER($J97),IFERROR(INDEX('TRANS'!$C:$C,MATCH($J97,'TRANS'!$B:$B,0)),IFERROR(INDEX('Catalog'!$B:$B,MATCH($J97,'Catalog'!$A:$A,0)),$B97)),$B97)</f>
        <v>21 S  חבק יד ארוך</v>
      </c>
      <c r="D97" s="8" t="n">
        <f aca="false">SUMIFS('SALES Raw'!$C$6:$C$1634,'SALES Raw'!$J$6:$J$1634,$J97,'SALES Raw'!$K$6:$K$1634,"Y")</f>
        <v>464</v>
      </c>
      <c r="E97" s="8" t="n">
        <f aca="false">SUMIFS('SALES Raw'!$D$6:$D$1634,'SALES Raw'!$J$6:$J$1634,$J97,'SALES Raw'!$K$6:$K$1634,"Y")</f>
        <v>9036.02</v>
      </c>
      <c r="F97" s="8" t="n">
        <f aca="false">SUMIFS('SALES Raw'!$E$6:$E$1634,'SALES Raw'!$J$6:$J$1634,$J97,'SALES Raw'!$K$6:$K$1634,"Y")*$H$4</f>
        <v>384</v>
      </c>
      <c r="G97" s="8" t="n">
        <f aca="false">SUMIFS('SALES Raw'!$F$6:$F$1634,'SALES Raw'!$J$6:$J$1634,$J97,'SALES Raw'!$K$6:$K$1634,"Y")*$H$4</f>
        <v>6670.78736842105</v>
      </c>
      <c r="H97" s="16" t="s">
        <v>30</v>
      </c>
      <c r="I97" s="16" t="s">
        <v>38</v>
      </c>
      <c r="J97" s="16" t="n">
        <v>4408051</v>
      </c>
    </row>
    <row r="98" customFormat="false" ht="15" hidden="false" customHeight="false" outlineLevel="0" collapsed="false">
      <c r="A98" s="16" t="n">
        <f aca="false">IF(ISNUMBER($J98),$J98,"")</f>
        <v>4415159</v>
      </c>
      <c r="B98" s="16" t="str">
        <f aca="false">IFERROR(INDEX('SALES Raw'!$B$6:$B$1634,MATCH($J98,'SALES Raw'!$J$6:$J$1634,0)),$J98)</f>
        <v>268 0</v>
      </c>
      <c r="C98" s="16" t="str">
        <f aca="false">IF(ISNUMBER($J98),IFERROR(INDEX('TRANS'!$C:$C,MATCH($J98,'TRANS'!$B:$B,0)),IFERROR(INDEX('Catalog'!$B:$B,MATCH($J98,'Catalog'!$A:$A,0)),$B98)),$B98)</f>
        <v>268 סד לאגודל</v>
      </c>
      <c r="D98" s="8" t="n">
        <f aca="false">SUMIFS('SALES Raw'!$C$6:$C$1634,'SALES Raw'!$J$6:$J$1634,$J98,'SALES Raw'!$K$6:$K$1634,"Y")</f>
        <v>420</v>
      </c>
      <c r="E98" s="8" t="n">
        <f aca="false">SUMIFS('SALES Raw'!$D$6:$D$1634,'SALES Raw'!$J$6:$J$1634,$J98,'SALES Raw'!$K$6:$K$1634,"Y")</f>
        <v>14361.11</v>
      </c>
      <c r="F98" s="8" t="n">
        <f aca="false">SUMIFS('SALES Raw'!$E$6:$E$1634,'SALES Raw'!$J$6:$J$1634,$J98,'SALES Raw'!$K$6:$K$1634,"Y")*$H$4</f>
        <v>378.947368421053</v>
      </c>
      <c r="G98" s="8" t="n">
        <f aca="false">SUMIFS('SALES Raw'!$F$6:$F$1634,'SALES Raw'!$J$6:$J$1634,$J98,'SALES Raw'!$K$6:$K$1634,"Y")*$H$4</f>
        <v>11705.3178947368</v>
      </c>
      <c r="H98" s="16" t="s">
        <v>38</v>
      </c>
      <c r="I98" s="16" t="s">
        <v>32</v>
      </c>
      <c r="J98" s="16" t="n">
        <v>4415159</v>
      </c>
    </row>
    <row r="99" customFormat="false" ht="15" hidden="false" customHeight="false" outlineLevel="0" collapsed="false">
      <c r="A99" s="16" t="n">
        <f aca="false">IF(ISNUMBER($J99),$J99,"")</f>
        <v>4413500</v>
      </c>
      <c r="B99" s="16" t="str">
        <f aca="false">IFERROR(INDEX('SALES Raw'!$B$6:$B$1634,MATCH($J99,'SALES Raw'!$J$6:$J$1634,0)),$J99)</f>
        <v>95B L</v>
      </c>
      <c r="C99" s="16" t="str">
        <f aca="false">IF(ISNUMBER($J99),IFERROR(INDEX('TRANS'!$C:$C,MATCH($J99,'TRANS'!$B:$B,0)),IFERROR(INDEX('Catalog'!$B:$B,MATCH($J99,'Catalog'!$A:$A,0)),$B99)),$B99)</f>
        <v>95B L מגן מרפק שחור</v>
      </c>
      <c r="D99" s="8" t="n">
        <f aca="false">SUMIFS('SALES Raw'!$C$6:$C$1634,'SALES Raw'!$J$6:$J$1634,$J99,'SALES Raw'!$K$6:$K$1634,"Y")</f>
        <v>430</v>
      </c>
      <c r="E99" s="8" t="n">
        <f aca="false">SUMIFS('SALES Raw'!$D$6:$D$1634,'SALES Raw'!$J$6:$J$1634,$J99,'SALES Raw'!$K$6:$K$1634,"Y")</f>
        <v>5743.21</v>
      </c>
      <c r="F99" s="8" t="n">
        <f aca="false">SUMIFS('SALES Raw'!$E$6:$E$1634,'SALES Raw'!$J$6:$J$1634,$J99,'SALES Raw'!$K$6:$K$1634,"Y")*$H$4</f>
        <v>372.631578947368</v>
      </c>
      <c r="G99" s="8" t="n">
        <f aca="false">SUMIFS('SALES Raw'!$F$6:$F$1634,'SALES Raw'!$J$6:$J$1634,$J99,'SALES Raw'!$K$6:$K$1634,"Y")*$H$4</f>
        <v>4440.87157894737</v>
      </c>
      <c r="H99" s="16" t="s">
        <v>30</v>
      </c>
      <c r="I99" s="16" t="s">
        <v>38</v>
      </c>
      <c r="J99" s="16" t="n">
        <v>4413500</v>
      </c>
    </row>
    <row r="100" customFormat="false" ht="15" hidden="false" customHeight="false" outlineLevel="0" collapsed="false">
      <c r="A100" s="16" t="n">
        <f aca="false">IF(ISNUMBER($J100),$J100,"")</f>
        <v>4408206</v>
      </c>
      <c r="B100" s="16" t="str">
        <f aca="false">IFERROR(INDEX('SALES Raw'!$B$6:$B$1634,MATCH($J100,'SALES Raw'!$J$6:$J$1634,0)),$J100)</f>
        <v>AC11 0</v>
      </c>
      <c r="C100" s="16" t="str">
        <f aca="false">IF(ISNUMBER($J100),IFERROR(INDEX('TRANS'!$C:$C,MATCH($J100,'TRANS'!$B:$B,0)),IFERROR(INDEX('Catalog'!$B:$B,MATCH($J100,'Catalog'!$A:$A,0)),$B100)),$B100)</f>
        <v>AC-11 חגורת בטן קלה</v>
      </c>
      <c r="D100" s="8" t="n">
        <f aca="false">SUMIFS('SALES Raw'!$C$6:$C$1634,'SALES Raw'!$J$6:$J$1634,$J100,'SALES Raw'!$K$6:$K$1634,"Y")</f>
        <v>446</v>
      </c>
      <c r="E100" s="8" t="n">
        <f aca="false">SUMIFS('SALES Raw'!$D$6:$D$1634,'SALES Raw'!$J$6:$J$1634,$J100,'SALES Raw'!$K$6:$K$1634,"Y")</f>
        <v>15212.01</v>
      </c>
      <c r="F100" s="8" t="n">
        <f aca="false">SUMIFS('SALES Raw'!$E$6:$E$1634,'SALES Raw'!$J$6:$J$1634,$J100,'SALES Raw'!$K$6:$K$1634,"Y")*$H$4</f>
        <v>372.631578947368</v>
      </c>
      <c r="G100" s="8" t="n">
        <f aca="false">SUMIFS('SALES Raw'!$F$6:$F$1634,'SALES Raw'!$J$6:$J$1634,$J100,'SALES Raw'!$K$6:$K$1634,"Y")*$H$4</f>
        <v>11818.5094736842</v>
      </c>
      <c r="H100" s="16" t="s">
        <v>38</v>
      </c>
      <c r="I100" s="16" t="s">
        <v>32</v>
      </c>
      <c r="J100" s="16" t="n">
        <v>4408206</v>
      </c>
    </row>
    <row r="101" customFormat="false" ht="15" hidden="false" customHeight="false" outlineLevel="0" collapsed="false">
      <c r="A101" s="16" t="n">
        <f aca="false">IF(ISNUMBER($J101),$J101,"")</f>
        <v>4413054</v>
      </c>
      <c r="B101" s="16" t="str">
        <f aca="false">IFERROR(INDEX('SALES Raw'!$B$6:$B$1634,MATCH($J101,'SALES Raw'!$J$6:$J$1634,0)),$J101)</f>
        <v>35C M</v>
      </c>
      <c r="C101" s="16" t="str">
        <f aca="false">IF(ISNUMBER($J101),IFERROR(INDEX('TRANS'!$C:$C,MATCH($J101,'TRANS'!$B:$B,0)),IFERROR(INDEX('Catalog'!$B:$B,MATCH($J101,'Catalog'!$A:$A,0)),$B101)),$B101)</f>
        <v>35C M מגן קרסול חום</v>
      </c>
      <c r="D101" s="8" t="n">
        <f aca="false">SUMIFS('SALES Raw'!$C$6:$C$1634,'SALES Raw'!$J$6:$J$1634,$J101,'SALES Raw'!$K$6:$K$1634,"Y")</f>
        <v>454</v>
      </c>
      <c r="E101" s="8" t="n">
        <f aca="false">SUMIFS('SALES Raw'!$D$6:$D$1634,'SALES Raw'!$J$6:$J$1634,$J101,'SALES Raw'!$K$6:$K$1634,"Y")</f>
        <v>5764.87</v>
      </c>
      <c r="F101" s="8" t="n">
        <f aca="false">SUMIFS('SALES Raw'!$E$6:$E$1634,'SALES Raw'!$J$6:$J$1634,$J101,'SALES Raw'!$K$6:$K$1634,"Y")*$H$4</f>
        <v>366.315789473684</v>
      </c>
      <c r="G101" s="8" t="n">
        <f aca="false">SUMIFS('SALES Raw'!$F$6:$F$1634,'SALES Raw'!$J$6:$J$1634,$J101,'SALES Raw'!$K$6:$K$1634,"Y")*$H$4</f>
        <v>3994.63578947368</v>
      </c>
      <c r="H101" s="16" t="s">
        <v>38</v>
      </c>
      <c r="I101" s="16" t="s">
        <v>30</v>
      </c>
      <c r="J101" s="16" t="n">
        <v>4413054</v>
      </c>
    </row>
    <row r="102" customFormat="false" ht="15" hidden="false" customHeight="false" outlineLevel="0" collapsed="false">
      <c r="A102" s="16" t="n">
        <f aca="false">IF(ISNUMBER($J102),$J102,"")</f>
        <v>4413493</v>
      </c>
      <c r="B102" s="16" t="str">
        <f aca="false">IFERROR(INDEX('SALES Raw'!$B$6:$B$1634,MATCH($J102,'SALES Raw'!$J$6:$J$1634,0)),$J102)</f>
        <v>35B S</v>
      </c>
      <c r="C102" s="16" t="str">
        <f aca="false">IF(ISNUMBER($J102),IFERROR(INDEX('TRANS'!$C:$C,MATCH($J102,'TRANS'!$B:$B,0)),IFERROR(INDEX('Catalog'!$B:$B,MATCH($J102,'Catalog'!$A:$A,0)),$B102)),$B102)</f>
        <v>35B S מגן קרסול שחור</v>
      </c>
      <c r="D102" s="8" t="n">
        <f aca="false">SUMIFS('SALES Raw'!$C$6:$C$1634,'SALES Raw'!$J$6:$J$1634,$J102,'SALES Raw'!$K$6:$K$1634,"Y")</f>
        <v>417</v>
      </c>
      <c r="E102" s="8" t="n">
        <f aca="false">SUMIFS('SALES Raw'!$D$6:$D$1634,'SALES Raw'!$J$6:$J$1634,$J102,'SALES Raw'!$K$6:$K$1634,"Y")</f>
        <v>5608.86</v>
      </c>
      <c r="F102" s="8" t="n">
        <f aca="false">SUMIFS('SALES Raw'!$E$6:$E$1634,'SALES Raw'!$J$6:$J$1634,$J102,'SALES Raw'!$K$6:$K$1634,"Y")*$H$4</f>
        <v>358.736842105263</v>
      </c>
      <c r="G102" s="8" t="n">
        <f aca="false">SUMIFS('SALES Raw'!$F$6:$F$1634,'SALES Raw'!$J$6:$J$1634,$J102,'SALES Raw'!$K$6:$K$1634,"Y")*$H$4</f>
        <v>4110.87157894737</v>
      </c>
      <c r="H102" s="16" t="s">
        <v>30</v>
      </c>
      <c r="I102" s="16" t="s">
        <v>38</v>
      </c>
      <c r="J102" s="16" t="n">
        <v>4413493</v>
      </c>
    </row>
    <row r="103" customFormat="false" ht="15" hidden="false" customHeight="false" outlineLevel="0" collapsed="false">
      <c r="A103" s="16" t="n">
        <f aca="false">IF(ISNUMBER($J103),$J103,"")</f>
        <v>4415029</v>
      </c>
      <c r="B103" s="16" t="str">
        <f aca="false">IFERROR(INDEX('SALES Raw'!$B$6:$B$1634,MATCH($J103,'SALES Raw'!$J$6:$J$1634,0)),$J103)</f>
        <v>237 0</v>
      </c>
      <c r="C103" s="16" t="str">
        <f aca="false">IF(ISNUMBER($J103),IFERROR(INDEX('TRANS'!$C:$C,MATCH($J103,'TRANS'!$B:$B,0)),IFERROR(INDEX('Catalog'!$B:$B,MATCH($J103,'Catalog'!$A:$A,0)),$B103)),$B103)</f>
        <v>סד קיבוע לאצבע הדק</v>
      </c>
      <c r="D103" s="8" t="n">
        <f aca="false">SUMIFS('SALES Raw'!$C$6:$C$1634,'SALES Raw'!$J$6:$J$1634,$J103,'SALES Raw'!$K$6:$K$1634,"Y")</f>
        <v>291</v>
      </c>
      <c r="E103" s="8" t="n">
        <f aca="false">SUMIFS('SALES Raw'!$D$6:$D$1634,'SALES Raw'!$J$6:$J$1634,$J103,'SALES Raw'!$K$6:$K$1634,"Y")</f>
        <v>4006.71</v>
      </c>
      <c r="F103" s="8" t="n">
        <f aca="false">SUMIFS('SALES Raw'!$E$6:$E$1634,'SALES Raw'!$J$6:$J$1634,$J103,'SALES Raw'!$K$6:$K$1634,"Y")*$H$4</f>
        <v>341.052631578947</v>
      </c>
      <c r="G103" s="8" t="n">
        <f aca="false">SUMIFS('SALES Raw'!$F$6:$F$1634,'SALES Raw'!$J$6:$J$1634,$J103,'SALES Raw'!$K$6:$K$1634,"Y")*$H$4</f>
        <v>4546.26947368421</v>
      </c>
      <c r="H103" s="16" t="s">
        <v>44</v>
      </c>
      <c r="I103" s="16" t="s">
        <v>38</v>
      </c>
      <c r="J103" s="16" t="n">
        <v>4415029</v>
      </c>
    </row>
    <row r="104" customFormat="false" ht="15" hidden="false" customHeight="false" outlineLevel="0" collapsed="false">
      <c r="A104" s="16" t="n">
        <f aca="false">IF(ISNUMBER($J104),$J104,"")</f>
        <v>4413138</v>
      </c>
      <c r="B104" s="16" t="str">
        <f aca="false">IFERROR(INDEX('SALES Raw'!$B$6:$B$1634,MATCH($J104,'SALES Raw'!$J$6:$J$1634,0)),$J104)</f>
        <v>85 XL</v>
      </c>
      <c r="C104" s="16" t="str">
        <f aca="false">IF(ISNUMBER($J104),IFERROR(INDEX('TRANS'!$C:$C,MATCH($J104,'TRANS'!$B:$B,0)),IFERROR(INDEX('Catalog'!$B:$B,MATCH($J104,'Catalog'!$A:$A,0)),$B104)),$B104)</f>
        <v>85 XL (מתלה ליד )כיס</v>
      </c>
      <c r="D104" s="8" t="n">
        <f aca="false">SUMIFS('SALES Raw'!$C$6:$C$1634,'SALES Raw'!$J$6:$J$1634,$J104,'SALES Raw'!$K$6:$K$1634,"Y")</f>
        <v>371</v>
      </c>
      <c r="E104" s="8" t="n">
        <f aca="false">SUMIFS('SALES Raw'!$D$6:$D$1634,'SALES Raw'!$J$6:$J$1634,$J104,'SALES Raw'!$K$6:$K$1634,"Y")</f>
        <v>9121.3</v>
      </c>
      <c r="F104" s="8" t="n">
        <f aca="false">SUMIFS('SALES Raw'!$E$6:$E$1634,'SALES Raw'!$J$6:$J$1634,$J104,'SALES Raw'!$K$6:$K$1634,"Y")*$H$4</f>
        <v>324.631578947368</v>
      </c>
      <c r="G104" s="8" t="n">
        <f aca="false">SUMIFS('SALES Raw'!$F$6:$F$1634,'SALES Raw'!$J$6:$J$1634,$J104,'SALES Raw'!$K$6:$K$1634,"Y")*$H$4</f>
        <v>6832.32</v>
      </c>
      <c r="H104" s="16" t="s">
        <v>42</v>
      </c>
      <c r="I104" s="16" t="s">
        <v>30</v>
      </c>
      <c r="J104" s="16" t="n">
        <v>4413138</v>
      </c>
    </row>
    <row r="105" customFormat="false" ht="15" hidden="false" customHeight="false" outlineLevel="0" collapsed="false">
      <c r="A105" s="16" t="n">
        <f aca="false">IF(ISNUMBER($J105),$J105,"")</f>
        <v>4413063</v>
      </c>
      <c r="B105" s="16" t="str">
        <f aca="false">IFERROR(INDEX('SALES Raw'!$B$6:$B$1634,MATCH($J105,'SALES Raw'!$J$6:$J$1634,0)),$J105)</f>
        <v>366S 0</v>
      </c>
      <c r="C105" s="16" t="str">
        <f aca="false">IF(ISNUMBER($J105),IFERROR(INDEX('TRANS'!$C:$C,MATCH($J105,'TRANS'!$B:$B,0)),IFERROR(INDEX('Catalog'!$B:$B,MATCH($J105,'Catalog'!$A:$A,0)),$B105)),$B105)</f>
        <v>366S-'מדבק.לשחרור לחץ מיבלת2יח</v>
      </c>
      <c r="D105" s="8" t="n">
        <f aca="false">SUMIFS('SALES Raw'!$C$6:$C$1634,'SALES Raw'!$J$6:$J$1634,$J105,'SALES Raw'!$K$6:$K$1634,"Y")</f>
        <v>579</v>
      </c>
      <c r="E105" s="8" t="n">
        <f aca="false">SUMIFS('SALES Raw'!$D$6:$D$1634,'SALES Raw'!$J$6:$J$1634,$J105,'SALES Raw'!$K$6:$K$1634,"Y")</f>
        <v>5613.74</v>
      </c>
      <c r="F105" s="8" t="n">
        <f aca="false">SUMIFS('SALES Raw'!$E$6:$E$1634,'SALES Raw'!$J$6:$J$1634,$J105,'SALES Raw'!$K$6:$K$1634,"Y")*$H$4</f>
        <v>324.631578947368</v>
      </c>
      <c r="G105" s="8" t="n">
        <f aca="false">SUMIFS('SALES Raw'!$F$6:$F$1634,'SALES Raw'!$J$6:$J$1634,$J105,'SALES Raw'!$K$6:$K$1634,"Y")*$H$4</f>
        <v>2787.47368421053</v>
      </c>
      <c r="H105" s="16" t="s">
        <v>34</v>
      </c>
      <c r="I105" s="16" t="s">
        <v>30</v>
      </c>
      <c r="J105" s="16" t="n">
        <v>4413063</v>
      </c>
    </row>
    <row r="106" customFormat="false" ht="15" hidden="false" customHeight="false" outlineLevel="0" collapsed="false">
      <c r="A106" s="16" t="n">
        <f aca="false">IF(ISNUMBER($J106),$J106,"")</f>
        <v>4408262</v>
      </c>
      <c r="B106" s="16" t="str">
        <f aca="false">IFERROR(INDEX('SALES Raw'!$B$6:$B$1634,MATCH($J106,'SALES Raw'!$J$6:$J$1634,0)),$J106)</f>
        <v>11STO XL</v>
      </c>
      <c r="C106" s="16" t="str">
        <f aca="false">IF(ISNUMBER($J106),IFERROR(INDEX('TRANS'!$C:$C,MATCH($J106,'TRANS'!$B:$B,0)),IFERROR(INDEX('Catalog'!$B:$B,MATCH($J106,'Catalog'!$A:$A,0)),$B106)),$B106)</f>
        <v>11STO XL  חגורה אחרי ניתוח</v>
      </c>
      <c r="D106" s="8" t="n">
        <f aca="false">SUMIFS('SALES Raw'!$C$6:$C$1634,'SALES Raw'!$J$6:$J$1634,$J106,'SALES Raw'!$K$6:$K$1634,"Y")</f>
        <v>357</v>
      </c>
      <c r="E106" s="8" t="n">
        <f aca="false">SUMIFS('SALES Raw'!$D$6:$D$1634,'SALES Raw'!$J$6:$J$1634,$J106,'SALES Raw'!$K$6:$K$1634,"Y")</f>
        <v>22095.32</v>
      </c>
      <c r="F106" s="8" t="n">
        <f aca="false">SUMIFS('SALES Raw'!$E$6:$E$1634,'SALES Raw'!$J$6:$J$1634,$J106,'SALES Raw'!$K$6:$K$1634,"Y")*$H$4</f>
        <v>322.105263157895</v>
      </c>
      <c r="G106" s="8" t="n">
        <f aca="false">SUMIFS('SALES Raw'!$F$6:$F$1634,'SALES Raw'!$J$6:$J$1634,$J106,'SALES Raw'!$K$6:$K$1634,"Y")*$H$4</f>
        <v>20029.6926315789</v>
      </c>
      <c r="H106" s="16" t="s">
        <v>44</v>
      </c>
      <c r="I106" s="16" t="s">
        <v>35</v>
      </c>
      <c r="J106" s="16" t="n">
        <v>4408262</v>
      </c>
    </row>
    <row r="107" customFormat="false" ht="15" hidden="false" customHeight="false" outlineLevel="0" collapsed="false">
      <c r="A107" s="16" t="n">
        <f aca="false">IF(ISNUMBER($J107),$J107,"")</f>
        <v>4411000</v>
      </c>
      <c r="B107" s="16" t="str">
        <f aca="false">IFERROR(INDEX('SALES Raw'!$B$6:$B$1634,MATCH($J107,'SALES Raw'!$J$6:$J$1634,0)),$J107)</f>
        <v>362-L-R</v>
      </c>
      <c r="C107" s="16" t="str">
        <f aca="false">IF(ISNUMBER($J107),IFERROR(INDEX('TRANS'!$C:$C,MATCH($J107,'TRANS'!$B:$B,0)),IFERROR(INDEX('Catalog'!$B:$B,MATCH($J107,'Catalog'!$A:$A,0)),$B107)),$B107)</f>
        <v>כרית מטטרזלי סיליקון362</v>
      </c>
      <c r="D107" s="8" t="n">
        <f aca="false">SUMIFS('SALES Raw'!$C$6:$C$1634,'SALES Raw'!$J$6:$J$1634,$J107,'SALES Raw'!$K$6:$K$1634,"Y")</f>
        <v>314</v>
      </c>
      <c r="E107" s="8" t="n">
        <f aca="false">SUMIFS('SALES Raw'!$D$6:$D$1634,'SALES Raw'!$J$6:$J$1634,$J107,'SALES Raw'!$K$6:$K$1634,"Y")</f>
        <v>4736.51</v>
      </c>
      <c r="F107" s="8" t="n">
        <f aca="false">SUMIFS('SALES Raw'!$E$6:$E$1634,'SALES Raw'!$J$6:$J$1634,$J107,'SALES Raw'!$K$6:$K$1634,"Y")*$H$4</f>
        <v>319.578947368421</v>
      </c>
      <c r="G107" s="8" t="n">
        <f aca="false">SUMIFS('SALES Raw'!$F$6:$F$1634,'SALES Raw'!$J$6:$J$1634,$J107,'SALES Raw'!$K$6:$K$1634,"Y")*$H$4</f>
        <v>4356.80842105263</v>
      </c>
      <c r="H107" s="16" t="s">
        <v>34</v>
      </c>
      <c r="I107" s="16" t="s">
        <v>44</v>
      </c>
      <c r="J107" s="16" t="n">
        <v>4411000</v>
      </c>
    </row>
    <row r="108" customFormat="false" ht="15" hidden="false" customHeight="false" outlineLevel="0" collapsed="false">
      <c r="A108" s="16" t="n">
        <f aca="false">IF(ISNUMBER($J108),$J108,"")</f>
        <v>4413053</v>
      </c>
      <c r="B108" s="16" t="str">
        <f aca="false">IFERROR(INDEX('SALES Raw'!$B$6:$B$1634,MATCH($J108,'SALES Raw'!$J$6:$J$1634,0)),$J108)</f>
        <v>35C L</v>
      </c>
      <c r="C108" s="16" t="str">
        <f aca="false">IF(ISNUMBER($J108),IFERROR(INDEX('TRANS'!$C:$C,MATCH($J108,'TRANS'!$B:$B,0)),IFERROR(INDEX('Catalog'!$B:$B,MATCH($J108,'Catalog'!$A:$A,0)),$B108)),$B108)</f>
        <v>35C L מגן קרסול חום</v>
      </c>
      <c r="D108" s="8" t="n">
        <f aca="false">SUMIFS('SALES Raw'!$C$6:$C$1634,'SALES Raw'!$J$6:$J$1634,$J108,'SALES Raw'!$K$6:$K$1634,"Y")</f>
        <v>310</v>
      </c>
      <c r="E108" s="8" t="n">
        <f aca="false">SUMIFS('SALES Raw'!$D$6:$D$1634,'SALES Raw'!$J$6:$J$1634,$J108,'SALES Raw'!$K$6:$K$1634,"Y")</f>
        <v>3833.13</v>
      </c>
      <c r="F108" s="8" t="n">
        <f aca="false">SUMIFS('SALES Raw'!$E$6:$E$1634,'SALES Raw'!$J$6:$J$1634,$J108,'SALES Raw'!$K$6:$K$1634,"Y")*$H$4</f>
        <v>315.789473684211</v>
      </c>
      <c r="G108" s="8" t="n">
        <f aca="false">SUMIFS('SALES Raw'!$F$6:$F$1634,'SALES Raw'!$J$6:$J$1634,$J108,'SALES Raw'!$K$6:$K$1634,"Y")*$H$4</f>
        <v>3419.94947368421</v>
      </c>
      <c r="H108" s="16" t="s">
        <v>30</v>
      </c>
      <c r="I108" s="16" t="s">
        <v>38</v>
      </c>
      <c r="J108" s="16" t="n">
        <v>4413053</v>
      </c>
    </row>
    <row r="109" customFormat="false" ht="15" hidden="false" customHeight="false" outlineLevel="0" collapsed="false">
      <c r="A109" s="16" t="n">
        <f aca="false">IF(ISNUMBER($J109),$J109,"")</f>
        <v>4421006</v>
      </c>
      <c r="B109" s="16" t="str">
        <f aca="false">IFERROR(INDEX('SALES Raw'!$B$6:$B$1634,MATCH($J109,'SALES Raw'!$J$6:$J$1634,0)),$J109)</f>
        <v>251 0</v>
      </c>
      <c r="C109" s="16" t="str">
        <f aca="false">IF(ISNUMBER($J109),IFERROR(INDEX('TRANS'!$C:$C,MATCH($J109,'TRANS'!$B:$B,0)),IFERROR(INDEX('Catalog'!$B:$B,MATCH($J109,'Catalog'!$A:$A,0)),$B109)),$B109)</f>
        <v>שרוול לגבס ארוך יד</v>
      </c>
      <c r="D109" s="8" t="n">
        <f aca="false">SUMIFS('SALES Raw'!$C$6:$C$1634,'SALES Raw'!$J$6:$J$1634,$J109,'SALES Raw'!$K$6:$K$1634,"Y")</f>
        <v>425</v>
      </c>
      <c r="E109" s="8" t="n">
        <f aca="false">SUMIFS('SALES Raw'!$D$6:$D$1634,'SALES Raw'!$J$6:$J$1634,$J109,'SALES Raw'!$K$6:$K$1634,"Y")</f>
        <v>8887.16</v>
      </c>
      <c r="F109" s="8" t="n">
        <f aca="false">SUMIFS('SALES Raw'!$E$6:$E$1634,'SALES Raw'!$J$6:$J$1634,$J109,'SALES Raw'!$K$6:$K$1634,"Y")*$H$4</f>
        <v>315.789473684211</v>
      </c>
      <c r="G109" s="8" t="n">
        <f aca="false">SUMIFS('SALES Raw'!$F$6:$F$1634,'SALES Raw'!$J$6:$J$1634,$J109,'SALES Raw'!$K$6:$K$1634,"Y")*$H$4</f>
        <v>5893.61684210526</v>
      </c>
      <c r="H109" s="16" t="s">
        <v>38</v>
      </c>
      <c r="I109" s="16" t="s">
        <v>32</v>
      </c>
      <c r="J109" s="16" t="n">
        <v>4421006</v>
      </c>
    </row>
    <row r="110" customFormat="false" ht="15" hidden="false" customHeight="false" outlineLevel="0" collapsed="false">
      <c r="A110" s="16" t="n">
        <f aca="false">IF(ISNUMBER($J110),$J110,"")</f>
        <v>4408260</v>
      </c>
      <c r="B110" s="16" t="str">
        <f aca="false">IFERROR(INDEX('SALES Raw'!$B$6:$B$1634,MATCH($J110,'SALES Raw'!$J$6:$J$1634,0)),$J110)</f>
        <v>11STO M</v>
      </c>
      <c r="C110" s="16" t="str">
        <f aca="false">IF(ISNUMBER($J110),IFERROR(INDEX('TRANS'!$C:$C,MATCH($J110,'TRANS'!$B:$B,0)),IFERROR(INDEX('Catalog'!$B:$B,MATCH($J110,'Catalog'!$A:$A,0)),$B110)),$B110)</f>
        <v>11STO M חגורה אחרי ניתוח</v>
      </c>
      <c r="D110" s="8" t="n">
        <f aca="false">SUMIFS('SALES Raw'!$C$6:$C$1634,'SALES Raw'!$J$6:$J$1634,$J110,'SALES Raw'!$K$6:$K$1634,"Y")</f>
        <v>381</v>
      </c>
      <c r="E110" s="8" t="n">
        <f aca="false">SUMIFS('SALES Raw'!$D$6:$D$1634,'SALES Raw'!$J$6:$J$1634,$J110,'SALES Raw'!$K$6:$K$1634,"Y")</f>
        <v>23476.28</v>
      </c>
      <c r="F110" s="8" t="n">
        <f aca="false">SUMIFS('SALES Raw'!$E$6:$E$1634,'SALES Raw'!$J$6:$J$1634,$J110,'SALES Raw'!$K$6:$K$1634,"Y")*$H$4</f>
        <v>315.789473684211</v>
      </c>
      <c r="G110" s="8" t="n">
        <f aca="false">SUMIFS('SALES Raw'!$F$6:$F$1634,'SALES Raw'!$J$6:$J$1634,$J110,'SALES Raw'!$K$6:$K$1634,"Y")*$H$4</f>
        <v>19660.2063157895</v>
      </c>
      <c r="H110" s="16" t="s">
        <v>44</v>
      </c>
      <c r="I110" s="16" t="s">
        <v>35</v>
      </c>
      <c r="J110" s="16" t="n">
        <v>4408260</v>
      </c>
    </row>
    <row r="111" customFormat="false" ht="15" hidden="false" customHeight="false" outlineLevel="0" collapsed="false">
      <c r="A111" s="16" t="n">
        <f aca="false">IF(ISNUMBER($J111),$J111,"")</f>
        <v>4413501</v>
      </c>
      <c r="B111" s="16" t="str">
        <f aca="false">IFERROR(INDEX('SALES Raw'!$B$6:$B$1634,MATCH($J111,'SALES Raw'!$J$6:$J$1634,0)),$J111)</f>
        <v>95B M</v>
      </c>
      <c r="C111" s="16" t="str">
        <f aca="false">IF(ISNUMBER($J111),IFERROR(INDEX('TRANS'!$C:$C,MATCH($J111,'TRANS'!$B:$B,0)),IFERROR(INDEX('Catalog'!$B:$B,MATCH($J111,'Catalog'!$A:$A,0)),$B111)),$B111)</f>
        <v>95B M מגן מרפק שחור</v>
      </c>
      <c r="D111" s="8" t="n">
        <f aca="false">SUMIFS('SALES Raw'!$C$6:$C$1634,'SALES Raw'!$J$6:$J$1634,$J111,'SALES Raw'!$K$6:$K$1634,"Y")</f>
        <v>477</v>
      </c>
      <c r="E111" s="8" t="n">
        <f aca="false">SUMIFS('SALES Raw'!$D$6:$D$1634,'SALES Raw'!$J$6:$J$1634,$J111,'SALES Raw'!$K$6:$K$1634,"Y")</f>
        <v>6229.24</v>
      </c>
      <c r="F111" s="8" t="n">
        <f aca="false">SUMIFS('SALES Raw'!$E$6:$E$1634,'SALES Raw'!$J$6:$J$1634,$J111,'SALES Raw'!$K$6:$K$1634,"Y")*$H$4</f>
        <v>309.473684210526</v>
      </c>
      <c r="G111" s="8" t="n">
        <f aca="false">SUMIFS('SALES Raw'!$F$6:$F$1634,'SALES Raw'!$J$6:$J$1634,$J111,'SALES Raw'!$K$6:$K$1634,"Y")*$H$4</f>
        <v>3483.70105263158</v>
      </c>
      <c r="H111" s="16" t="s">
        <v>30</v>
      </c>
      <c r="I111" s="16" t="s">
        <v>38</v>
      </c>
      <c r="J111" s="16" t="n">
        <v>4413501</v>
      </c>
    </row>
    <row r="112" customFormat="false" ht="15" hidden="false" customHeight="false" outlineLevel="0" collapsed="false">
      <c r="A112" s="16" t="n">
        <f aca="false">IF(ISNUMBER($J112),$J112,"")</f>
        <v>4421008</v>
      </c>
      <c r="B112" s="16" t="str">
        <f aca="false">IFERROR(INDEX('SALES Raw'!$B$6:$B$1634,MATCH($J112,'SALES Raw'!$J$6:$J$1634,0)),$J112)</f>
        <v>351 0</v>
      </c>
      <c r="C112" s="16" t="str">
        <f aca="false">IF(ISNUMBER($J112),IFERROR(INDEX('TRANS'!$C:$C,MATCH($J112,'TRANS'!$B:$B,0)),IFERROR(INDEX('Catalog'!$B:$B,MATCH($J112,'Catalog'!$A:$A,0)),$B112)),$B112)</f>
        <v>שרוול לגבס ארוך רגל</v>
      </c>
      <c r="D112" s="8" t="n">
        <f aca="false">SUMIFS('SALES Raw'!$C$6:$C$1634,'SALES Raw'!$J$6:$J$1634,$J112,'SALES Raw'!$K$6:$K$1634,"Y")</f>
        <v>340</v>
      </c>
      <c r="E112" s="8" t="n">
        <f aca="false">SUMIFS('SALES Raw'!$D$6:$D$1634,'SALES Raw'!$J$6:$J$1634,$J112,'SALES Raw'!$K$6:$K$1634,"Y")</f>
        <v>9260.37</v>
      </c>
      <c r="F112" s="8" t="n">
        <f aca="false">SUMIFS('SALES Raw'!$E$6:$E$1634,'SALES Raw'!$J$6:$J$1634,$J112,'SALES Raw'!$K$6:$K$1634,"Y")*$H$4</f>
        <v>290.526315789474</v>
      </c>
      <c r="G112" s="8" t="n">
        <f aca="false">SUMIFS('SALES Raw'!$F$6:$F$1634,'SALES Raw'!$J$6:$J$1634,$J112,'SALES Raw'!$K$6:$K$1634,"Y")*$H$4</f>
        <v>7130.52631578947</v>
      </c>
      <c r="H112" s="16" t="s">
        <v>38</v>
      </c>
      <c r="I112" s="16" t="s">
        <v>32</v>
      </c>
      <c r="J112" s="16" t="n">
        <v>4421008</v>
      </c>
    </row>
    <row r="113" customFormat="false" ht="15" hidden="false" customHeight="false" outlineLevel="0" collapsed="false">
      <c r="A113" s="16" t="str">
        <f aca="false">IF(ISNUMBER($J113),$J113,"")</f>
        <v/>
      </c>
      <c r="B113" s="16" t="str">
        <f aca="false">IFERROR(INDEX('SALES Raw'!$B$6:$B$1634,MATCH($J113,'SALES Raw'!$J$6:$J$1634,0)),$J113)</f>
        <v>376-35-37</v>
      </c>
      <c r="C113" s="16" t="str">
        <f aca="false">IF(ISNUMBER($J113),IFERROR(INDEX('TRANS'!$C:$C,MATCH($J113,'TRANS'!$B:$B,0)),IFERROR(INDEX('Catalog'!$B:$B,MATCH($J113,'Catalog'!$A:$A,0)),$B113)),$B113)</f>
        <v>376-35-37</v>
      </c>
      <c r="D113" s="8" t="n">
        <f aca="false">SUMIFS('SALES Raw'!$C$6:$C$1634,'SALES Raw'!$J$6:$J$1634,$J113,'SALES Raw'!$K$6:$K$1634,"Y")</f>
        <v>416</v>
      </c>
      <c r="E113" s="8" t="n">
        <f aca="false">SUMIFS('SALES Raw'!$D$6:$D$1634,'SALES Raw'!$J$6:$J$1634,$J113,'SALES Raw'!$K$6:$K$1634,"Y")</f>
        <v>7595.07</v>
      </c>
      <c r="F113" s="8" t="n">
        <f aca="false">SUMIFS('SALES Raw'!$E$6:$E$1634,'SALES Raw'!$J$6:$J$1634,$J113,'SALES Raw'!$K$6:$K$1634,"Y")*$H$4</f>
        <v>285.473684210526</v>
      </c>
      <c r="G113" s="8" t="n">
        <f aca="false">SUMIFS('SALES Raw'!$F$6:$F$1634,'SALES Raw'!$J$6:$J$1634,$J113,'SALES Raw'!$K$6:$K$1634,"Y")*$H$4</f>
        <v>4532.4252631579</v>
      </c>
      <c r="H113" s="16" t="s">
        <v>30</v>
      </c>
      <c r="I113" s="16" t="s">
        <v>38</v>
      </c>
      <c r="J113" s="16" t="s">
        <v>78</v>
      </c>
    </row>
    <row r="114" customFormat="false" ht="15" hidden="false" customHeight="false" outlineLevel="0" collapsed="false">
      <c r="A114" s="16" t="n">
        <f aca="false">IF(ISNUMBER($J114),$J114,"")</f>
        <v>4408032</v>
      </c>
      <c r="B114" s="16" t="str">
        <f aca="false">IFERROR(INDEX('SALES Raw'!$B$6:$B$1634,MATCH($J114,'SALES Raw'!$J$6:$J$1634,0)),$J114)</f>
        <v>11 L</v>
      </c>
      <c r="C114" s="16" t="str">
        <f aca="false">IF(ISNUMBER($J114),IFERROR(INDEX('TRANS'!$C:$C,MATCH($J114,'TRANS'!$B:$B,0)),IFERROR(INDEX('Catalog'!$B:$B,MATCH($J114,'Catalog'!$A:$A,0)),$B114)),$B114)</f>
        <v>11 L""""חגורת בטן""""אורירית</v>
      </c>
      <c r="D114" s="8" t="n">
        <f aca="false">SUMIFS('SALES Raw'!$C$6:$C$1634,'SALES Raw'!$J$6:$J$1634,$J114,'SALES Raw'!$K$6:$K$1634,"Y")</f>
        <v>140</v>
      </c>
      <c r="E114" s="8" t="n">
        <f aca="false">SUMIFS('SALES Raw'!$D$6:$D$1634,'SALES Raw'!$J$6:$J$1634,$J114,'SALES Raw'!$K$6:$K$1634,"Y")</f>
        <v>9296.46</v>
      </c>
      <c r="F114" s="8" t="n">
        <f aca="false">SUMIFS('SALES Raw'!$E$6:$E$1634,'SALES Raw'!$J$6:$J$1634,$J114,'SALES Raw'!$K$6:$K$1634,"Y")*$H$4</f>
        <v>280.421052631579</v>
      </c>
      <c r="G114" s="8" t="n">
        <f aca="false">SUMIFS('SALES Raw'!$F$6:$F$1634,'SALES Raw'!$J$6:$J$1634,$J114,'SALES Raw'!$K$6:$K$1634,"Y")*$H$4</f>
        <v>12835.9831578947</v>
      </c>
      <c r="H114" s="16" t="s">
        <v>36</v>
      </c>
      <c r="I114" s="16" t="s">
        <v>30</v>
      </c>
      <c r="J114" s="16" t="n">
        <v>4408032</v>
      </c>
    </row>
    <row r="115" customFormat="false" ht="15" hidden="false" customHeight="false" outlineLevel="0" collapsed="false">
      <c r="A115" s="16" t="n">
        <f aca="false">IF(ISNUMBER($J115),$J115,"")</f>
        <v>4420025</v>
      </c>
      <c r="B115" s="16" t="str">
        <f aca="false">IFERROR(INDEX('SALES Raw'!$B$6:$B$1634,MATCH($J115,'SALES Raw'!$J$6:$J$1634,0)),$J115)</f>
        <v>LF374 0</v>
      </c>
      <c r="C115" s="16" t="str">
        <f aca="false">IF(ISNUMBER($J115),IFERROR(INDEX('TRANS'!$C:$C,MATCH($J115,'TRANS'!$B:$B,0)),IFERROR(INDEX('Catalog'!$B:$B,MATCH($J115,'Catalog'!$A:$A,0)),$B115)),$B115)</f>
        <v>LF374 ריפוד סיליק.לעקב תחתון</v>
      </c>
      <c r="D115" s="8" t="n">
        <f aca="false">SUMIFS('SALES Raw'!$C$6:$C$1634,'SALES Raw'!$J$6:$J$1634,$J115,'SALES Raw'!$K$6:$K$1634,"Y")</f>
        <v>331</v>
      </c>
      <c r="E115" s="8" t="n">
        <f aca="false">SUMIFS('SALES Raw'!$D$6:$D$1634,'SALES Raw'!$J$6:$J$1634,$J115,'SALES Raw'!$K$6:$K$1634,"Y")</f>
        <v>4024.27</v>
      </c>
      <c r="F115" s="8" t="n">
        <f aca="false">SUMIFS('SALES Raw'!$E$6:$E$1634,'SALES Raw'!$J$6:$J$1634,$J115,'SALES Raw'!$K$6:$K$1634,"Y")*$H$4</f>
        <v>277.894736842105</v>
      </c>
      <c r="G115" s="8" t="n">
        <f aca="false">SUMIFS('SALES Raw'!$F$6:$F$1634,'SALES Raw'!$J$6:$J$1634,$J115,'SALES Raw'!$K$6:$K$1634,"Y")*$H$4</f>
        <v>3076.81263157895</v>
      </c>
      <c r="H115" s="16" t="s">
        <v>30</v>
      </c>
      <c r="I115" s="16" t="s">
        <v>38</v>
      </c>
      <c r="J115" s="16" t="n">
        <v>4420025</v>
      </c>
    </row>
    <row r="116" customFormat="false" ht="15" hidden="false" customHeight="false" outlineLevel="0" collapsed="false">
      <c r="A116" s="16" t="n">
        <f aca="false">IF(ISNUMBER($J116),$J116,"")</f>
        <v>4413491</v>
      </c>
      <c r="B116" s="16" t="str">
        <f aca="false">IFERROR(INDEX('SALES Raw'!$B$6:$B$1634,MATCH($J116,'SALES Raw'!$J$6:$J$1634,0)),$J116)</f>
        <v>35B XL</v>
      </c>
      <c r="C116" s="16" t="str">
        <f aca="false">IF(ISNUMBER($J116),IFERROR(INDEX('TRANS'!$C:$C,MATCH($J116,'TRANS'!$B:$B,0)),IFERROR(INDEX('Catalog'!$B:$B,MATCH($J116,'Catalog'!$A:$A,0)),$B116)),$B116)</f>
        <v>35B XL מגן קרסול שחור</v>
      </c>
      <c r="D116" s="8" t="n">
        <f aca="false">SUMIFS('SALES Raw'!$C$6:$C$1634,'SALES Raw'!$J$6:$J$1634,$J116,'SALES Raw'!$K$6:$K$1634,"Y")</f>
        <v>471</v>
      </c>
      <c r="E116" s="8" t="n">
        <f aca="false">SUMIFS('SALES Raw'!$D$6:$D$1634,'SALES Raw'!$J$6:$J$1634,$J116,'SALES Raw'!$K$6:$K$1634,"Y")</f>
        <v>6117.73</v>
      </c>
      <c r="F116" s="8" t="n">
        <f aca="false">SUMIFS('SALES Raw'!$E$6:$E$1634,'SALES Raw'!$J$6:$J$1634,$J116,'SALES Raw'!$K$6:$K$1634,"Y")*$H$4</f>
        <v>275.368421052632</v>
      </c>
      <c r="G116" s="8" t="n">
        <f aca="false">SUMIFS('SALES Raw'!$F$6:$F$1634,'SALES Raw'!$J$6:$J$1634,$J116,'SALES Raw'!$K$6:$K$1634,"Y")*$H$4</f>
        <v>3138.99789473684</v>
      </c>
      <c r="H116" s="16" t="s">
        <v>30</v>
      </c>
      <c r="I116" s="16" t="s">
        <v>38</v>
      </c>
      <c r="J116" s="16" t="n">
        <v>4413491</v>
      </c>
    </row>
    <row r="117" customFormat="false" ht="15" hidden="false" customHeight="false" outlineLevel="0" collapsed="false">
      <c r="A117" s="16" t="n">
        <f aca="false">IF(ISNUMBER($J117),$J117,"")</f>
        <v>4408034</v>
      </c>
      <c r="B117" s="16" t="str">
        <f aca="false">IFERROR(INDEX('SALES Raw'!$B$6:$B$1634,MATCH($J117,'SALES Raw'!$J$6:$J$1634,0)),$J117)</f>
        <v>11 XL</v>
      </c>
      <c r="C117" s="16" t="str">
        <f aca="false">IF(ISNUMBER($J117),IFERROR(INDEX('TRANS'!$C:$C,MATCH($J117,'TRANS'!$B:$B,0)),IFERROR(INDEX('Catalog'!$B:$B,MATCH($J117,'Catalog'!$A:$A,0)),$B117)),$B117)</f>
        <v>11 XL""""חגורת בטן""""אורירית</v>
      </c>
      <c r="D117" s="8" t="n">
        <f aca="false">SUMIFS('SALES Raw'!$C$6:$C$1634,'SALES Raw'!$J$6:$J$1634,$J117,'SALES Raw'!$K$6:$K$1634,"Y")</f>
        <v>170</v>
      </c>
      <c r="E117" s="8" t="n">
        <f aca="false">SUMIFS('SALES Raw'!$D$6:$D$1634,'SALES Raw'!$J$6:$J$1634,$J117,'SALES Raw'!$K$6:$K$1634,"Y")</f>
        <v>10266.65</v>
      </c>
      <c r="F117" s="8" t="n">
        <f aca="false">SUMIFS('SALES Raw'!$E$6:$E$1634,'SALES Raw'!$J$6:$J$1634,$J117,'SALES Raw'!$K$6:$K$1634,"Y")*$H$4</f>
        <v>266.526315789474</v>
      </c>
      <c r="G117" s="8" t="n">
        <f aca="false">SUMIFS('SALES Raw'!$F$6:$F$1634,'SALES Raw'!$J$6:$J$1634,$J117,'SALES Raw'!$K$6:$K$1634,"Y")*$H$4</f>
        <v>12967.7557894737</v>
      </c>
      <c r="H117" s="16" t="s">
        <v>36</v>
      </c>
      <c r="I117" s="16" t="s">
        <v>30</v>
      </c>
      <c r="J117" s="16" t="n">
        <v>4408034</v>
      </c>
    </row>
    <row r="118" customFormat="false" ht="15" hidden="false" customHeight="false" outlineLevel="0" collapsed="false">
      <c r="A118" s="16" t="n">
        <f aca="false">IF(ISNUMBER($J118),$J118,"")</f>
        <v>4416002</v>
      </c>
      <c r="B118" s="16" t="str">
        <f aca="false">IFERROR(INDEX('SALES Raw'!$B$6:$B$1634,MATCH($J118,'SALES Raw'!$J$6:$J$1634,0)),$J118)</f>
        <v>307 S</v>
      </c>
      <c r="C118" s="16" t="str">
        <f aca="false">IF(ISNUMBER($J118),IFERROR(INDEX('TRANS'!$C:$C,MATCH($J118,'TRANS'!$B:$B,0)),IFERROR(INDEX('Catalog'!$B:$B,MATCH($J118,'Catalog'!$A:$A,0)),$B118)),$B118)</f>
        <v>307 S עקבים לדורבן-זוג כריות</v>
      </c>
      <c r="D118" s="8" t="n">
        <f aca="false">SUMIFS('SALES Raw'!$C$6:$C$1634,'SALES Raw'!$J$6:$J$1634,$J118,'SALES Raw'!$K$6:$K$1634,"Y")</f>
        <v>334</v>
      </c>
      <c r="E118" s="8" t="n">
        <f aca="false">SUMIFS('SALES Raw'!$D$6:$D$1634,'SALES Raw'!$J$6:$J$1634,$J118,'SALES Raw'!$K$6:$K$1634,"Y")</f>
        <v>10531.41</v>
      </c>
      <c r="F118" s="8" t="n">
        <f aca="false">SUMIFS('SALES Raw'!$E$6:$E$1634,'SALES Raw'!$J$6:$J$1634,$J118,'SALES Raw'!$K$6:$K$1634,"Y")*$H$4</f>
        <v>260.21052631579</v>
      </c>
      <c r="G118" s="8" t="n">
        <f aca="false">SUMIFS('SALES Raw'!$F$6:$F$1634,'SALES Raw'!$J$6:$J$1634,$J118,'SALES Raw'!$K$6:$K$1634,"Y")*$H$4</f>
        <v>7789.25052631579</v>
      </c>
      <c r="H118" s="16" t="s">
        <v>44</v>
      </c>
      <c r="I118" s="16" t="s">
        <v>30</v>
      </c>
      <c r="J118" s="16" t="n">
        <v>4416002</v>
      </c>
    </row>
    <row r="119" customFormat="false" ht="15" hidden="false" customHeight="false" outlineLevel="0" collapsed="false">
      <c r="A119" s="16" t="n">
        <f aca="false">IF(ISNUMBER($J119),$J119,"")</f>
        <v>4413052</v>
      </c>
      <c r="B119" s="16" t="str">
        <f aca="false">IFERROR(INDEX('SALES Raw'!$B$6:$B$1634,MATCH($J119,'SALES Raw'!$J$6:$J$1634,0)),$J119)</f>
        <v>35C S</v>
      </c>
      <c r="C119" s="16" t="str">
        <f aca="false">IF(ISNUMBER($J119),IFERROR(INDEX('TRANS'!$C:$C,MATCH($J119,'TRANS'!$B:$B,0)),IFERROR(INDEX('Catalog'!$B:$B,MATCH($J119,'Catalog'!$A:$A,0)),$B119)),$B119)</f>
        <v>35C S מגן קרסול חום</v>
      </c>
      <c r="D119" s="8" t="n">
        <f aca="false">SUMIFS('SALES Raw'!$C$6:$C$1634,'SALES Raw'!$J$6:$J$1634,$J119,'SALES Raw'!$K$6:$K$1634,"Y")</f>
        <v>283</v>
      </c>
      <c r="E119" s="8" t="n">
        <f aca="false">SUMIFS('SALES Raw'!$D$6:$D$1634,'SALES Raw'!$J$6:$J$1634,$J119,'SALES Raw'!$K$6:$K$1634,"Y")</f>
        <v>3760.24</v>
      </c>
      <c r="F119" s="8" t="n">
        <f aca="false">SUMIFS('SALES Raw'!$E$6:$E$1634,'SALES Raw'!$J$6:$J$1634,$J119,'SALES Raw'!$K$6:$K$1634,"Y")*$H$4</f>
        <v>260.21052631579</v>
      </c>
      <c r="G119" s="8" t="n">
        <f aca="false">SUMIFS('SALES Raw'!$F$6:$F$1634,'SALES Raw'!$J$6:$J$1634,$J119,'SALES Raw'!$K$6:$K$1634,"Y")*$H$4</f>
        <v>2967.92842105263</v>
      </c>
      <c r="H119" s="16" t="s">
        <v>30</v>
      </c>
      <c r="I119" s="16" t="s">
        <v>38</v>
      </c>
      <c r="J119" s="16" t="n">
        <v>4413052</v>
      </c>
    </row>
    <row r="120" customFormat="false" ht="15" hidden="false" customHeight="false" outlineLevel="0" collapsed="false">
      <c r="A120" s="16" t="n">
        <f aca="false">IF(ISNUMBER($J120),$J120,"")</f>
        <v>4413097</v>
      </c>
      <c r="B120" s="16" t="str">
        <f aca="false">IFERROR(INDEX('SALES Raw'!$B$6:$B$1634,MATCH($J120,'SALES Raw'!$J$6:$J$1634,0)),$J120)</f>
        <v>45C S</v>
      </c>
      <c r="C120" s="16" t="str">
        <f aca="false">IF(ISNUMBER($J120),IFERROR(INDEX('TRANS'!$C:$C,MATCH($J120,'TRANS'!$B:$B,0)),IFERROR(INDEX('Catalog'!$B:$B,MATCH($J120,'Catalog'!$A:$A,0)),$B120)),$B120)</f>
        <v>45C S מגן ברך חום</v>
      </c>
      <c r="D120" s="8" t="n">
        <f aca="false">SUMIFS('SALES Raw'!$C$6:$C$1634,'SALES Raw'!$J$6:$J$1634,$J120,'SALES Raw'!$K$6:$K$1634,"Y")</f>
        <v>262</v>
      </c>
      <c r="E120" s="8" t="n">
        <f aca="false">SUMIFS('SALES Raw'!$D$6:$D$1634,'SALES Raw'!$J$6:$J$1634,$J120,'SALES Raw'!$K$6:$K$1634,"Y")</f>
        <v>3451.24</v>
      </c>
      <c r="F120" s="8" t="n">
        <f aca="false">SUMIFS('SALES Raw'!$E$6:$E$1634,'SALES Raw'!$J$6:$J$1634,$J120,'SALES Raw'!$K$6:$K$1634,"Y")*$H$4</f>
        <v>256.421052631579</v>
      </c>
      <c r="G120" s="8" t="n">
        <f aca="false">SUMIFS('SALES Raw'!$F$6:$F$1634,'SALES Raw'!$J$6:$J$1634,$J120,'SALES Raw'!$K$6:$K$1634,"Y")*$H$4</f>
        <v>3011.65894736842</v>
      </c>
      <c r="H120" s="16" t="s">
        <v>30</v>
      </c>
      <c r="I120" s="16" t="s">
        <v>38</v>
      </c>
      <c r="J120" s="16" t="n">
        <v>4413097</v>
      </c>
    </row>
    <row r="121" customFormat="false" ht="15" hidden="false" customHeight="false" outlineLevel="0" collapsed="false">
      <c r="A121" s="16" t="str">
        <f aca="false">IF(ISNUMBER($J121),$J121,"")</f>
        <v/>
      </c>
      <c r="B121" s="16" t="str">
        <f aca="false">IFERROR(INDEX('SALES Raw'!$B$6:$B$1634,MATCH($J121,'SALES Raw'!$J$6:$J$1634,0)),$J121)</f>
        <v>61 M</v>
      </c>
      <c r="C121" s="16" t="str">
        <f aca="false">IF(ISNUMBER($J121),IFERROR(INDEX('TRANS'!$C:$C,MATCH($J121,'TRANS'!$B:$B,0)),IFERROR(INDEX('Catalog'!$B:$B,MATCH($J121,'Catalog'!$A:$A,0)),$B121)),$B121)</f>
        <v>61 M</v>
      </c>
      <c r="D121" s="8" t="n">
        <f aca="false">SUMIFS('SALES Raw'!$C$6:$C$1634,'SALES Raw'!$J$6:$J$1634,$J121,'SALES Raw'!$K$6:$K$1634,"Y")</f>
        <v>251</v>
      </c>
      <c r="E121" s="8" t="n">
        <f aca="false">SUMIFS('SALES Raw'!$D$6:$D$1634,'SALES Raw'!$J$6:$J$1634,$J121,'SALES Raw'!$K$6:$K$1634,"Y")</f>
        <v>4489.45</v>
      </c>
      <c r="F121" s="8" t="n">
        <f aca="false">SUMIFS('SALES Raw'!$E$6:$E$1634,'SALES Raw'!$J$6:$J$1634,$J121,'SALES Raw'!$K$6:$K$1634,"Y")*$H$4</f>
        <v>255.157894736842</v>
      </c>
      <c r="G121" s="8" t="n">
        <f aca="false">SUMIFS('SALES Raw'!$F$6:$F$1634,'SALES Raw'!$J$6:$J$1634,$J121,'SALES Raw'!$K$6:$K$1634,"Y")*$H$4</f>
        <v>4079.10315789474</v>
      </c>
      <c r="H121" s="16" t="s">
        <v>38</v>
      </c>
      <c r="I121" s="16" t="s">
        <v>41</v>
      </c>
      <c r="J121" s="16" t="s">
        <v>79</v>
      </c>
    </row>
    <row r="122" customFormat="false" ht="15" hidden="false" customHeight="false" outlineLevel="0" collapsed="false">
      <c r="A122" s="16" t="n">
        <f aca="false">IF(ISNUMBER($J122),$J122,"")</f>
        <v>4408192</v>
      </c>
      <c r="B122" s="16" t="str">
        <f aca="false">IFERROR(INDEX('SALES Raw'!$B$6:$B$1634,MATCH($J122,'SALES Raw'!$J$6:$J$1634,0)),$J122)</f>
        <v>078 L</v>
      </c>
      <c r="C122" s="16" t="str">
        <f aca="false">IF(ISNUMBER($J122),IFERROR(INDEX('TRANS'!$C:$C,MATCH($J122,'TRANS'!$B:$B,0)),IFERROR(INDEX('Catalog'!$B:$B,MATCH($J122,'Catalog'!$A:$A,0)),$B122)),$B122)</f>
        <v>078 L חגורת גב +סגירה</v>
      </c>
      <c r="D122" s="8" t="n">
        <f aca="false">SUMIFS('SALES Raw'!$C$6:$C$1634,'SALES Raw'!$J$6:$J$1634,$J122,'SALES Raw'!$K$6:$K$1634,"Y")</f>
        <v>206</v>
      </c>
      <c r="E122" s="8" t="n">
        <f aca="false">SUMIFS('SALES Raw'!$D$6:$D$1634,'SALES Raw'!$J$6:$J$1634,$J122,'SALES Raw'!$K$6:$K$1634,"Y")</f>
        <v>10751.85</v>
      </c>
      <c r="F122" s="8" t="n">
        <f aca="false">SUMIFS('SALES Raw'!$E$6:$E$1634,'SALES Raw'!$J$6:$J$1634,$J122,'SALES Raw'!$K$6:$K$1634,"Y")*$H$4</f>
        <v>255.157894736842</v>
      </c>
      <c r="G122" s="8" t="n">
        <f aca="false">SUMIFS('SALES Raw'!$F$6:$F$1634,'SALES Raw'!$J$6:$J$1634,$J122,'SALES Raw'!$K$6:$K$1634,"Y")*$H$4</f>
        <v>12776.0463157895</v>
      </c>
      <c r="H122" s="16" t="s">
        <v>38</v>
      </c>
      <c r="I122" s="16" t="s">
        <v>36</v>
      </c>
      <c r="J122" s="16" t="n">
        <v>4408192</v>
      </c>
    </row>
    <row r="123" customFormat="false" ht="15" hidden="false" customHeight="false" outlineLevel="0" collapsed="false">
      <c r="A123" s="16" t="n">
        <f aca="false">IF(ISNUMBER($J123),$J123,"")</f>
        <v>4413498</v>
      </c>
      <c r="B123" s="16" t="str">
        <f aca="false">IFERROR(INDEX('SALES Raw'!$B$6:$B$1634,MATCH($J123,'SALES Raw'!$J$6:$J$1634,0)),$J123)</f>
        <v>45B S</v>
      </c>
      <c r="C123" s="16" t="str">
        <f aca="false">IF(ISNUMBER($J123),IFERROR(INDEX('TRANS'!$C:$C,MATCH($J123,'TRANS'!$B:$B,0)),IFERROR(INDEX('Catalog'!$B:$B,MATCH($J123,'Catalog'!$A:$A,0)),$B123)),$B123)</f>
        <v>45B S מגן ברך שחור</v>
      </c>
      <c r="D123" s="8" t="n">
        <f aca="false">SUMIFS('SALES Raw'!$C$6:$C$1634,'SALES Raw'!$J$6:$J$1634,$J123,'SALES Raw'!$K$6:$K$1634,"Y")</f>
        <v>406</v>
      </c>
      <c r="E123" s="8" t="n">
        <f aca="false">SUMIFS('SALES Raw'!$D$6:$D$1634,'SALES Raw'!$J$6:$J$1634,$J123,'SALES Raw'!$K$6:$K$1634,"Y")</f>
        <v>5504.68</v>
      </c>
      <c r="F123" s="8" t="n">
        <f aca="false">SUMIFS('SALES Raw'!$E$6:$E$1634,'SALES Raw'!$J$6:$J$1634,$J123,'SALES Raw'!$K$6:$K$1634,"Y")*$H$4</f>
        <v>252.631578947368</v>
      </c>
      <c r="G123" s="8" t="n">
        <f aca="false">SUMIFS('SALES Raw'!$F$6:$F$1634,'SALES Raw'!$J$6:$J$1634,$J123,'SALES Raw'!$K$6:$K$1634,"Y")*$H$4</f>
        <v>2930.47578947368</v>
      </c>
      <c r="H123" s="16" t="s">
        <v>30</v>
      </c>
      <c r="I123" s="16" t="s">
        <v>38</v>
      </c>
      <c r="J123" s="16" t="n">
        <v>4413498</v>
      </c>
    </row>
    <row r="124" customFormat="false" ht="15" hidden="false" customHeight="false" outlineLevel="0" collapsed="false">
      <c r="A124" s="16" t="n">
        <f aca="false">IF(ISNUMBER($J124),$J124,"")</f>
        <v>4411016</v>
      </c>
      <c r="B124" s="16" t="str">
        <f aca="false">IFERROR(INDEX('SALES Raw'!$B$6:$B$1634,MATCH($J124,'SALES Raw'!$J$6:$J$1634,0)),$J124)</f>
        <v>307 XL</v>
      </c>
      <c r="C124" s="16" t="str">
        <f aca="false">IF(ISNUMBER($J124),IFERROR(INDEX('TRANS'!$C:$C,MATCH($J124,'TRANS'!$B:$B,0)),IFERROR(INDEX('Catalog'!$B:$B,MATCH($J124,'Catalog'!$A:$A,0)),$B124)),$B124)</f>
        <v>307 XL כרית סיליקון לעקב</v>
      </c>
      <c r="D124" s="8" t="n">
        <f aca="false">SUMIFS('SALES Raw'!$C$6:$C$1634,'SALES Raw'!$J$6:$J$1634,$J124,'SALES Raw'!$K$6:$K$1634,"Y")</f>
        <v>242</v>
      </c>
      <c r="E124" s="8" t="n">
        <f aca="false">SUMIFS('SALES Raw'!$D$6:$D$1634,'SALES Raw'!$J$6:$J$1634,$J124,'SALES Raw'!$K$6:$K$1634,"Y")</f>
        <v>6618.63</v>
      </c>
      <c r="F124" s="8" t="n">
        <f aca="false">SUMIFS('SALES Raw'!$E$6:$E$1634,'SALES Raw'!$J$6:$J$1634,$J124,'SALES Raw'!$K$6:$K$1634,"Y")*$H$4</f>
        <v>246.315789473684</v>
      </c>
      <c r="G124" s="8" t="n">
        <f aca="false">SUMIFS('SALES Raw'!$F$6:$F$1634,'SALES Raw'!$J$6:$J$1634,$J124,'SALES Raw'!$K$6:$K$1634,"Y")*$H$4</f>
        <v>6729.43578947368</v>
      </c>
      <c r="H124" s="16" t="s">
        <v>44</v>
      </c>
      <c r="I124" s="16" t="s">
        <v>42</v>
      </c>
      <c r="J124" s="16" t="n">
        <v>4411016</v>
      </c>
    </row>
    <row r="125" customFormat="false" ht="15" hidden="false" customHeight="false" outlineLevel="0" collapsed="false">
      <c r="A125" s="16" t="n">
        <f aca="false">IF(ISNUMBER($J125),$J125,"")</f>
        <v>4421007</v>
      </c>
      <c r="B125" s="16" t="str">
        <f aca="false">IFERROR(INDEX('SALES Raw'!$B$6:$B$1634,MATCH($J125,'SALES Raw'!$J$6:$J$1634,0)),$J125)</f>
        <v>350 0</v>
      </c>
      <c r="C125" s="16" t="str">
        <f aca="false">IF(ISNUMBER($J125),IFERROR(INDEX('TRANS'!$C:$C,MATCH($J125,'TRANS'!$B:$B,0)),IFERROR(INDEX('Catalog'!$B:$B,MATCH($J125,'Catalog'!$A:$A,0)),$B125)),$B125)</f>
        <v>שרוול לגבס קצר רגל</v>
      </c>
      <c r="D125" s="8" t="n">
        <f aca="false">SUMIFS('SALES Raw'!$C$6:$C$1634,'SALES Raw'!$J$6:$J$1634,$J125,'SALES Raw'!$K$6:$K$1634,"Y")</f>
        <v>290</v>
      </c>
      <c r="E125" s="8" t="n">
        <f aca="false">SUMIFS('SALES Raw'!$D$6:$D$1634,'SALES Raw'!$J$6:$J$1634,$J125,'SALES Raw'!$K$6:$K$1634,"Y")</f>
        <v>7364.84</v>
      </c>
      <c r="F125" s="8" t="n">
        <f aca="false">SUMIFS('SALES Raw'!$E$6:$E$1634,'SALES Raw'!$J$6:$J$1634,$J125,'SALES Raw'!$K$6:$K$1634,"Y")*$H$4</f>
        <v>241.263157894737</v>
      </c>
      <c r="G125" s="8" t="n">
        <f aca="false">SUMIFS('SALES Raw'!$F$6:$F$1634,'SALES Raw'!$J$6:$J$1634,$J125,'SALES Raw'!$K$6:$K$1634,"Y")*$H$4</f>
        <v>5426.46315789474</v>
      </c>
      <c r="H125" s="16" t="s">
        <v>38</v>
      </c>
      <c r="I125" s="16" t="s">
        <v>32</v>
      </c>
      <c r="J125" s="16" t="n">
        <v>4421007</v>
      </c>
    </row>
    <row r="126" customFormat="false" ht="15" hidden="false" customHeight="false" outlineLevel="0" collapsed="false">
      <c r="A126" s="16" t="n">
        <f aca="false">IF(ISNUMBER($J126),$J126,"")</f>
        <v>4419006</v>
      </c>
      <c r="B126" s="16" t="str">
        <f aca="false">IFERROR(INDEX('SALES Raw'!$B$6:$B$1634,MATCH($J126,'SALES Raw'!$J$6:$J$1634,0)),$J126)</f>
        <v>PD340 0</v>
      </c>
      <c r="C126" s="16" t="str">
        <f aca="false">IF(ISNUMBER($J126),IFERROR(INDEX('TRANS'!$C:$C,MATCH($J126,'TRANS'!$B:$B,0)),IFERROR(INDEX('Catalog'!$B:$B,MATCH($J126,'Catalog'!$A:$A,0)),$B126)),$B126)</f>
        <v>PD340-קוצץ ציפורניים</v>
      </c>
      <c r="D126" s="8" t="n">
        <f aca="false">SUMIFS('SALES Raw'!$C$6:$C$1634,'SALES Raw'!$J$6:$J$1634,$J126,'SALES Raw'!$K$6:$K$1634,"Y")</f>
        <v>300</v>
      </c>
      <c r="E126" s="8" t="n">
        <f aca="false">SUMIFS('SALES Raw'!$D$6:$D$1634,'SALES Raw'!$J$6:$J$1634,$J126,'SALES Raw'!$K$6:$K$1634,"Y")</f>
        <v>2677</v>
      </c>
      <c r="F126" s="8" t="n">
        <f aca="false">SUMIFS('SALES Raw'!$E$6:$E$1634,'SALES Raw'!$J$6:$J$1634,$J126,'SALES Raw'!$K$6:$K$1634,"Y")*$H$4</f>
        <v>240</v>
      </c>
      <c r="G126" s="8" t="n">
        <f aca="false">SUMIFS('SALES Raw'!$F$6:$F$1634,'SALES Raw'!$J$6:$J$1634,$J126,'SALES Raw'!$K$6:$K$1634,"Y")*$H$4</f>
        <v>1907.20421052632</v>
      </c>
      <c r="H126" s="16" t="s">
        <v>34</v>
      </c>
      <c r="I126" s="16"/>
      <c r="J126" s="16" t="n">
        <v>4419006</v>
      </c>
    </row>
    <row r="127" customFormat="false" ht="15" hidden="false" customHeight="false" outlineLevel="0" collapsed="false">
      <c r="A127" s="16" t="n">
        <f aca="false">IF(ISNUMBER($J127),$J127,"")</f>
        <v>4413049</v>
      </c>
      <c r="B127" s="16" t="str">
        <f aca="false">IFERROR(INDEX('SALES Raw'!$B$6:$B$1634,MATCH($J127,'SALES Raw'!$J$6:$J$1634,0)),$J127)</f>
        <v>35 M</v>
      </c>
      <c r="C127" s="16" t="str">
        <f aca="false">IF(ISNUMBER($J127),IFERROR(INDEX('TRANS'!$C:$C,MATCH($J127,'TRANS'!$B:$B,0)),IFERROR(INDEX('Catalog'!$B:$B,MATCH($J127,'Catalog'!$A:$A,0)),$B127)),$B127)</f>
        <v>35 M מגן קרסול לבן</v>
      </c>
      <c r="D127" s="8" t="n">
        <f aca="false">SUMIFS('SALES Raw'!$C$6:$C$1634,'SALES Raw'!$J$6:$J$1634,$J127,'SALES Raw'!$K$6:$K$1634,"Y")</f>
        <v>406</v>
      </c>
      <c r="E127" s="8" t="n">
        <f aca="false">SUMIFS('SALES Raw'!$D$6:$D$1634,'SALES Raw'!$J$6:$J$1634,$J127,'SALES Raw'!$K$6:$K$1634,"Y")</f>
        <v>4608.43</v>
      </c>
      <c r="F127" s="8" t="n">
        <f aca="false">SUMIFS('SALES Raw'!$E$6:$E$1634,'SALES Raw'!$J$6:$J$1634,$J127,'SALES Raw'!$K$6:$K$1634,"Y")*$H$4</f>
        <v>232.421052631579</v>
      </c>
      <c r="G127" s="8" t="n">
        <f aca="false">SUMIFS('SALES Raw'!$F$6:$F$1634,'SALES Raw'!$J$6:$J$1634,$J127,'SALES Raw'!$K$6:$K$1634,"Y")*$H$4</f>
        <v>2483.26736842105</v>
      </c>
      <c r="H127" s="16" t="s">
        <v>42</v>
      </c>
      <c r="I127" s="16" t="s">
        <v>30</v>
      </c>
      <c r="J127" s="16" t="n">
        <v>4413049</v>
      </c>
    </row>
    <row r="128" customFormat="false" ht="15" hidden="false" customHeight="false" outlineLevel="0" collapsed="false">
      <c r="A128" s="16" t="n">
        <f aca="false">IF(ISNUMBER($J128),$J128,"")</f>
        <v>4413050</v>
      </c>
      <c r="B128" s="16" t="str">
        <f aca="false">IFERROR(INDEX('SALES Raw'!$B$6:$B$1634,MATCH($J128,'SALES Raw'!$J$6:$J$1634,0)),$J128)</f>
        <v>35 XL</v>
      </c>
      <c r="C128" s="16" t="str">
        <f aca="false">IF(ISNUMBER($J128),IFERROR(INDEX('TRANS'!$C:$C,MATCH($J128,'TRANS'!$B:$B,0)),IFERROR(INDEX('Catalog'!$B:$B,MATCH($J128,'Catalog'!$A:$A,0)),$B128)),$B128)</f>
        <v>35 XL מגן קרסול לבן</v>
      </c>
      <c r="D128" s="8" t="n">
        <f aca="false">SUMIFS('SALES Raw'!$C$6:$C$1634,'SALES Raw'!$J$6:$J$1634,$J128,'SALES Raw'!$K$6:$K$1634,"Y")</f>
        <v>296</v>
      </c>
      <c r="E128" s="8" t="n">
        <f aca="false">SUMIFS('SALES Raw'!$D$6:$D$1634,'SALES Raw'!$J$6:$J$1634,$J128,'SALES Raw'!$K$6:$K$1634,"Y")</f>
        <v>3377.09</v>
      </c>
      <c r="F128" s="8" t="n">
        <f aca="false">SUMIFS('SALES Raw'!$E$6:$E$1634,'SALES Raw'!$J$6:$J$1634,$J128,'SALES Raw'!$K$6:$K$1634,"Y")*$H$4</f>
        <v>227.368421052632</v>
      </c>
      <c r="G128" s="8" t="n">
        <f aca="false">SUMIFS('SALES Raw'!$F$6:$F$1634,'SALES Raw'!$J$6:$J$1634,$J128,'SALES Raw'!$K$6:$K$1634,"Y")*$H$4</f>
        <v>2486.47578947368</v>
      </c>
      <c r="H128" s="16" t="s">
        <v>42</v>
      </c>
      <c r="I128" s="16" t="s">
        <v>30</v>
      </c>
      <c r="J128" s="16" t="n">
        <v>4413050</v>
      </c>
    </row>
    <row r="129" customFormat="false" ht="15" hidden="false" customHeight="false" outlineLevel="0" collapsed="false">
      <c r="A129" s="16" t="n">
        <f aca="false">IF(ISNUMBER($J129),$J129,"")</f>
        <v>4413095</v>
      </c>
      <c r="B129" s="16" t="str">
        <f aca="false">IFERROR(INDEX('SALES Raw'!$B$6:$B$1634,MATCH($J129,'SALES Raw'!$J$6:$J$1634,0)),$J129)</f>
        <v>45 XL</v>
      </c>
      <c r="C129" s="16" t="str">
        <f aca="false">IF(ISNUMBER($J129),IFERROR(INDEX('TRANS'!$C:$C,MATCH($J129,'TRANS'!$B:$B,0)),IFERROR(INDEX('Catalog'!$B:$B,MATCH($J129,'Catalog'!$A:$A,0)),$B129)),$B129)</f>
        <v>45 XL מגן ברך לבן</v>
      </c>
      <c r="D129" s="8" t="n">
        <f aca="false">SUMIFS('SALES Raw'!$C$6:$C$1634,'SALES Raw'!$J$6:$J$1634,$J129,'SALES Raw'!$K$6:$K$1634,"Y")</f>
        <v>497</v>
      </c>
      <c r="E129" s="8" t="n">
        <f aca="false">SUMIFS('SALES Raw'!$D$6:$D$1634,'SALES Raw'!$J$6:$J$1634,$J129,'SALES Raw'!$K$6:$K$1634,"Y")</f>
        <v>5658.98</v>
      </c>
      <c r="F129" s="8" t="n">
        <f aca="false">SUMIFS('SALES Raw'!$E$6:$E$1634,'SALES Raw'!$J$6:$J$1634,$J129,'SALES Raw'!$K$6:$K$1634,"Y")*$H$4</f>
        <v>226.105263157895</v>
      </c>
      <c r="G129" s="8" t="n">
        <f aca="false">SUMIFS('SALES Raw'!$F$6:$F$1634,'SALES Raw'!$J$6:$J$1634,$J129,'SALES Raw'!$K$6:$K$1634,"Y")*$H$4</f>
        <v>2440.01684210526</v>
      </c>
      <c r="H129" s="16" t="s">
        <v>42</v>
      </c>
      <c r="I129" s="16" t="s">
        <v>44</v>
      </c>
      <c r="J129" s="16" t="n">
        <v>4413095</v>
      </c>
    </row>
    <row r="130" customFormat="false" ht="15" hidden="false" customHeight="false" outlineLevel="0" collapsed="false">
      <c r="A130" s="16" t="n">
        <f aca="false">IF(ISNUMBER($J130),$J130,"")</f>
        <v>4413533</v>
      </c>
      <c r="B130" s="16" t="str">
        <f aca="false">IFERROR(INDEX('SALES Raw'!$B$6:$B$1634,MATCH($J130,'SALES Raw'!$J$6:$J$1634,0)),$J130)</f>
        <v>ST49 0</v>
      </c>
      <c r="C130" s="16" t="str">
        <f aca="false">IF(ISNUMBER($J130),IFERROR(INDEX('TRANS'!$C:$C,MATCH($J130,'TRANS'!$B:$B,0)),IFERROR(INDEX('Catalog'!$B:$B,MATCH($J130,'Catalog'!$A:$A,0)),$B130)),$B130)</f>
        <v>ST49 מגן ירך</v>
      </c>
      <c r="D130" s="8" t="n">
        <f aca="false">SUMIFS('SALES Raw'!$C$6:$C$1634,'SALES Raw'!$J$6:$J$1634,$J130,'SALES Raw'!$K$6:$K$1634,"Y")</f>
        <v>147</v>
      </c>
      <c r="E130" s="8" t="n">
        <f aca="false">SUMIFS('SALES Raw'!$D$6:$D$1634,'SALES Raw'!$J$6:$J$1634,$J130,'SALES Raw'!$K$6:$K$1634,"Y")</f>
        <v>2513.6</v>
      </c>
      <c r="F130" s="8" t="n">
        <f aca="false">SUMIFS('SALES Raw'!$E$6:$E$1634,'SALES Raw'!$J$6:$J$1634,$J130,'SALES Raw'!$K$6:$K$1634,"Y")*$H$4</f>
        <v>224.842105263158</v>
      </c>
      <c r="G130" s="8" t="n">
        <f aca="false">SUMIFS('SALES Raw'!$F$6:$F$1634,'SALES Raw'!$J$6:$J$1634,$J130,'SALES Raw'!$K$6:$K$1634,"Y")*$H$4</f>
        <v>3538.30736842105</v>
      </c>
      <c r="H130" s="16" t="s">
        <v>42</v>
      </c>
      <c r="I130" s="16" t="s">
        <v>41</v>
      </c>
      <c r="J130" s="16" t="n">
        <v>4413533</v>
      </c>
    </row>
    <row r="131" customFormat="false" ht="15" hidden="false" customHeight="false" outlineLevel="0" collapsed="false">
      <c r="A131" s="16" t="n">
        <f aca="false">IF(ISNUMBER($J131),$J131,"")</f>
        <v>4408033</v>
      </c>
      <c r="B131" s="16" t="str">
        <f aca="false">IFERROR(INDEX('SALES Raw'!$B$6:$B$1634,MATCH($J131,'SALES Raw'!$J$6:$J$1634,0)),$J131)</f>
        <v>11 M</v>
      </c>
      <c r="C131" s="16" t="str">
        <f aca="false">IF(ISNUMBER($J131),IFERROR(INDEX('TRANS'!$C:$C,MATCH($J131,'TRANS'!$B:$B,0)),IFERROR(INDEX('Catalog'!$B:$B,MATCH($J131,'Catalog'!$A:$A,0)),$B131)),$B131)</f>
        <v>11 M""""חגורת בטן""""אורירית</v>
      </c>
      <c r="D131" s="8" t="n">
        <f aca="false">SUMIFS('SALES Raw'!$C$6:$C$1634,'SALES Raw'!$J$6:$J$1634,$J131,'SALES Raw'!$K$6:$K$1634,"Y")</f>
        <v>116</v>
      </c>
      <c r="E131" s="8" t="n">
        <f aca="false">SUMIFS('SALES Raw'!$D$6:$D$1634,'SALES Raw'!$J$6:$J$1634,$J131,'SALES Raw'!$K$6:$K$1634,"Y")</f>
        <v>8474.42</v>
      </c>
      <c r="F131" s="8" t="n">
        <f aca="false">SUMIFS('SALES Raw'!$E$6:$E$1634,'SALES Raw'!$J$6:$J$1634,$J131,'SALES Raw'!$K$6:$K$1634,"Y")*$H$4</f>
        <v>214.736842105263</v>
      </c>
      <c r="G131" s="8" t="n">
        <f aca="false">SUMIFS('SALES Raw'!$F$6:$F$1634,'SALES Raw'!$J$6:$J$1634,$J131,'SALES Raw'!$K$6:$K$1634,"Y")*$H$4</f>
        <v>10227.8778947368</v>
      </c>
      <c r="H131" s="16" t="s">
        <v>36</v>
      </c>
      <c r="I131" s="16" t="s">
        <v>30</v>
      </c>
      <c r="J131" s="16" t="n">
        <v>4408033</v>
      </c>
    </row>
    <row r="132" customFormat="false" ht="15" hidden="false" customHeight="false" outlineLevel="0" collapsed="false">
      <c r="A132" s="16" t="n">
        <f aca="false">IF(ISNUMBER($J132),$J132,"")</f>
        <v>4421005</v>
      </c>
      <c r="B132" s="16" t="str">
        <f aca="false">IFERROR(INDEX('SALES Raw'!$B$6:$B$1634,MATCH($J132,'SALES Raw'!$J$6:$J$1634,0)),$J132)</f>
        <v>250 0</v>
      </c>
      <c r="C132" s="16" t="str">
        <f aca="false">IF(ISNUMBER($J132),IFERROR(INDEX('TRANS'!$C:$C,MATCH($J132,'TRANS'!$B:$B,0)),IFERROR(INDEX('Catalog'!$B:$B,MATCH($J132,'Catalog'!$A:$A,0)),$B132)),$B132)</f>
        <v>שרוול לגבס קצר יד</v>
      </c>
      <c r="D132" s="8" t="n">
        <f aca="false">SUMIFS('SALES Raw'!$C$6:$C$1634,'SALES Raw'!$J$6:$J$1634,$J132,'SALES Raw'!$K$6:$K$1634,"Y")</f>
        <v>236</v>
      </c>
      <c r="E132" s="8" t="n">
        <f aca="false">SUMIFS('SALES Raw'!$D$6:$D$1634,'SALES Raw'!$J$6:$J$1634,$J132,'SALES Raw'!$K$6:$K$1634,"Y")</f>
        <v>4488.49</v>
      </c>
      <c r="F132" s="8" t="n">
        <f aca="false">SUMIFS('SALES Raw'!$E$6:$E$1634,'SALES Raw'!$J$6:$J$1634,$J132,'SALES Raw'!$K$6:$K$1634,"Y")*$H$4</f>
        <v>210.947368421053</v>
      </c>
      <c r="G132" s="8" t="n">
        <f aca="false">SUMIFS('SALES Raw'!$F$6:$F$1634,'SALES Raw'!$J$6:$J$1634,$J132,'SALES Raw'!$K$6:$K$1634,"Y")*$H$4</f>
        <v>3589.13684210526</v>
      </c>
      <c r="H132" s="16" t="s">
        <v>38</v>
      </c>
      <c r="I132" s="16" t="s">
        <v>32</v>
      </c>
      <c r="J132" s="16" t="n">
        <v>4421005</v>
      </c>
    </row>
    <row r="133" customFormat="false" ht="15" hidden="false" customHeight="false" outlineLevel="0" collapsed="false">
      <c r="A133" s="16" t="n">
        <f aca="false">IF(ISNUMBER($J133),$J133,"")</f>
        <v>4408266</v>
      </c>
      <c r="B133" s="16" t="str">
        <f aca="false">IFERROR(INDEX('SALES Raw'!$B$6:$B$1634,MATCH($J133,'SALES Raw'!$J$6:$J$1634,0)),$J133)</f>
        <v>91B 0</v>
      </c>
      <c r="C133" s="16" t="str">
        <f aca="false">IF(ISNUMBER($J133),IFERROR(INDEX('TRANS'!$C:$C,MATCH($J133,'TRANS'!$B:$B,0)),IFERROR(INDEX('Catalog'!$B:$B,MATCH($J133,'Catalog'!$A:$A,0)),$B133)),$B133)</f>
        <v>91B חבק טניס אלבו</v>
      </c>
      <c r="D133" s="8" t="n">
        <f aca="false">SUMIFS('SALES Raw'!$C$6:$C$1634,'SALES Raw'!$J$6:$J$1634,$J133,'SALES Raw'!$K$6:$K$1634,"Y")</f>
        <v>146</v>
      </c>
      <c r="E133" s="8" t="n">
        <f aca="false">SUMIFS('SALES Raw'!$D$6:$D$1634,'SALES Raw'!$J$6:$J$1634,$J133,'SALES Raw'!$K$6:$K$1634,"Y")</f>
        <v>6199.22</v>
      </c>
      <c r="F133" s="8" t="n">
        <f aca="false">SUMIFS('SALES Raw'!$E$6:$E$1634,'SALES Raw'!$J$6:$J$1634,$J133,'SALES Raw'!$K$6:$K$1634,"Y")*$H$4</f>
        <v>209.684210526316</v>
      </c>
      <c r="G133" s="8" t="n">
        <f aca="false">SUMIFS('SALES Raw'!$F$6:$F$1634,'SALES Raw'!$J$6:$J$1634,$J133,'SALES Raw'!$K$6:$K$1634,"Y")*$H$4</f>
        <v>7637.55789473684</v>
      </c>
      <c r="H133" s="16" t="s">
        <v>36</v>
      </c>
      <c r="I133" s="16" t="s">
        <v>42</v>
      </c>
      <c r="J133" s="16" t="n">
        <v>4408266</v>
      </c>
    </row>
    <row r="134" customFormat="false" ht="15" hidden="false" customHeight="false" outlineLevel="0" collapsed="false">
      <c r="A134" s="16" t="n">
        <f aca="false">IF(ISNUMBER($J134),$J134,"")</f>
        <v>4413307</v>
      </c>
      <c r="B134" s="16" t="str">
        <f aca="false">IFERROR(INDEX('SALES Raw'!$B$6:$B$1634,MATCH($J134,'SALES Raw'!$J$6:$J$1634,0)),$J134)</f>
        <v>3667 0</v>
      </c>
      <c r="C134" s="16" t="str">
        <f aca="false">IF(ISNUMBER($J134),IFERROR(INDEX('TRANS'!$C:$C,MATCH($J134,'TRANS'!$B:$B,0)),IFERROR(INDEX('Catalog'!$B:$B,MATCH($J134,'Catalog'!$A:$A,0)),$B134)),$B134)</f>
        <v>URI 3667 מגן בוניון</v>
      </c>
      <c r="D134" s="8" t="n">
        <f aca="false">SUMIFS('SALES Raw'!$C$6:$C$1634,'SALES Raw'!$J$6:$J$1634,$J134,'SALES Raw'!$K$6:$K$1634,"Y")</f>
        <v>120</v>
      </c>
      <c r="E134" s="8" t="n">
        <f aca="false">SUMIFS('SALES Raw'!$D$6:$D$1634,'SALES Raw'!$J$6:$J$1634,$J134,'SALES Raw'!$K$6:$K$1634,"Y")</f>
        <v>1910.16</v>
      </c>
      <c r="F134" s="8" t="n">
        <f aca="false">SUMIFS('SALES Raw'!$E$6:$E$1634,'SALES Raw'!$J$6:$J$1634,$J134,'SALES Raw'!$K$6:$K$1634,"Y")*$H$4</f>
        <v>208.421052631579</v>
      </c>
      <c r="G134" s="8" t="n">
        <f aca="false">SUMIFS('SALES Raw'!$F$6:$F$1634,'SALES Raw'!$J$6:$J$1634,$J134,'SALES Raw'!$K$6:$K$1634,"Y")*$H$4</f>
        <v>3253.1747368421</v>
      </c>
      <c r="H134" s="16" t="s">
        <v>31</v>
      </c>
      <c r="I134" s="16" t="s">
        <v>44</v>
      </c>
      <c r="J134" s="16" t="n">
        <v>4413307</v>
      </c>
    </row>
    <row r="135" customFormat="false" ht="15" hidden="false" customHeight="false" outlineLevel="0" collapsed="false">
      <c r="A135" s="16" t="n">
        <f aca="false">IF(ISNUMBER($J135),$J135,"")</f>
        <v>4402011</v>
      </c>
      <c r="B135" s="16" t="str">
        <f aca="false">IFERROR(INDEX('SALES Raw'!$B$6:$B$1634,MATCH($J135,'SALES Raw'!$J$6:$J$1634,0)),$J135)</f>
        <v>ST422 0</v>
      </c>
      <c r="C135" s="16" t="str">
        <f aca="false">IF(ISNUMBER($J135),IFERROR(INDEX('TRANS'!$C:$C,MATCH($J135,'TRANS'!$B:$B,0)),IFERROR(INDEX('Catalog'!$B:$B,MATCH($J135,'Catalog'!$A:$A,0)),$B135)),$B135)</f>
        <v>S-XLST422 מגן ברך+כרית ג'ל</v>
      </c>
      <c r="D135" s="8" t="n">
        <f aca="false">SUMIFS('SALES Raw'!$C$6:$C$1634,'SALES Raw'!$J$6:$J$1634,$J135,'SALES Raw'!$K$6:$K$1634,"Y")</f>
        <v>260</v>
      </c>
      <c r="E135" s="8" t="n">
        <f aca="false">SUMIFS('SALES Raw'!$D$6:$D$1634,'SALES Raw'!$J$6:$J$1634,$J135,'SALES Raw'!$K$6:$K$1634,"Y")</f>
        <v>14587.11</v>
      </c>
      <c r="F135" s="8" t="n">
        <f aca="false">SUMIFS('SALES Raw'!$E$6:$E$1634,'SALES Raw'!$J$6:$J$1634,$J135,'SALES Raw'!$K$6:$K$1634,"Y")*$H$4</f>
        <v>208.421052631579</v>
      </c>
      <c r="G135" s="8" t="n">
        <f aca="false">SUMIFS('SALES Raw'!$F$6:$F$1634,'SALES Raw'!$J$6:$J$1634,$J135,'SALES Raw'!$K$6:$K$1634,"Y")*$H$4</f>
        <v>10179.3978947368</v>
      </c>
      <c r="H135" s="16" t="s">
        <v>30</v>
      </c>
      <c r="I135" s="16" t="s">
        <v>42</v>
      </c>
      <c r="J135" s="16" t="n">
        <v>4402011</v>
      </c>
    </row>
    <row r="136" customFormat="false" ht="15" hidden="false" customHeight="false" outlineLevel="0" collapsed="false">
      <c r="A136" s="16" t="n">
        <f aca="false">IF(ISNUMBER($J136),$J136,"")</f>
        <v>4413048</v>
      </c>
      <c r="B136" s="16" t="str">
        <f aca="false">IFERROR(INDEX('SALES Raw'!$B$6:$B$1634,MATCH($J136,'SALES Raw'!$J$6:$J$1634,0)),$J136)</f>
        <v>35 L</v>
      </c>
      <c r="C136" s="16" t="str">
        <f aca="false">IF(ISNUMBER($J136),IFERROR(INDEX('TRANS'!$C:$C,MATCH($J136,'TRANS'!$B:$B,0)),IFERROR(INDEX('Catalog'!$B:$B,MATCH($J136,'Catalog'!$A:$A,0)),$B136)),$B136)</f>
        <v>35 L מגן קרסול לבן</v>
      </c>
      <c r="D136" s="8" t="n">
        <f aca="false">SUMIFS('SALES Raw'!$C$6:$C$1634,'SALES Raw'!$J$6:$J$1634,$J136,'SALES Raw'!$K$6:$K$1634,"Y")</f>
        <v>433</v>
      </c>
      <c r="E136" s="8" t="n">
        <f aca="false">SUMIFS('SALES Raw'!$D$6:$D$1634,'SALES Raw'!$J$6:$J$1634,$J136,'SALES Raw'!$K$6:$K$1634,"Y")</f>
        <v>4956.38</v>
      </c>
      <c r="F136" s="8" t="n">
        <f aca="false">SUMIFS('SALES Raw'!$E$6:$E$1634,'SALES Raw'!$J$6:$J$1634,$J136,'SALES Raw'!$K$6:$K$1634,"Y")*$H$4</f>
        <v>207.157894736842</v>
      </c>
      <c r="G136" s="8" t="n">
        <f aca="false">SUMIFS('SALES Raw'!$F$6:$F$1634,'SALES Raw'!$J$6:$J$1634,$J136,'SALES Raw'!$K$6:$K$1634,"Y")*$H$4</f>
        <v>2272.69894736842</v>
      </c>
      <c r="H136" s="16" t="s">
        <v>42</v>
      </c>
      <c r="I136" s="16" t="s">
        <v>30</v>
      </c>
      <c r="J136" s="16" t="n">
        <v>4413048</v>
      </c>
    </row>
    <row r="137" customFormat="false" ht="15" hidden="false" customHeight="false" outlineLevel="0" collapsed="false">
      <c r="A137" s="16" t="n">
        <f aca="false">IF(ISNUMBER($J137),$J137,"")</f>
        <v>4413033</v>
      </c>
      <c r="B137" s="16" t="str">
        <f aca="false">IFERROR(INDEX('SALES Raw'!$B$6:$B$1634,MATCH($J137,'SALES Raw'!$J$6:$J$1634,0)),$J137)</f>
        <v>311 0</v>
      </c>
      <c r="C137" s="16" t="str">
        <f aca="false">IF(ISNUMBER($J137),IFERROR(INDEX('TRANS'!$C:$C,MATCH($J137,'TRANS'!$B:$B,0)),IFERROR(INDEX('Catalog'!$B:$B,MATCH($J137,'Catalog'!$A:$A,0)),$B137)),$B137)</f>
        <v>311'מדב.ג'ל למניעת שפשוף 5 יח</v>
      </c>
      <c r="D137" s="8" t="n">
        <f aca="false">SUMIFS('SALES Raw'!$C$6:$C$1634,'SALES Raw'!$J$6:$J$1634,$J137,'SALES Raw'!$K$6:$K$1634,"Y")</f>
        <v>332</v>
      </c>
      <c r="E137" s="8" t="n">
        <f aca="false">SUMIFS('SALES Raw'!$D$6:$D$1634,'SALES Raw'!$J$6:$J$1634,$J137,'SALES Raw'!$K$6:$K$1634,"Y")</f>
        <v>5694.6</v>
      </c>
      <c r="F137" s="8" t="n">
        <f aca="false">SUMIFS('SALES Raw'!$E$6:$E$1634,'SALES Raw'!$J$6:$J$1634,$J137,'SALES Raw'!$K$6:$K$1634,"Y")*$H$4</f>
        <v>205.894736842105</v>
      </c>
      <c r="G137" s="8" t="n">
        <f aca="false">SUMIFS('SALES Raw'!$F$6:$F$1634,'SALES Raw'!$J$6:$J$1634,$J137,'SALES Raw'!$K$6:$K$1634,"Y")*$H$4</f>
        <v>3091.33894736842</v>
      </c>
      <c r="H137" s="16" t="s">
        <v>30</v>
      </c>
      <c r="I137" s="16" t="s">
        <v>32</v>
      </c>
      <c r="J137" s="16" t="n">
        <v>4413033</v>
      </c>
    </row>
    <row r="138" customFormat="false" ht="15" hidden="false" customHeight="false" outlineLevel="0" collapsed="false">
      <c r="A138" s="16" t="n">
        <f aca="false">IF(ISNUMBER($J138),$J138,"")</f>
        <v>4413137</v>
      </c>
      <c r="B138" s="16" t="str">
        <f aca="false">IFERROR(INDEX('SALES Raw'!$B$6:$B$1634,MATCH($J138,'SALES Raw'!$J$6:$J$1634,0)),$J138)</f>
        <v>85 S</v>
      </c>
      <c r="C138" s="16" t="str">
        <f aca="false">IF(ISNUMBER($J138),IFERROR(INDEX('TRANS'!$C:$C,MATCH($J138,'TRANS'!$B:$B,0)),IFERROR(INDEX('Catalog'!$B:$B,MATCH($J138,'Catalog'!$A:$A,0)),$B138)),$B138)</f>
        <v>85 S (מתלה ליד )כיס</v>
      </c>
      <c r="D138" s="8" t="n">
        <f aca="false">SUMIFS('SALES Raw'!$C$6:$C$1634,'SALES Raw'!$J$6:$J$1634,$J138,'SALES Raw'!$K$6:$K$1634,"Y")</f>
        <v>330</v>
      </c>
      <c r="E138" s="8" t="n">
        <f aca="false">SUMIFS('SALES Raw'!$D$6:$D$1634,'SALES Raw'!$J$6:$J$1634,$J138,'SALES Raw'!$K$6:$K$1634,"Y")</f>
        <v>7689.72</v>
      </c>
      <c r="F138" s="8" t="n">
        <f aca="false">SUMIFS('SALES Raw'!$E$6:$E$1634,'SALES Raw'!$J$6:$J$1634,$J138,'SALES Raw'!$K$6:$K$1634,"Y")*$H$4</f>
        <v>202.105263157895</v>
      </c>
      <c r="G138" s="8" t="n">
        <f aca="false">SUMIFS('SALES Raw'!$F$6:$F$1634,'SALES Raw'!$J$6:$J$1634,$J138,'SALES Raw'!$K$6:$K$1634,"Y")*$H$4</f>
        <v>3952.24421052632</v>
      </c>
      <c r="H138" s="16" t="s">
        <v>42</v>
      </c>
      <c r="I138" s="16" t="s">
        <v>38</v>
      </c>
      <c r="J138" s="16" t="n">
        <v>4413137</v>
      </c>
    </row>
    <row r="139" customFormat="false" ht="15" hidden="false" customHeight="false" outlineLevel="0" collapsed="false">
      <c r="A139" s="16" t="n">
        <f aca="false">IF(ISNUMBER($J139),$J139,"")</f>
        <v>4408218</v>
      </c>
      <c r="B139" s="16" t="str">
        <f aca="false">IFERROR(INDEX('SALES Raw'!$B$6:$B$1634,MATCH($J139,'SALES Raw'!$J$6:$J$1634,0)),$J139)</f>
        <v>078 XL</v>
      </c>
      <c r="C139" s="16" t="str">
        <f aca="false">IF(ISNUMBER($J139),IFERROR(INDEX('TRANS'!$C:$C,MATCH($J139,'TRANS'!$B:$B,0)),IFERROR(INDEX('Catalog'!$B:$B,MATCH($J139,'Catalog'!$A:$A,0)),$B139)),$B139)</f>
        <v>078XL חגורת גב +סגירה כפולה</v>
      </c>
      <c r="D139" s="8" t="n">
        <f aca="false">SUMIFS('SALES Raw'!$C$6:$C$1634,'SALES Raw'!$J$6:$J$1634,$J139,'SALES Raw'!$K$6:$K$1634,"Y")</f>
        <v>205</v>
      </c>
      <c r="E139" s="8" t="n">
        <f aca="false">SUMIFS('SALES Raw'!$D$6:$D$1634,'SALES Raw'!$J$6:$J$1634,$J139,'SALES Raw'!$K$6:$K$1634,"Y")</f>
        <v>10752.58</v>
      </c>
      <c r="F139" s="8" t="n">
        <f aca="false">SUMIFS('SALES Raw'!$E$6:$E$1634,'SALES Raw'!$J$6:$J$1634,$J139,'SALES Raw'!$K$6:$K$1634,"Y")*$H$4</f>
        <v>195.789473684211</v>
      </c>
      <c r="G139" s="8" t="n">
        <f aca="false">SUMIFS('SALES Raw'!$F$6:$F$1634,'SALES Raw'!$J$6:$J$1634,$J139,'SALES Raw'!$K$6:$K$1634,"Y")*$H$4</f>
        <v>10025.0273684211</v>
      </c>
      <c r="H139" s="16" t="s">
        <v>38</v>
      </c>
      <c r="I139" s="16" t="s">
        <v>30</v>
      </c>
      <c r="J139" s="16" t="n">
        <v>4408218</v>
      </c>
    </row>
    <row r="140" customFormat="false" ht="15" hidden="false" customHeight="false" outlineLevel="0" collapsed="false">
      <c r="A140" s="16" t="str">
        <f aca="false">IF(ISNUMBER($J140),$J140,"")</f>
        <v/>
      </c>
      <c r="B140" s="16" t="str">
        <f aca="false">IFERROR(INDEX('SALES Raw'!$B$6:$B$1634,MATCH($J140,'SALES Raw'!$J$6:$J$1634,0)),$J140)</f>
        <v>363 L/R</v>
      </c>
      <c r="C140" s="16" t="str">
        <f aca="false">IF(ISNUMBER($J140),IFERROR(INDEX('TRANS'!$C:$C,MATCH($J140,'TRANS'!$B:$B,0)),IFERROR(INDEX('Catalog'!$B:$B,MATCH($J140,'Catalog'!$A:$A,0)),$B140)),$B140)</f>
        <v>363 L/R</v>
      </c>
      <c r="D140" s="8" t="n">
        <f aca="false">SUMIFS('SALES Raw'!$C$6:$C$1634,'SALES Raw'!$J$6:$J$1634,$J140,'SALES Raw'!$K$6:$K$1634,"Y")</f>
        <v>308</v>
      </c>
      <c r="E140" s="8" t="n">
        <f aca="false">SUMIFS('SALES Raw'!$D$6:$D$1634,'SALES Raw'!$J$6:$J$1634,$J140,'SALES Raw'!$K$6:$K$1634,"Y")</f>
        <v>3778.28</v>
      </c>
      <c r="F140" s="8" t="n">
        <f aca="false">SUMIFS('SALES Raw'!$E$6:$E$1634,'SALES Raw'!$J$6:$J$1634,$J140,'SALES Raw'!$K$6:$K$1634,"Y")*$H$4</f>
        <v>195.789473684211</v>
      </c>
      <c r="G140" s="8" t="n">
        <f aca="false">SUMIFS('SALES Raw'!$F$6:$F$1634,'SALES Raw'!$J$6:$J$1634,$J140,'SALES Raw'!$K$6:$K$1634,"Y")*$H$4</f>
        <v>2186.88</v>
      </c>
      <c r="H140" s="16" t="s">
        <v>42</v>
      </c>
      <c r="I140" s="16" t="s">
        <v>44</v>
      </c>
      <c r="J140" s="16" t="s">
        <v>80</v>
      </c>
    </row>
    <row r="141" customFormat="false" ht="15" hidden="false" customHeight="false" outlineLevel="0" collapsed="false">
      <c r="A141" s="16" t="n">
        <f aca="false">IF(ISNUMBER($J141),$J141,"")</f>
        <v>4409016</v>
      </c>
      <c r="B141" s="16" t="str">
        <f aca="false">IFERROR(INDEX('SALES Raw'!$B$6:$B$1634,MATCH($J141,'SALES Raw'!$J$6:$J$1634,0)),$J141)</f>
        <v>808KT-C</v>
      </c>
      <c r="C141" s="16" t="str">
        <f aca="false">IF(ISNUMBER($J141),IFERROR(INDEX('TRANS'!$C:$C,MATCH($J141,'TRANS'!$B:$B,0)),IFERROR(INDEX('Catalog'!$B:$B,MATCH($J141,'Catalog'!$A:$A,0)),$B141)),$B141)</f>
        <v>808KT-C        טייפ קינזיולוגי</v>
      </c>
      <c r="D141" s="8" t="n">
        <f aca="false">SUMIFS('SALES Raw'!$C$6:$C$1634,'SALES Raw'!$J$6:$J$1634,$J141,'SALES Raw'!$K$6:$K$1634,"Y")</f>
        <v>918</v>
      </c>
      <c r="E141" s="8" t="n">
        <f aca="false">SUMIFS('SALES Raw'!$D$6:$D$1634,'SALES Raw'!$J$6:$J$1634,$J141,'SALES Raw'!$K$6:$K$1634,"Y")</f>
        <v>15019.12</v>
      </c>
      <c r="F141" s="8" t="n">
        <f aca="false">SUMIFS('SALES Raw'!$E$6:$E$1634,'SALES Raw'!$J$6:$J$1634,$J141,'SALES Raw'!$K$6:$K$1634,"Y")*$H$4</f>
        <v>190.736842105263</v>
      </c>
      <c r="G141" s="8" t="n">
        <f aca="false">SUMIFS('SALES Raw'!$F$6:$F$1634,'SALES Raw'!$J$6:$J$1634,$J141,'SALES Raw'!$K$6:$K$1634,"Y")*$H$4</f>
        <v>2305.22526315789</v>
      </c>
      <c r="H141" s="16" t="s">
        <v>44</v>
      </c>
      <c r="I141" s="16" t="s">
        <v>38</v>
      </c>
      <c r="J141" s="16" t="n">
        <v>4409016</v>
      </c>
    </row>
    <row r="142" customFormat="false" ht="15" hidden="false" customHeight="false" outlineLevel="0" collapsed="false">
      <c r="A142" s="16" t="n">
        <f aca="false">IF(ISNUMBER($J142),$J142,"")</f>
        <v>4408046</v>
      </c>
      <c r="B142" s="16" t="str">
        <f aca="false">IFERROR(INDEX('SALES Raw'!$B$6:$B$1634,MATCH($J142,'SALES Raw'!$J$6:$J$1634,0)),$J142)</f>
        <v>20 L</v>
      </c>
      <c r="C142" s="16" t="str">
        <f aca="false">IF(ISNUMBER($J142),IFERROR(INDEX('TRANS'!$C:$C,MATCH($J142,'TRANS'!$B:$B,0)),IFERROR(INDEX('Catalog'!$B:$B,MATCH($J142,'Catalog'!$A:$A,0)),$B142)),$B142)</f>
        <v>20 L חבק יד מתכוון עם צמדן</v>
      </c>
      <c r="D142" s="8" t="n">
        <f aca="false">SUMIFS('SALES Raw'!$C$6:$C$1634,'SALES Raw'!$J$6:$J$1634,$J142,'SALES Raw'!$K$6:$K$1634,"Y")</f>
        <v>217</v>
      </c>
      <c r="E142" s="8" t="n">
        <f aca="false">SUMIFS('SALES Raw'!$D$6:$D$1634,'SALES Raw'!$J$6:$J$1634,$J142,'SALES Raw'!$K$6:$K$1634,"Y")</f>
        <v>3972.24</v>
      </c>
      <c r="F142" s="8" t="n">
        <f aca="false">SUMIFS('SALES Raw'!$E$6:$E$1634,'SALES Raw'!$J$6:$J$1634,$J142,'SALES Raw'!$K$6:$K$1634,"Y")*$H$4</f>
        <v>190.736842105263</v>
      </c>
      <c r="G142" s="8" t="n">
        <f aca="false">SUMIFS('SALES Raw'!$F$6:$F$1634,'SALES Raw'!$J$6:$J$1634,$J142,'SALES Raw'!$K$6:$K$1634,"Y")*$H$4</f>
        <v>2886.25263157895</v>
      </c>
      <c r="H142" s="16" t="s">
        <v>38</v>
      </c>
      <c r="I142" s="16" t="s">
        <v>30</v>
      </c>
      <c r="J142" s="16" t="n">
        <v>4408046</v>
      </c>
    </row>
    <row r="143" customFormat="false" ht="15" hidden="false" customHeight="false" outlineLevel="0" collapsed="false">
      <c r="A143" s="16" t="n">
        <f aca="false">IF(ISNUMBER($J143),$J143,"")</f>
        <v>4401011</v>
      </c>
      <c r="B143" s="16" t="str">
        <f aca="false">IFERROR(INDEX('SALES Raw'!$B$6:$B$1634,MATCH($J143,'SALES Raw'!$J$6:$J$1634,0)),$J143)</f>
        <v>805AT-C</v>
      </c>
      <c r="C143" s="16" t="str">
        <f aca="false">IF(ISNUMBER($J143),IFERROR(INDEX('TRANS'!$C:$C,MATCH($J143,'TRANS'!$B:$B,0)),IFERROR(INDEX('Catalog'!$B:$B,MATCH($J143,'Catalog'!$A:$A,0)),$B143)),$B143)</f>
        <v>805AT-Cאתלטיק טייפ בז' 20מ""""מ20</v>
      </c>
      <c r="D143" s="8" t="n">
        <f aca="false">SUMIFS('SALES Raw'!$C$6:$C$1634,'SALES Raw'!$J$6:$J$1634,$J143,'SALES Raw'!$K$6:$K$1634,"Y")</f>
        <v>115</v>
      </c>
      <c r="E143" s="8" t="n">
        <f aca="false">SUMIFS('SALES Raw'!$D$6:$D$1634,'SALES Raw'!$J$6:$J$1634,$J143,'SALES Raw'!$K$6:$K$1634,"Y")</f>
        <v>1039.02</v>
      </c>
      <c r="F143" s="8" t="n">
        <f aca="false">SUMIFS('SALES Raw'!$E$6:$E$1634,'SALES Raw'!$J$6:$J$1634,$J143,'SALES Raw'!$K$6:$K$1634,"Y")*$H$4</f>
        <v>189.473684210526</v>
      </c>
      <c r="G143" s="8" t="n">
        <f aca="false">SUMIFS('SALES Raw'!$F$6:$F$1634,'SALES Raw'!$J$6:$J$1634,$J143,'SALES Raw'!$K$6:$K$1634,"Y")*$H$4</f>
        <v>1546.48421052632</v>
      </c>
      <c r="H143" s="16" t="s">
        <v>38</v>
      </c>
      <c r="I143" s="16" t="s">
        <v>32</v>
      </c>
      <c r="J143" s="16" t="n">
        <v>4401011</v>
      </c>
    </row>
    <row r="144" customFormat="false" ht="15" hidden="false" customHeight="false" outlineLevel="0" collapsed="false">
      <c r="A144" s="16" t="n">
        <f aca="false">IF(ISNUMBER($J144),$J144,"")</f>
        <v>4408048</v>
      </c>
      <c r="B144" s="16" t="str">
        <f aca="false">IFERROR(INDEX('SALES Raw'!$B$6:$B$1634,MATCH($J144,'SALES Raw'!$J$6:$J$1634,0)),$J144)</f>
        <v>20 S</v>
      </c>
      <c r="C144" s="16" t="str">
        <f aca="false">IF(ISNUMBER($J144),IFERROR(INDEX('TRANS'!$C:$C,MATCH($J144,'TRANS'!$B:$B,0)),IFERROR(INDEX('Catalog'!$B:$B,MATCH($J144,'Catalog'!$A:$A,0)),$B144)),$B144)</f>
        <v>20 S חבק יד מתכוון עם צמדן</v>
      </c>
      <c r="D144" s="8" t="n">
        <f aca="false">SUMIFS('SALES Raw'!$C$6:$C$1634,'SALES Raw'!$J$6:$J$1634,$J144,'SALES Raw'!$K$6:$K$1634,"Y")</f>
        <v>210</v>
      </c>
      <c r="E144" s="8" t="n">
        <f aca="false">SUMIFS('SALES Raw'!$D$6:$D$1634,'SALES Raw'!$J$6:$J$1634,$J144,'SALES Raw'!$K$6:$K$1634,"Y")</f>
        <v>3954.61</v>
      </c>
      <c r="F144" s="8" t="n">
        <f aca="false">SUMIFS('SALES Raw'!$E$6:$E$1634,'SALES Raw'!$J$6:$J$1634,$J144,'SALES Raw'!$K$6:$K$1634,"Y")*$H$4</f>
        <v>185.684210526316</v>
      </c>
      <c r="G144" s="8" t="n">
        <f aca="false">SUMIFS('SALES Raw'!$F$6:$F$1634,'SALES Raw'!$J$6:$J$1634,$J144,'SALES Raw'!$K$6:$K$1634,"Y")*$H$4</f>
        <v>2880.80842105263</v>
      </c>
      <c r="H144" s="16" t="s">
        <v>38</v>
      </c>
      <c r="I144" s="16" t="s">
        <v>30</v>
      </c>
      <c r="J144" s="16" t="n">
        <v>4408048</v>
      </c>
    </row>
    <row r="145" customFormat="false" ht="15" hidden="false" customHeight="false" outlineLevel="0" collapsed="false">
      <c r="A145" s="16" t="str">
        <f aca="false">IF(ISNUMBER($J145),$J145,"")</f>
        <v/>
      </c>
      <c r="B145" s="16" t="str">
        <f aca="false">IFERROR(INDEX('SALES Raw'!$B$6:$B$1634,MATCH($J145,'SALES Raw'!$J$6:$J$1634,0)),$J145)</f>
        <v>82 0</v>
      </c>
      <c r="C145" s="16" t="str">
        <f aca="false">IF(ISNUMBER($J145),IFERROR(INDEX('TRANS'!$C:$C,MATCH($J145,'TRANS'!$B:$B,0)),IFERROR(INDEX('Catalog'!$B:$B,MATCH($J145,'Catalog'!$A:$A,0)),$B145)),$B145)</f>
        <v>82 0</v>
      </c>
      <c r="D145" s="8" t="n">
        <f aca="false">SUMIFS('SALES Raw'!$C$6:$C$1634,'SALES Raw'!$J$6:$J$1634,$J145,'SALES Raw'!$K$6:$K$1634,"Y")</f>
        <v>210</v>
      </c>
      <c r="E145" s="8" t="n">
        <f aca="false">SUMIFS('SALES Raw'!$D$6:$D$1634,'SALES Raw'!$J$6:$J$1634,$J145,'SALES Raw'!$K$6:$K$1634,"Y")</f>
        <v>5978.1</v>
      </c>
      <c r="F145" s="8" t="n">
        <f aca="false">SUMIFS('SALES Raw'!$E$6:$E$1634,'SALES Raw'!$J$6:$J$1634,$J145,'SALES Raw'!$K$6:$K$1634,"Y")*$H$4</f>
        <v>176.842105263158</v>
      </c>
      <c r="G145" s="8" t="n">
        <f aca="false">SUMIFS('SALES Raw'!$F$6:$F$1634,'SALES Raw'!$J$6:$J$1634,$J145,'SALES Raw'!$K$6:$K$1634,"Y")*$H$4</f>
        <v>4444.86315789474</v>
      </c>
      <c r="H145" s="16" t="s">
        <v>38</v>
      </c>
      <c r="I145" s="16" t="s">
        <v>32</v>
      </c>
      <c r="J145" s="16" t="s">
        <v>81</v>
      </c>
    </row>
    <row r="146" customFormat="false" ht="15" hidden="false" customHeight="false" outlineLevel="0" collapsed="false">
      <c r="A146" s="16" t="str">
        <f aca="false">IF(ISNUMBER($J146),$J146,"")</f>
        <v/>
      </c>
      <c r="B146" s="16" t="str">
        <f aca="false">IFERROR(INDEX('SALES Raw'!$B$6:$B$1634,MATCH($J146,'SALES Raw'!$J$6:$J$1634,0)),$J146)</f>
        <v>86U L</v>
      </c>
      <c r="C146" s="16" t="str">
        <f aca="false">IF(ISNUMBER($J146),IFERROR(INDEX('TRANS'!$C:$C,MATCH($J146,'TRANS'!$B:$B,0)),IFERROR(INDEX('Catalog'!$B:$B,MATCH($J146,'Catalog'!$A:$A,0)),$B146)),$B146)</f>
        <v>86U L</v>
      </c>
      <c r="D146" s="8" t="n">
        <f aca="false">SUMIFS('SALES Raw'!$C$6:$C$1634,'SALES Raw'!$J$6:$J$1634,$J146,'SALES Raw'!$K$6:$K$1634,"Y")</f>
        <v>192</v>
      </c>
      <c r="E146" s="8" t="n">
        <f aca="false">SUMIFS('SALES Raw'!$D$6:$D$1634,'SALES Raw'!$J$6:$J$1634,$J146,'SALES Raw'!$K$6:$K$1634,"Y")</f>
        <v>17774.47</v>
      </c>
      <c r="F146" s="8" t="n">
        <f aca="false">SUMIFS('SALES Raw'!$E$6:$E$1634,'SALES Raw'!$J$6:$J$1634,$J146,'SALES Raw'!$K$6:$K$1634,"Y")*$H$4</f>
        <v>176.842105263158</v>
      </c>
      <c r="G146" s="8" t="n">
        <f aca="false">SUMIFS('SALES Raw'!$F$6:$F$1634,'SALES Raw'!$J$6:$J$1634,$J146,'SALES Raw'!$K$6:$K$1634,"Y")*$H$4</f>
        <v>15182.9810526316</v>
      </c>
      <c r="H146" s="16" t="s">
        <v>36</v>
      </c>
      <c r="I146" s="16"/>
      <c r="J146" s="16" t="s">
        <v>82</v>
      </c>
    </row>
    <row r="147" customFormat="false" ht="15" hidden="false" customHeight="false" outlineLevel="0" collapsed="false">
      <c r="A147" s="16" t="n">
        <f aca="false">IF(ISNUMBER($J147),$J147,"")</f>
        <v>4413094</v>
      </c>
      <c r="B147" s="16" t="str">
        <f aca="false">IFERROR(INDEX('SALES Raw'!$B$6:$B$1634,MATCH($J147,'SALES Raw'!$J$6:$J$1634,0)),$J147)</f>
        <v>45 S</v>
      </c>
      <c r="C147" s="16" t="str">
        <f aca="false">IF(ISNUMBER($J147),IFERROR(INDEX('TRANS'!$C:$C,MATCH($J147,'TRANS'!$B:$B,0)),IFERROR(INDEX('Catalog'!$B:$B,MATCH($J147,'Catalog'!$A:$A,0)),$B147)),$B147)</f>
        <v>45 S מגן ברך לבן</v>
      </c>
      <c r="D147" s="8" t="n">
        <f aca="false">SUMIFS('SALES Raw'!$C$6:$C$1634,'SALES Raw'!$J$6:$J$1634,$J147,'SALES Raw'!$K$6:$K$1634,"Y")</f>
        <v>308</v>
      </c>
      <c r="E147" s="8" t="n">
        <f aca="false">SUMIFS('SALES Raw'!$D$6:$D$1634,'SALES Raw'!$J$6:$J$1634,$J147,'SALES Raw'!$K$6:$K$1634,"Y")</f>
        <v>3803.94</v>
      </c>
      <c r="F147" s="8" t="n">
        <f aca="false">SUMIFS('SALES Raw'!$E$6:$E$1634,'SALES Raw'!$J$6:$J$1634,$J147,'SALES Raw'!$K$6:$K$1634,"Y")*$H$4</f>
        <v>174.315789473684</v>
      </c>
      <c r="G147" s="8" t="n">
        <f aca="false">SUMIFS('SALES Raw'!$F$6:$F$1634,'SALES Raw'!$J$6:$J$1634,$J147,'SALES Raw'!$K$6:$K$1634,"Y")*$H$4</f>
        <v>1927.35157894737</v>
      </c>
      <c r="H147" s="16" t="s">
        <v>30</v>
      </c>
      <c r="I147" s="16" t="s">
        <v>44</v>
      </c>
      <c r="J147" s="16" t="n">
        <v>4413094</v>
      </c>
    </row>
    <row r="148" customFormat="false" ht="15" hidden="false" customHeight="false" outlineLevel="0" collapsed="false">
      <c r="A148" s="16" t="n">
        <f aca="false">IF(ISNUMBER($J148),$J148,"")</f>
        <v>4413066</v>
      </c>
      <c r="B148" s="16" t="str">
        <f aca="false">IFERROR(INDEX('SALES Raw'!$B$6:$B$1634,MATCH($J148,'SALES Raw'!$J$6:$J$1634,0)),$J148)</f>
        <v>3677S 0</v>
      </c>
      <c r="C148" s="16" t="str">
        <f aca="false">IF(ISNUMBER($J148),IFERROR(INDEX('TRANS'!$C:$C,MATCH($J148,'TRANS'!$B:$B,0)),IFERROR(INDEX('Catalog'!$B:$B,MATCH($J148,'Catalog'!$A:$A,0)),$B148)),$B148)</f>
        <v>3677S-מד.לשחרור לחץ א.הבוניון</v>
      </c>
      <c r="D148" s="8" t="n">
        <f aca="false">SUMIFS('SALES Raw'!$C$6:$C$1634,'SALES Raw'!$J$6:$J$1634,$J148,'SALES Raw'!$K$6:$K$1634,"Y")</f>
        <v>308</v>
      </c>
      <c r="E148" s="8" t="n">
        <f aca="false">SUMIFS('SALES Raw'!$D$6:$D$1634,'SALES Raw'!$J$6:$J$1634,$J148,'SALES Raw'!$K$6:$K$1634,"Y")</f>
        <v>4782.18</v>
      </c>
      <c r="F148" s="8" t="n">
        <f aca="false">SUMIFS('SALES Raw'!$E$6:$E$1634,'SALES Raw'!$J$6:$J$1634,$J148,'SALES Raw'!$K$6:$K$1634,"Y")*$H$4</f>
        <v>173.052631578947</v>
      </c>
      <c r="G148" s="8" t="n">
        <f aca="false">SUMIFS('SALES Raw'!$F$6:$F$1634,'SALES Raw'!$J$6:$J$1634,$J148,'SALES Raw'!$K$6:$K$1634,"Y")*$H$4</f>
        <v>2201.00210526316</v>
      </c>
      <c r="H148" s="16" t="s">
        <v>30</v>
      </c>
      <c r="I148" s="16" t="s">
        <v>42</v>
      </c>
      <c r="J148" s="16" t="n">
        <v>4413066</v>
      </c>
    </row>
    <row r="149" customFormat="false" ht="15" hidden="false" customHeight="false" outlineLevel="0" collapsed="false">
      <c r="A149" s="16" t="n">
        <f aca="false">IF(ISNUMBER($J149),$J149,"")</f>
        <v>4413277</v>
      </c>
      <c r="B149" s="16" t="str">
        <f aca="false">IFERROR(INDEX('SALES Raw'!$B$6:$B$1634,MATCH($J149,'SALES Raw'!$J$6:$J$1634,0)),$J149)</f>
        <v>LF377 M</v>
      </c>
      <c r="C149" s="16" t="str">
        <f aca="false">IF(ISNUMBER($J149),IFERROR(INDEX('TRANS'!$C:$C,MATCH($J149,'TRANS'!$B:$B,0)),IFERROR(INDEX('Catalog'!$B:$B,MATCH($J149,'Catalog'!$A:$A,0)),$B149)),$B149)</f>
        <v>LF377 M-מדרס סיליקון לנעלי עקב</v>
      </c>
      <c r="D149" s="8" t="n">
        <f aca="false">SUMIFS('SALES Raw'!$C$6:$C$1634,'SALES Raw'!$J$6:$J$1634,$J149,'SALES Raw'!$K$6:$K$1634,"Y")</f>
        <v>156</v>
      </c>
      <c r="E149" s="8" t="n">
        <f aca="false">SUMIFS('SALES Raw'!$D$6:$D$1634,'SALES Raw'!$J$6:$J$1634,$J149,'SALES Raw'!$K$6:$K$1634,"Y")</f>
        <v>3850.97</v>
      </c>
      <c r="F149" s="8" t="n">
        <f aca="false">SUMIFS('SALES Raw'!$E$6:$E$1634,'SALES Raw'!$J$6:$J$1634,$J149,'SALES Raw'!$K$6:$K$1634,"Y")*$H$4</f>
        <v>171.789473684211</v>
      </c>
      <c r="G149" s="8" t="n">
        <f aca="false">SUMIFS('SALES Raw'!$F$6:$F$1634,'SALES Raw'!$J$6:$J$1634,$J149,'SALES Raw'!$K$6:$K$1634,"Y")*$H$4</f>
        <v>3680.84210526316</v>
      </c>
      <c r="H149" s="16" t="s">
        <v>30</v>
      </c>
      <c r="I149" s="16" t="s">
        <v>38</v>
      </c>
      <c r="J149" s="16" t="n">
        <v>4413277</v>
      </c>
    </row>
    <row r="150" customFormat="false" ht="15" hidden="false" customHeight="false" outlineLevel="0" collapsed="false">
      <c r="A150" s="16" t="n">
        <f aca="false">IF(ISNUMBER($J150),$J150,"")</f>
        <v>4413104</v>
      </c>
      <c r="B150" s="16" t="str">
        <f aca="false">IFERROR(INDEX('SALES Raw'!$B$6:$B$1634,MATCH($J150,'SALES Raw'!$J$6:$J$1634,0)),$J150)</f>
        <v>45E XL</v>
      </c>
      <c r="C150" s="16" t="str">
        <f aca="false">IF(ISNUMBER($J150),IFERROR(INDEX('TRANS'!$C:$C,MATCH($J150,'TRANS'!$B:$B,0)),IFERROR(INDEX('Catalog'!$B:$B,MATCH($J150,'Catalog'!$A:$A,0)),$B150)),$B150)</f>
        <v>45E XLמגן ברך ארוך לבן</v>
      </c>
      <c r="D150" s="8" t="n">
        <f aca="false">SUMIFS('SALES Raw'!$C$6:$C$1634,'SALES Raw'!$J$6:$J$1634,$J150,'SALES Raw'!$K$6:$K$1634,"Y")</f>
        <v>45</v>
      </c>
      <c r="E150" s="8" t="n">
        <f aca="false">SUMIFS('SALES Raw'!$D$6:$D$1634,'SALES Raw'!$J$6:$J$1634,$J150,'SALES Raw'!$K$6:$K$1634,"Y")</f>
        <v>503.15</v>
      </c>
      <c r="F150" s="8" t="n">
        <f aca="false">SUMIFS('SALES Raw'!$E$6:$E$1634,'SALES Raw'!$J$6:$J$1634,$J150,'SALES Raw'!$K$6:$K$1634,"Y")*$H$4</f>
        <v>164.210526315789</v>
      </c>
      <c r="G150" s="8" t="n">
        <f aca="false">SUMIFS('SALES Raw'!$F$6:$F$1634,'SALES Raw'!$J$6:$J$1634,$J150,'SALES Raw'!$K$6:$K$1634,"Y")*$H$4</f>
        <v>1724.16</v>
      </c>
      <c r="H150" s="16" t="s">
        <v>42</v>
      </c>
      <c r="I150" s="16" t="s">
        <v>35</v>
      </c>
      <c r="J150" s="16" t="n">
        <v>4413104</v>
      </c>
    </row>
    <row r="151" customFormat="false" ht="15" hidden="false" customHeight="false" outlineLevel="0" collapsed="false">
      <c r="A151" s="16" t="n">
        <f aca="false">IF(ISNUMBER($J151),$J151,"")</f>
        <v>4413043</v>
      </c>
      <c r="B151" s="16" t="str">
        <f aca="false">IFERROR(INDEX('SALES Raw'!$B$6:$B$1634,MATCH($J151,'SALES Raw'!$J$6:$J$1634,0)),$J151)</f>
        <v>34 L</v>
      </c>
      <c r="C151" s="16" t="str">
        <f aca="false">IF(ISNUMBER($J151),IFERROR(INDEX('TRANS'!$C:$C,MATCH($J151,'TRANS'!$B:$B,0)),IFERROR(INDEX('Catalog'!$B:$B,MATCH($J151,'Catalog'!$A:$A,0)),$B151)),$B151)</f>
        <v>34  L מגן קרסול עקב סגור</v>
      </c>
      <c r="D151" s="8" t="n">
        <f aca="false">SUMIFS('SALES Raw'!$C$6:$C$1634,'SALES Raw'!$J$6:$J$1634,$J151,'SALES Raw'!$K$6:$K$1634,"Y")</f>
        <v>102</v>
      </c>
      <c r="E151" s="8" t="n">
        <f aca="false">SUMIFS('SALES Raw'!$D$6:$D$1634,'SALES Raw'!$J$6:$J$1634,$J151,'SALES Raw'!$K$6:$K$1634,"Y")</f>
        <v>2198.85</v>
      </c>
      <c r="F151" s="8" t="n">
        <f aca="false">SUMIFS('SALES Raw'!$E$6:$E$1634,'SALES Raw'!$J$6:$J$1634,$J151,'SALES Raw'!$K$6:$K$1634,"Y")*$H$4</f>
        <v>159.157894736842</v>
      </c>
      <c r="G151" s="8" t="n">
        <f aca="false">SUMIFS('SALES Raw'!$F$6:$F$1634,'SALES Raw'!$J$6:$J$1634,$J151,'SALES Raw'!$K$6:$K$1634,"Y")*$H$4</f>
        <v>3101.44421052632</v>
      </c>
      <c r="H151" s="16" t="s">
        <v>38</v>
      </c>
      <c r="I151" s="16" t="s">
        <v>42</v>
      </c>
      <c r="J151" s="16" t="n">
        <v>4413043</v>
      </c>
    </row>
    <row r="152" customFormat="false" ht="15" hidden="false" customHeight="false" outlineLevel="0" collapsed="false">
      <c r="A152" s="16" t="n">
        <f aca="false">IF(ISNUMBER($J152),$J152,"")</f>
        <v>4413502</v>
      </c>
      <c r="B152" s="16" t="str">
        <f aca="false">IFERROR(INDEX('SALES Raw'!$B$6:$B$1634,MATCH($J152,'SALES Raw'!$J$6:$J$1634,0)),$J152)</f>
        <v>95B S</v>
      </c>
      <c r="C152" s="16" t="str">
        <f aca="false">IF(ISNUMBER($J152),IFERROR(INDEX('TRANS'!$C:$C,MATCH($J152,'TRANS'!$B:$B,0)),IFERROR(INDEX('Catalog'!$B:$B,MATCH($J152,'Catalog'!$A:$A,0)),$B152)),$B152)</f>
        <v>95B S מגן מרפק שחור</v>
      </c>
      <c r="D152" s="8" t="n">
        <f aca="false">SUMIFS('SALES Raw'!$C$6:$C$1634,'SALES Raw'!$J$6:$J$1634,$J152,'SALES Raw'!$K$6:$K$1634,"Y")</f>
        <v>265</v>
      </c>
      <c r="E152" s="8" t="n">
        <f aca="false">SUMIFS('SALES Raw'!$D$6:$D$1634,'SALES Raw'!$J$6:$J$1634,$J152,'SALES Raw'!$K$6:$K$1634,"Y")</f>
        <v>3641.98</v>
      </c>
      <c r="F152" s="8" t="n">
        <f aca="false">SUMIFS('SALES Raw'!$E$6:$E$1634,'SALES Raw'!$J$6:$J$1634,$J152,'SALES Raw'!$K$6:$K$1634,"Y")*$H$4</f>
        <v>156.631578947368</v>
      </c>
      <c r="G152" s="8" t="n">
        <f aca="false">SUMIFS('SALES Raw'!$F$6:$F$1634,'SALES Raw'!$J$6:$J$1634,$J152,'SALES Raw'!$K$6:$K$1634,"Y")*$H$4</f>
        <v>1753.32631578947</v>
      </c>
      <c r="H152" s="16" t="s">
        <v>30</v>
      </c>
      <c r="I152" s="16" t="s">
        <v>38</v>
      </c>
      <c r="J152" s="16" t="n">
        <v>4413502</v>
      </c>
    </row>
    <row r="153" customFormat="false" ht="15" hidden="false" customHeight="false" outlineLevel="0" collapsed="false">
      <c r="A153" s="16" t="n">
        <f aca="false">IF(ISNUMBER($J153),$J153,"")</f>
        <v>4413371</v>
      </c>
      <c r="B153" s="16" t="str">
        <f aca="false">IFERROR(INDEX('SALES Raw'!$B$6:$B$1634,MATCH($J153,'SALES Raw'!$J$6:$J$1634,0)),$J153)</f>
        <v>3675 0</v>
      </c>
      <c r="C153" s="16" t="str">
        <f aca="false">IF(ISNUMBER($J153),IFERROR(INDEX('TRANS'!$C:$C,MATCH($J153,'TRANS'!$B:$B,0)),IFERROR(INDEX('Catalog'!$B:$B,MATCH($J153,'Catalog'!$A:$A,0)),$B153)),$B153)</f>
        <v>3675    מגן זרת מסיליקון</v>
      </c>
      <c r="D153" s="8" t="n">
        <f aca="false">SUMIFS('SALES Raw'!$C$6:$C$1634,'SALES Raw'!$J$6:$J$1634,$J153,'SALES Raw'!$K$6:$K$1634,"Y")</f>
        <v>144</v>
      </c>
      <c r="E153" s="8" t="n">
        <f aca="false">SUMIFS('SALES Raw'!$D$6:$D$1634,'SALES Raw'!$J$6:$J$1634,$J153,'SALES Raw'!$K$6:$K$1634,"Y")</f>
        <v>2041.13</v>
      </c>
      <c r="F153" s="8" t="n">
        <f aca="false">SUMIFS('SALES Raw'!$E$6:$E$1634,'SALES Raw'!$J$6:$J$1634,$J153,'SALES Raw'!$K$6:$K$1634,"Y")*$H$4</f>
        <v>155.368421052632</v>
      </c>
      <c r="G153" s="8" t="n">
        <f aca="false">SUMIFS('SALES Raw'!$F$6:$F$1634,'SALES Raw'!$J$6:$J$1634,$J153,'SALES Raw'!$K$6:$K$1634,"Y")*$H$4</f>
        <v>1983.38526315789</v>
      </c>
      <c r="H153" s="16" t="s">
        <v>31</v>
      </c>
      <c r="I153" s="16" t="s">
        <v>38</v>
      </c>
      <c r="J153" s="16" t="n">
        <v>4413371</v>
      </c>
    </row>
    <row r="154" customFormat="false" ht="15" hidden="false" customHeight="false" outlineLevel="0" collapsed="false">
      <c r="A154" s="16" t="str">
        <f aca="false">IF(ISNUMBER($J154),$J154,"")</f>
        <v/>
      </c>
      <c r="B154" s="16" t="str">
        <f aca="false">IFERROR(INDEX('SALES Raw'!$B$6:$B$1634,MATCH($J154,'SALES Raw'!$J$6:$J$1634,0)),$J154)</f>
        <v>38R 0</v>
      </c>
      <c r="C154" s="16" t="str">
        <f aca="false">IF(ISNUMBER($J154),IFERROR(INDEX('TRANS'!$C:$C,MATCH($J154,'TRANS'!$B:$B,0)),IFERROR(INDEX('Catalog'!$B:$B,MATCH($J154,'Catalog'!$A:$A,0)),$B154)),$B154)</f>
        <v>38R 0</v>
      </c>
      <c r="D154" s="8" t="n">
        <f aca="false">SUMIFS('SALES Raw'!$C$6:$C$1634,'SALES Raw'!$J$6:$J$1634,$J154,'SALES Raw'!$K$6:$K$1634,"Y")</f>
        <v>48</v>
      </c>
      <c r="E154" s="8" t="n">
        <f aca="false">SUMIFS('SALES Raw'!$D$6:$D$1634,'SALES Raw'!$J$6:$J$1634,$J154,'SALES Raw'!$K$6:$K$1634,"Y")</f>
        <v>1587.63</v>
      </c>
      <c r="F154" s="8" t="n">
        <f aca="false">SUMIFS('SALES Raw'!$E$6:$E$1634,'SALES Raw'!$J$6:$J$1634,$J154,'SALES Raw'!$K$6:$K$1634,"Y")*$H$4</f>
        <v>155.368421052632</v>
      </c>
      <c r="G154" s="8" t="n">
        <f aca="false">SUMIFS('SALES Raw'!$F$6:$F$1634,'SALES Raw'!$J$6:$J$1634,$J154,'SALES Raw'!$K$6:$K$1634,"Y")*$H$4</f>
        <v>4744.23157894737</v>
      </c>
      <c r="H154" s="16" t="s">
        <v>36</v>
      </c>
      <c r="I154" s="16"/>
      <c r="J154" s="16" t="s">
        <v>83</v>
      </c>
    </row>
    <row r="155" customFormat="false" ht="15" hidden="false" customHeight="false" outlineLevel="0" collapsed="false">
      <c r="A155" s="16" t="n">
        <f aca="false">IF(ISNUMBER($J155),$J155,"")</f>
        <v>4409017</v>
      </c>
      <c r="B155" s="16" t="str">
        <f aca="false">IFERROR(INDEX('SALES Raw'!$B$6:$B$1634,MATCH($J155,'SALES Raw'!$J$6:$J$1634,0)),$J155)</f>
        <v>808KT-B</v>
      </c>
      <c r="C155" s="16" t="str">
        <f aca="false">IF(ISNUMBER($J155),IFERROR(INDEX('TRANS'!$C:$C,MATCH($J155,'TRANS'!$B:$B,0)),IFERROR(INDEX('Catalog'!$B:$B,MATCH($J155,'Catalog'!$A:$A,0)),$B155)),$B155)</f>
        <v>808KT-B        טייפ קינזיולוגי</v>
      </c>
      <c r="D155" s="8" t="n">
        <f aca="false">SUMIFS('SALES Raw'!$C$6:$C$1634,'SALES Raw'!$J$6:$J$1634,$J155,'SALES Raw'!$K$6:$K$1634,"Y")</f>
        <v>748</v>
      </c>
      <c r="E155" s="8" t="n">
        <f aca="false">SUMIFS('SALES Raw'!$D$6:$D$1634,'SALES Raw'!$J$6:$J$1634,$J155,'SALES Raw'!$K$6:$K$1634,"Y")</f>
        <v>12198.8</v>
      </c>
      <c r="F155" s="8" t="n">
        <f aca="false">SUMIFS('SALES Raw'!$E$6:$E$1634,'SALES Raw'!$J$6:$J$1634,$J155,'SALES Raw'!$K$6:$K$1634,"Y")*$H$4</f>
        <v>154.105263157895</v>
      </c>
      <c r="G155" s="8" t="n">
        <f aca="false">SUMIFS('SALES Raw'!$F$6:$F$1634,'SALES Raw'!$J$6:$J$1634,$J155,'SALES Raw'!$K$6:$K$1634,"Y")*$H$4</f>
        <v>1828.56</v>
      </c>
      <c r="H155" s="16" t="s">
        <v>44</v>
      </c>
      <c r="I155" s="16" t="s">
        <v>38</v>
      </c>
      <c r="J155" s="16" t="n">
        <v>4409017</v>
      </c>
    </row>
    <row r="156" customFormat="false" ht="15" hidden="false" customHeight="false" outlineLevel="0" collapsed="false">
      <c r="A156" s="16" t="n">
        <f aca="false">IF(ISNUMBER($J156),$J156,"")</f>
        <v>4409015</v>
      </c>
      <c r="B156" s="16" t="str">
        <f aca="false">IFERROR(INDEX('SALES Raw'!$B$6:$B$1634,MATCH($J156,'SALES Raw'!$J$6:$J$1634,0)),$J156)</f>
        <v>808KT-BL</v>
      </c>
      <c r="C156" s="16" t="str">
        <f aca="false">IF(ISNUMBER($J156),IFERROR(INDEX('TRANS'!$C:$C,MATCH($J156,'TRANS'!$B:$B,0)),IFERROR(INDEX('Catalog'!$B:$B,MATCH($J156,'Catalog'!$A:$A,0)),$B156)),$B156)</f>
        <v>808KT-BL       טייפ קינזיולוגי</v>
      </c>
      <c r="D156" s="8" t="n">
        <f aca="false">SUMIFS('SALES Raw'!$C$6:$C$1634,'SALES Raw'!$J$6:$J$1634,$J156,'SALES Raw'!$K$6:$K$1634,"Y")</f>
        <v>666</v>
      </c>
      <c r="E156" s="8" t="n">
        <f aca="false">SUMIFS('SALES Raw'!$D$6:$D$1634,'SALES Raw'!$J$6:$J$1634,$J156,'SALES Raw'!$K$6:$K$1634,"Y")</f>
        <v>10780.18</v>
      </c>
      <c r="F156" s="8" t="n">
        <f aca="false">SUMIFS('SALES Raw'!$E$6:$E$1634,'SALES Raw'!$J$6:$J$1634,$J156,'SALES Raw'!$K$6:$K$1634,"Y")*$H$4</f>
        <v>154.105263157895</v>
      </c>
      <c r="G156" s="8" t="n">
        <f aca="false">SUMIFS('SALES Raw'!$F$6:$F$1634,'SALES Raw'!$J$6:$J$1634,$J156,'SALES Raw'!$K$6:$K$1634,"Y")*$H$4</f>
        <v>1844.76631578947</v>
      </c>
      <c r="H156" s="16" t="s">
        <v>44</v>
      </c>
      <c r="I156" s="16" t="s">
        <v>38</v>
      </c>
      <c r="J156" s="16" t="n">
        <v>4409015</v>
      </c>
    </row>
    <row r="157" customFormat="false" ht="15" hidden="false" customHeight="false" outlineLevel="0" collapsed="false">
      <c r="A157" s="16" t="n">
        <f aca="false">IF(ISNUMBER($J157),$J157,"")</f>
        <v>4413140</v>
      </c>
      <c r="B157" s="16" t="str">
        <f aca="false">IFERROR(INDEX('SALES Raw'!$B$6:$B$1634,MATCH($J157,'SALES Raw'!$J$6:$J$1634,0)),$J157)</f>
        <v>95 M</v>
      </c>
      <c r="C157" s="16" t="str">
        <f aca="false">IF(ISNUMBER($J157),IFERROR(INDEX('TRANS'!$C:$C,MATCH($J157,'TRANS'!$B:$B,0)),IFERROR(INDEX('Catalog'!$B:$B,MATCH($J157,'Catalog'!$A:$A,0)),$B157)),$B157)</f>
        <v>95 M מגן מרפק רגיל לבן</v>
      </c>
      <c r="D157" s="8" t="n">
        <f aca="false">SUMIFS('SALES Raw'!$C$6:$C$1634,'SALES Raw'!$J$6:$J$1634,$J157,'SALES Raw'!$K$6:$K$1634,"Y")</f>
        <v>259</v>
      </c>
      <c r="E157" s="8" t="n">
        <f aca="false">SUMIFS('SALES Raw'!$D$6:$D$1634,'SALES Raw'!$J$6:$J$1634,$J157,'SALES Raw'!$K$6:$K$1634,"Y")</f>
        <v>3233.61</v>
      </c>
      <c r="F157" s="8" t="n">
        <f aca="false">SUMIFS('SALES Raw'!$E$6:$E$1634,'SALES Raw'!$J$6:$J$1634,$J157,'SALES Raw'!$K$6:$K$1634,"Y")*$H$4</f>
        <v>151.578947368421</v>
      </c>
      <c r="G157" s="8" t="n">
        <f aca="false">SUMIFS('SALES Raw'!$F$6:$F$1634,'SALES Raw'!$J$6:$J$1634,$J157,'SALES Raw'!$K$6:$K$1634,"Y")*$H$4</f>
        <v>1689.95368421053</v>
      </c>
      <c r="H157" s="16" t="s">
        <v>30</v>
      </c>
      <c r="I157" s="16" t="s">
        <v>42</v>
      </c>
      <c r="J157" s="16" t="n">
        <v>4413140</v>
      </c>
    </row>
    <row r="158" customFormat="false" ht="15" hidden="false" customHeight="false" outlineLevel="0" collapsed="false">
      <c r="A158" s="16" t="n">
        <f aca="false">IF(ISNUMBER($J158),$J158,"")</f>
        <v>4413455</v>
      </c>
      <c r="B158" s="16" t="str">
        <f aca="false">IFERROR(INDEX('SALES Raw'!$B$6:$B$1634,MATCH($J158,'SALES Raw'!$J$6:$J$1634,0)),$J158)</f>
        <v>85K 0</v>
      </c>
      <c r="C158" s="16" t="str">
        <f aca="false">IF(ISNUMBER($J158),IFERROR(INDEX('TRANS'!$C:$C,MATCH($J158,'TRANS'!$B:$B,0)),IFERROR(INDEX('Catalog'!$B:$B,MATCH($J158,'Catalog'!$A:$A,0)),$B158)),$B158)</f>
        <v>85K מתלה ליד לילדים</v>
      </c>
      <c r="D158" s="8" t="n">
        <f aca="false">SUMIFS('SALES Raw'!$C$6:$C$1634,'SALES Raw'!$J$6:$J$1634,$J158,'SALES Raw'!$K$6:$K$1634,"Y")</f>
        <v>390</v>
      </c>
      <c r="E158" s="8" t="n">
        <f aca="false">SUMIFS('SALES Raw'!$D$6:$D$1634,'SALES Raw'!$J$6:$J$1634,$J158,'SALES Raw'!$K$6:$K$1634,"Y")</f>
        <v>13087.63</v>
      </c>
      <c r="F158" s="8" t="n">
        <f aca="false">SUMIFS('SALES Raw'!$E$6:$E$1634,'SALES Raw'!$J$6:$J$1634,$J158,'SALES Raw'!$K$6:$K$1634,"Y")*$H$4</f>
        <v>151.578947368421</v>
      </c>
      <c r="G158" s="8" t="n">
        <f aca="false">SUMIFS('SALES Raw'!$F$6:$F$1634,'SALES Raw'!$J$6:$J$1634,$J158,'SALES Raw'!$K$6:$K$1634,"Y")*$H$4</f>
        <v>5147.33052631579</v>
      </c>
      <c r="H158" s="16" t="s">
        <v>30</v>
      </c>
      <c r="I158" s="16" t="s">
        <v>32</v>
      </c>
      <c r="J158" s="16" t="n">
        <v>4413455</v>
      </c>
    </row>
    <row r="159" customFormat="false" ht="15" hidden="false" customHeight="false" outlineLevel="0" collapsed="false">
      <c r="A159" s="16" t="n">
        <f aca="false">IF(ISNUMBER($J159),$J159,"")</f>
        <v>4417000</v>
      </c>
      <c r="B159" s="16" t="str">
        <f aca="false">IFERROR(INDEX('SALES Raw'!$B$6:$B$1634,MATCH($J159,'SALES Raw'!$J$6:$J$1634,0)),$J159)</f>
        <v>PD342 0</v>
      </c>
      <c r="C159" s="16" t="str">
        <f aca="false">IF(ISNUMBER($J159),IFERROR(INDEX('TRANS'!$C:$C,MATCH($J159,'TRANS'!$B:$B,0)),IFERROR(INDEX('Catalog'!$B:$B,MATCH($J159,'Catalog'!$A:$A,0)),$B159)),$B159)</f>
        <v>PD342-פומפיה להסרת עור קשה</v>
      </c>
      <c r="D159" s="8" t="n">
        <f aca="false">SUMIFS('SALES Raw'!$C$6:$C$1634,'SALES Raw'!$J$6:$J$1634,$J159,'SALES Raw'!$K$6:$K$1634,"Y")</f>
        <v>90</v>
      </c>
      <c r="E159" s="8" t="n">
        <f aca="false">SUMIFS('SALES Raw'!$D$6:$D$1634,'SALES Raw'!$J$6:$J$1634,$J159,'SALES Raw'!$K$6:$K$1634,"Y")</f>
        <v>1369.04</v>
      </c>
      <c r="F159" s="8" t="n">
        <f aca="false">SUMIFS('SALES Raw'!$E$6:$E$1634,'SALES Raw'!$J$6:$J$1634,$J159,'SALES Raw'!$K$6:$K$1634,"Y")*$H$4</f>
        <v>151.578947368421</v>
      </c>
      <c r="G159" s="8" t="n">
        <f aca="false">SUMIFS('SALES Raw'!$F$6:$F$1634,'SALES Raw'!$J$6:$J$1634,$J159,'SALES Raw'!$K$6:$K$1634,"Y")*$H$4</f>
        <v>2037.43578947368</v>
      </c>
      <c r="H159" s="16" t="s">
        <v>34</v>
      </c>
      <c r="I159" s="16"/>
      <c r="J159" s="16" t="n">
        <v>4417000</v>
      </c>
    </row>
    <row r="160" customFormat="false" ht="15" hidden="false" customHeight="false" outlineLevel="0" collapsed="false">
      <c r="A160" s="16" t="n">
        <f aca="false">IF(ISNUMBER($J160),$J160,"")</f>
        <v>4411027</v>
      </c>
      <c r="B160" s="16" t="str">
        <f aca="false">IFERROR(INDEX('SALES Raw'!$B$6:$B$1634,MATCH($J160,'SALES Raw'!$J$6:$J$1634,0)),$J160)</f>
        <v>213CTSL M</v>
      </c>
      <c r="C160" s="16" t="str">
        <f aca="false">IF(ISNUMBER($J160),IFERROR(INDEX('TRANS'!$C:$C,MATCH($J160,'TRANS'!$B:$B,0)),IFERROR(INDEX('Catalog'!$B:$B,MATCH($J160,'Catalog'!$A:$A,0)),$B160)),$B160)</f>
        <v>213CTSL M שמאל CTS כפפות</v>
      </c>
      <c r="D160" s="8" t="n">
        <f aca="false">SUMIFS('SALES Raw'!$C$6:$C$1634,'SALES Raw'!$J$6:$J$1634,$J160,'SALES Raw'!$K$6:$K$1634,"Y")</f>
        <v>35</v>
      </c>
      <c r="E160" s="8" t="n">
        <f aca="false">SUMIFS('SALES Raw'!$D$6:$D$1634,'SALES Raw'!$J$6:$J$1634,$J160,'SALES Raw'!$K$6:$K$1634,"Y")</f>
        <v>1393.49</v>
      </c>
      <c r="F160" s="8" t="n">
        <f aca="false">SUMIFS('SALES Raw'!$E$6:$E$1634,'SALES Raw'!$J$6:$J$1634,$J160,'SALES Raw'!$K$6:$K$1634,"Y")*$H$4</f>
        <v>147.789473684211</v>
      </c>
      <c r="G160" s="8" t="n">
        <f aca="false">SUMIFS('SALES Raw'!$F$6:$F$1634,'SALES Raw'!$J$6:$J$1634,$J160,'SALES Raw'!$K$6:$K$1634,"Y")*$H$4</f>
        <v>5894.70315789474</v>
      </c>
      <c r="H160" s="16" t="s">
        <v>36</v>
      </c>
      <c r="I160" s="16" t="s">
        <v>44</v>
      </c>
      <c r="J160" s="16" t="n">
        <v>4411027</v>
      </c>
    </row>
    <row r="161" customFormat="false" ht="15" hidden="false" customHeight="false" outlineLevel="0" collapsed="false">
      <c r="A161" s="16" t="n">
        <f aca="false">IF(ISNUMBER($J161),$J161,"")</f>
        <v>4408190</v>
      </c>
      <c r="B161" s="16" t="str">
        <f aca="false">IFERROR(INDEX('SALES Raw'!$B$6:$B$1634,MATCH($J161,'SALES Raw'!$J$6:$J$1634,0)),$J161)</f>
        <v>078 M</v>
      </c>
      <c r="C161" s="16" t="str">
        <f aca="false">IF(ISNUMBER($J161),IFERROR(INDEX('TRANS'!$C:$C,MATCH($J161,'TRANS'!$B:$B,0)),IFERROR(INDEX('Catalog'!$B:$B,MATCH($J161,'Catalog'!$A:$A,0)),$B161)),$B161)</f>
        <v>M078 חגורת גב +סגירה כפולה</v>
      </c>
      <c r="D161" s="8" t="n">
        <f aca="false">SUMIFS('SALES Raw'!$C$6:$C$1634,'SALES Raw'!$J$6:$J$1634,$J161,'SALES Raw'!$K$6:$K$1634,"Y")</f>
        <v>104</v>
      </c>
      <c r="E161" s="8" t="n">
        <f aca="false">SUMIFS('SALES Raw'!$D$6:$D$1634,'SALES Raw'!$J$6:$J$1634,$J161,'SALES Raw'!$K$6:$K$1634,"Y")</f>
        <v>5318.13</v>
      </c>
      <c r="F161" s="8" t="n">
        <f aca="false">SUMIFS('SALES Raw'!$E$6:$E$1634,'SALES Raw'!$J$6:$J$1634,$J161,'SALES Raw'!$K$6:$K$1634,"Y")*$H$4</f>
        <v>146.526315789474</v>
      </c>
      <c r="G161" s="8" t="n">
        <f aca="false">SUMIFS('SALES Raw'!$F$6:$F$1634,'SALES Raw'!$J$6:$J$1634,$J161,'SALES Raw'!$K$6:$K$1634,"Y")*$H$4</f>
        <v>7947.63789473684</v>
      </c>
      <c r="H161" s="16" t="s">
        <v>30</v>
      </c>
      <c r="I161" s="16" t="s">
        <v>38</v>
      </c>
      <c r="J161" s="16" t="n">
        <v>4408190</v>
      </c>
    </row>
    <row r="162" customFormat="false" ht="15" hidden="false" customHeight="false" outlineLevel="0" collapsed="false">
      <c r="A162" s="16" t="n">
        <f aca="false">IF(ISNUMBER($J162),$J162,"")</f>
        <v>4416005</v>
      </c>
      <c r="B162" s="16" t="str">
        <f aca="false">IFERROR(INDEX('SALES Raw'!$B$6:$B$1634,MATCH($J162,'SALES Raw'!$J$6:$J$1634,0)),$J162)</f>
        <v>308 M</v>
      </c>
      <c r="C162" s="16" t="str">
        <f aca="false">IF(ISNUMBER($J162),IFERROR(INDEX('TRANS'!$C:$C,MATCH($J162,'TRANS'!$B:$B,0)),IFERROR(INDEX('Catalog'!$B:$B,MATCH($J162,'Catalog'!$A:$A,0)),$B162)),$B162)</f>
        <v>308 Mעקבים סיליק.כחול לדורבן</v>
      </c>
      <c r="D162" s="8" t="n">
        <f aca="false">SUMIFS('SALES Raw'!$C$6:$C$1634,'SALES Raw'!$J$6:$J$1634,$J162,'SALES Raw'!$K$6:$K$1634,"Y")</f>
        <v>164</v>
      </c>
      <c r="E162" s="8" t="n">
        <f aca="false">SUMIFS('SALES Raw'!$D$6:$D$1634,'SALES Raw'!$J$6:$J$1634,$J162,'SALES Raw'!$K$6:$K$1634,"Y")</f>
        <v>4168.4</v>
      </c>
      <c r="F162" s="8" t="n">
        <f aca="false">SUMIFS('SALES Raw'!$E$6:$E$1634,'SALES Raw'!$J$6:$J$1634,$J162,'SALES Raw'!$K$6:$K$1634,"Y")*$H$4</f>
        <v>145.263157894737</v>
      </c>
      <c r="G162" s="8" t="n">
        <f aca="false">SUMIFS('SALES Raw'!$F$6:$F$1634,'SALES Raw'!$J$6:$J$1634,$J162,'SALES Raw'!$K$6:$K$1634,"Y")*$H$4</f>
        <v>3342.44210526316</v>
      </c>
      <c r="H162" s="16" t="s">
        <v>34</v>
      </c>
      <c r="I162" s="16" t="s">
        <v>42</v>
      </c>
      <c r="J162" s="16" t="n">
        <v>4416005</v>
      </c>
    </row>
    <row r="163" customFormat="false" ht="15" hidden="false" customHeight="false" outlineLevel="0" collapsed="false">
      <c r="A163" s="16" t="str">
        <f aca="false">IF(ISNUMBER($J163),$J163,"")</f>
        <v/>
      </c>
      <c r="B163" s="16" t="str">
        <f aca="false">IFERROR(INDEX('SALES Raw'!$B$6:$B$1634,MATCH($J163,'SALES Raw'!$J$6:$J$1634,0)),$J163)</f>
        <v>86U M</v>
      </c>
      <c r="C163" s="16" t="str">
        <f aca="false">IF(ISNUMBER($J163),IFERROR(INDEX('TRANS'!$C:$C,MATCH($J163,'TRANS'!$B:$B,0)),IFERROR(INDEX('Catalog'!$B:$B,MATCH($J163,'Catalog'!$A:$A,0)),$B163)),$B163)</f>
        <v>86U M</v>
      </c>
      <c r="D163" s="8" t="n">
        <f aca="false">SUMIFS('SALES Raw'!$C$6:$C$1634,'SALES Raw'!$J$6:$J$1634,$J163,'SALES Raw'!$K$6:$K$1634,"Y")</f>
        <v>144</v>
      </c>
      <c r="E163" s="8" t="n">
        <f aca="false">SUMIFS('SALES Raw'!$D$6:$D$1634,'SALES Raw'!$J$6:$J$1634,$J163,'SALES Raw'!$K$6:$K$1634,"Y")</f>
        <v>13547.77</v>
      </c>
      <c r="F163" s="8" t="n">
        <f aca="false">SUMIFS('SALES Raw'!$E$6:$E$1634,'SALES Raw'!$J$6:$J$1634,$J163,'SALES Raw'!$K$6:$K$1634,"Y")*$H$4</f>
        <v>145.263157894737</v>
      </c>
      <c r="G163" s="8" t="n">
        <f aca="false">SUMIFS('SALES Raw'!$F$6:$F$1634,'SALES Raw'!$J$6:$J$1634,$J163,'SALES Raw'!$K$6:$K$1634,"Y")*$H$4</f>
        <v>12677.8610526316</v>
      </c>
      <c r="H163" s="16" t="s">
        <v>36</v>
      </c>
      <c r="I163" s="16"/>
      <c r="J163" s="16" t="s">
        <v>84</v>
      </c>
    </row>
    <row r="164" customFormat="false" ht="15" hidden="false" customHeight="false" outlineLevel="0" collapsed="false">
      <c r="A164" s="16" t="str">
        <f aca="false">IF(ISNUMBER($J164),$J164,"")</f>
        <v/>
      </c>
      <c r="B164" s="16" t="str">
        <f aca="false">IFERROR(INDEX('SALES Raw'!$B$6:$B$1634,MATCH($J164,'SALES Raw'!$J$6:$J$1634,0)),$J164)</f>
        <v>86U XL</v>
      </c>
      <c r="C164" s="16" t="str">
        <f aca="false">IF(ISNUMBER($J164),IFERROR(INDEX('TRANS'!$C:$C,MATCH($J164,'TRANS'!$B:$B,0)),IFERROR(INDEX('Catalog'!$B:$B,MATCH($J164,'Catalog'!$A:$A,0)),$B164)),$B164)</f>
        <v>86U XL</v>
      </c>
      <c r="D164" s="8" t="n">
        <f aca="false">SUMIFS('SALES Raw'!$C$6:$C$1634,'SALES Raw'!$J$6:$J$1634,$J164,'SALES Raw'!$K$6:$K$1634,"Y")</f>
        <v>120</v>
      </c>
      <c r="E164" s="8" t="n">
        <f aca="false">SUMIFS('SALES Raw'!$D$6:$D$1634,'SALES Raw'!$J$6:$J$1634,$J164,'SALES Raw'!$K$6:$K$1634,"Y")</f>
        <v>10937.03</v>
      </c>
      <c r="F164" s="8" t="n">
        <f aca="false">SUMIFS('SALES Raw'!$E$6:$E$1634,'SALES Raw'!$J$6:$J$1634,$J164,'SALES Raw'!$K$6:$K$1634,"Y")*$H$4</f>
        <v>145.263157894737</v>
      </c>
      <c r="G164" s="8" t="n">
        <f aca="false">SUMIFS('SALES Raw'!$F$6:$F$1634,'SALES Raw'!$J$6:$J$1634,$J164,'SALES Raw'!$K$6:$K$1634,"Y")*$H$4</f>
        <v>12619.3768421053</v>
      </c>
      <c r="H164" s="16" t="s">
        <v>36</v>
      </c>
      <c r="I164" s="16"/>
      <c r="J164" s="16" t="s">
        <v>85</v>
      </c>
    </row>
    <row r="165" customFormat="false" ht="15" hidden="false" customHeight="false" outlineLevel="0" collapsed="false">
      <c r="A165" s="16" t="str">
        <f aca="false">IF(ISNUMBER($J165),$J165,"")</f>
        <v/>
      </c>
      <c r="B165" s="16" t="str">
        <f aca="false">IFERROR(INDEX('SALES Raw'!$B$6:$B$1634,MATCH($J165,'SALES Raw'!$J$6:$J$1634,0)),$J165)</f>
        <v>T43V L</v>
      </c>
      <c r="C165" s="16" t="str">
        <f aca="false">IF(ISNUMBER($J165),IFERROR(INDEX('TRANS'!$C:$C,MATCH($J165,'TRANS'!$B:$B,0)),IFERROR(INDEX('Catalog'!$B:$B,MATCH($J165,'Catalog'!$A:$A,0)),$B165)),$B165)</f>
        <v>T43V L</v>
      </c>
      <c r="D165" s="8" t="n">
        <f aca="false">SUMIFS('SALES Raw'!$C$6:$C$1634,'SALES Raw'!$J$6:$J$1634,$J165,'SALES Raw'!$K$6:$K$1634,"Y")</f>
        <v>264</v>
      </c>
      <c r="E165" s="8" t="n">
        <f aca="false">SUMIFS('SALES Raw'!$D$6:$D$1634,'SALES Raw'!$J$6:$J$1634,$J165,'SALES Raw'!$K$6:$K$1634,"Y")</f>
        <v>31736.14</v>
      </c>
      <c r="F165" s="8" t="n">
        <f aca="false">SUMIFS('SALES Raw'!$E$6:$E$1634,'SALES Raw'!$J$6:$J$1634,$J165,'SALES Raw'!$K$6:$K$1634,"Y")*$H$4</f>
        <v>145.263157894737</v>
      </c>
      <c r="G165" s="8" t="n">
        <f aca="false">SUMIFS('SALES Raw'!$F$6:$F$1634,'SALES Raw'!$J$6:$J$1634,$J165,'SALES Raw'!$K$6:$K$1634,"Y")*$H$4</f>
        <v>16308.4547368421</v>
      </c>
      <c r="H165" s="16" t="s">
        <v>36</v>
      </c>
      <c r="I165" s="16"/>
      <c r="J165" s="16" t="s">
        <v>86</v>
      </c>
    </row>
    <row r="166" customFormat="false" ht="15" hidden="false" customHeight="false" outlineLevel="0" collapsed="false">
      <c r="A166" s="16" t="n">
        <f aca="false">IF(ISNUMBER($J166),$J166,"")</f>
        <v>4411030</v>
      </c>
      <c r="B166" s="16" t="str">
        <f aca="false">IFERROR(INDEX('SALES Raw'!$B$6:$B$1634,MATCH($J166,'SALES Raw'!$J$6:$J$1634,0)),$J166)</f>
        <v>213CTSR M</v>
      </c>
      <c r="C166" s="16" t="str">
        <f aca="false">IF(ISNUMBER($J166),IFERROR(INDEX('TRANS'!$C:$C,MATCH($J166,'TRANS'!$B:$B,0)),IFERROR(INDEX('Catalog'!$B:$B,MATCH($J166,'Catalog'!$A:$A,0)),$B166)),$B166)</f>
        <v>213CTSR M ימין CTS כפפות</v>
      </c>
      <c r="D166" s="8" t="n">
        <f aca="false">SUMIFS('SALES Raw'!$C$6:$C$1634,'SALES Raw'!$J$6:$J$1634,$J166,'SALES Raw'!$K$6:$K$1634,"Y")</f>
        <v>36</v>
      </c>
      <c r="E166" s="8" t="n">
        <f aca="false">SUMIFS('SALES Raw'!$D$6:$D$1634,'SALES Raw'!$J$6:$J$1634,$J166,'SALES Raw'!$K$6:$K$1634,"Y")</f>
        <v>1393.53</v>
      </c>
      <c r="F166" s="8" t="n">
        <f aca="false">SUMIFS('SALES Raw'!$E$6:$E$1634,'SALES Raw'!$J$6:$J$1634,$J166,'SALES Raw'!$K$6:$K$1634,"Y")*$H$4</f>
        <v>142.736842105263</v>
      </c>
      <c r="G166" s="8" t="n">
        <f aca="false">SUMIFS('SALES Raw'!$F$6:$F$1634,'SALES Raw'!$J$6:$J$1634,$J166,'SALES Raw'!$K$6:$K$1634,"Y")*$H$4</f>
        <v>5659.81894736842</v>
      </c>
      <c r="H166" s="16" t="s">
        <v>36</v>
      </c>
      <c r="I166" s="16" t="s">
        <v>44</v>
      </c>
      <c r="J166" s="16" t="n">
        <v>4411030</v>
      </c>
    </row>
    <row r="167" customFormat="false" ht="15" hidden="false" customHeight="false" outlineLevel="0" collapsed="false">
      <c r="A167" s="16" t="n">
        <f aca="false">IF(ISNUMBER($J167),$J167,"")</f>
        <v>4418001</v>
      </c>
      <c r="B167" s="16" t="str">
        <f aca="false">IFERROR(INDEX('SALES Raw'!$B$6:$B$1634,MATCH($J167,'SALES Raw'!$J$6:$J$1634,0)),$J167)</f>
        <v>60 M</v>
      </c>
      <c r="C167" s="16" t="str">
        <f aca="false">IF(ISNUMBER($J167),IFERROR(INDEX('TRANS'!$C:$C,MATCH($J167,'TRANS'!$B:$B,0)),IFERROR(INDEX('Catalog'!$B:$B,MATCH($J167,'Catalog'!$A:$A,0)),$B167)),$B167)</f>
        <v>60 M צוארון ספוגי</v>
      </c>
      <c r="D167" s="8" t="n">
        <f aca="false">SUMIFS('SALES Raw'!$C$6:$C$1634,'SALES Raw'!$J$6:$J$1634,$J167,'SALES Raw'!$K$6:$K$1634,"Y")</f>
        <v>197</v>
      </c>
      <c r="E167" s="8" t="n">
        <f aca="false">SUMIFS('SALES Raw'!$D$6:$D$1634,'SALES Raw'!$J$6:$J$1634,$J167,'SALES Raw'!$K$6:$K$1634,"Y")</f>
        <v>4583.93</v>
      </c>
      <c r="F167" s="8" t="n">
        <f aca="false">SUMIFS('SALES Raw'!$E$6:$E$1634,'SALES Raw'!$J$6:$J$1634,$J167,'SALES Raw'!$K$6:$K$1634,"Y")*$H$4</f>
        <v>142.736842105263</v>
      </c>
      <c r="G167" s="8" t="n">
        <f aca="false">SUMIFS('SALES Raw'!$F$6:$F$1634,'SALES Raw'!$J$6:$J$1634,$J167,'SALES Raw'!$K$6:$K$1634,"Y")*$H$4</f>
        <v>2994.42947368421</v>
      </c>
      <c r="H167" s="16" t="s">
        <v>36</v>
      </c>
      <c r="I167" s="16" t="s">
        <v>38</v>
      </c>
      <c r="J167" s="16" t="n">
        <v>4418001</v>
      </c>
    </row>
    <row r="168" customFormat="false" ht="15" hidden="false" customHeight="false" outlineLevel="0" collapsed="false">
      <c r="A168" s="16" t="n">
        <f aca="false">IF(ISNUMBER($J168),$J168,"")</f>
        <v>4413055</v>
      </c>
      <c r="B168" s="16" t="str">
        <f aca="false">IFERROR(INDEX('SALES Raw'!$B$6:$B$1634,MATCH($J168,'SALES Raw'!$J$6:$J$1634,0)),$J168)</f>
        <v>35C XL</v>
      </c>
      <c r="C168" s="16" t="str">
        <f aca="false">IF(ISNUMBER($J168),IFERROR(INDEX('TRANS'!$C:$C,MATCH($J168,'TRANS'!$B:$B,0)),IFERROR(INDEX('Catalog'!$B:$B,MATCH($J168,'Catalog'!$A:$A,0)),$B168)),$B168)</f>
        <v>35C XL מגן קרסול חום</v>
      </c>
      <c r="D168" s="8" t="n">
        <f aca="false">SUMIFS('SALES Raw'!$C$6:$C$1634,'SALES Raw'!$J$6:$J$1634,$J168,'SALES Raw'!$K$6:$K$1634,"Y")</f>
        <v>186</v>
      </c>
      <c r="E168" s="8" t="n">
        <f aca="false">SUMIFS('SALES Raw'!$D$6:$D$1634,'SALES Raw'!$J$6:$J$1634,$J168,'SALES Raw'!$K$6:$K$1634,"Y")</f>
        <v>2307.11</v>
      </c>
      <c r="F168" s="8" t="n">
        <f aca="false">SUMIFS('SALES Raw'!$E$6:$E$1634,'SALES Raw'!$J$6:$J$1634,$J168,'SALES Raw'!$K$6:$K$1634,"Y")*$H$4</f>
        <v>140.210526315789</v>
      </c>
      <c r="G168" s="8" t="n">
        <f aca="false">SUMIFS('SALES Raw'!$F$6:$F$1634,'SALES Raw'!$J$6:$J$1634,$J168,'SALES Raw'!$K$6:$K$1634,"Y")*$H$4</f>
        <v>1552.01684210526</v>
      </c>
      <c r="H168" s="16" t="s">
        <v>30</v>
      </c>
      <c r="I168" s="16" t="s">
        <v>38</v>
      </c>
      <c r="J168" s="16" t="n">
        <v>4413055</v>
      </c>
    </row>
    <row r="169" customFormat="false" ht="15" hidden="false" customHeight="false" outlineLevel="0" collapsed="false">
      <c r="A169" s="16" t="n">
        <f aca="false">IF(ISNUMBER($J169),$J169,"")</f>
        <v>4413041</v>
      </c>
      <c r="B169" s="16" t="str">
        <f aca="false">IFERROR(INDEX('SALES Raw'!$B$6:$B$1634,MATCH($J169,'SALES Raw'!$J$6:$J$1634,0)),$J169)</f>
        <v>34 M</v>
      </c>
      <c r="C169" s="16" t="str">
        <f aca="false">IF(ISNUMBER($J169),IFERROR(INDEX('TRANS'!$C:$C,MATCH($J169,'TRANS'!$B:$B,0)),IFERROR(INDEX('Catalog'!$B:$B,MATCH($J169,'Catalog'!$A:$A,0)),$B169)),$B169)</f>
        <v>34  M מגן קרסול עקב סגור</v>
      </c>
      <c r="D169" s="8" t="n">
        <f aca="false">SUMIFS('SALES Raw'!$C$6:$C$1634,'SALES Raw'!$J$6:$J$1634,$J169,'SALES Raw'!$K$6:$K$1634,"Y")</f>
        <v>132</v>
      </c>
      <c r="E169" s="8" t="n">
        <f aca="false">SUMIFS('SALES Raw'!$D$6:$D$1634,'SALES Raw'!$J$6:$J$1634,$J169,'SALES Raw'!$K$6:$K$1634,"Y")</f>
        <v>2832.26</v>
      </c>
      <c r="F169" s="8" t="n">
        <f aca="false">SUMIFS('SALES Raw'!$E$6:$E$1634,'SALES Raw'!$J$6:$J$1634,$J169,'SALES Raw'!$K$6:$K$1634,"Y")*$H$4</f>
        <v>135.157894736842</v>
      </c>
      <c r="G169" s="8" t="n">
        <f aca="false">SUMIFS('SALES Raw'!$F$6:$F$1634,'SALES Raw'!$J$6:$J$1634,$J169,'SALES Raw'!$K$6:$K$1634,"Y")*$H$4</f>
        <v>2603.97473684211</v>
      </c>
      <c r="H169" s="16" t="s">
        <v>38</v>
      </c>
      <c r="I169" s="16" t="s">
        <v>42</v>
      </c>
      <c r="J169" s="16" t="n">
        <v>4413041</v>
      </c>
    </row>
    <row r="170" customFormat="false" ht="15" hidden="false" customHeight="false" outlineLevel="0" collapsed="false">
      <c r="A170" s="16" t="n">
        <f aca="false">IF(ISNUMBER($J170),$J170,"")</f>
        <v>4408263</v>
      </c>
      <c r="B170" s="16" t="str">
        <f aca="false">IFERROR(INDEX('SALES Raw'!$B$6:$B$1634,MATCH($J170,'SALES Raw'!$J$6:$J$1634,0)),$J170)</f>
        <v>11STO XXL</v>
      </c>
      <c r="C170" s="16" t="str">
        <f aca="false">IF(ISNUMBER($J170),IFERROR(INDEX('TRANS'!$C:$C,MATCH($J170,'TRANS'!$B:$B,0)),IFERROR(INDEX('Catalog'!$B:$B,MATCH($J170,'Catalog'!$A:$A,0)),$B170)),$B170)</f>
        <v>11STO XXL חגורה אחרי ניתוח</v>
      </c>
      <c r="D170" s="8" t="n">
        <f aca="false">SUMIFS('SALES Raw'!$C$6:$C$1634,'SALES Raw'!$J$6:$J$1634,$J170,'SALES Raw'!$K$6:$K$1634,"Y")</f>
        <v>232</v>
      </c>
      <c r="E170" s="8" t="n">
        <f aca="false">SUMIFS('SALES Raw'!$D$6:$D$1634,'SALES Raw'!$J$6:$J$1634,$J170,'SALES Raw'!$K$6:$K$1634,"Y")</f>
        <v>14328.68</v>
      </c>
      <c r="F170" s="8" t="n">
        <f aca="false">SUMIFS('SALES Raw'!$E$6:$E$1634,'SALES Raw'!$J$6:$J$1634,$J170,'SALES Raw'!$K$6:$K$1634,"Y")*$H$4</f>
        <v>135.157894736842</v>
      </c>
      <c r="G170" s="8" t="n">
        <f aca="false">SUMIFS('SALES Raw'!$F$6:$F$1634,'SALES Raw'!$J$6:$J$1634,$J170,'SALES Raw'!$K$6:$K$1634,"Y")*$H$4</f>
        <v>8426.33684210526</v>
      </c>
      <c r="H170" s="16" t="s">
        <v>44</v>
      </c>
      <c r="I170" s="16" t="s">
        <v>35</v>
      </c>
      <c r="J170" s="16" t="n">
        <v>4408263</v>
      </c>
    </row>
    <row r="171" customFormat="false" ht="15" hidden="false" customHeight="false" outlineLevel="0" collapsed="false">
      <c r="A171" s="16" t="n">
        <f aca="false">IF(ISNUMBER($J171),$J171,"")</f>
        <v>4413278</v>
      </c>
      <c r="B171" s="16" t="str">
        <f aca="false">IFERROR(INDEX('SALES Raw'!$B$6:$B$1634,MATCH($J171,'SALES Raw'!$J$6:$J$1634,0)),$J171)</f>
        <v>LF377 S</v>
      </c>
      <c r="C171" s="16" t="str">
        <f aca="false">IF(ISNUMBER($J171),IFERROR(INDEX('TRANS'!$C:$C,MATCH($J171,'TRANS'!$B:$B,0)),IFERROR(INDEX('Catalog'!$B:$B,MATCH($J171,'Catalog'!$A:$A,0)),$B171)),$B171)</f>
        <v>LF377 S-מדרס סיליקון לנעלי עקב</v>
      </c>
      <c r="D171" s="8" t="n">
        <f aca="false">SUMIFS('SALES Raw'!$C$6:$C$1634,'SALES Raw'!$J$6:$J$1634,$J171,'SALES Raw'!$K$6:$K$1634,"Y")</f>
        <v>120</v>
      </c>
      <c r="E171" s="8" t="n">
        <f aca="false">SUMIFS('SALES Raw'!$D$6:$D$1634,'SALES Raw'!$J$6:$J$1634,$J171,'SALES Raw'!$K$6:$K$1634,"Y")</f>
        <v>2954.02</v>
      </c>
      <c r="F171" s="8" t="n">
        <f aca="false">SUMIFS('SALES Raw'!$E$6:$E$1634,'SALES Raw'!$J$6:$J$1634,$J171,'SALES Raw'!$K$6:$K$1634,"Y")*$H$4</f>
        <v>133.894736842105</v>
      </c>
      <c r="G171" s="8" t="n">
        <f aca="false">SUMIFS('SALES Raw'!$F$6:$F$1634,'SALES Raw'!$J$6:$J$1634,$J171,'SALES Raw'!$K$6:$K$1634,"Y")*$H$4</f>
        <v>2912.24842105263</v>
      </c>
      <c r="H171" s="16" t="s">
        <v>30</v>
      </c>
      <c r="I171" s="16" t="s">
        <v>32</v>
      </c>
      <c r="J171" s="16" t="n">
        <v>4413278</v>
      </c>
    </row>
    <row r="172" customFormat="false" ht="15" hidden="false" customHeight="false" outlineLevel="0" collapsed="false">
      <c r="A172" s="16" t="n">
        <f aca="false">IF(ISNUMBER($J172),$J172,"")</f>
        <v>4409001</v>
      </c>
      <c r="B172" s="16" t="str">
        <f aca="false">IFERROR(INDEX('SALES Raw'!$B$6:$B$1634,MATCH($J172,'SALES Raw'!$J$6:$J$1634,0)),$J172)</f>
        <v>365-XL</v>
      </c>
      <c r="C172" s="16" t="str">
        <f aca="false">IF(ISNUMBER($J172),IFERROR(INDEX('TRANS'!$C:$C,MATCH($J172,'TRANS'!$B:$B,0)),IFERROR(INDEX('Catalog'!$B:$B,MATCH($J172,'Catalog'!$A:$A,0)),$B172)),$B172)</f>
        <v>365  X-Lטבעת אלסטית מסיליקון</v>
      </c>
      <c r="D172" s="8" t="n">
        <f aca="false">SUMIFS('SALES Raw'!$C$6:$C$1634,'SALES Raw'!$J$6:$J$1634,$J172,'SALES Raw'!$K$6:$K$1634,"Y")</f>
        <v>309</v>
      </c>
      <c r="E172" s="8" t="n">
        <f aca="false">SUMIFS('SALES Raw'!$D$6:$D$1634,'SALES Raw'!$J$6:$J$1634,$J172,'SALES Raw'!$K$6:$K$1634,"Y")</f>
        <v>2384.05</v>
      </c>
      <c r="F172" s="8" t="n">
        <f aca="false">SUMIFS('SALES Raw'!$E$6:$E$1634,'SALES Raw'!$J$6:$J$1634,$J172,'SALES Raw'!$K$6:$K$1634,"Y")*$H$4</f>
        <v>132.631578947368</v>
      </c>
      <c r="G172" s="8" t="n">
        <f aca="false">SUMIFS('SALES Raw'!$F$6:$F$1634,'SALES Raw'!$J$6:$J$1634,$J172,'SALES Raw'!$K$6:$K$1634,"Y")*$H$4</f>
        <v>941.229473684211</v>
      </c>
      <c r="H172" s="16" t="s">
        <v>30</v>
      </c>
      <c r="I172" s="16" t="s">
        <v>42</v>
      </c>
      <c r="J172" s="16" t="n">
        <v>4409001</v>
      </c>
    </row>
    <row r="173" customFormat="false" ht="15" hidden="false" customHeight="false" outlineLevel="0" collapsed="false">
      <c r="A173" s="16" t="n">
        <f aca="false">IF(ISNUMBER($J173),$J173,"")</f>
        <v>4408069</v>
      </c>
      <c r="B173" s="16" t="str">
        <f aca="false">IFERROR(INDEX('SALES Raw'!$B$6:$B$1634,MATCH($J173,'SALES Raw'!$J$6:$J$1634,0)),$J173)</f>
        <v>38 0</v>
      </c>
      <c r="C173" s="16" t="str">
        <f aca="false">IF(ISNUMBER($J173),IFERROR(INDEX('TRANS'!$C:$C,MATCH($J173,'TRANS'!$B:$B,0)),IFERROR(INDEX('Catalog'!$B:$B,MATCH($J173,'Catalog'!$A:$A,0)),$B173)),$B173)</f>
        <v>38 .חבישת""""הלוקס ולגוס""""לאחר נית</v>
      </c>
      <c r="D173" s="8" t="n">
        <f aca="false">SUMIFS('SALES Raw'!$C$6:$C$1634,'SALES Raw'!$J$6:$J$1634,$J173,'SALES Raw'!$K$6:$K$1634,"Y")</f>
        <v>60</v>
      </c>
      <c r="E173" s="8" t="n">
        <f aca="false">SUMIFS('SALES Raw'!$D$6:$D$1634,'SALES Raw'!$J$6:$J$1634,$J173,'SALES Raw'!$K$6:$K$1634,"Y")</f>
        <v>2012.99</v>
      </c>
      <c r="F173" s="8" t="n">
        <f aca="false">SUMIFS('SALES Raw'!$E$6:$E$1634,'SALES Raw'!$J$6:$J$1634,$J173,'SALES Raw'!$K$6:$K$1634,"Y")*$H$4</f>
        <v>132.631578947368</v>
      </c>
      <c r="G173" s="8" t="n">
        <f aca="false">SUMIFS('SALES Raw'!$F$6:$F$1634,'SALES Raw'!$J$6:$J$1634,$J173,'SALES Raw'!$K$6:$K$1634,"Y")*$H$4</f>
        <v>4023.82736842105</v>
      </c>
      <c r="H173" s="16" t="s">
        <v>42</v>
      </c>
      <c r="I173" s="16" t="s">
        <v>38</v>
      </c>
      <c r="J173" s="16" t="n">
        <v>4408069</v>
      </c>
    </row>
    <row r="174" customFormat="false" ht="15" hidden="false" customHeight="false" outlineLevel="0" collapsed="false">
      <c r="A174" s="16" t="n">
        <f aca="false">IF(ISNUMBER($J174),$J174,"")</f>
        <v>4413102</v>
      </c>
      <c r="B174" s="16" t="str">
        <f aca="false">IFERROR(INDEX('SALES Raw'!$B$6:$B$1634,MATCH($J174,'SALES Raw'!$J$6:$J$1634,0)),$J174)</f>
        <v>45E L</v>
      </c>
      <c r="C174" s="16" t="str">
        <f aca="false">IF(ISNUMBER($J174),IFERROR(INDEX('TRANS'!$C:$C,MATCH($J174,'TRANS'!$B:$B,0)),IFERROR(INDEX('Catalog'!$B:$B,MATCH($J174,'Catalog'!$A:$A,0)),$B174)),$B174)</f>
        <v>45E  L        מגן ברך ארוך לבן</v>
      </c>
      <c r="D174" s="8" t="n">
        <f aca="false">SUMIFS('SALES Raw'!$C$6:$C$1634,'SALES Raw'!$J$6:$J$1634,$J174,'SALES Raw'!$K$6:$K$1634,"Y")</f>
        <v>121</v>
      </c>
      <c r="E174" s="8" t="n">
        <f aca="false">SUMIFS('SALES Raw'!$D$6:$D$1634,'SALES Raw'!$J$6:$J$1634,$J174,'SALES Raw'!$K$6:$K$1634,"Y")</f>
        <v>1413.54</v>
      </c>
      <c r="F174" s="8" t="n">
        <f aca="false">SUMIFS('SALES Raw'!$E$6:$E$1634,'SALES Raw'!$J$6:$J$1634,$J174,'SALES Raw'!$K$6:$K$1634,"Y")*$H$4</f>
        <v>126.315789473684</v>
      </c>
      <c r="G174" s="8" t="n">
        <f aca="false">SUMIFS('SALES Raw'!$F$6:$F$1634,'SALES Raw'!$J$6:$J$1634,$J174,'SALES Raw'!$K$6:$K$1634,"Y")*$H$4</f>
        <v>1397.57052631579</v>
      </c>
      <c r="H174" s="16" t="s">
        <v>42</v>
      </c>
      <c r="I174" s="16" t="s">
        <v>35</v>
      </c>
      <c r="J174" s="16" t="n">
        <v>4413102</v>
      </c>
    </row>
    <row r="175" customFormat="false" ht="15" hidden="false" customHeight="false" outlineLevel="0" collapsed="false">
      <c r="A175" s="16" t="n">
        <f aca="false">IF(ISNUMBER($J175),$J175,"")</f>
        <v>4413105</v>
      </c>
      <c r="B175" s="16" t="str">
        <f aca="false">IFERROR(INDEX('SALES Raw'!$B$6:$B$1634,MATCH($J175,'SALES Raw'!$J$6:$J$1634,0)),$J175)</f>
        <v>45E XXL</v>
      </c>
      <c r="C175" s="16" t="str">
        <f aca="false">IF(ISNUMBER($J175),IFERROR(INDEX('TRANS'!$C:$C,MATCH($J175,'TRANS'!$B:$B,0)),IFERROR(INDEX('Catalog'!$B:$B,MATCH($J175,'Catalog'!$A:$A,0)),$B175)),$B175)</f>
        <v>45E XXLמגן ברך ארוך לבן</v>
      </c>
      <c r="D175" s="8" t="n">
        <f aca="false">SUMIFS('SALES Raw'!$C$6:$C$1634,'SALES Raw'!$J$6:$J$1634,$J175,'SALES Raw'!$K$6:$K$1634,"Y")</f>
        <v>160</v>
      </c>
      <c r="E175" s="8" t="n">
        <f aca="false">SUMIFS('SALES Raw'!$D$6:$D$1634,'SALES Raw'!$J$6:$J$1634,$J175,'SALES Raw'!$K$6:$K$1634,"Y")</f>
        <v>1932.6</v>
      </c>
      <c r="F175" s="8" t="n">
        <f aca="false">SUMIFS('SALES Raw'!$E$6:$E$1634,'SALES Raw'!$J$6:$J$1634,$J175,'SALES Raw'!$K$6:$K$1634,"Y")*$H$4</f>
        <v>126.315789473684</v>
      </c>
      <c r="G175" s="8" t="n">
        <f aca="false">SUMIFS('SALES Raw'!$F$6:$F$1634,'SALES Raw'!$J$6:$J$1634,$J175,'SALES Raw'!$K$6:$K$1634,"Y")*$H$4</f>
        <v>1397.57052631579</v>
      </c>
      <c r="H175" s="16" t="s">
        <v>42</v>
      </c>
      <c r="I175" s="16" t="s">
        <v>35</v>
      </c>
      <c r="J175" s="16" t="n">
        <v>4413105</v>
      </c>
    </row>
    <row r="176" customFormat="false" ht="15" hidden="false" customHeight="false" outlineLevel="0" collapsed="false">
      <c r="A176" s="16" t="str">
        <f aca="false">IF(ISNUMBER($J176),$J176,"")</f>
        <v/>
      </c>
      <c r="B176" s="16" t="str">
        <f aca="false">IFERROR(INDEX('SALES Raw'!$B$6:$B$1634,MATCH($J176,'SALES Raw'!$J$6:$J$1634,0)),$J176)</f>
        <v>61 S</v>
      </c>
      <c r="C176" s="16" t="str">
        <f aca="false">IF(ISNUMBER($J176),IFERROR(INDEX('TRANS'!$C:$C,MATCH($J176,'TRANS'!$B:$B,0)),IFERROR(INDEX('Catalog'!$B:$B,MATCH($J176,'Catalog'!$A:$A,0)),$B176)),$B176)</f>
        <v>61 S</v>
      </c>
      <c r="D176" s="8" t="n">
        <f aca="false">SUMIFS('SALES Raw'!$C$6:$C$1634,'SALES Raw'!$J$6:$J$1634,$J176,'SALES Raw'!$K$6:$K$1634,"Y")</f>
        <v>100</v>
      </c>
      <c r="E176" s="8" t="n">
        <f aca="false">SUMIFS('SALES Raw'!$D$6:$D$1634,'SALES Raw'!$J$6:$J$1634,$J176,'SALES Raw'!$K$6:$K$1634,"Y")</f>
        <v>1783.7</v>
      </c>
      <c r="F176" s="8" t="n">
        <f aca="false">SUMIFS('SALES Raw'!$E$6:$E$1634,'SALES Raw'!$J$6:$J$1634,$J176,'SALES Raw'!$K$6:$K$1634,"Y")*$H$4</f>
        <v>126.315789473684</v>
      </c>
      <c r="G176" s="8" t="n">
        <f aca="false">SUMIFS('SALES Raw'!$F$6:$F$1634,'SALES Raw'!$J$6:$J$1634,$J176,'SALES Raw'!$K$6:$K$1634,"Y")*$H$4</f>
        <v>2023.50315789474</v>
      </c>
      <c r="H176" s="16" t="s">
        <v>38</v>
      </c>
      <c r="I176" s="16" t="s">
        <v>41</v>
      </c>
      <c r="J176" s="16" t="s">
        <v>87</v>
      </c>
    </row>
    <row r="177" customFormat="false" ht="15" hidden="false" customHeight="false" outlineLevel="0" collapsed="false">
      <c r="A177" s="16" t="str">
        <f aca="false">IF(ISNUMBER($J177),$J177,"")</f>
        <v/>
      </c>
      <c r="B177" s="16" t="str">
        <f aca="false">IFERROR(INDEX('SALES Raw'!$B$6:$B$1634,MATCH($J177,'SALES Raw'!$J$6:$J$1634,0)),$J177)</f>
        <v>43BD XL</v>
      </c>
      <c r="C177" s="16" t="str">
        <f aca="false">IF(ISNUMBER($J177),IFERROR(INDEX('TRANS'!$C:$C,MATCH($J177,'TRANS'!$B:$B,0)),IFERROR(INDEX('Catalog'!$B:$B,MATCH($J177,'Catalog'!$A:$A,0)),$B177)),$B177)</f>
        <v>43BD XL</v>
      </c>
      <c r="D177" s="8" t="n">
        <f aca="false">SUMIFS('SALES Raw'!$C$6:$C$1634,'SALES Raw'!$J$6:$J$1634,$J177,'SALES Raw'!$K$6:$K$1634,"Y")</f>
        <v>35</v>
      </c>
      <c r="E177" s="8" t="n">
        <f aca="false">SUMIFS('SALES Raw'!$D$6:$D$1634,'SALES Raw'!$J$6:$J$1634,$J177,'SALES Raw'!$K$6:$K$1634,"Y")</f>
        <v>2963</v>
      </c>
      <c r="F177" s="8" t="n">
        <f aca="false">SUMIFS('SALES Raw'!$E$6:$E$1634,'SALES Raw'!$J$6:$J$1634,$J177,'SALES Raw'!$K$6:$K$1634,"Y")*$H$4</f>
        <v>126.315789473684</v>
      </c>
      <c r="G177" s="8" t="n">
        <f aca="false">SUMIFS('SALES Raw'!$F$6:$F$1634,'SALES Raw'!$J$6:$J$1634,$J177,'SALES Raw'!$K$6:$K$1634,"Y")*$H$4</f>
        <v>11168.1726315789</v>
      </c>
      <c r="H177" s="16" t="s">
        <v>42</v>
      </c>
      <c r="I177" s="16"/>
      <c r="J177" s="16" t="s">
        <v>88</v>
      </c>
    </row>
    <row r="178" customFormat="false" ht="15" hidden="false" customHeight="false" outlineLevel="0" collapsed="false">
      <c r="A178" s="16" t="n">
        <f aca="false">IF(ISNUMBER($J178),$J178,"")</f>
        <v>4401014</v>
      </c>
      <c r="B178" s="16" t="str">
        <f aca="false">IFERROR(INDEX('SALES Raw'!$B$6:$B$1634,MATCH($J178,'SALES Raw'!$J$6:$J$1634,0)),$J178)</f>
        <v>805AT-W</v>
      </c>
      <c r="C178" s="16" t="str">
        <f aca="false">IF(ISNUMBER($J178),IFERROR(INDEX('TRANS'!$C:$C,MATCH($J178,'TRANS'!$B:$B,0)),IFERROR(INDEX('Catalog'!$B:$B,MATCH($J178,'Catalog'!$A:$A,0)),$B178)),$B178)</f>
        <v>805AT-W  אתלטיק טייפ לבן 20מ""""מ</v>
      </c>
      <c r="D178" s="8" t="n">
        <f aca="false">SUMIFS('SALES Raw'!$C$6:$C$1634,'SALES Raw'!$J$6:$J$1634,$J178,'SALES Raw'!$K$6:$K$1634,"Y")</f>
        <v>61</v>
      </c>
      <c r="E178" s="8" t="n">
        <f aca="false">SUMIFS('SALES Raw'!$D$6:$D$1634,'SALES Raw'!$J$6:$J$1634,$J178,'SALES Raw'!$K$6:$K$1634,"Y")</f>
        <v>554.1</v>
      </c>
      <c r="F178" s="8" t="n">
        <f aca="false">SUMIFS('SALES Raw'!$E$6:$E$1634,'SALES Raw'!$J$6:$J$1634,$J178,'SALES Raw'!$K$6:$K$1634,"Y")*$H$4</f>
        <v>122.526315789474</v>
      </c>
      <c r="G178" s="8" t="n">
        <f aca="false">SUMIFS('SALES Raw'!$F$6:$F$1634,'SALES Raw'!$J$6:$J$1634,$J178,'SALES Raw'!$K$6:$K$1634,"Y")*$H$4</f>
        <v>983.532631578947</v>
      </c>
      <c r="H178" s="16" t="s">
        <v>38</v>
      </c>
      <c r="I178" s="16" t="s">
        <v>32</v>
      </c>
      <c r="J178" s="16" t="n">
        <v>4401014</v>
      </c>
    </row>
    <row r="179" customFormat="false" ht="15" hidden="false" customHeight="false" outlineLevel="0" collapsed="false">
      <c r="A179" s="16" t="n">
        <f aca="false">IF(ISNUMBER($J179),$J179,"")</f>
        <v>4413047</v>
      </c>
      <c r="B179" s="16" t="str">
        <f aca="false">IFERROR(INDEX('SALES Raw'!$B$6:$B$1634,MATCH($J179,'SALES Raw'!$J$6:$J$1634,0)),$J179)</f>
        <v>35 S</v>
      </c>
      <c r="C179" s="16" t="str">
        <f aca="false">IF(ISNUMBER($J179),IFERROR(INDEX('TRANS'!$C:$C,MATCH($J179,'TRANS'!$B:$B,0)),IFERROR(INDEX('Catalog'!$B:$B,MATCH($J179,'Catalog'!$A:$A,0)),$B179)),$B179)</f>
        <v>35 S מגן קרסול לבן</v>
      </c>
      <c r="D179" s="8" t="n">
        <f aca="false">SUMIFS('SALES Raw'!$C$6:$C$1634,'SALES Raw'!$J$6:$J$1634,$J179,'SALES Raw'!$K$6:$K$1634,"Y")</f>
        <v>230</v>
      </c>
      <c r="E179" s="8" t="n">
        <f aca="false">SUMIFS('SALES Raw'!$D$6:$D$1634,'SALES Raw'!$J$6:$J$1634,$J179,'SALES Raw'!$K$6:$K$1634,"Y")</f>
        <v>2772.45</v>
      </c>
      <c r="F179" s="8" t="n">
        <f aca="false">SUMIFS('SALES Raw'!$E$6:$E$1634,'SALES Raw'!$J$6:$J$1634,$J179,'SALES Raw'!$K$6:$K$1634,"Y")*$H$4</f>
        <v>121.263157894737</v>
      </c>
      <c r="G179" s="8" t="n">
        <f aca="false">SUMIFS('SALES Raw'!$F$6:$F$1634,'SALES Raw'!$J$6:$J$1634,$J179,'SALES Raw'!$K$6:$K$1634,"Y")*$H$4</f>
        <v>1311.77684210526</v>
      </c>
      <c r="H179" s="16" t="s">
        <v>42</v>
      </c>
      <c r="I179" s="16" t="s">
        <v>30</v>
      </c>
      <c r="J179" s="16" t="n">
        <v>4413047</v>
      </c>
    </row>
    <row r="180" customFormat="false" ht="15" hidden="false" customHeight="false" outlineLevel="0" collapsed="false">
      <c r="A180" s="16" t="n">
        <f aca="false">IF(ISNUMBER($J180),$J180,"")</f>
        <v>4420032</v>
      </c>
      <c r="B180" s="16" t="str">
        <f aca="false">IFERROR(INDEX('SALES Raw'!$B$6:$B$1634,MATCH($J180,'SALES Raw'!$J$6:$J$1634,0)),$J180)</f>
        <v>376-46-47</v>
      </c>
      <c r="C180" s="16" t="str">
        <f aca="false">IF(ISNUMBER($J180),IFERROR(INDEX('TRANS'!$C:$C,MATCH($J180,'TRANS'!$B:$B,0)),IFERROR(INDEX('Catalog'!$B:$B,MATCH($J180,'Catalog'!$A:$A,0)),$B180)),$B180)</f>
        <v>46-47 רפידת ספורט 376 מידה</v>
      </c>
      <c r="D180" s="8" t="n">
        <f aca="false">SUMIFS('SALES Raw'!$C$6:$C$1634,'SALES Raw'!$J$6:$J$1634,$J180,'SALES Raw'!$K$6:$K$1634,"Y")</f>
        <v>312</v>
      </c>
      <c r="E180" s="8" t="n">
        <f aca="false">SUMIFS('SALES Raw'!$D$6:$D$1634,'SALES Raw'!$J$6:$J$1634,$J180,'SALES Raw'!$K$6:$K$1634,"Y")</f>
        <v>5616.34</v>
      </c>
      <c r="F180" s="8" t="n">
        <f aca="false">SUMIFS('SALES Raw'!$E$6:$E$1634,'SALES Raw'!$J$6:$J$1634,$J180,'SALES Raw'!$K$6:$K$1634,"Y")*$H$4</f>
        <v>121.263157894737</v>
      </c>
      <c r="G180" s="8" t="n">
        <f aca="false">SUMIFS('SALES Raw'!$F$6:$F$1634,'SALES Raw'!$J$6:$J$1634,$J180,'SALES Raw'!$K$6:$K$1634,"Y")*$H$4</f>
        <v>1936.73684210526</v>
      </c>
      <c r="H180" s="16" t="s">
        <v>30</v>
      </c>
      <c r="I180" s="16" t="s">
        <v>38</v>
      </c>
      <c r="J180" s="16" t="n">
        <v>4420032</v>
      </c>
    </row>
    <row r="181" customFormat="false" ht="15" hidden="false" customHeight="false" outlineLevel="0" collapsed="false">
      <c r="A181" s="16" t="n">
        <f aca="false">IF(ISNUMBER($J181),$J181,"")</f>
        <v>4408221</v>
      </c>
      <c r="B181" s="16" t="str">
        <f aca="false">IFERROR(INDEX('SALES Raw'!$B$6:$B$1634,MATCH($J181,'SALES Raw'!$J$6:$J$1634,0)),$J181)</f>
        <v>078G L</v>
      </c>
      <c r="C181" s="16" t="str">
        <f aca="false">IF(ISNUMBER($J181),IFERROR(INDEX('TRANS'!$C:$C,MATCH($J181,'TRANS'!$B:$B,0)),IFERROR(INDEX('Catalog'!$B:$B,MATCH($J181,'Catalog'!$A:$A,0)),$B181)),$B181)</f>
        <v>078G-L חגורת גב אפורה</v>
      </c>
      <c r="D181" s="8" t="n">
        <f aca="false">SUMIFS('SALES Raw'!$C$6:$C$1634,'SALES Raw'!$J$6:$J$1634,$J181,'SALES Raw'!$K$6:$K$1634,"Y")</f>
        <v>210</v>
      </c>
      <c r="E181" s="8" t="n">
        <f aca="false">SUMIFS('SALES Raw'!$D$6:$D$1634,'SALES Raw'!$J$6:$J$1634,$J181,'SALES Raw'!$K$6:$K$1634,"Y")</f>
        <v>14624.6</v>
      </c>
      <c r="F181" s="8" t="n">
        <f aca="false">SUMIFS('SALES Raw'!$E$6:$E$1634,'SALES Raw'!$J$6:$J$1634,$J181,'SALES Raw'!$K$6:$K$1634,"Y")*$H$4</f>
        <v>117.473684210526</v>
      </c>
      <c r="G181" s="8" t="n">
        <f aca="false">SUMIFS('SALES Raw'!$F$6:$F$1634,'SALES Raw'!$J$6:$J$1634,$J181,'SALES Raw'!$K$6:$K$1634,"Y")*$H$4</f>
        <v>7064.16</v>
      </c>
      <c r="H181" s="16" t="s">
        <v>30</v>
      </c>
      <c r="I181" s="16" t="s">
        <v>37</v>
      </c>
      <c r="J181" s="16" t="n">
        <v>4408221</v>
      </c>
    </row>
    <row r="182" customFormat="false" ht="15" hidden="false" customHeight="false" outlineLevel="0" collapsed="false">
      <c r="A182" s="16" t="n">
        <f aca="false">IF(ISNUMBER($J182),$J182,"")</f>
        <v>4408031</v>
      </c>
      <c r="B182" s="16" t="str">
        <f aca="false">IFERROR(INDEX('SALES Raw'!$B$6:$B$1634,MATCH($J182,'SALES Raw'!$J$6:$J$1634,0)),$J182)</f>
        <v>11 S</v>
      </c>
      <c r="C182" s="16" t="str">
        <f aca="false">IF(ISNUMBER($J182),IFERROR(INDEX('TRANS'!$C:$C,MATCH($J182,'TRANS'!$B:$B,0)),IFERROR(INDEX('Catalog'!$B:$B,MATCH($J182,'Catalog'!$A:$A,0)),$B182)),$B182)</f>
        <v>11 S""""חגורת בטן""""אורירית</v>
      </c>
      <c r="D182" s="8" t="n">
        <f aca="false">SUMIFS('SALES Raw'!$C$6:$C$1634,'SALES Raw'!$J$6:$J$1634,$J182,'SALES Raw'!$K$6:$K$1634,"Y")</f>
        <v>44</v>
      </c>
      <c r="E182" s="8" t="n">
        <f aca="false">SUMIFS('SALES Raw'!$D$6:$D$1634,'SALES Raw'!$J$6:$J$1634,$J182,'SALES Raw'!$K$6:$K$1634,"Y")</f>
        <v>3544.17</v>
      </c>
      <c r="F182" s="8" t="n">
        <f aca="false">SUMIFS('SALES Raw'!$E$6:$E$1634,'SALES Raw'!$J$6:$J$1634,$J182,'SALES Raw'!$K$6:$K$1634,"Y")*$H$4</f>
        <v>114.947368421053</v>
      </c>
      <c r="G182" s="8" t="n">
        <f aca="false">SUMIFS('SALES Raw'!$F$6:$F$1634,'SALES Raw'!$J$6:$J$1634,$J182,'SALES Raw'!$K$6:$K$1634,"Y")*$H$4</f>
        <v>6043.70526315789</v>
      </c>
      <c r="H182" s="16" t="s">
        <v>36</v>
      </c>
      <c r="I182" s="16" t="s">
        <v>30</v>
      </c>
      <c r="J182" s="16" t="n">
        <v>4408031</v>
      </c>
    </row>
    <row r="183" customFormat="false" ht="15" hidden="false" customHeight="false" outlineLevel="0" collapsed="false">
      <c r="A183" s="16" t="n">
        <f aca="false">IF(ISNUMBER($J183),$J183,"")</f>
        <v>4420023</v>
      </c>
      <c r="B183" s="16" t="str">
        <f aca="false">IFERROR(INDEX('SALES Raw'!$B$6:$B$1634,MATCH($J183,'SALES Raw'!$J$6:$J$1634,0)),$J183)</f>
        <v>LF371 0</v>
      </c>
      <c r="C183" s="16" t="str">
        <f aca="false">IF(ISNUMBER($J183),IFERROR(INDEX('TRANS'!$C:$C,MATCH($J183,'TRANS'!$B:$B,0)),IFERROR(INDEX('Catalog'!$B:$B,MATCH($J183,'Catalog'!$A:$A,0)),$B183)),$B183)</f>
        <v>LF371 ריפוד סיליקון לנעלי אצבע</v>
      </c>
      <c r="D183" s="8" t="n">
        <f aca="false">SUMIFS('SALES Raw'!$C$6:$C$1634,'SALES Raw'!$J$6:$J$1634,$J183,'SALES Raw'!$K$6:$K$1634,"Y")</f>
        <v>126</v>
      </c>
      <c r="E183" s="8" t="n">
        <f aca="false">SUMIFS('SALES Raw'!$D$6:$D$1634,'SALES Raw'!$J$6:$J$1634,$J183,'SALES Raw'!$K$6:$K$1634,"Y")</f>
        <v>1774.08</v>
      </c>
      <c r="F183" s="8" t="n">
        <f aca="false">SUMIFS('SALES Raw'!$E$6:$E$1634,'SALES Raw'!$J$6:$J$1634,$J183,'SALES Raw'!$K$6:$K$1634,"Y")*$H$4</f>
        <v>113.684210526316</v>
      </c>
      <c r="G183" s="8" t="n">
        <f aca="false">SUMIFS('SALES Raw'!$F$6:$F$1634,'SALES Raw'!$J$6:$J$1634,$J183,'SALES Raw'!$K$6:$K$1634,"Y")*$H$4</f>
        <v>1439.09052631579</v>
      </c>
      <c r="H183" s="16" t="s">
        <v>30</v>
      </c>
      <c r="I183" s="16" t="s">
        <v>38</v>
      </c>
      <c r="J183" s="16" t="n">
        <v>4420023</v>
      </c>
    </row>
    <row r="184" customFormat="false" ht="15" hidden="false" customHeight="false" outlineLevel="0" collapsed="false">
      <c r="A184" s="16" t="str">
        <f aca="false">IF(ISNUMBER($J184),$J184,"")</f>
        <v/>
      </c>
      <c r="B184" s="16" t="str">
        <f aca="false">IFERROR(INDEX('SALES Raw'!$B$6:$B$1634,MATCH($J184,'SALES Raw'!$J$6:$J$1634,0)),$J184)</f>
        <v>376-44-46</v>
      </c>
      <c r="C184" s="16" t="str">
        <f aca="false">IF(ISNUMBER($J184),IFERROR(INDEX('TRANS'!$C:$C,MATCH($J184,'TRANS'!$B:$B,0)),IFERROR(INDEX('Catalog'!$B:$B,MATCH($J184,'Catalog'!$A:$A,0)),$B184)),$B184)</f>
        <v>376-44-46</v>
      </c>
      <c r="D184" s="8" t="n">
        <f aca="false">SUMIFS('SALES Raw'!$C$6:$C$1634,'SALES Raw'!$J$6:$J$1634,$J184,'SALES Raw'!$K$6:$K$1634,"Y")</f>
        <v>0</v>
      </c>
      <c r="E184" s="8" t="n">
        <f aca="false">SUMIFS('SALES Raw'!$D$6:$D$1634,'SALES Raw'!$J$6:$J$1634,$J184,'SALES Raw'!$K$6:$K$1634,"Y")</f>
        <v>0</v>
      </c>
      <c r="F184" s="8" t="n">
        <f aca="false">SUMIFS('SALES Raw'!$E$6:$E$1634,'SALES Raw'!$J$6:$J$1634,$J184,'SALES Raw'!$K$6:$K$1634,"Y")*$H$4</f>
        <v>113.684210526316</v>
      </c>
      <c r="G184" s="8" t="n">
        <f aca="false">SUMIFS('SALES Raw'!$F$6:$F$1634,'SALES Raw'!$J$6:$J$1634,$J184,'SALES Raw'!$K$6:$K$1634,"Y")*$H$4</f>
        <v>2000.27368421053</v>
      </c>
      <c r="H184" s="16" t="s">
        <v>30</v>
      </c>
      <c r="I184" s="16"/>
      <c r="J184" s="16" t="s">
        <v>89</v>
      </c>
    </row>
    <row r="185" customFormat="false" ht="15" hidden="false" customHeight="false" outlineLevel="0" collapsed="false">
      <c r="A185" s="16" t="n">
        <f aca="false">IF(ISNUMBER($J185),$J185,"")</f>
        <v>4401013</v>
      </c>
      <c r="B185" s="16" t="str">
        <f aca="false">IFERROR(INDEX('SALES Raw'!$B$6:$B$1634,MATCH($J185,'SALES Raw'!$J$6:$J$1634,0)),$J185)</f>
        <v>805AT-BL</v>
      </c>
      <c r="C185" s="16" t="str">
        <f aca="false">IF(ISNUMBER($J185),IFERROR(INDEX('TRANS'!$C:$C,MATCH($J185,'TRANS'!$B:$B,0)),IFERROR(INDEX('Catalog'!$B:$B,MATCH($J185,'Catalog'!$A:$A,0)),$B185)),$B185)</f>
        <v>805AT-BLאתלטיק טייפ כחול 20מ""""מ</v>
      </c>
      <c r="D185" s="8" t="n">
        <f aca="false">SUMIFS('SALES Raw'!$C$6:$C$1634,'SALES Raw'!$J$6:$J$1634,$J185,'SALES Raw'!$K$6:$K$1634,"Y")</f>
        <v>88</v>
      </c>
      <c r="E185" s="8" t="n">
        <f aca="false">SUMIFS('SALES Raw'!$D$6:$D$1634,'SALES Raw'!$J$6:$J$1634,$J185,'SALES Raw'!$K$6:$K$1634,"Y")</f>
        <v>800.52</v>
      </c>
      <c r="F185" s="8" t="n">
        <f aca="false">SUMIFS('SALES Raw'!$E$6:$E$1634,'SALES Raw'!$J$6:$J$1634,$J185,'SALES Raw'!$K$6:$K$1634,"Y")*$H$4</f>
        <v>113.684210526316</v>
      </c>
      <c r="G185" s="8" t="n">
        <f aca="false">SUMIFS('SALES Raw'!$F$6:$F$1634,'SALES Raw'!$J$6:$J$1634,$J185,'SALES Raw'!$K$6:$K$1634,"Y")*$H$4</f>
        <v>906.492631578947</v>
      </c>
      <c r="H185" s="16" t="s">
        <v>38</v>
      </c>
      <c r="I185" s="16" t="s">
        <v>32</v>
      </c>
      <c r="J185" s="16" t="n">
        <v>4401013</v>
      </c>
    </row>
    <row r="186" customFormat="false" ht="15" hidden="false" customHeight="false" outlineLevel="0" collapsed="false">
      <c r="A186" s="16" t="str">
        <f aca="false">IF(ISNUMBER($J186),$J186,"")</f>
        <v/>
      </c>
      <c r="B186" s="16" t="str">
        <f aca="false">IFERROR(INDEX('SALES Raw'!$B$6:$B$1634,MATCH($J186,'SALES Raw'!$J$6:$J$1634,0)),$J186)</f>
        <v>43BD L</v>
      </c>
      <c r="C186" s="16" t="str">
        <f aca="false">IF(ISNUMBER($J186),IFERROR(INDEX('TRANS'!$C:$C,MATCH($J186,'TRANS'!$B:$B,0)),IFERROR(INDEX('Catalog'!$B:$B,MATCH($J186,'Catalog'!$A:$A,0)),$B186)),$B186)</f>
        <v>43BD L</v>
      </c>
      <c r="D186" s="8" t="n">
        <f aca="false">SUMIFS('SALES Raw'!$C$6:$C$1634,'SALES Raw'!$J$6:$J$1634,$J186,'SALES Raw'!$K$6:$K$1634,"Y")</f>
        <v>15</v>
      </c>
      <c r="E186" s="8" t="n">
        <f aca="false">SUMIFS('SALES Raw'!$D$6:$D$1634,'SALES Raw'!$J$6:$J$1634,$J186,'SALES Raw'!$K$6:$K$1634,"Y")</f>
        <v>1269.86</v>
      </c>
      <c r="F186" s="8" t="n">
        <f aca="false">SUMIFS('SALES Raw'!$E$6:$E$1634,'SALES Raw'!$J$6:$J$1634,$J186,'SALES Raw'!$K$6:$K$1634,"Y")*$H$4</f>
        <v>113.684210526316</v>
      </c>
      <c r="G186" s="8" t="n">
        <f aca="false">SUMIFS('SALES Raw'!$F$6:$F$1634,'SALES Raw'!$J$6:$J$1634,$J186,'SALES Raw'!$K$6:$K$1634,"Y")*$H$4</f>
        <v>10143.1831578947</v>
      </c>
      <c r="H186" s="16" t="s">
        <v>42</v>
      </c>
      <c r="I186" s="16"/>
      <c r="J186" s="16" t="s">
        <v>90</v>
      </c>
    </row>
    <row r="187" customFormat="false" ht="15" hidden="false" customHeight="false" outlineLevel="0" collapsed="false">
      <c r="A187" s="16" t="n">
        <f aca="false">IF(ISNUMBER($J187),$J187,"")</f>
        <v>4413503</v>
      </c>
      <c r="B187" s="16" t="str">
        <f aca="false">IFERROR(INDEX('SALES Raw'!$B$6:$B$1634,MATCH($J187,'SALES Raw'!$J$6:$J$1634,0)),$J187)</f>
        <v>95B XL</v>
      </c>
      <c r="C187" s="16" t="str">
        <f aca="false">IF(ISNUMBER($J187),IFERROR(INDEX('TRANS'!$C:$C,MATCH($J187,'TRANS'!$B:$B,0)),IFERROR(INDEX('Catalog'!$B:$B,MATCH($J187,'Catalog'!$A:$A,0)),$B187)),$B187)</f>
        <v>95B XL מגן מרפק שחור</v>
      </c>
      <c r="D187" s="8" t="n">
        <f aca="false">SUMIFS('SALES Raw'!$C$6:$C$1634,'SALES Raw'!$J$6:$J$1634,$J187,'SALES Raw'!$K$6:$K$1634,"Y")</f>
        <v>236</v>
      </c>
      <c r="E187" s="8" t="n">
        <f aca="false">SUMIFS('SALES Raw'!$D$6:$D$1634,'SALES Raw'!$J$6:$J$1634,$J187,'SALES Raw'!$K$6:$K$1634,"Y")</f>
        <v>3178.94</v>
      </c>
      <c r="F187" s="8" t="n">
        <f aca="false">SUMIFS('SALES Raw'!$E$6:$E$1634,'SALES Raw'!$J$6:$J$1634,$J187,'SALES Raw'!$K$6:$K$1634,"Y")*$H$4</f>
        <v>112.421052631579</v>
      </c>
      <c r="G187" s="8" t="n">
        <f aca="false">SUMIFS('SALES Raw'!$F$6:$F$1634,'SALES Raw'!$J$6:$J$1634,$J187,'SALES Raw'!$K$6:$K$1634,"Y")*$H$4</f>
        <v>1324.66105263158</v>
      </c>
      <c r="H187" s="16" t="s">
        <v>30</v>
      </c>
      <c r="I187" s="16" t="s">
        <v>31</v>
      </c>
      <c r="J187" s="16" t="n">
        <v>4413503</v>
      </c>
    </row>
    <row r="188" customFormat="false" ht="15" hidden="false" customHeight="false" outlineLevel="0" collapsed="false">
      <c r="A188" s="16" t="n">
        <f aca="false">IF(ISNUMBER($J188),$J188,"")</f>
        <v>4411028</v>
      </c>
      <c r="B188" s="16" t="str">
        <f aca="false">IFERROR(INDEX('SALES Raw'!$B$6:$B$1634,MATCH($J188,'SALES Raw'!$J$6:$J$1634,0)),$J188)</f>
        <v>213CTSL S</v>
      </c>
      <c r="C188" s="16" t="str">
        <f aca="false">IF(ISNUMBER($J188),IFERROR(INDEX('TRANS'!$C:$C,MATCH($J188,'TRANS'!$B:$B,0)),IFERROR(INDEX('Catalog'!$B:$B,MATCH($J188,'Catalog'!$A:$A,0)),$B188)),$B188)</f>
        <v>213CTSL S שמאל CTS כפפות</v>
      </c>
      <c r="D188" s="8" t="n">
        <f aca="false">SUMIFS('SALES Raw'!$C$6:$C$1634,'SALES Raw'!$J$6:$J$1634,$J188,'SALES Raw'!$K$6:$K$1634,"Y")</f>
        <v>35</v>
      </c>
      <c r="E188" s="8" t="n">
        <f aca="false">SUMIFS('SALES Raw'!$D$6:$D$1634,'SALES Raw'!$J$6:$J$1634,$J188,'SALES Raw'!$K$6:$K$1634,"Y")</f>
        <v>1393.49</v>
      </c>
      <c r="F188" s="8" t="n">
        <f aca="false">SUMIFS('SALES Raw'!$E$6:$E$1634,'SALES Raw'!$J$6:$J$1634,$J188,'SALES Raw'!$K$6:$K$1634,"Y")*$H$4</f>
        <v>109.894736842105</v>
      </c>
      <c r="G188" s="8" t="n">
        <f aca="false">SUMIFS('SALES Raw'!$F$6:$F$1634,'SALES Raw'!$J$6:$J$1634,$J188,'SALES Raw'!$K$6:$K$1634,"Y")*$H$4</f>
        <v>4398.2652631579</v>
      </c>
      <c r="H188" s="16" t="s">
        <v>36</v>
      </c>
      <c r="I188" s="16" t="s">
        <v>44</v>
      </c>
      <c r="J188" s="16" t="n">
        <v>4411028</v>
      </c>
    </row>
    <row r="189" customFormat="false" ht="15" hidden="false" customHeight="false" outlineLevel="0" collapsed="false">
      <c r="A189" s="16" t="str">
        <f aca="false">IF(ISNUMBER($J189),$J189,"")</f>
        <v/>
      </c>
      <c r="B189" s="16" t="str">
        <f aca="false">IFERROR(INDEX('SALES Raw'!$B$6:$B$1634,MATCH($J189,'SALES Raw'!$J$6:$J$1634,0)),$J189)</f>
        <v>305-35-36</v>
      </c>
      <c r="C189" s="16" t="str">
        <f aca="false">IF(ISNUMBER($J189),IFERROR(INDEX('TRANS'!$C:$C,MATCH($J189,'TRANS'!$B:$B,0)),IFERROR(INDEX('Catalog'!$B:$B,MATCH($J189,'Catalog'!$A:$A,0)),$B189)),$B189)</f>
        <v>305-35-36</v>
      </c>
      <c r="D189" s="8" t="n">
        <f aca="false">SUMIFS('SALES Raw'!$C$6:$C$1634,'SALES Raw'!$J$6:$J$1634,$J189,'SALES Raw'!$K$6:$K$1634,"Y")</f>
        <v>192</v>
      </c>
      <c r="E189" s="8" t="n">
        <f aca="false">SUMIFS('SALES Raw'!$D$6:$D$1634,'SALES Raw'!$J$6:$J$1634,$J189,'SALES Raw'!$K$6:$K$1634,"Y")</f>
        <v>6420.15</v>
      </c>
      <c r="F189" s="8" t="n">
        <f aca="false">SUMIFS('SALES Raw'!$E$6:$E$1634,'SALES Raw'!$J$6:$J$1634,$J189,'SALES Raw'!$K$6:$K$1634,"Y")*$H$4</f>
        <v>108.631578947368</v>
      </c>
      <c r="G189" s="8" t="n">
        <f aca="false">SUMIFS('SALES Raw'!$F$6:$F$1634,'SALES Raw'!$J$6:$J$1634,$J189,'SALES Raw'!$K$6:$K$1634,"Y")*$H$4</f>
        <v>3652.88842105263</v>
      </c>
      <c r="H189" s="16" t="s">
        <v>44</v>
      </c>
      <c r="I189" s="16" t="s">
        <v>38</v>
      </c>
      <c r="J189" s="16" t="s">
        <v>91</v>
      </c>
    </row>
    <row r="190" customFormat="false" ht="15" hidden="false" customHeight="false" outlineLevel="0" collapsed="false">
      <c r="A190" s="16" t="n">
        <f aca="false">IF(ISNUMBER($J190),$J190,"")</f>
        <v>4413139</v>
      </c>
      <c r="B190" s="16" t="str">
        <f aca="false">IFERROR(INDEX('SALES Raw'!$B$6:$B$1634,MATCH($J190,'SALES Raw'!$J$6:$J$1634,0)),$J190)</f>
        <v>95 L</v>
      </c>
      <c r="C190" s="16" t="str">
        <f aca="false">IF(ISNUMBER($J190),IFERROR(INDEX('TRANS'!$C:$C,MATCH($J190,'TRANS'!$B:$B,0)),IFERROR(INDEX('Catalog'!$B:$B,MATCH($J190,'Catalog'!$A:$A,0)),$B190)),$B190)</f>
        <v>95 L מגן מרפק רגיל לבן</v>
      </c>
      <c r="D190" s="8" t="n">
        <f aca="false">SUMIFS('SALES Raw'!$C$6:$C$1634,'SALES Raw'!$J$6:$J$1634,$J190,'SALES Raw'!$K$6:$K$1634,"Y")</f>
        <v>161</v>
      </c>
      <c r="E190" s="8" t="n">
        <f aca="false">SUMIFS('SALES Raw'!$D$6:$D$1634,'SALES Raw'!$J$6:$J$1634,$J190,'SALES Raw'!$K$6:$K$1634,"Y")</f>
        <v>2057.15</v>
      </c>
      <c r="F190" s="8" t="n">
        <f aca="false">SUMIFS('SALES Raw'!$E$6:$E$1634,'SALES Raw'!$J$6:$J$1634,$J190,'SALES Raw'!$K$6:$K$1634,"Y")*$H$4</f>
        <v>103.578947368421</v>
      </c>
      <c r="G190" s="8" t="n">
        <f aca="false">SUMIFS('SALES Raw'!$F$6:$F$1634,'SALES Raw'!$J$6:$J$1634,$J190,'SALES Raw'!$K$6:$K$1634,"Y")*$H$4</f>
        <v>1194.84631578947</v>
      </c>
      <c r="H190" s="16" t="s">
        <v>30</v>
      </c>
      <c r="I190" s="16" t="s">
        <v>44</v>
      </c>
      <c r="J190" s="16" t="n">
        <v>4413139</v>
      </c>
    </row>
    <row r="191" customFormat="false" ht="15" hidden="false" customHeight="false" outlineLevel="0" collapsed="false">
      <c r="A191" s="16" t="n">
        <f aca="false">IF(ISNUMBER($J191),$J191,"")</f>
        <v>4413499</v>
      </c>
      <c r="B191" s="16" t="str">
        <f aca="false">IFERROR(INDEX('SALES Raw'!$B$6:$B$1634,MATCH($J191,'SALES Raw'!$J$6:$J$1634,0)),$J191)</f>
        <v>45B XXL</v>
      </c>
      <c r="C191" s="16" t="str">
        <f aca="false">IF(ISNUMBER($J191),IFERROR(INDEX('TRANS'!$C:$C,MATCH($J191,'TRANS'!$B:$B,0)),IFERROR(INDEX('Catalog'!$B:$B,MATCH($J191,'Catalog'!$A:$A,0)),$B191)),$B191)</f>
        <v>45B XXLמגן ברך שחור</v>
      </c>
      <c r="D191" s="8" t="n">
        <f aca="false">SUMIFS('SALES Raw'!$C$6:$C$1634,'SALES Raw'!$J$6:$J$1634,$J191,'SALES Raw'!$K$6:$K$1634,"Y")</f>
        <v>119</v>
      </c>
      <c r="E191" s="8" t="n">
        <f aca="false">SUMIFS('SALES Raw'!$D$6:$D$1634,'SALES Raw'!$J$6:$J$1634,$J191,'SALES Raw'!$K$6:$K$1634,"Y")</f>
        <v>1381.13</v>
      </c>
      <c r="F191" s="8" t="n">
        <f aca="false">SUMIFS('SALES Raw'!$E$6:$E$1634,'SALES Raw'!$J$6:$J$1634,$J191,'SALES Raw'!$K$6:$K$1634,"Y")*$H$4</f>
        <v>102.315789473684</v>
      </c>
      <c r="G191" s="8" t="n">
        <f aca="false">SUMIFS('SALES Raw'!$F$6:$F$1634,'SALES Raw'!$J$6:$J$1634,$J191,'SALES Raw'!$K$6:$K$1634,"Y")*$H$4</f>
        <v>1018.69894736842</v>
      </c>
      <c r="H191" s="16" t="s">
        <v>38</v>
      </c>
      <c r="I191" s="16" t="s">
        <v>37</v>
      </c>
      <c r="J191" s="16" t="n">
        <v>4413499</v>
      </c>
    </row>
    <row r="192" customFormat="false" ht="15" hidden="false" customHeight="false" outlineLevel="0" collapsed="false">
      <c r="A192" s="16" t="n">
        <f aca="false">IF(ISNUMBER($J192),$J192,"")</f>
        <v>4413364</v>
      </c>
      <c r="B192" s="16" t="str">
        <f aca="false">IFERROR(INDEX('SALES Raw'!$B$6:$B$1634,MATCH($J192,'SALES Raw'!$J$6:$J$1634,0)),$J192)</f>
        <v>95C M</v>
      </c>
      <c r="C192" s="16" t="str">
        <f aca="false">IF(ISNUMBER($J192),IFERROR(INDEX('TRANS'!$C:$C,MATCH($J192,'TRANS'!$B:$B,0)),IFERROR(INDEX('Catalog'!$B:$B,MATCH($J192,'Catalog'!$A:$A,0)),$B192)),$B192)</f>
        <v>95C M 'מגן מרפק בז</v>
      </c>
      <c r="D192" s="8" t="n">
        <f aca="false">SUMIFS('SALES Raw'!$C$6:$C$1634,'SALES Raw'!$J$6:$J$1634,$J192,'SALES Raw'!$K$6:$K$1634,"Y")</f>
        <v>176</v>
      </c>
      <c r="E192" s="8" t="n">
        <f aca="false">SUMIFS('SALES Raw'!$D$6:$D$1634,'SALES Raw'!$J$6:$J$1634,$J192,'SALES Raw'!$K$6:$K$1634,"Y")</f>
        <v>2539.8</v>
      </c>
      <c r="F192" s="8" t="n">
        <f aca="false">SUMIFS('SALES Raw'!$E$6:$E$1634,'SALES Raw'!$J$6:$J$1634,$J192,'SALES Raw'!$K$6:$K$1634,"Y")*$H$4</f>
        <v>101.052631578947</v>
      </c>
      <c r="G192" s="8" t="n">
        <f aca="false">SUMIFS('SALES Raw'!$F$6:$F$1634,'SALES Raw'!$J$6:$J$1634,$J192,'SALES Raw'!$K$6:$K$1634,"Y")*$H$4</f>
        <v>1321.22526315789</v>
      </c>
      <c r="H192" s="16" t="s">
        <v>30</v>
      </c>
      <c r="I192" s="16" t="s">
        <v>32</v>
      </c>
      <c r="J192" s="16" t="n">
        <v>4413364</v>
      </c>
    </row>
    <row r="193" customFormat="false" ht="15" hidden="false" customHeight="false" outlineLevel="0" collapsed="false">
      <c r="A193" s="16" t="n">
        <f aca="false">IF(ISNUMBER($J193),$J193,"")</f>
        <v>4413160</v>
      </c>
      <c r="B193" s="16" t="str">
        <f aca="false">IFERROR(INDEX('SALES Raw'!$B$6:$B$1634,MATCH($J193,'SALES Raw'!$J$6:$J$1634,0)),$J193)</f>
        <v>34+ M</v>
      </c>
      <c r="C193" s="16" t="str">
        <f aca="false">IF(ISNUMBER($J193),IFERROR(INDEX('TRANS'!$C:$C,MATCH($J193,'TRANS'!$B:$B,0)),IFERROR(INDEX('Catalog'!$B:$B,MATCH($J193,'Catalog'!$A:$A,0)),$B193)),$B193)</f>
        <v>34+ M מגן קרסול עקב סגור+רצוע</v>
      </c>
      <c r="D193" s="8" t="n">
        <f aca="false">SUMIFS('SALES Raw'!$C$6:$C$1634,'SALES Raw'!$J$6:$J$1634,$J193,'SALES Raw'!$K$6:$K$1634,"Y")</f>
        <v>98</v>
      </c>
      <c r="E193" s="8" t="n">
        <f aca="false">SUMIFS('SALES Raw'!$D$6:$D$1634,'SALES Raw'!$J$6:$J$1634,$J193,'SALES Raw'!$K$6:$K$1634,"Y")</f>
        <v>3088.84</v>
      </c>
      <c r="F193" s="8" t="n">
        <f aca="false">SUMIFS('SALES Raw'!$E$6:$E$1634,'SALES Raw'!$J$6:$J$1634,$J193,'SALES Raw'!$K$6:$K$1634,"Y")*$H$4</f>
        <v>101.052631578947</v>
      </c>
      <c r="G193" s="8" t="n">
        <f aca="false">SUMIFS('SALES Raw'!$F$6:$F$1634,'SALES Raw'!$J$6:$J$1634,$J193,'SALES Raw'!$K$6:$K$1634,"Y")*$H$4</f>
        <v>2863.80631578947</v>
      </c>
      <c r="H193" s="16" t="s">
        <v>42</v>
      </c>
      <c r="I193" s="16" t="s">
        <v>32</v>
      </c>
      <c r="J193" s="16" t="n">
        <v>4413160</v>
      </c>
    </row>
    <row r="194" customFormat="false" ht="15" hidden="false" customHeight="false" outlineLevel="0" collapsed="false">
      <c r="A194" s="16" t="n">
        <f aca="false">IF(ISNUMBER($J194),$J194,"")</f>
        <v>4413532</v>
      </c>
      <c r="B194" s="16" t="str">
        <f aca="false">IFERROR(INDEX('SALES Raw'!$B$6:$B$1634,MATCH($J194,'SALES Raw'!$J$6:$J$1634,0)),$J194)</f>
        <v>ST433 0</v>
      </c>
      <c r="C194" s="16" t="str">
        <f aca="false">IF(ISNUMBER($J194),IFERROR(INDEX('TRANS'!$C:$C,MATCH($J194,'TRANS'!$B:$B,0)),IFERROR(INDEX('Catalog'!$B:$B,MATCH($J194,'Catalog'!$A:$A,0)),$B194)),$B194)</f>
        <v>ST433 H מגן ברך עם ציר</v>
      </c>
      <c r="D194" s="8" t="n">
        <f aca="false">SUMIFS('SALES Raw'!$C$6:$C$1634,'SALES Raw'!$J$6:$J$1634,$J194,'SALES Raw'!$K$6:$K$1634,"Y")</f>
        <v>80</v>
      </c>
      <c r="E194" s="8" t="n">
        <f aca="false">SUMIFS('SALES Raw'!$D$6:$D$1634,'SALES Raw'!$J$6:$J$1634,$J194,'SALES Raw'!$K$6:$K$1634,"Y")</f>
        <v>5518.72</v>
      </c>
      <c r="F194" s="8" t="n">
        <f aca="false">SUMIFS('SALES Raw'!$E$6:$E$1634,'SALES Raw'!$J$6:$J$1634,$J194,'SALES Raw'!$K$6:$K$1634,"Y")*$H$4</f>
        <v>101.052631578947</v>
      </c>
      <c r="G194" s="8" t="n">
        <f aca="false">SUMIFS('SALES Raw'!$F$6:$F$1634,'SALES Raw'!$J$6:$J$1634,$J194,'SALES Raw'!$K$6:$K$1634,"Y")*$H$4</f>
        <v>6482.57684210526</v>
      </c>
      <c r="H194" s="16" t="s">
        <v>42</v>
      </c>
      <c r="I194" s="16" t="s">
        <v>37</v>
      </c>
      <c r="J194" s="16" t="n">
        <v>4413532</v>
      </c>
    </row>
    <row r="195" customFormat="false" ht="15" hidden="false" customHeight="false" outlineLevel="0" collapsed="false">
      <c r="A195" s="16" t="n">
        <f aca="false">IF(ISNUMBER($J195),$J195,"")</f>
        <v>4420027</v>
      </c>
      <c r="B195" s="16" t="str">
        <f aca="false">IFERROR(INDEX('SALES Raw'!$B$6:$B$1634,MATCH($J195,'SALES Raw'!$J$6:$J$1634,0)),$J195)</f>
        <v>370K 0</v>
      </c>
      <c r="C195" s="16" t="str">
        <f aca="false">IF(ISNUMBER($J195),IFERROR(INDEX('TRANS'!$C:$C,MATCH($J195,'TRANS'!$B:$B,0)),IFERROR(INDEX('Catalog'!$B:$B,MATCH($J195,'Catalog'!$A:$A,0)),$B195)),$B195)</f>
        <v>370K 0 רפידת לילדים אנטי ריח</v>
      </c>
      <c r="D195" s="8" t="n">
        <f aca="false">SUMIFS('SALES Raw'!$C$6:$C$1634,'SALES Raw'!$J$6:$J$1634,$J195,'SALES Raw'!$K$6:$K$1634,"Y")</f>
        <v>45</v>
      </c>
      <c r="E195" s="8" t="n">
        <f aca="false">SUMIFS('SALES Raw'!$D$6:$D$1634,'SALES Raw'!$J$6:$J$1634,$J195,'SALES Raw'!$K$6:$K$1634,"Y")</f>
        <v>291.19</v>
      </c>
      <c r="F195" s="8" t="n">
        <f aca="false">SUMIFS('SALES Raw'!$E$6:$E$1634,'SALES Raw'!$J$6:$J$1634,$J195,'SALES Raw'!$K$6:$K$1634,"Y")*$H$4</f>
        <v>101.052631578947</v>
      </c>
      <c r="G195" s="8" t="n">
        <f aca="false">SUMIFS('SALES Raw'!$F$6:$F$1634,'SALES Raw'!$J$6:$J$1634,$J195,'SALES Raw'!$K$6:$K$1634,"Y")*$H$4</f>
        <v>601.212631578947</v>
      </c>
      <c r="H195" s="16" t="s">
        <v>38</v>
      </c>
      <c r="I195" s="16"/>
      <c r="J195" s="16" t="n">
        <v>4420027</v>
      </c>
    </row>
    <row r="196" customFormat="false" ht="15" hidden="false" customHeight="false" outlineLevel="0" collapsed="false">
      <c r="A196" s="16" t="n">
        <f aca="false">IF(ISNUMBER($J196),$J196,"")</f>
        <v>4408035</v>
      </c>
      <c r="B196" s="16" t="str">
        <f aca="false">IFERROR(INDEX('SALES Raw'!$B$6:$B$1634,MATCH($J196,'SALES Raw'!$J$6:$J$1634,0)),$J196)</f>
        <v>11 XXL</v>
      </c>
      <c r="C196" s="16" t="str">
        <f aca="false">IF(ISNUMBER($J196),IFERROR(INDEX('TRANS'!$C:$C,MATCH($J196,'TRANS'!$B:$B,0)),IFERROR(INDEX('Catalog'!$B:$B,MATCH($J196,'Catalog'!$A:$A,0)),$B196)),$B196)</f>
        <v>11 XXL""""חגורת בטן""""אורירית</v>
      </c>
      <c r="D196" s="8" t="n">
        <f aca="false">SUMIFS('SALES Raw'!$C$6:$C$1634,'SALES Raw'!$J$6:$J$1634,$J196,'SALES Raw'!$K$6:$K$1634,"Y")</f>
        <v>66</v>
      </c>
      <c r="E196" s="8" t="n">
        <f aca="false">SUMIFS('SALES Raw'!$D$6:$D$1634,'SALES Raw'!$J$6:$J$1634,$J196,'SALES Raw'!$K$6:$K$1634,"Y")</f>
        <v>2978.61</v>
      </c>
      <c r="F196" s="8" t="n">
        <f aca="false">SUMIFS('SALES Raw'!$E$6:$E$1634,'SALES Raw'!$J$6:$J$1634,$J196,'SALES Raw'!$K$6:$K$1634,"Y")*$H$4</f>
        <v>101.052631578947</v>
      </c>
      <c r="G196" s="8" t="n">
        <f aca="false">SUMIFS('SALES Raw'!$F$6:$F$1634,'SALES Raw'!$J$6:$J$1634,$J196,'SALES Raw'!$K$6:$K$1634,"Y")*$H$4</f>
        <v>4369.28842105263</v>
      </c>
      <c r="H196" s="16" t="s">
        <v>36</v>
      </c>
      <c r="I196" s="16" t="s">
        <v>32</v>
      </c>
      <c r="J196" s="16" t="n">
        <v>4408035</v>
      </c>
    </row>
    <row r="197" customFormat="false" ht="15" hidden="false" customHeight="false" outlineLevel="0" collapsed="false">
      <c r="A197" s="16" t="str">
        <f aca="false">IF(ISNUMBER($J197),$J197,"")</f>
        <v/>
      </c>
      <c r="B197" s="16" t="str">
        <f aca="false">IFERROR(INDEX('SALES Raw'!$B$6:$B$1634,MATCH($J197,'SALES Raw'!$J$6:$J$1634,0)),$J197)</f>
        <v>38L 0</v>
      </c>
      <c r="C197" s="16" t="str">
        <f aca="false">IF(ISNUMBER($J197),IFERROR(INDEX('TRANS'!$C:$C,MATCH($J197,'TRANS'!$B:$B,0)),IFERROR(INDEX('Catalog'!$B:$B,MATCH($J197,'Catalog'!$A:$A,0)),$B197)),$B197)</f>
        <v>38L 0</v>
      </c>
      <c r="D197" s="8" t="n">
        <f aca="false">SUMIFS('SALES Raw'!$C$6:$C$1634,'SALES Raw'!$J$6:$J$1634,$J197,'SALES Raw'!$K$6:$K$1634,"Y")</f>
        <v>60</v>
      </c>
      <c r="E197" s="8" t="n">
        <f aca="false">SUMIFS('SALES Raw'!$D$6:$D$1634,'SALES Raw'!$J$6:$J$1634,$J197,'SALES Raw'!$K$6:$K$1634,"Y")</f>
        <v>1931.87</v>
      </c>
      <c r="F197" s="8" t="n">
        <f aca="false">SUMIFS('SALES Raw'!$E$6:$E$1634,'SALES Raw'!$J$6:$J$1634,$J197,'SALES Raw'!$K$6:$K$1634,"Y")*$H$4</f>
        <v>99.7894736842105</v>
      </c>
      <c r="G197" s="8" t="n">
        <f aca="false">SUMIFS('SALES Raw'!$F$6:$F$1634,'SALES Raw'!$J$6:$J$1634,$J197,'SALES Raw'!$K$6:$K$1634,"Y")*$H$4</f>
        <v>3017.62105263158</v>
      </c>
      <c r="H197" s="16" t="s">
        <v>36</v>
      </c>
      <c r="I197" s="16"/>
      <c r="J197" s="16" t="s">
        <v>92</v>
      </c>
    </row>
    <row r="198" customFormat="false" ht="15" hidden="false" customHeight="false" outlineLevel="0" collapsed="false">
      <c r="A198" s="16" t="n">
        <f aca="false">IF(ISNUMBER($J198),$J198,"")</f>
        <v>4413034</v>
      </c>
      <c r="B198" s="16" t="str">
        <f aca="false">IFERROR(INDEX('SALES Raw'!$B$6:$B$1634,MATCH($J198,'SALES Raw'!$J$6:$J$1634,0)),$J198)</f>
        <v>312 0</v>
      </c>
      <c r="C198" s="16" t="str">
        <f aca="false">IF(ISNUMBER($J198),IFERROR(INDEX('TRANS'!$C:$C,MATCH($J198,'TRANS'!$B:$B,0)),IFERROR(INDEX('Catalog'!$B:$B,MATCH($J198,'Catalog'!$A:$A,0)),$B198)),$B198)</f>
        <v>312 9 מ""""ס להתאמהX5 מדבקה גדולה</v>
      </c>
      <c r="D198" s="8" t="n">
        <f aca="false">SUMIFS('SALES Raw'!$C$6:$C$1634,'SALES Raw'!$J$6:$J$1634,$J198,'SALES Raw'!$K$6:$K$1634,"Y")</f>
        <v>261</v>
      </c>
      <c r="E198" s="8" t="n">
        <f aca="false">SUMIFS('SALES Raw'!$D$6:$D$1634,'SALES Raw'!$J$6:$J$1634,$J198,'SALES Raw'!$K$6:$K$1634,"Y")</f>
        <v>2037.38</v>
      </c>
      <c r="F198" s="8" t="n">
        <f aca="false">SUMIFS('SALES Raw'!$E$6:$E$1634,'SALES Raw'!$J$6:$J$1634,$J198,'SALES Raw'!$K$6:$K$1634,"Y")*$H$4</f>
        <v>98.5263157894737</v>
      </c>
      <c r="G198" s="8" t="n">
        <f aca="false">SUMIFS('SALES Raw'!$F$6:$F$1634,'SALES Raw'!$J$6:$J$1634,$J198,'SALES Raw'!$K$6:$K$1634,"Y")*$H$4</f>
        <v>695.077894736842</v>
      </c>
      <c r="H198" s="16" t="s">
        <v>31</v>
      </c>
      <c r="I198" s="16" t="s">
        <v>34</v>
      </c>
      <c r="J198" s="16" t="n">
        <v>4413034</v>
      </c>
    </row>
    <row r="199" customFormat="false" ht="15" hidden="false" customHeight="false" outlineLevel="0" collapsed="false">
      <c r="A199" s="16" t="n">
        <f aca="false">IF(ISNUMBER($J199),$J199,"")</f>
        <v>4409014</v>
      </c>
      <c r="B199" s="16" t="str">
        <f aca="false">IFERROR(INDEX('SALES Raw'!$B$6:$B$1634,MATCH($J199,'SALES Raw'!$J$6:$J$1634,0)),$J199)</f>
        <v>808KT-P</v>
      </c>
      <c r="C199" s="16" t="str">
        <f aca="false">IF(ISNUMBER($J199),IFERROR(INDEX('TRANS'!$C:$C,MATCH($J199,'TRANS'!$B:$B,0)),IFERROR(INDEX('Catalog'!$B:$B,MATCH($J199,'Catalog'!$A:$A,0)),$B199)),$B199)</f>
        <v>808KT-P        טייפ קינזיולוגי</v>
      </c>
      <c r="D199" s="8" t="n">
        <f aca="false">SUMIFS('SALES Raw'!$C$6:$C$1634,'SALES Raw'!$J$6:$J$1634,$J199,'SALES Raw'!$K$6:$K$1634,"Y")</f>
        <v>564</v>
      </c>
      <c r="E199" s="8" t="n">
        <f aca="false">SUMIFS('SALES Raw'!$D$6:$D$1634,'SALES Raw'!$J$6:$J$1634,$J199,'SALES Raw'!$K$6:$K$1634,"Y")</f>
        <v>9297.32</v>
      </c>
      <c r="F199" s="8" t="n">
        <f aca="false">SUMIFS('SALES Raw'!$E$6:$E$1634,'SALES Raw'!$J$6:$J$1634,$J199,'SALES Raw'!$K$6:$K$1634,"Y")*$H$4</f>
        <v>98.5263157894737</v>
      </c>
      <c r="G199" s="8" t="n">
        <f aca="false">SUMIFS('SALES Raw'!$F$6:$F$1634,'SALES Raw'!$J$6:$J$1634,$J199,'SALES Raw'!$K$6:$K$1634,"Y")*$H$4</f>
        <v>1171.52842105263</v>
      </c>
      <c r="H199" s="16" t="s">
        <v>44</v>
      </c>
      <c r="I199" s="16" t="s">
        <v>38</v>
      </c>
      <c r="J199" s="16" t="n">
        <v>4409014</v>
      </c>
    </row>
    <row r="200" customFormat="false" ht="15" hidden="false" customHeight="false" outlineLevel="0" collapsed="false">
      <c r="A200" s="16" t="n">
        <f aca="false">IF(ISNUMBER($J200),$J200,"")</f>
        <v>4408222</v>
      </c>
      <c r="B200" s="16" t="str">
        <f aca="false">IFERROR(INDEX('SALES Raw'!$B$6:$B$1634,MATCH($J200,'SALES Raw'!$J$6:$J$1634,0)),$J200)</f>
        <v>078G XL</v>
      </c>
      <c r="C200" s="16" t="str">
        <f aca="false">IF(ISNUMBER($J200),IFERROR(INDEX('TRANS'!$C:$C,MATCH($J200,'TRANS'!$B:$B,0)),IFERROR(INDEX('Catalog'!$B:$B,MATCH($J200,'Catalog'!$A:$A,0)),$B200)),$B200)</f>
        <v>078G-XLחגורת גב אפורה</v>
      </c>
      <c r="D200" s="8" t="n">
        <f aca="false">SUMIFS('SALES Raw'!$C$6:$C$1634,'SALES Raw'!$J$6:$J$1634,$J200,'SALES Raw'!$K$6:$K$1634,"Y")</f>
        <v>180</v>
      </c>
      <c r="E200" s="8" t="n">
        <f aca="false">SUMIFS('SALES Raw'!$D$6:$D$1634,'SALES Raw'!$J$6:$J$1634,$J200,'SALES Raw'!$K$6:$K$1634,"Y")</f>
        <v>12499.21</v>
      </c>
      <c r="F200" s="8" t="n">
        <f aca="false">SUMIFS('SALES Raw'!$E$6:$E$1634,'SALES Raw'!$J$6:$J$1634,$J200,'SALES Raw'!$K$6:$K$1634,"Y")*$H$4</f>
        <v>96</v>
      </c>
      <c r="G200" s="8" t="n">
        <f aca="false">SUMIFS('SALES Raw'!$F$6:$F$1634,'SALES Raw'!$J$6:$J$1634,$J200,'SALES Raw'!$K$6:$K$1634,"Y")*$H$4</f>
        <v>5960.98105263158</v>
      </c>
      <c r="H200" s="16" t="s">
        <v>30</v>
      </c>
      <c r="I200" s="16" t="s">
        <v>37</v>
      </c>
      <c r="J200" s="16" t="n">
        <v>4408222</v>
      </c>
    </row>
    <row r="201" customFormat="false" ht="15" hidden="false" customHeight="false" outlineLevel="0" collapsed="false">
      <c r="A201" s="16" t="n">
        <f aca="false">IF(ISNUMBER($J201),$J201,"")</f>
        <v>4411031</v>
      </c>
      <c r="B201" s="16" t="str">
        <f aca="false">IFERROR(INDEX('SALES Raw'!$B$6:$B$1634,MATCH($J201,'SALES Raw'!$J$6:$J$1634,0)),$J201)</f>
        <v>213CTSR S</v>
      </c>
      <c r="C201" s="16" t="str">
        <f aca="false">IF(ISNUMBER($J201),IFERROR(INDEX('TRANS'!$C:$C,MATCH($J201,'TRANS'!$B:$B,0)),IFERROR(INDEX('Catalog'!$B:$B,MATCH($J201,'Catalog'!$A:$A,0)),$B201)),$B201)</f>
        <v>213CTS  S ימין CTS כפפות</v>
      </c>
      <c r="D201" s="8" t="n">
        <f aca="false">SUMIFS('SALES Raw'!$C$6:$C$1634,'SALES Raw'!$J$6:$J$1634,$J201,'SALES Raw'!$K$6:$K$1634,"Y")</f>
        <v>35</v>
      </c>
      <c r="E201" s="8" t="n">
        <f aca="false">SUMIFS('SALES Raw'!$D$6:$D$1634,'SALES Raw'!$J$6:$J$1634,$J201,'SALES Raw'!$K$6:$K$1634,"Y")</f>
        <v>1393.49</v>
      </c>
      <c r="F201" s="8" t="n">
        <f aca="false">SUMIFS('SALES Raw'!$E$6:$E$1634,'SALES Raw'!$J$6:$J$1634,$J201,'SALES Raw'!$K$6:$K$1634,"Y")*$H$4</f>
        <v>94.7368421052632</v>
      </c>
      <c r="G201" s="8" t="n">
        <f aca="false">SUMIFS('SALES Raw'!$F$6:$F$1634,'SALES Raw'!$J$6:$J$1634,$J201,'SALES Raw'!$K$6:$K$1634,"Y")*$H$4</f>
        <v>3836.67789473684</v>
      </c>
      <c r="H201" s="16" t="s">
        <v>36</v>
      </c>
      <c r="I201" s="16" t="s">
        <v>44</v>
      </c>
      <c r="J201" s="16" t="n">
        <v>4411031</v>
      </c>
    </row>
    <row r="202" customFormat="false" ht="15" hidden="false" customHeight="false" outlineLevel="0" collapsed="false">
      <c r="A202" s="16" t="str">
        <f aca="false">IF(ISNUMBER($J202),$J202,"")</f>
        <v/>
      </c>
      <c r="B202" s="16" t="str">
        <f aca="false">IFERROR(INDEX('SALES Raw'!$B$6:$B$1634,MATCH($J202,'SALES Raw'!$J$6:$J$1634,0)),$J202)</f>
        <v>43BD M</v>
      </c>
      <c r="C202" s="16" t="str">
        <f aca="false">IF(ISNUMBER($J202),IFERROR(INDEX('TRANS'!$C:$C,MATCH($J202,'TRANS'!$B:$B,0)),IFERROR(INDEX('Catalog'!$B:$B,MATCH($J202,'Catalog'!$A:$A,0)),$B202)),$B202)</f>
        <v>43BD M</v>
      </c>
      <c r="D202" s="8" t="n">
        <f aca="false">SUMIFS('SALES Raw'!$C$6:$C$1634,'SALES Raw'!$J$6:$J$1634,$J202,'SALES Raw'!$K$6:$K$1634,"Y")</f>
        <v>20</v>
      </c>
      <c r="E202" s="8" t="n">
        <f aca="false">SUMIFS('SALES Raw'!$D$6:$D$1634,'SALES Raw'!$J$6:$J$1634,$J202,'SALES Raw'!$K$6:$K$1634,"Y")</f>
        <v>1693.14</v>
      </c>
      <c r="F202" s="8" t="n">
        <f aca="false">SUMIFS('SALES Raw'!$E$6:$E$1634,'SALES Raw'!$J$6:$J$1634,$J202,'SALES Raw'!$K$6:$K$1634,"Y")*$H$4</f>
        <v>94.7368421052632</v>
      </c>
      <c r="G202" s="8" t="n">
        <f aca="false">SUMIFS('SALES Raw'!$F$6:$F$1634,'SALES Raw'!$J$6:$J$1634,$J202,'SALES Raw'!$K$6:$K$1634,"Y")*$H$4</f>
        <v>8513.86105263158</v>
      </c>
      <c r="H202" s="16" t="s">
        <v>42</v>
      </c>
      <c r="I202" s="16"/>
      <c r="J202" s="16" t="s">
        <v>93</v>
      </c>
    </row>
    <row r="203" customFormat="false" ht="15" hidden="false" customHeight="false" outlineLevel="0" collapsed="false">
      <c r="A203" s="16" t="str">
        <f aca="false">IF(ISNUMBER($J203),$J203,"")</f>
        <v/>
      </c>
      <c r="B203" s="16" t="str">
        <f aca="false">IFERROR(INDEX('SALES Raw'!$B$6:$B$1634,MATCH($J203,'SALES Raw'!$J$6:$J$1634,0)),$J203)</f>
        <v>239P-S-M</v>
      </c>
      <c r="C203" s="16" t="str">
        <f aca="false">IF(ISNUMBER($J203),IFERROR(INDEX('TRANS'!$C:$C,MATCH($J203,'TRANS'!$B:$B,0)),IFERROR(INDEX('Catalog'!$B:$B,MATCH($J203,'Catalog'!$A:$A,0)),$B203)),$B203)</f>
        <v>239P-S-M</v>
      </c>
      <c r="D203" s="8" t="n">
        <f aca="false">SUMIFS('SALES Raw'!$C$6:$C$1634,'SALES Raw'!$J$6:$J$1634,$J203,'SALES Raw'!$K$6:$K$1634,"Y")</f>
        <v>25</v>
      </c>
      <c r="E203" s="8" t="n">
        <f aca="false">SUMIFS('SALES Raw'!$D$6:$D$1634,'SALES Raw'!$J$6:$J$1634,$J203,'SALES Raw'!$K$6:$K$1634,"Y")</f>
        <v>389.38</v>
      </c>
      <c r="F203" s="8" t="n">
        <f aca="false">SUMIFS('SALES Raw'!$E$6:$E$1634,'SALES Raw'!$J$6:$J$1634,$J203,'SALES Raw'!$K$6:$K$1634,"Y")*$H$4</f>
        <v>89.6842105263158</v>
      </c>
      <c r="G203" s="8" t="n">
        <f aca="false">SUMIFS('SALES Raw'!$F$6:$F$1634,'SALES Raw'!$J$6:$J$1634,$J203,'SALES Raw'!$K$6:$K$1634,"Y")*$H$4</f>
        <v>928.433684210526</v>
      </c>
      <c r="H203" s="16" t="s">
        <v>42</v>
      </c>
      <c r="I203" s="16" t="s">
        <v>44</v>
      </c>
      <c r="J203" s="16" t="s">
        <v>94</v>
      </c>
    </row>
    <row r="204" customFormat="false" ht="15" hidden="false" customHeight="false" outlineLevel="0" collapsed="false">
      <c r="A204" s="16" t="n">
        <f aca="false">IF(ISNUMBER($J204),$J204,"")</f>
        <v>4413141</v>
      </c>
      <c r="B204" s="16" t="str">
        <f aca="false">IFERROR(INDEX('SALES Raw'!$B$6:$B$1634,MATCH($J204,'SALES Raw'!$J$6:$J$1634,0)),$J204)</f>
        <v>95 S</v>
      </c>
      <c r="C204" s="16" t="str">
        <f aca="false">IF(ISNUMBER($J204),IFERROR(INDEX('TRANS'!$C:$C,MATCH($J204,'TRANS'!$B:$B,0)),IFERROR(INDEX('Catalog'!$B:$B,MATCH($J204,'Catalog'!$A:$A,0)),$B204)),$B204)</f>
        <v>95 S מגן מרפק רגיל לבן</v>
      </c>
      <c r="D204" s="8" t="n">
        <f aca="false">SUMIFS('SALES Raw'!$C$6:$C$1634,'SALES Raw'!$J$6:$J$1634,$J204,'SALES Raw'!$K$6:$K$1634,"Y")</f>
        <v>196</v>
      </c>
      <c r="E204" s="8" t="n">
        <f aca="false">SUMIFS('SALES Raw'!$D$6:$D$1634,'SALES Raw'!$J$6:$J$1634,$J204,'SALES Raw'!$K$6:$K$1634,"Y")</f>
        <v>2436.38</v>
      </c>
      <c r="F204" s="8" t="n">
        <f aca="false">SUMIFS('SALES Raw'!$E$6:$E$1634,'SALES Raw'!$J$6:$J$1634,$J204,'SALES Raw'!$K$6:$K$1634,"Y")*$H$4</f>
        <v>88.421052631579</v>
      </c>
      <c r="G204" s="8" t="n">
        <f aca="false">SUMIFS('SALES Raw'!$F$6:$F$1634,'SALES Raw'!$J$6:$J$1634,$J204,'SALES Raw'!$K$6:$K$1634,"Y")*$H$4</f>
        <v>980.665263157895</v>
      </c>
      <c r="H204" s="16" t="s">
        <v>44</v>
      </c>
      <c r="I204" s="16" t="s">
        <v>30</v>
      </c>
      <c r="J204" s="16" t="n">
        <v>4413141</v>
      </c>
    </row>
    <row r="205" customFormat="false" ht="15" hidden="false" customHeight="false" outlineLevel="0" collapsed="false">
      <c r="A205" s="16" t="n">
        <f aca="false">IF(ISNUMBER($J205),$J205,"")</f>
        <v>4413276</v>
      </c>
      <c r="B205" s="16" t="str">
        <f aca="false">IFERROR(INDEX('SALES Raw'!$B$6:$B$1634,MATCH($J205,'SALES Raw'!$J$6:$J$1634,0)),$J205)</f>
        <v>LF377 L</v>
      </c>
      <c r="C205" s="16" t="str">
        <f aca="false">IF(ISNUMBER($J205),IFERROR(INDEX('TRANS'!$C:$C,MATCH($J205,'TRANS'!$B:$B,0)),IFERROR(INDEX('Catalog'!$B:$B,MATCH($J205,'Catalog'!$A:$A,0)),$B205)),$B205)</f>
        <v>LF377 L-מדרס סיליקון לנעלי עקב</v>
      </c>
      <c r="D205" s="8" t="n">
        <f aca="false">SUMIFS('SALES Raw'!$C$6:$C$1634,'SALES Raw'!$J$6:$J$1634,$J205,'SALES Raw'!$K$6:$K$1634,"Y")</f>
        <v>92</v>
      </c>
      <c r="E205" s="8" t="n">
        <f aca="false">SUMIFS('SALES Raw'!$D$6:$D$1634,'SALES Raw'!$J$6:$J$1634,$J205,'SALES Raw'!$K$6:$K$1634,"Y")</f>
        <v>2237.36</v>
      </c>
      <c r="F205" s="8" t="n">
        <f aca="false">SUMIFS('SALES Raw'!$E$6:$E$1634,'SALES Raw'!$J$6:$J$1634,$J205,'SALES Raw'!$K$6:$K$1634,"Y")*$H$4</f>
        <v>88.421052631579</v>
      </c>
      <c r="G205" s="8" t="n">
        <f aca="false">SUMIFS('SALES Raw'!$F$6:$F$1634,'SALES Raw'!$J$6:$J$1634,$J205,'SALES Raw'!$K$6:$K$1634,"Y")*$H$4</f>
        <v>1901.39368421053</v>
      </c>
      <c r="H205" s="16" t="s">
        <v>30</v>
      </c>
      <c r="I205" s="16" t="s">
        <v>32</v>
      </c>
      <c r="J205" s="16" t="n">
        <v>4413276</v>
      </c>
    </row>
    <row r="206" customFormat="false" ht="15" hidden="false" customHeight="false" outlineLevel="0" collapsed="false">
      <c r="A206" s="16" t="n">
        <f aca="false">IF(ISNUMBER($J206),$J206,"")</f>
        <v>4401012</v>
      </c>
      <c r="B206" s="16" t="str">
        <f aca="false">IFERROR(INDEX('SALES Raw'!$B$6:$B$1634,MATCH($J206,'SALES Raw'!$J$6:$J$1634,0)),$J206)</f>
        <v>805AT-B</v>
      </c>
      <c r="C206" s="16" t="str">
        <f aca="false">IF(ISNUMBER($J206),IFERROR(INDEX('TRANS'!$C:$C,MATCH($J206,'TRANS'!$B:$B,0)),IFERROR(INDEX('Catalog'!$B:$B,MATCH($J206,'Catalog'!$A:$A,0)),$B206)),$B206)</f>
        <v>805AT-B אתלטיק טייפ שחור 20מ""""מ</v>
      </c>
      <c r="D206" s="8" t="n">
        <f aca="false">SUMIFS('SALES Raw'!$C$6:$C$1634,'SALES Raw'!$J$6:$J$1634,$J206,'SALES Raw'!$K$6:$K$1634,"Y")</f>
        <v>88</v>
      </c>
      <c r="E206" s="8" t="n">
        <f aca="false">SUMIFS('SALES Raw'!$D$6:$D$1634,'SALES Raw'!$J$6:$J$1634,$J206,'SALES Raw'!$K$6:$K$1634,"Y")</f>
        <v>828.61</v>
      </c>
      <c r="F206" s="8" t="n">
        <f aca="false">SUMIFS('SALES Raw'!$E$6:$E$1634,'SALES Raw'!$J$6:$J$1634,$J206,'SALES Raw'!$K$6:$K$1634,"Y")*$H$4</f>
        <v>88.421052631579</v>
      </c>
      <c r="G206" s="8" t="n">
        <f aca="false">SUMIFS('SALES Raw'!$F$6:$F$1634,'SALES Raw'!$J$6:$J$1634,$J206,'SALES Raw'!$K$6:$K$1634,"Y")*$H$4</f>
        <v>704.791578947368</v>
      </c>
      <c r="H206" s="16" t="s">
        <v>38</v>
      </c>
      <c r="I206" s="16" t="s">
        <v>32</v>
      </c>
      <c r="J206" s="16" t="n">
        <v>4401012</v>
      </c>
    </row>
    <row r="207" customFormat="false" ht="15" hidden="false" customHeight="false" outlineLevel="0" collapsed="false">
      <c r="A207" s="16" t="n">
        <f aca="false">IF(ISNUMBER($J207),$J207,"")</f>
        <v>4415007</v>
      </c>
      <c r="B207" s="16" t="str">
        <f aca="false">IFERROR(INDEX('SALES Raw'!$B$6:$B$1634,MATCH($J207,'SALES Raw'!$J$6:$J$1634,0)),$J207)</f>
        <v>28 S</v>
      </c>
      <c r="C207" s="16" t="str">
        <f aca="false">IF(ISNUMBER($J207),IFERROR(INDEX('TRANS'!$C:$C,MATCH($J207,'TRANS'!$B:$B,0)),IFERROR(INDEX('Catalog'!$B:$B,MATCH($J207,'Catalog'!$A:$A,0)),$B207)),$B207)</f>
        <v>28 S סד לאגודל לאחר שבר</v>
      </c>
      <c r="D207" s="8" t="n">
        <f aca="false">SUMIFS('SALES Raw'!$C$6:$C$1634,'SALES Raw'!$J$6:$J$1634,$J207,'SALES Raw'!$K$6:$K$1634,"Y")</f>
        <v>49</v>
      </c>
      <c r="E207" s="8" t="n">
        <f aca="false">SUMIFS('SALES Raw'!$D$6:$D$1634,'SALES Raw'!$J$6:$J$1634,$J207,'SALES Raw'!$K$6:$K$1634,"Y")</f>
        <v>1803.87</v>
      </c>
      <c r="F207" s="8" t="n">
        <f aca="false">SUMIFS('SALES Raw'!$E$6:$E$1634,'SALES Raw'!$J$6:$J$1634,$J207,'SALES Raw'!$K$6:$K$1634,"Y")*$H$4</f>
        <v>85.8947368421053</v>
      </c>
      <c r="G207" s="8" t="n">
        <f aca="false">SUMIFS('SALES Raw'!$F$6:$F$1634,'SALES Raw'!$J$6:$J$1634,$J207,'SALES Raw'!$K$6:$K$1634,"Y")*$H$4</f>
        <v>2838.53052631579</v>
      </c>
      <c r="H207" s="16" t="s">
        <v>38</v>
      </c>
      <c r="I207" s="16" t="s">
        <v>32</v>
      </c>
      <c r="J207" s="16" t="n">
        <v>4415007</v>
      </c>
    </row>
    <row r="208" customFormat="false" ht="15" hidden="false" customHeight="false" outlineLevel="0" collapsed="false">
      <c r="A208" s="16" t="str">
        <f aca="false">IF(ISNUMBER($J208),$J208,"")</f>
        <v/>
      </c>
      <c r="B208" s="16" t="str">
        <f aca="false">IFERROR(INDEX('SALES Raw'!$B$6:$B$1634,MATCH($J208,'SALES Raw'!$J$6:$J$1634,0)),$J208)</f>
        <v>T43V XL</v>
      </c>
      <c r="C208" s="16" t="str">
        <f aca="false">IF(ISNUMBER($J208),IFERROR(INDEX('TRANS'!$C:$C,MATCH($J208,'TRANS'!$B:$B,0)),IFERROR(INDEX('Catalog'!$B:$B,MATCH($J208,'Catalog'!$A:$A,0)),$B208)),$B208)</f>
        <v>T43V XL</v>
      </c>
      <c r="D208" s="8" t="n">
        <f aca="false">SUMIFS('SALES Raw'!$C$6:$C$1634,'SALES Raw'!$J$6:$J$1634,$J208,'SALES Raw'!$K$6:$K$1634,"Y")</f>
        <v>156</v>
      </c>
      <c r="E208" s="8" t="n">
        <f aca="false">SUMIFS('SALES Raw'!$D$6:$D$1634,'SALES Raw'!$J$6:$J$1634,$J208,'SALES Raw'!$K$6:$K$1634,"Y")</f>
        <v>19580.51</v>
      </c>
      <c r="F208" s="8" t="n">
        <f aca="false">SUMIFS('SALES Raw'!$E$6:$E$1634,'SALES Raw'!$J$6:$J$1634,$J208,'SALES Raw'!$K$6:$K$1634,"Y")*$H$4</f>
        <v>83.3684210526316</v>
      </c>
      <c r="G208" s="8" t="n">
        <f aca="false">SUMIFS('SALES Raw'!$F$6:$F$1634,'SALES Raw'!$J$6:$J$1634,$J208,'SALES Raw'!$K$6:$K$1634,"Y")*$H$4</f>
        <v>9730.95157894737</v>
      </c>
      <c r="H208" s="16" t="s">
        <v>36</v>
      </c>
      <c r="I208" s="16"/>
      <c r="J208" s="16" t="s">
        <v>95</v>
      </c>
    </row>
    <row r="209" customFormat="false" ht="15" hidden="false" customHeight="false" outlineLevel="0" collapsed="false">
      <c r="A209" s="16" t="str">
        <f aca="false">IF(ISNUMBER($J209),$J209,"")</f>
        <v/>
      </c>
      <c r="B209" s="16" t="str">
        <f aca="false">IFERROR(INDEX('SALES Raw'!$B$6:$B$1634,MATCH($J209,'SALES Raw'!$J$6:$J$1634,0)),$J209)</f>
        <v>T43V XXL</v>
      </c>
      <c r="C209" s="16" t="str">
        <f aca="false">IF(ISNUMBER($J209),IFERROR(INDEX('TRANS'!$C:$C,MATCH($J209,'TRANS'!$B:$B,0)),IFERROR(INDEX('Catalog'!$B:$B,MATCH($J209,'Catalog'!$A:$A,0)),$B209)),$B209)</f>
        <v>T43V XXL</v>
      </c>
      <c r="D209" s="8" t="n">
        <f aca="false">SUMIFS('SALES Raw'!$C$6:$C$1634,'SALES Raw'!$J$6:$J$1634,$J209,'SALES Raw'!$K$6:$K$1634,"Y")</f>
        <v>132</v>
      </c>
      <c r="E209" s="8" t="n">
        <f aca="false">SUMIFS('SALES Raw'!$D$6:$D$1634,'SALES Raw'!$J$6:$J$1634,$J209,'SALES Raw'!$K$6:$K$1634,"Y")</f>
        <v>16148.34</v>
      </c>
      <c r="F209" s="8" t="n">
        <f aca="false">SUMIFS('SALES Raw'!$E$6:$E$1634,'SALES Raw'!$J$6:$J$1634,$J209,'SALES Raw'!$K$6:$K$1634,"Y")*$H$4</f>
        <v>83.3684210526316</v>
      </c>
      <c r="G209" s="8" t="n">
        <f aca="false">SUMIFS('SALES Raw'!$F$6:$F$1634,'SALES Raw'!$J$6:$J$1634,$J209,'SALES Raw'!$K$6:$K$1634,"Y")*$H$4</f>
        <v>9693.32210526316</v>
      </c>
      <c r="H209" s="16" t="s">
        <v>36</v>
      </c>
      <c r="I209" s="16"/>
      <c r="J209" s="16" t="s">
        <v>96</v>
      </c>
    </row>
    <row r="210" customFormat="false" ht="15" hidden="false" customHeight="false" outlineLevel="0" collapsed="false">
      <c r="A210" s="16" t="n">
        <f aca="false">IF(ISNUMBER($J210),$J210,"")</f>
        <v>4415072</v>
      </c>
      <c r="B210" s="16" t="str">
        <f aca="false">IFERROR(INDEX('SALES Raw'!$B$6:$B$1634,MATCH($J210,'SALES Raw'!$J$6:$J$1634,0)),$J210)</f>
        <v>T28A-S-M</v>
      </c>
      <c r="C210" s="16" t="str">
        <f aca="false">IF(ISNUMBER($J210),IFERROR(INDEX('TRANS'!$C:$C,MATCH($J210,'TRANS'!$B:$B,0)),IFERROR(INDEX('Catalog'!$B:$B,MATCH($J210,'Catalog'!$A:$A,0)),$B210)),$B210)</f>
        <v>T28A S-M סד לאגודל</v>
      </c>
      <c r="D210" s="8" t="n">
        <f aca="false">SUMIFS('SALES Raw'!$C$6:$C$1634,'SALES Raw'!$J$6:$J$1634,$J210,'SALES Raw'!$K$6:$K$1634,"Y")</f>
        <v>122</v>
      </c>
      <c r="E210" s="8" t="n">
        <f aca="false">SUMIFS('SALES Raw'!$D$6:$D$1634,'SALES Raw'!$J$6:$J$1634,$J210,'SALES Raw'!$K$6:$K$1634,"Y")</f>
        <v>4443.96</v>
      </c>
      <c r="F210" s="8" t="n">
        <f aca="false">SUMIFS('SALES Raw'!$E$6:$E$1634,'SALES Raw'!$J$6:$J$1634,$J210,'SALES Raw'!$K$6:$K$1634,"Y")*$H$4</f>
        <v>82.1052631578947</v>
      </c>
      <c r="G210" s="8" t="n">
        <f aca="false">SUMIFS('SALES Raw'!$F$6:$F$1634,'SALES Raw'!$J$6:$J$1634,$J210,'SALES Raw'!$K$6:$K$1634,"Y")*$H$4</f>
        <v>2502</v>
      </c>
      <c r="H210" s="16" t="s">
        <v>30</v>
      </c>
      <c r="I210" s="16" t="s">
        <v>42</v>
      </c>
      <c r="J210" s="16" t="n">
        <v>4415072</v>
      </c>
    </row>
    <row r="211" customFormat="false" ht="15" hidden="false" customHeight="false" outlineLevel="0" collapsed="false">
      <c r="A211" s="16" t="n">
        <f aca="false">IF(ISNUMBER($J211),$J211,"")</f>
        <v>4418002</v>
      </c>
      <c r="B211" s="16" t="str">
        <f aca="false">IFERROR(INDEX('SALES Raw'!$B$6:$B$1634,MATCH($J211,'SALES Raw'!$J$6:$J$1634,0)),$J211)</f>
        <v>60 S</v>
      </c>
      <c r="C211" s="16" t="str">
        <f aca="false">IF(ISNUMBER($J211),IFERROR(INDEX('TRANS'!$C:$C,MATCH($J211,'TRANS'!$B:$B,0)),IFERROR(INDEX('Catalog'!$B:$B,MATCH($J211,'Catalog'!$A:$A,0)),$B211)),$B211)</f>
        <v>60 S צוארון ספוגי</v>
      </c>
      <c r="D211" s="8" t="n">
        <f aca="false">SUMIFS('SALES Raw'!$C$6:$C$1634,'SALES Raw'!$J$6:$J$1634,$J211,'SALES Raw'!$K$6:$K$1634,"Y")</f>
        <v>119</v>
      </c>
      <c r="E211" s="8" t="n">
        <f aca="false">SUMIFS('SALES Raw'!$D$6:$D$1634,'SALES Raw'!$J$6:$J$1634,$J211,'SALES Raw'!$K$6:$K$1634,"Y")</f>
        <v>2856.82</v>
      </c>
      <c r="F211" s="8" t="n">
        <f aca="false">SUMIFS('SALES Raw'!$E$6:$E$1634,'SALES Raw'!$J$6:$J$1634,$J211,'SALES Raw'!$K$6:$K$1634,"Y")*$H$4</f>
        <v>82.1052631578947</v>
      </c>
      <c r="G211" s="8" t="n">
        <f aca="false">SUMIFS('SALES Raw'!$F$6:$F$1634,'SALES Raw'!$J$6:$J$1634,$J211,'SALES Raw'!$K$6:$K$1634,"Y")*$H$4</f>
        <v>1790.66526315789</v>
      </c>
      <c r="H211" s="16" t="s">
        <v>36</v>
      </c>
      <c r="I211" s="16" t="s">
        <v>38</v>
      </c>
      <c r="J211" s="16" t="n">
        <v>4418002</v>
      </c>
    </row>
    <row r="212" customFormat="false" ht="15" hidden="false" customHeight="false" outlineLevel="0" collapsed="false">
      <c r="A212" s="16" t="n">
        <f aca="false">IF(ISNUMBER($J212),$J212,"")</f>
        <v>4413103</v>
      </c>
      <c r="B212" s="16" t="str">
        <f aca="false">IFERROR(INDEX('SALES Raw'!$B$6:$B$1634,MATCH($J212,'SALES Raw'!$J$6:$J$1634,0)),$J212)</f>
        <v>45E M</v>
      </c>
      <c r="C212" s="16" t="str">
        <f aca="false">IF(ISNUMBER($J212),IFERROR(INDEX('TRANS'!$C:$C,MATCH($J212,'TRANS'!$B:$B,0)),IFERROR(INDEX('Catalog'!$B:$B,MATCH($J212,'Catalog'!$A:$A,0)),$B212)),$B212)</f>
        <v>45E Mמגן ברך ארוך לבן</v>
      </c>
      <c r="D212" s="8" t="n">
        <f aca="false">SUMIFS('SALES Raw'!$C$6:$C$1634,'SALES Raw'!$J$6:$J$1634,$J212,'SALES Raw'!$K$6:$K$1634,"Y")</f>
        <v>102</v>
      </c>
      <c r="E212" s="8" t="n">
        <f aca="false">SUMIFS('SALES Raw'!$D$6:$D$1634,'SALES Raw'!$J$6:$J$1634,$J212,'SALES Raw'!$K$6:$K$1634,"Y")</f>
        <v>1222.51</v>
      </c>
      <c r="F212" s="8" t="n">
        <f aca="false">SUMIFS('SALES Raw'!$E$6:$E$1634,'SALES Raw'!$J$6:$J$1634,$J212,'SALES Raw'!$K$6:$K$1634,"Y")*$H$4</f>
        <v>82.1052631578947</v>
      </c>
      <c r="G212" s="8" t="n">
        <f aca="false">SUMIFS('SALES Raw'!$F$6:$F$1634,'SALES Raw'!$J$6:$J$1634,$J212,'SALES Raw'!$K$6:$K$1634,"Y")*$H$4</f>
        <v>921.486315789474</v>
      </c>
      <c r="H212" s="16" t="s">
        <v>42</v>
      </c>
      <c r="I212" s="16" t="s">
        <v>32</v>
      </c>
      <c r="J212" s="16" t="n">
        <v>4413103</v>
      </c>
    </row>
    <row r="213" customFormat="false" ht="15" hidden="false" customHeight="false" outlineLevel="0" collapsed="false">
      <c r="A213" s="16" t="n">
        <f aca="false">IF(ISNUMBER($J213),$J213,"")</f>
        <v>4413161</v>
      </c>
      <c r="B213" s="16" t="str">
        <f aca="false">IFERROR(INDEX('SALES Raw'!$B$6:$B$1634,MATCH($J213,'SALES Raw'!$J$6:$J$1634,0)),$J213)</f>
        <v>34+ L</v>
      </c>
      <c r="C213" s="16" t="str">
        <f aca="false">IF(ISNUMBER($J213),IFERROR(INDEX('TRANS'!$C:$C,MATCH($J213,'TRANS'!$B:$B,0)),IFERROR(INDEX('Catalog'!$B:$B,MATCH($J213,'Catalog'!$A:$A,0)),$B213)),$B213)</f>
        <v>34+ L מגן קרסול עקב סגור+רצוע</v>
      </c>
      <c r="D213" s="8" t="n">
        <f aca="false">SUMIFS('SALES Raw'!$C$6:$C$1634,'SALES Raw'!$J$6:$J$1634,$J213,'SALES Raw'!$K$6:$K$1634,"Y")</f>
        <v>72</v>
      </c>
      <c r="E213" s="8" t="n">
        <f aca="false">SUMIFS('SALES Raw'!$D$6:$D$1634,'SALES Raw'!$J$6:$J$1634,$J213,'SALES Raw'!$K$6:$K$1634,"Y")</f>
        <v>2216.56</v>
      </c>
      <c r="F213" s="8" t="n">
        <f aca="false">SUMIFS('SALES Raw'!$E$6:$E$1634,'SALES Raw'!$J$6:$J$1634,$J213,'SALES Raw'!$K$6:$K$1634,"Y")*$H$4</f>
        <v>78.3157894736842</v>
      </c>
      <c r="G213" s="8" t="n">
        <f aca="false">SUMIFS('SALES Raw'!$F$6:$F$1634,'SALES Raw'!$J$6:$J$1634,$J213,'SALES Raw'!$K$6:$K$1634,"Y")*$H$4</f>
        <v>2305.81894736842</v>
      </c>
      <c r="H213" s="16" t="s">
        <v>41</v>
      </c>
      <c r="I213" s="16" t="s">
        <v>32</v>
      </c>
      <c r="J213" s="16" t="n">
        <v>4413161</v>
      </c>
    </row>
    <row r="214" customFormat="false" ht="15" hidden="false" customHeight="false" outlineLevel="0" collapsed="false">
      <c r="A214" s="16" t="n">
        <f aca="false">IF(ISNUMBER($J214),$J214,"")</f>
        <v>4408054</v>
      </c>
      <c r="B214" s="16" t="str">
        <f aca="false">IFERROR(INDEX('SALES Raw'!$B$6:$B$1634,MATCH($J214,'SALES Raw'!$J$6:$J$1634,0)),$J214)</f>
        <v>21 XL</v>
      </c>
      <c r="C214" s="16" t="str">
        <f aca="false">IF(ISNUMBER($J214),IFERROR(INDEX('TRANS'!$C:$C,MATCH($J214,'TRANS'!$B:$B,0)),IFERROR(INDEX('Catalog'!$B:$B,MATCH($J214,'Catalog'!$A:$A,0)),$B214)),$B214)</f>
        <v>21 XL חבק יד ארוך</v>
      </c>
      <c r="D214" s="8" t="n">
        <f aca="false">SUMIFS('SALES Raw'!$C$6:$C$1634,'SALES Raw'!$J$6:$J$1634,$J214,'SALES Raw'!$K$6:$K$1634,"Y")</f>
        <v>138</v>
      </c>
      <c r="E214" s="8" t="n">
        <f aca="false">SUMIFS('SALES Raw'!$D$6:$D$1634,'SALES Raw'!$J$6:$J$1634,$J214,'SALES Raw'!$K$6:$K$1634,"Y")</f>
        <v>2237.42</v>
      </c>
      <c r="F214" s="8" t="n">
        <f aca="false">SUMIFS('SALES Raw'!$E$6:$E$1634,'SALES Raw'!$J$6:$J$1634,$J214,'SALES Raw'!$K$6:$K$1634,"Y")*$H$4</f>
        <v>77.0526315789474</v>
      </c>
      <c r="G214" s="8" t="n">
        <f aca="false">SUMIFS('SALES Raw'!$F$6:$F$1634,'SALES Raw'!$J$6:$J$1634,$J214,'SALES Raw'!$K$6:$K$1634,"Y")*$H$4</f>
        <v>1224.65684210526</v>
      </c>
      <c r="H214" s="16" t="s">
        <v>44</v>
      </c>
      <c r="I214" s="16" t="s">
        <v>38</v>
      </c>
      <c r="J214" s="16" t="n">
        <v>4408054</v>
      </c>
    </row>
    <row r="215" customFormat="false" ht="15" hidden="false" customHeight="false" outlineLevel="0" collapsed="false">
      <c r="A215" s="16" t="n">
        <f aca="false">IF(ISNUMBER($J215),$J215,"")</f>
        <v>4403045</v>
      </c>
      <c r="B215" s="16" t="str">
        <f aca="false">IFERROR(INDEX('SALES Raw'!$B$6:$B$1634,MATCH($J215,'SALES Raw'!$J$6:$J$1634,0)),$J215)</f>
        <v>395B-43-46</v>
      </c>
      <c r="C215" s="16" t="str">
        <f aca="false">IF(ISNUMBER($J215),IFERROR(INDEX('TRANS'!$C:$C,MATCH($J215,'TRANS'!$B:$B,0)),IFERROR(INDEX('Catalog'!$B:$B,MATCH($J215,'Catalog'!$A:$A,0)),$B215)),$B215)</f>
        <v>395B גרבי קיץ אנטי בקטריא43-46</v>
      </c>
      <c r="D215" s="8" t="n">
        <f aca="false">SUMIFS('SALES Raw'!$C$6:$C$1634,'SALES Raw'!$J$6:$J$1634,$J215,'SALES Raw'!$K$6:$K$1634,"Y")</f>
        <v>4</v>
      </c>
      <c r="E215" s="8" t="n">
        <f aca="false">SUMIFS('SALES Raw'!$D$6:$D$1634,'SALES Raw'!$J$6:$J$1634,$J215,'SALES Raw'!$K$6:$K$1634,"Y")</f>
        <v>0.15</v>
      </c>
      <c r="F215" s="8" t="n">
        <f aca="false">SUMIFS('SALES Raw'!$E$6:$E$1634,'SALES Raw'!$J$6:$J$1634,$J215,'SALES Raw'!$K$6:$K$1634,"Y")*$H$4</f>
        <v>75.7894736842105</v>
      </c>
      <c r="G215" s="8" t="n">
        <f aca="false">SUMIFS('SALES Raw'!$F$6:$F$1634,'SALES Raw'!$J$6:$J$1634,$J215,'SALES Raw'!$K$6:$K$1634,"Y")*$H$4</f>
        <v>1504.83789473684</v>
      </c>
      <c r="H215" s="16" t="s">
        <v>38</v>
      </c>
      <c r="I215" s="16" t="s">
        <v>32</v>
      </c>
      <c r="J215" s="16" t="n">
        <v>4403045</v>
      </c>
    </row>
    <row r="216" customFormat="false" ht="15" hidden="false" customHeight="false" outlineLevel="0" collapsed="false">
      <c r="A216" s="16" t="n">
        <f aca="false">IF(ISNUMBER($J216),$J216,"")</f>
        <v>4422040</v>
      </c>
      <c r="B216" s="16" t="str">
        <f aca="false">IFERROR(INDEX('SALES Raw'!$B$6:$B$1634,MATCH($J216,'SALES Raw'!$J$6:$J$1634,0)),$J216)</f>
        <v>SH422 4</v>
      </c>
      <c r="C216" s="16" t="str">
        <f aca="false">IF(ISNUMBER($J216),IFERROR(INDEX('TRANS'!$C:$C,MATCH($J216,'TRANS'!$B:$B,0)),IFERROR(INDEX('Catalog'!$B:$B,MATCH($J216,'Catalog'!$A:$A,0)),$B216)),$B216)</f>
        <v>SH422 4 תומך ברך גנושילד</v>
      </c>
      <c r="D216" s="8" t="n">
        <f aca="false">SUMIFS('SALES Raw'!$C$6:$C$1634,'SALES Raw'!$J$6:$J$1634,$J216,'SALES Raw'!$K$6:$K$1634,"Y")</f>
        <v>12</v>
      </c>
      <c r="E216" s="8" t="n">
        <f aca="false">SUMIFS('SALES Raw'!$D$6:$D$1634,'SALES Raw'!$J$6:$J$1634,$J216,'SALES Raw'!$K$6:$K$1634,"Y")</f>
        <v>951.12</v>
      </c>
      <c r="F216" s="8" t="n">
        <f aca="false">SUMIFS('SALES Raw'!$E$6:$E$1634,'SALES Raw'!$J$6:$J$1634,$J216,'SALES Raw'!$K$6:$K$1634,"Y")*$H$4</f>
        <v>75.7894736842105</v>
      </c>
      <c r="G216" s="8" t="n">
        <f aca="false">SUMIFS('SALES Raw'!$F$6:$F$1634,'SALES Raw'!$J$6:$J$1634,$J216,'SALES Raw'!$K$6:$K$1634,"Y")*$H$4</f>
        <v>6682.08</v>
      </c>
      <c r="H216" s="16" t="s">
        <v>36</v>
      </c>
      <c r="I216" s="16" t="s">
        <v>32</v>
      </c>
      <c r="J216" s="16" t="n">
        <v>4422040</v>
      </c>
    </row>
    <row r="217" customFormat="false" ht="15" hidden="false" customHeight="false" outlineLevel="0" collapsed="false">
      <c r="A217" s="16" t="n">
        <f aca="false">IF(ISNUMBER($J217),$J217,"")</f>
        <v>4413042</v>
      </c>
      <c r="B217" s="16" t="str">
        <f aca="false">IFERROR(INDEX('SALES Raw'!$B$6:$B$1634,MATCH($J217,'SALES Raw'!$J$6:$J$1634,0)),$J217)</f>
        <v>34 S</v>
      </c>
      <c r="C217" s="16" t="str">
        <f aca="false">IF(ISNUMBER($J217),IFERROR(INDEX('TRANS'!$C:$C,MATCH($J217,'TRANS'!$B:$B,0)),IFERROR(INDEX('Catalog'!$B:$B,MATCH($J217,'Catalog'!$A:$A,0)),$B217)),$B217)</f>
        <v>34  S מגן קרסול עקב סגור</v>
      </c>
      <c r="D217" s="8" t="n">
        <f aca="false">SUMIFS('SALES Raw'!$C$6:$C$1634,'SALES Raw'!$J$6:$J$1634,$J217,'SALES Raw'!$K$6:$K$1634,"Y")</f>
        <v>54</v>
      </c>
      <c r="E217" s="8" t="n">
        <f aca="false">SUMIFS('SALES Raw'!$D$6:$D$1634,'SALES Raw'!$J$6:$J$1634,$J217,'SALES Raw'!$K$6:$K$1634,"Y")</f>
        <v>1163.1</v>
      </c>
      <c r="F217" s="8" t="n">
        <f aca="false">SUMIFS('SALES Raw'!$E$6:$E$1634,'SALES Raw'!$J$6:$J$1634,$J217,'SALES Raw'!$K$6:$K$1634,"Y")*$H$4</f>
        <v>73.2631578947368</v>
      </c>
      <c r="G217" s="8" t="n">
        <f aca="false">SUMIFS('SALES Raw'!$F$6:$F$1634,'SALES Raw'!$J$6:$J$1634,$J217,'SALES Raw'!$K$6:$K$1634,"Y")*$H$4</f>
        <v>1372.16842105263</v>
      </c>
      <c r="H217" s="16" t="s">
        <v>38</v>
      </c>
      <c r="I217" s="16" t="s">
        <v>42</v>
      </c>
      <c r="J217" s="16" t="n">
        <v>4413042</v>
      </c>
    </row>
    <row r="218" customFormat="false" ht="15" hidden="false" customHeight="false" outlineLevel="0" collapsed="false">
      <c r="A218" s="16" t="n">
        <f aca="false">IF(ISNUMBER($J218),$J218,"")</f>
        <v>4408147</v>
      </c>
      <c r="B218" s="16" t="str">
        <f aca="false">IFERROR(INDEX('SALES Raw'!$B$6:$B$1634,MATCH($J218,'SALES Raw'!$J$6:$J$1634,0)),$J218)</f>
        <v>11PS L</v>
      </c>
      <c r="C218" s="16" t="str">
        <f aca="false">IF(ISNUMBER($J218),IFERROR(INDEX('TRANS'!$C:$C,MATCH($J218,'TRANS'!$B:$B,0)),IFERROR(INDEX('Catalog'!$B:$B,MATCH($J218,'Catalog'!$A:$A,0)),$B218)),$B218)</f>
        <v>11PS Lחגורה למנותחי בטן</v>
      </c>
      <c r="D218" s="8" t="n">
        <f aca="false">SUMIFS('SALES Raw'!$C$6:$C$1634,'SALES Raw'!$J$6:$J$1634,$J218,'SALES Raw'!$K$6:$K$1634,"Y")</f>
        <v>60</v>
      </c>
      <c r="E218" s="8" t="n">
        <f aca="false">SUMIFS('SALES Raw'!$D$6:$D$1634,'SALES Raw'!$J$6:$J$1634,$J218,'SALES Raw'!$K$6:$K$1634,"Y")</f>
        <v>3158.62</v>
      </c>
      <c r="F218" s="8" t="n">
        <f aca="false">SUMIFS('SALES Raw'!$E$6:$E$1634,'SALES Raw'!$J$6:$J$1634,$J218,'SALES Raw'!$K$6:$K$1634,"Y")*$H$4</f>
        <v>73.2631578947368</v>
      </c>
      <c r="G218" s="8" t="n">
        <f aca="false">SUMIFS('SALES Raw'!$F$6:$F$1634,'SALES Raw'!$J$6:$J$1634,$J218,'SALES Raw'!$K$6:$K$1634,"Y")*$H$4</f>
        <v>3692.91789473684</v>
      </c>
      <c r="H218" s="16" t="s">
        <v>36</v>
      </c>
      <c r="I218" s="16"/>
      <c r="J218" s="16" t="n">
        <v>4408147</v>
      </c>
    </row>
    <row r="219" customFormat="false" ht="15" hidden="false" customHeight="false" outlineLevel="0" collapsed="false">
      <c r="A219" s="16" t="n">
        <f aca="false">IF(ISNUMBER($J219),$J219,"")</f>
        <v>4413340</v>
      </c>
      <c r="B219" s="16" t="str">
        <f aca="false">IFERROR(INDEX('SALES Raw'!$B$6:$B$1634,MATCH($J219,'SALES Raw'!$J$6:$J$1634,0)),$J219)</f>
        <v>3666 0</v>
      </c>
      <c r="C219" s="16" t="str">
        <f aca="false">IF(ISNUMBER($J219),IFERROR(INDEX('TRANS'!$C:$C,MATCH($J219,'TRANS'!$B:$B,0)),IFERROR(INDEX('Catalog'!$B:$B,MATCH($J219,'Catalog'!$A:$A,0)),$B219)),$B219)</f>
        <v>3666 מפריד הלוקס</v>
      </c>
      <c r="D219" s="8" t="n">
        <f aca="false">SUMIFS('SALES Raw'!$C$6:$C$1634,'SALES Raw'!$J$6:$J$1634,$J219,'SALES Raw'!$K$6:$K$1634,"Y")</f>
        <v>111</v>
      </c>
      <c r="E219" s="8" t="n">
        <f aca="false">SUMIFS('SALES Raw'!$D$6:$D$1634,'SALES Raw'!$J$6:$J$1634,$J219,'SALES Raw'!$K$6:$K$1634,"Y")</f>
        <v>2082.05</v>
      </c>
      <c r="F219" s="8" t="n">
        <f aca="false">SUMIFS('SALES Raw'!$E$6:$E$1634,'SALES Raw'!$J$6:$J$1634,$J219,'SALES Raw'!$K$6:$K$1634,"Y")*$H$4</f>
        <v>73.2631578947368</v>
      </c>
      <c r="G219" s="8" t="n">
        <f aca="false">SUMIFS('SALES Raw'!$F$6:$F$1634,'SALES Raw'!$J$6:$J$1634,$J219,'SALES Raw'!$K$6:$K$1634,"Y")*$H$4</f>
        <v>1368.25263157895</v>
      </c>
      <c r="H219" s="16" t="s">
        <v>44</v>
      </c>
      <c r="I219" s="16"/>
      <c r="J219" s="16" t="n">
        <v>4413340</v>
      </c>
    </row>
    <row r="220" customFormat="false" ht="15" hidden="false" customHeight="false" outlineLevel="0" collapsed="false">
      <c r="A220" s="16" t="n">
        <f aca="false">IF(ISNUMBER($J220),$J220,"")</f>
        <v>4411029</v>
      </c>
      <c r="B220" s="16" t="str">
        <f aca="false">IFERROR(INDEX('SALES Raw'!$B$6:$B$1634,MATCH($J220,'SALES Raw'!$J$6:$J$1634,0)),$J220)</f>
        <v>213CTSR L</v>
      </c>
      <c r="C220" s="16" t="str">
        <f aca="false">IF(ISNUMBER($J220),IFERROR(INDEX('TRANS'!$C:$C,MATCH($J220,'TRANS'!$B:$B,0)),IFERROR(INDEX('Catalog'!$B:$B,MATCH($J220,'Catalog'!$A:$A,0)),$B220)),$B220)</f>
        <v>213CTSR L ימין CTS כפפות</v>
      </c>
      <c r="D220" s="8" t="n">
        <f aca="false">SUMIFS('SALES Raw'!$C$6:$C$1634,'SALES Raw'!$J$6:$J$1634,$J220,'SALES Raw'!$K$6:$K$1634,"Y")</f>
        <v>25</v>
      </c>
      <c r="E220" s="8" t="n">
        <f aca="false">SUMIFS('SALES Raw'!$D$6:$D$1634,'SALES Raw'!$J$6:$J$1634,$J220,'SALES Raw'!$K$6:$K$1634,"Y")</f>
        <v>984.29</v>
      </c>
      <c r="F220" s="8" t="n">
        <f aca="false">SUMIFS('SALES Raw'!$E$6:$E$1634,'SALES Raw'!$J$6:$J$1634,$J220,'SALES Raw'!$K$6:$K$1634,"Y")*$H$4</f>
        <v>72</v>
      </c>
      <c r="G220" s="8" t="n">
        <f aca="false">SUMIFS('SALES Raw'!$F$6:$F$1634,'SALES Raw'!$J$6:$J$1634,$J220,'SALES Raw'!$K$6:$K$1634,"Y")*$H$4</f>
        <v>2926.43368421053</v>
      </c>
      <c r="H220" s="16" t="s">
        <v>44</v>
      </c>
      <c r="I220" s="16" t="s">
        <v>36</v>
      </c>
      <c r="J220" s="16" t="n">
        <v>4411029</v>
      </c>
    </row>
    <row r="221" customFormat="false" ht="15" hidden="false" customHeight="false" outlineLevel="0" collapsed="false">
      <c r="A221" s="16" t="n">
        <f aca="false">IF(ISNUMBER($J221),$J221,"")</f>
        <v>4421003</v>
      </c>
      <c r="B221" s="16" t="str">
        <f aca="false">IFERROR(INDEX('SALES Raw'!$B$6:$B$1634,MATCH($J221,'SALES Raw'!$J$6:$J$1634,0)),$J221)</f>
        <v>3672 0</v>
      </c>
      <c r="C221" s="16" t="str">
        <f aca="false">IF(ISNUMBER($J221),IFERROR(INDEX('TRANS'!$C:$C,MATCH($J221,'TRANS'!$B:$B,0)),IFERROR(INDEX('Catalog'!$B:$B,MATCH($J221,'Catalog'!$A:$A,0)),$B221)),$B221)</f>
        <v>3672 שרוול מגן לבוניון</v>
      </c>
      <c r="D221" s="8" t="n">
        <f aca="false">SUMIFS('SALES Raw'!$C$6:$C$1634,'SALES Raw'!$J$6:$J$1634,$J221,'SALES Raw'!$K$6:$K$1634,"Y")</f>
        <v>34</v>
      </c>
      <c r="E221" s="8" t="n">
        <f aca="false">SUMIFS('SALES Raw'!$D$6:$D$1634,'SALES Raw'!$J$6:$J$1634,$J221,'SALES Raw'!$K$6:$K$1634,"Y")</f>
        <v>621.9</v>
      </c>
      <c r="F221" s="8" t="n">
        <f aca="false">SUMIFS('SALES Raw'!$E$6:$E$1634,'SALES Raw'!$J$6:$J$1634,$J221,'SALES Raw'!$K$6:$K$1634,"Y")*$H$4</f>
        <v>70.7368421052632</v>
      </c>
      <c r="G221" s="8" t="n">
        <f aca="false">SUMIFS('SALES Raw'!$F$6:$F$1634,'SALES Raw'!$J$6:$J$1634,$J221,'SALES Raw'!$K$6:$K$1634,"Y")*$H$4</f>
        <v>1179.89052631579</v>
      </c>
      <c r="H221" s="16" t="s">
        <v>38</v>
      </c>
      <c r="I221" s="16" t="s">
        <v>37</v>
      </c>
      <c r="J221" s="16" t="n">
        <v>4421003</v>
      </c>
    </row>
    <row r="222" customFormat="false" ht="15" hidden="false" customHeight="false" outlineLevel="0" collapsed="false">
      <c r="A222" s="16" t="str">
        <f aca="false">IF(ISNUMBER($J222),$J222,"")</f>
        <v/>
      </c>
      <c r="B222" s="16" t="str">
        <f aca="false">IFERROR(INDEX('SALES Raw'!$B$6:$B$1634,MATCH($J222,'SALES Raw'!$J$6:$J$1634,0)),$J222)</f>
        <v>T43V M</v>
      </c>
      <c r="C222" s="16" t="str">
        <f aca="false">IF(ISNUMBER($J222),IFERROR(INDEX('TRANS'!$C:$C,MATCH($J222,'TRANS'!$B:$B,0)),IFERROR(INDEX('Catalog'!$B:$B,MATCH($J222,'Catalog'!$A:$A,0)),$B222)),$B222)</f>
        <v>T43V M</v>
      </c>
      <c r="D222" s="8" t="n">
        <f aca="false">SUMIFS('SALES Raw'!$C$6:$C$1634,'SALES Raw'!$J$6:$J$1634,$J222,'SALES Raw'!$K$6:$K$1634,"Y")</f>
        <v>252</v>
      </c>
      <c r="E222" s="8" t="n">
        <f aca="false">SUMIFS('SALES Raw'!$D$6:$D$1634,'SALES Raw'!$J$6:$J$1634,$J222,'SALES Raw'!$K$6:$K$1634,"Y")</f>
        <v>29952.79</v>
      </c>
      <c r="F222" s="8" t="n">
        <f aca="false">SUMIFS('SALES Raw'!$E$6:$E$1634,'SALES Raw'!$J$6:$J$1634,$J222,'SALES Raw'!$K$6:$K$1634,"Y")*$H$4</f>
        <v>69.4736842105263</v>
      </c>
      <c r="G222" s="8" t="n">
        <f aca="false">SUMIFS('SALES Raw'!$F$6:$F$1634,'SALES Raw'!$J$6:$J$1634,$J222,'SALES Raw'!$K$6:$K$1634,"Y")*$H$4</f>
        <v>8109.13263157895</v>
      </c>
      <c r="H222" s="16" t="s">
        <v>36</v>
      </c>
      <c r="I222" s="16"/>
      <c r="J222" s="16" t="s">
        <v>97</v>
      </c>
    </row>
    <row r="223" customFormat="false" ht="15" hidden="false" customHeight="false" outlineLevel="0" collapsed="false">
      <c r="A223" s="16" t="n">
        <f aca="false">IF(ISNUMBER($J223),$J223,"")</f>
        <v>4415006</v>
      </c>
      <c r="B223" s="16" t="str">
        <f aca="false">IFERROR(INDEX('SALES Raw'!$B$6:$B$1634,MATCH($J223,'SALES Raw'!$J$6:$J$1634,0)),$J223)</f>
        <v>28 M</v>
      </c>
      <c r="C223" s="16" t="str">
        <f aca="false">IF(ISNUMBER($J223),IFERROR(INDEX('TRANS'!$C:$C,MATCH($J223,'TRANS'!$B:$B,0)),IFERROR(INDEX('Catalog'!$B:$B,MATCH($J223,'Catalog'!$A:$A,0)),$B223)),$B223)</f>
        <v>28 M סד לאגודל לאחר שבר</v>
      </c>
      <c r="D223" s="8" t="n">
        <f aca="false">SUMIFS('SALES Raw'!$C$6:$C$1634,'SALES Raw'!$J$6:$J$1634,$J223,'SALES Raw'!$K$6:$K$1634,"Y")</f>
        <v>91</v>
      </c>
      <c r="E223" s="8" t="n">
        <f aca="false">SUMIFS('SALES Raw'!$D$6:$D$1634,'SALES Raw'!$J$6:$J$1634,$J223,'SALES Raw'!$K$6:$K$1634,"Y")</f>
        <v>3384.58</v>
      </c>
      <c r="F223" s="8" t="n">
        <f aca="false">SUMIFS('SALES Raw'!$E$6:$E$1634,'SALES Raw'!$J$6:$J$1634,$J223,'SALES Raw'!$K$6:$K$1634,"Y")*$H$4</f>
        <v>68.2105263157895</v>
      </c>
      <c r="G223" s="8" t="n">
        <f aca="false">SUMIFS('SALES Raw'!$F$6:$F$1634,'SALES Raw'!$J$6:$J$1634,$J223,'SALES Raw'!$K$6:$K$1634,"Y")*$H$4</f>
        <v>2249.97473684211</v>
      </c>
      <c r="H223" s="16" t="s">
        <v>38</v>
      </c>
      <c r="I223" s="16" t="s">
        <v>42</v>
      </c>
      <c r="J223" s="16" t="n">
        <v>4415006</v>
      </c>
    </row>
    <row r="224" customFormat="false" ht="15" hidden="false" customHeight="false" outlineLevel="0" collapsed="false">
      <c r="A224" s="16" t="n">
        <f aca="false">IF(ISNUMBER($J224),$J224,"")</f>
        <v>4408220</v>
      </c>
      <c r="B224" s="16" t="str">
        <f aca="false">IFERROR(INDEX('SALES Raw'!$B$6:$B$1634,MATCH($J224,'SALES Raw'!$J$6:$J$1634,0)),$J224)</f>
        <v>078G M</v>
      </c>
      <c r="C224" s="16" t="str">
        <f aca="false">IF(ISNUMBER($J224),IFERROR(INDEX('TRANS'!$C:$C,MATCH($J224,'TRANS'!$B:$B,0)),IFERROR(INDEX('Catalog'!$B:$B,MATCH($J224,'Catalog'!$A:$A,0)),$B224)),$B224)</f>
        <v>078G-M חגורת גב אפורה</v>
      </c>
      <c r="D224" s="8" t="n">
        <f aca="false">SUMIFS('SALES Raw'!$C$6:$C$1634,'SALES Raw'!$J$6:$J$1634,$J224,'SALES Raw'!$K$6:$K$1634,"Y")</f>
        <v>161</v>
      </c>
      <c r="E224" s="8" t="n">
        <f aca="false">SUMIFS('SALES Raw'!$D$6:$D$1634,'SALES Raw'!$J$6:$J$1634,$J224,'SALES Raw'!$K$6:$K$1634,"Y")</f>
        <v>11124.04</v>
      </c>
      <c r="F224" s="8" t="n">
        <f aca="false">SUMIFS('SALES Raw'!$E$6:$E$1634,'SALES Raw'!$J$6:$J$1634,$J224,'SALES Raw'!$K$6:$K$1634,"Y")*$H$4</f>
        <v>66.9473684210526</v>
      </c>
      <c r="G224" s="8" t="n">
        <f aca="false">SUMIFS('SALES Raw'!$F$6:$F$1634,'SALES Raw'!$J$6:$J$1634,$J224,'SALES Raw'!$K$6:$K$1634,"Y")*$H$4</f>
        <v>4116.41684210526</v>
      </c>
      <c r="H224" s="16" t="s">
        <v>30</v>
      </c>
      <c r="I224" s="16" t="s">
        <v>37</v>
      </c>
      <c r="J224" s="16" t="n">
        <v>4408220</v>
      </c>
    </row>
    <row r="225" customFormat="false" ht="15" hidden="false" customHeight="false" outlineLevel="0" collapsed="false">
      <c r="A225" s="16" t="n">
        <f aca="false">IF(ISNUMBER($J225),$J225,"")</f>
        <v>4420017</v>
      </c>
      <c r="B225" s="16" t="str">
        <f aca="false">IFERROR(INDEX('SALES Raw'!$B$6:$B$1634,MATCH($J225,'SALES Raw'!$J$6:$J$1634,0)),$J225)</f>
        <v>4022 0</v>
      </c>
      <c r="C225" s="16" t="str">
        <f aca="false">IF(ISNUMBER($J225),IFERROR(INDEX('TRANS'!$C:$C,MATCH($J225,'TRANS'!$B:$B,0)),IFERROR(INDEX('Catalog'!$B:$B,MATCH($J225,'Catalog'!$A:$A,0)),$B225)),$B225)</f>
        <v>4022 רצועת """"פיקה""""+כרית</v>
      </c>
      <c r="D225" s="8" t="n">
        <f aca="false">SUMIFS('SALES Raw'!$C$6:$C$1634,'SALES Raw'!$J$6:$J$1634,$J225,'SALES Raw'!$K$6:$K$1634,"Y")</f>
        <v>98</v>
      </c>
      <c r="E225" s="8" t="n">
        <f aca="false">SUMIFS('SALES Raw'!$D$6:$D$1634,'SALES Raw'!$J$6:$J$1634,$J225,'SALES Raw'!$K$6:$K$1634,"Y")</f>
        <v>6612.77</v>
      </c>
      <c r="F225" s="8" t="n">
        <f aca="false">SUMIFS('SALES Raw'!$E$6:$E$1634,'SALES Raw'!$J$6:$J$1634,$J225,'SALES Raw'!$K$6:$K$1634,"Y")*$H$4</f>
        <v>66.9473684210526</v>
      </c>
      <c r="G225" s="8" t="n">
        <f aca="false">SUMIFS('SALES Raw'!$F$6:$F$1634,'SALES Raw'!$J$6:$J$1634,$J225,'SALES Raw'!$K$6:$K$1634,"Y")*$H$4</f>
        <v>3999.49894736842</v>
      </c>
      <c r="H225" s="16" t="s">
        <v>30</v>
      </c>
      <c r="I225" s="16" t="s">
        <v>32</v>
      </c>
      <c r="J225" s="16" t="n">
        <v>4420017</v>
      </c>
    </row>
    <row r="226" customFormat="false" ht="15" hidden="false" customHeight="false" outlineLevel="0" collapsed="false">
      <c r="A226" s="16" t="n">
        <f aca="false">IF(ISNUMBER($J226),$J226,"")</f>
        <v>4408217</v>
      </c>
      <c r="B226" s="16" t="str">
        <f aca="false">IFERROR(INDEX('SALES Raw'!$B$6:$B$1634,MATCH($J226,'SALES Raw'!$J$6:$J$1634,0)),$J226)</f>
        <v>078 S</v>
      </c>
      <c r="C226" s="16" t="str">
        <f aca="false">IF(ISNUMBER($J226),IFERROR(INDEX('TRANS'!$C:$C,MATCH($J226,'TRANS'!$B:$B,0)),IFERROR(INDEX('Catalog'!$B:$B,MATCH($J226,'Catalog'!$A:$A,0)),$B226)),$B226)</f>
        <v>S078 חגורת גב +סגירה כפולה</v>
      </c>
      <c r="D226" s="8" t="n">
        <f aca="false">SUMIFS('SALES Raw'!$C$6:$C$1634,'SALES Raw'!$J$6:$J$1634,$J226,'SALES Raw'!$K$6:$K$1634,"Y")</f>
        <v>37</v>
      </c>
      <c r="E226" s="8" t="n">
        <f aca="false">SUMIFS('SALES Raw'!$D$6:$D$1634,'SALES Raw'!$J$6:$J$1634,$J226,'SALES Raw'!$K$6:$K$1634,"Y")</f>
        <v>1941.12</v>
      </c>
      <c r="F226" s="8" t="n">
        <f aca="false">SUMIFS('SALES Raw'!$E$6:$E$1634,'SALES Raw'!$J$6:$J$1634,$J226,'SALES Raw'!$K$6:$K$1634,"Y")*$H$4</f>
        <v>64.421052631579</v>
      </c>
      <c r="G226" s="8" t="n">
        <f aca="false">SUMIFS('SALES Raw'!$F$6:$F$1634,'SALES Raw'!$J$6:$J$1634,$J226,'SALES Raw'!$K$6:$K$1634,"Y")*$H$4</f>
        <v>3667.59157894737</v>
      </c>
      <c r="H226" s="16" t="s">
        <v>30</v>
      </c>
      <c r="I226" s="16" t="s">
        <v>38</v>
      </c>
      <c r="J226" s="16" t="n">
        <v>4408217</v>
      </c>
    </row>
    <row r="227" customFormat="false" ht="15" hidden="false" customHeight="false" outlineLevel="0" collapsed="false">
      <c r="A227" s="16" t="n">
        <f aca="false">IF(ISNUMBER($J227),$J227,"")</f>
        <v>4408265</v>
      </c>
      <c r="B227" s="16" t="str">
        <f aca="false">IFERROR(INDEX('SALES Raw'!$B$6:$B$1634,MATCH($J227,'SALES Raw'!$J$6:$J$1634,0)),$J227)</f>
        <v>078 XXL</v>
      </c>
      <c r="C227" s="16" t="str">
        <f aca="false">IF(ISNUMBER($J227),IFERROR(INDEX('TRANS'!$C:$C,MATCH($J227,'TRANS'!$B:$B,0)),IFERROR(INDEX('Catalog'!$B:$B,MATCH($J227,'Catalog'!$A:$A,0)),$B227)),$B227)</f>
        <v>078XXL חגורת גב +סגירה כפולה</v>
      </c>
      <c r="D227" s="8" t="n">
        <f aca="false">SUMIFS('SALES Raw'!$C$6:$C$1634,'SALES Raw'!$J$6:$J$1634,$J227,'SALES Raw'!$K$6:$K$1634,"Y")</f>
        <v>157</v>
      </c>
      <c r="E227" s="8" t="n">
        <f aca="false">SUMIFS('SALES Raw'!$D$6:$D$1634,'SALES Raw'!$J$6:$J$1634,$J227,'SALES Raw'!$K$6:$K$1634,"Y")</f>
        <v>8228.13</v>
      </c>
      <c r="F227" s="8" t="n">
        <f aca="false">SUMIFS('SALES Raw'!$E$6:$E$1634,'SALES Raw'!$J$6:$J$1634,$J227,'SALES Raw'!$K$6:$K$1634,"Y")*$H$4</f>
        <v>63.1578947368421</v>
      </c>
      <c r="G227" s="8" t="n">
        <f aca="false">SUMIFS('SALES Raw'!$F$6:$F$1634,'SALES Raw'!$J$6:$J$1634,$J227,'SALES Raw'!$K$6:$K$1634,"Y")*$H$4</f>
        <v>3002.82947368421</v>
      </c>
      <c r="H227" s="16" t="s">
        <v>38</v>
      </c>
      <c r="I227" s="16" t="s">
        <v>32</v>
      </c>
      <c r="J227" s="16" t="n">
        <v>4408265</v>
      </c>
    </row>
    <row r="228" customFormat="false" ht="15" hidden="false" customHeight="false" outlineLevel="0" collapsed="false">
      <c r="A228" s="16" t="n">
        <f aca="false">IF(ISNUMBER($J228),$J228,"")</f>
        <v>4413051</v>
      </c>
      <c r="B228" s="16" t="str">
        <f aca="false">IFERROR(INDEX('SALES Raw'!$B$6:$B$1634,MATCH($J228,'SALES Raw'!$J$6:$J$1634,0)),$J228)</f>
        <v>35 XXL</v>
      </c>
      <c r="C228" s="16" t="str">
        <f aca="false">IF(ISNUMBER($J228),IFERROR(INDEX('TRANS'!$C:$C,MATCH($J228,'TRANS'!$B:$B,0)),IFERROR(INDEX('Catalog'!$B:$B,MATCH($J228,'Catalog'!$A:$A,0)),$B228)),$B228)</f>
        <v>35 XXL מגן קרסול לבן</v>
      </c>
      <c r="D228" s="8" t="n">
        <f aca="false">SUMIFS('SALES Raw'!$C$6:$C$1634,'SALES Raw'!$J$6:$J$1634,$J228,'SALES Raw'!$K$6:$K$1634,"Y")</f>
        <v>60</v>
      </c>
      <c r="E228" s="8" t="n">
        <f aca="false">SUMIFS('SALES Raw'!$D$6:$D$1634,'SALES Raw'!$J$6:$J$1634,$J228,'SALES Raw'!$K$6:$K$1634,"Y")</f>
        <v>642.87</v>
      </c>
      <c r="F228" s="8" t="n">
        <f aca="false">SUMIFS('SALES Raw'!$E$6:$E$1634,'SALES Raw'!$J$6:$J$1634,$J228,'SALES Raw'!$K$6:$K$1634,"Y")*$H$4</f>
        <v>63.1578947368421</v>
      </c>
      <c r="G228" s="8" t="n">
        <f aca="false">SUMIFS('SALES Raw'!$F$6:$F$1634,'SALES Raw'!$J$6:$J$1634,$J228,'SALES Raw'!$K$6:$K$1634,"Y")*$H$4</f>
        <v>636.025263157895</v>
      </c>
      <c r="H228" s="16" t="s">
        <v>42</v>
      </c>
      <c r="I228" s="16" t="s">
        <v>32</v>
      </c>
      <c r="J228" s="16" t="n">
        <v>4413051</v>
      </c>
    </row>
    <row r="229" customFormat="false" ht="15" hidden="false" customHeight="false" outlineLevel="0" collapsed="false">
      <c r="A229" s="16" t="n">
        <f aca="false">IF(ISNUMBER($J229),$J229,"")</f>
        <v>4416003</v>
      </c>
      <c r="B229" s="16" t="str">
        <f aca="false">IFERROR(INDEX('SALES Raw'!$B$6:$B$1634,MATCH($J229,'SALES Raw'!$J$6:$J$1634,0)),$J229)</f>
        <v>308 L</v>
      </c>
      <c r="C229" s="16" t="str">
        <f aca="false">IF(ISNUMBER($J229),IFERROR(INDEX('TRANS'!$C:$C,MATCH($J229,'TRANS'!$B:$B,0)),IFERROR(INDEX('Catalog'!$B:$B,MATCH($J229,'Catalog'!$A:$A,0)),$B229)),$B229)</f>
        <v>308 Lעקבים סיליקון כחול לדורבן</v>
      </c>
      <c r="D229" s="8" t="n">
        <f aca="false">SUMIFS('SALES Raw'!$C$6:$C$1634,'SALES Raw'!$J$6:$J$1634,$J229,'SALES Raw'!$K$6:$K$1634,"Y")</f>
        <v>102</v>
      </c>
      <c r="E229" s="8" t="n">
        <f aca="false">SUMIFS('SALES Raw'!$D$6:$D$1634,'SALES Raw'!$J$6:$J$1634,$J229,'SALES Raw'!$K$6:$K$1634,"Y")</f>
        <v>2596.71</v>
      </c>
      <c r="F229" s="8" t="n">
        <f aca="false">SUMIFS('SALES Raw'!$E$6:$E$1634,'SALES Raw'!$J$6:$J$1634,$J229,'SALES Raw'!$K$6:$K$1634,"Y")*$H$4</f>
        <v>63.1578947368421</v>
      </c>
      <c r="G229" s="8" t="n">
        <f aca="false">SUMIFS('SALES Raw'!$F$6:$F$1634,'SALES Raw'!$J$6:$J$1634,$J229,'SALES Raw'!$K$6:$K$1634,"Y")*$H$4</f>
        <v>1457.34315789474</v>
      </c>
      <c r="H229" s="16" t="s">
        <v>34</v>
      </c>
      <c r="I229" s="16" t="s">
        <v>42</v>
      </c>
      <c r="J229" s="16" t="n">
        <v>4416003</v>
      </c>
    </row>
    <row r="230" customFormat="false" ht="15" hidden="false" customHeight="false" outlineLevel="0" collapsed="false">
      <c r="A230" s="16" t="n">
        <f aca="false">IF(ISNUMBER($J230),$J230,"")</f>
        <v>4415001</v>
      </c>
      <c r="B230" s="16" t="str">
        <f aca="false">IFERROR(INDEX('SALES Raw'!$B$6:$B$1634,MATCH($J230,'SALES Raw'!$J$6:$J$1634,0)),$J230)</f>
        <v>26 M</v>
      </c>
      <c r="C230" s="16" t="str">
        <f aca="false">IF(ISNUMBER($J230),IFERROR(INDEX('TRANS'!$C:$C,MATCH($J230,'TRANS'!$B:$B,0)),IFERROR(INDEX('Catalog'!$B:$B,MATCH($J230,'Catalog'!$A:$A,0)),$B230)),$B230)</f>
        <v>26 M סד ליד דו צדדי לאחר שבר</v>
      </c>
      <c r="D230" s="8" t="n">
        <f aca="false">SUMIFS('SALES Raw'!$C$6:$C$1634,'SALES Raw'!$J$6:$J$1634,$J230,'SALES Raw'!$K$6:$K$1634,"Y")</f>
        <v>89</v>
      </c>
      <c r="E230" s="8" t="n">
        <f aca="false">SUMIFS('SALES Raw'!$D$6:$D$1634,'SALES Raw'!$J$6:$J$1634,$J230,'SALES Raw'!$K$6:$K$1634,"Y")</f>
        <v>3876.01</v>
      </c>
      <c r="F230" s="8" t="n">
        <f aca="false">SUMIFS('SALES Raw'!$E$6:$E$1634,'SALES Raw'!$J$6:$J$1634,$J230,'SALES Raw'!$K$6:$K$1634,"Y")*$H$4</f>
        <v>63.1578947368421</v>
      </c>
      <c r="G230" s="8" t="n">
        <f aca="false">SUMIFS('SALES Raw'!$F$6:$F$1634,'SALES Raw'!$J$6:$J$1634,$J230,'SALES Raw'!$K$6:$K$1634,"Y")*$H$4</f>
        <v>2491.09894736842</v>
      </c>
      <c r="H230" s="16" t="s">
        <v>38</v>
      </c>
      <c r="I230" s="16" t="s">
        <v>36</v>
      </c>
      <c r="J230" s="16" t="n">
        <v>4415001</v>
      </c>
    </row>
    <row r="231" customFormat="false" ht="15" hidden="false" customHeight="false" outlineLevel="0" collapsed="false">
      <c r="A231" s="16" t="n">
        <f aca="false">IF(ISNUMBER($J231),$J231,"")</f>
        <v>4420026</v>
      </c>
      <c r="B231" s="16" t="str">
        <f aca="false">IFERROR(INDEX('SALES Raw'!$B$6:$B$1634,MATCH($J231,'SALES Raw'!$J$6:$J$1634,0)),$J231)</f>
        <v>AC40 0</v>
      </c>
      <c r="C231" s="16" t="str">
        <f aca="false">IF(ISNUMBER($J231),IFERROR(INDEX('TRANS'!$C:$C,MATCH($J231,'TRANS'!$B:$B,0)),IFERROR(INDEX('Catalog'!$B:$B,MATCH($J231,'Catalog'!$A:$A,0)),$B231)),$B231)</f>
        <v>AC40 רצועה לפיקת הברך</v>
      </c>
      <c r="D231" s="8" t="n">
        <f aca="false">SUMIFS('SALES Raw'!$C$6:$C$1634,'SALES Raw'!$J$6:$J$1634,$J231,'SALES Raw'!$K$6:$K$1634,"Y")</f>
        <v>45</v>
      </c>
      <c r="E231" s="8" t="n">
        <f aca="false">SUMIFS('SALES Raw'!$D$6:$D$1634,'SALES Raw'!$J$6:$J$1634,$J231,'SALES Raw'!$K$6:$K$1634,"Y")</f>
        <v>1468.37</v>
      </c>
      <c r="F231" s="8" t="n">
        <f aca="false">SUMIFS('SALES Raw'!$E$6:$E$1634,'SALES Raw'!$J$6:$J$1634,$J231,'SALES Raw'!$K$6:$K$1634,"Y")*$H$4</f>
        <v>63.1578947368421</v>
      </c>
      <c r="G231" s="8" t="n">
        <f aca="false">SUMIFS('SALES Raw'!$F$6:$F$1634,'SALES Raw'!$J$6:$J$1634,$J231,'SALES Raw'!$K$6:$K$1634,"Y")*$H$4</f>
        <v>1889.15368421053</v>
      </c>
      <c r="H231" s="16" t="s">
        <v>39</v>
      </c>
      <c r="I231" s="16" t="s">
        <v>37</v>
      </c>
      <c r="J231" s="16" t="n">
        <v>4420026</v>
      </c>
    </row>
    <row r="232" customFormat="false" ht="15" hidden="false" customHeight="false" outlineLevel="0" collapsed="false">
      <c r="A232" s="16" t="n">
        <f aca="false">IF(ISNUMBER($J232),$J232,"")</f>
        <v>4420016</v>
      </c>
      <c r="B232" s="16" t="str">
        <f aca="false">IFERROR(INDEX('SALES Raw'!$B$6:$B$1634,MATCH($J232,'SALES Raw'!$J$6:$J$1634,0)),$J232)</f>
        <v>40 0</v>
      </c>
      <c r="C232" s="16" t="str">
        <f aca="false">IF(ISNUMBER($J232),IFERROR(INDEX('TRANS'!$C:$C,MATCH($J232,'TRANS'!$B:$B,0)),IFERROR(INDEX('Catalog'!$B:$B,MATCH($J232,'Catalog'!$A:$A,0)),$B232)),$B232)</f>
        <v>40-רצועת פיקה לברך</v>
      </c>
      <c r="D232" s="8" t="n">
        <f aca="false">SUMIFS('SALES Raw'!$C$6:$C$1634,'SALES Raw'!$J$6:$J$1634,$J232,'SALES Raw'!$K$6:$K$1634,"Y")</f>
        <v>66</v>
      </c>
      <c r="E232" s="8" t="n">
        <f aca="false">SUMIFS('SALES Raw'!$D$6:$D$1634,'SALES Raw'!$J$6:$J$1634,$J232,'SALES Raw'!$K$6:$K$1634,"Y")</f>
        <v>1504.41</v>
      </c>
      <c r="F232" s="8" t="n">
        <f aca="false">SUMIFS('SALES Raw'!$E$6:$E$1634,'SALES Raw'!$J$6:$J$1634,$J232,'SALES Raw'!$K$6:$K$1634,"Y")*$H$4</f>
        <v>61.8947368421053</v>
      </c>
      <c r="G232" s="8" t="n">
        <f aca="false">SUMIFS('SALES Raw'!$F$6:$F$1634,'SALES Raw'!$J$6:$J$1634,$J232,'SALES Raw'!$K$6:$K$1634,"Y")*$H$4</f>
        <v>1286.33684210526</v>
      </c>
      <c r="H232" s="16" t="s">
        <v>42</v>
      </c>
      <c r="I232" s="16" t="s">
        <v>32</v>
      </c>
      <c r="J232" s="16" t="n">
        <v>4420016</v>
      </c>
    </row>
    <row r="233" customFormat="false" ht="15" hidden="false" customHeight="false" outlineLevel="0" collapsed="false">
      <c r="A233" s="16" t="n">
        <f aca="false">IF(ISNUMBER($J233),$J233,"")</f>
        <v>4422039</v>
      </c>
      <c r="B233" s="16" t="str">
        <f aca="false">IFERROR(INDEX('SALES Raw'!$B$6:$B$1634,MATCH($J233,'SALES Raw'!$J$6:$J$1634,0)),$J233)</f>
        <v>SH422 3</v>
      </c>
      <c r="C233" s="16" t="str">
        <f aca="false">IF(ISNUMBER($J233),IFERROR(INDEX('TRANS'!$C:$C,MATCH($J233,'TRANS'!$B:$B,0)),IFERROR(INDEX('Catalog'!$B:$B,MATCH($J233,'Catalog'!$A:$A,0)),$B233)),$B233)</f>
        <v>SH422 3 תומך ברך גנושילד</v>
      </c>
      <c r="D233" s="8" t="n">
        <f aca="false">SUMIFS('SALES Raw'!$C$6:$C$1634,'SALES Raw'!$J$6:$J$1634,$J233,'SALES Raw'!$K$6:$K$1634,"Y")</f>
        <v>12</v>
      </c>
      <c r="E233" s="8" t="n">
        <f aca="false">SUMIFS('SALES Raw'!$D$6:$D$1634,'SALES Raw'!$J$6:$J$1634,$J233,'SALES Raw'!$K$6:$K$1634,"Y")</f>
        <v>951.11</v>
      </c>
      <c r="F233" s="8" t="n">
        <f aca="false">SUMIFS('SALES Raw'!$E$6:$E$1634,'SALES Raw'!$J$6:$J$1634,$J233,'SALES Raw'!$K$6:$K$1634,"Y")*$H$4</f>
        <v>59.3684210526316</v>
      </c>
      <c r="G233" s="8" t="n">
        <f aca="false">SUMIFS('SALES Raw'!$F$6:$F$1634,'SALES Raw'!$J$6:$J$1634,$J233,'SALES Raw'!$K$6:$K$1634,"Y")*$H$4</f>
        <v>5196.82105263158</v>
      </c>
      <c r="H233" s="16" t="s">
        <v>32</v>
      </c>
      <c r="I233" s="16" t="s">
        <v>36</v>
      </c>
      <c r="J233" s="16" t="n">
        <v>4422039</v>
      </c>
    </row>
    <row r="234" customFormat="false" ht="15" hidden="false" customHeight="false" outlineLevel="0" collapsed="false">
      <c r="A234" s="16" t="str">
        <f aca="false">IF(ISNUMBER($J234),$J234,"")</f>
        <v/>
      </c>
      <c r="B234" s="16" t="str">
        <f aca="false">IFERROR(INDEX('SALES Raw'!$B$6:$B$1634,MATCH($J234,'SALES Raw'!$J$6:$J$1634,0)),$J234)</f>
        <v>11PS M</v>
      </c>
      <c r="C234" s="16" t="str">
        <f aca="false">IF(ISNUMBER($J234),IFERROR(INDEX('TRANS'!$C:$C,MATCH($J234,'TRANS'!$B:$B,0)),IFERROR(INDEX('Catalog'!$B:$B,MATCH($J234,'Catalog'!$A:$A,0)),$B234)),$B234)</f>
        <v>11PS M</v>
      </c>
      <c r="D234" s="8" t="n">
        <f aca="false">SUMIFS('SALES Raw'!$C$6:$C$1634,'SALES Raw'!$J$6:$J$1634,$J234,'SALES Raw'!$K$6:$K$1634,"Y")</f>
        <v>60</v>
      </c>
      <c r="E234" s="8" t="n">
        <f aca="false">SUMIFS('SALES Raw'!$D$6:$D$1634,'SALES Raw'!$J$6:$J$1634,$J234,'SALES Raw'!$K$6:$K$1634,"Y")</f>
        <v>3197.73</v>
      </c>
      <c r="F234" s="8" t="n">
        <f aca="false">SUMIFS('SALES Raw'!$E$6:$E$1634,'SALES Raw'!$J$6:$J$1634,$J234,'SALES Raw'!$K$6:$K$1634,"Y")*$H$4</f>
        <v>59.3684210526316</v>
      </c>
      <c r="G234" s="8" t="n">
        <f aca="false">SUMIFS('SALES Raw'!$F$6:$F$1634,'SALES Raw'!$J$6:$J$1634,$J234,'SALES Raw'!$K$6:$K$1634,"Y")*$H$4</f>
        <v>2944.56</v>
      </c>
      <c r="H234" s="16" t="s">
        <v>36</v>
      </c>
      <c r="I234" s="16" t="s">
        <v>41</v>
      </c>
      <c r="J234" s="16" t="s">
        <v>98</v>
      </c>
    </row>
    <row r="235" customFormat="false" ht="15" hidden="false" customHeight="false" outlineLevel="0" collapsed="false">
      <c r="A235" s="16" t="n">
        <f aca="false">IF(ISNUMBER($J235),$J235,"")</f>
        <v>4413366</v>
      </c>
      <c r="B235" s="16" t="str">
        <f aca="false">IFERROR(INDEX('SALES Raw'!$B$6:$B$1634,MATCH($J235,'SALES Raw'!$J$6:$J$1634,0)),$J235)</f>
        <v>95C S</v>
      </c>
      <c r="C235" s="16" t="str">
        <f aca="false">IF(ISNUMBER($J235),IFERROR(INDEX('TRANS'!$C:$C,MATCH($J235,'TRANS'!$B:$B,0)),IFERROR(INDEX('Catalog'!$B:$B,MATCH($J235,'Catalog'!$A:$A,0)),$B235)),$B235)</f>
        <v>95C S 'מגן מרפק בז</v>
      </c>
      <c r="D235" s="8" t="n">
        <f aca="false">SUMIFS('SALES Raw'!$C$6:$C$1634,'SALES Raw'!$J$6:$J$1634,$J235,'SALES Raw'!$K$6:$K$1634,"Y")</f>
        <v>135</v>
      </c>
      <c r="E235" s="8" t="n">
        <f aca="false">SUMIFS('SALES Raw'!$D$6:$D$1634,'SALES Raw'!$J$6:$J$1634,$J235,'SALES Raw'!$K$6:$K$1634,"Y")</f>
        <v>1922.85</v>
      </c>
      <c r="F235" s="8" t="n">
        <f aca="false">SUMIFS('SALES Raw'!$E$6:$E$1634,'SALES Raw'!$J$6:$J$1634,$J235,'SALES Raw'!$K$6:$K$1634,"Y")*$H$4</f>
        <v>58.1052631578947</v>
      </c>
      <c r="G235" s="8" t="n">
        <f aca="false">SUMIFS('SALES Raw'!$F$6:$F$1634,'SALES Raw'!$J$6:$J$1634,$J235,'SALES Raw'!$K$6:$K$1634,"Y")*$H$4</f>
        <v>735.056842105263</v>
      </c>
      <c r="H235" s="16" t="s">
        <v>30</v>
      </c>
      <c r="I235" s="16" t="s">
        <v>32</v>
      </c>
      <c r="J235" s="16" t="n">
        <v>4413366</v>
      </c>
    </row>
    <row r="236" customFormat="false" ht="15" hidden="false" customHeight="false" outlineLevel="0" collapsed="false">
      <c r="A236" s="16" t="n">
        <f aca="false">IF(ISNUMBER($J236),$J236,"")</f>
        <v>4413159</v>
      </c>
      <c r="B236" s="16" t="str">
        <f aca="false">IFERROR(INDEX('SALES Raw'!$B$6:$B$1634,MATCH($J236,'SALES Raw'!$J$6:$J$1634,0)),$J236)</f>
        <v>34+ S</v>
      </c>
      <c r="C236" s="16" t="str">
        <f aca="false">IF(ISNUMBER($J236),IFERROR(INDEX('TRANS'!$C:$C,MATCH($J236,'TRANS'!$B:$B,0)),IFERROR(INDEX('Catalog'!$B:$B,MATCH($J236,'Catalog'!$A:$A,0)),$B236)),$B236)</f>
        <v>34+ S מגן קרסול עקב סגור+רצוע</v>
      </c>
      <c r="D236" s="8" t="n">
        <f aca="false">SUMIFS('SALES Raw'!$C$6:$C$1634,'SALES Raw'!$J$6:$J$1634,$J236,'SALES Raw'!$K$6:$K$1634,"Y")</f>
        <v>23</v>
      </c>
      <c r="E236" s="8" t="n">
        <f aca="false">SUMIFS('SALES Raw'!$D$6:$D$1634,'SALES Raw'!$J$6:$J$1634,$J236,'SALES Raw'!$K$6:$K$1634,"Y")</f>
        <v>551.87</v>
      </c>
      <c r="F236" s="8" t="n">
        <f aca="false">SUMIFS('SALES Raw'!$E$6:$E$1634,'SALES Raw'!$J$6:$J$1634,$J236,'SALES Raw'!$K$6:$K$1634,"Y")*$H$4</f>
        <v>58.1052631578947</v>
      </c>
      <c r="G236" s="8" t="n">
        <f aca="false">SUMIFS('SALES Raw'!$F$6:$F$1634,'SALES Raw'!$J$6:$J$1634,$J236,'SALES Raw'!$K$6:$K$1634,"Y")*$H$4</f>
        <v>1730.95578947368</v>
      </c>
      <c r="H236" s="16" t="s">
        <v>42</v>
      </c>
      <c r="I236" s="16" t="s">
        <v>41</v>
      </c>
      <c r="J236" s="16" t="n">
        <v>4413159</v>
      </c>
    </row>
    <row r="237" customFormat="false" ht="15" hidden="false" customHeight="false" outlineLevel="0" collapsed="false">
      <c r="A237" s="16" t="n">
        <f aca="false">IF(ISNUMBER($J237),$J237,"")</f>
        <v>4413523</v>
      </c>
      <c r="B237" s="16" t="str">
        <f aca="false">IFERROR(INDEX('SALES Raw'!$B$6:$B$1634,MATCH($J237,'SALES Raw'!$J$6:$J$1634,0)),$J237)</f>
        <v>379COM-35-38</v>
      </c>
      <c r="C237" s="16" t="str">
        <f aca="false">IF(ISNUMBER($J237),IFERROR(INDEX('TRANS'!$C:$C,MATCH($J237,'TRANS'!$B:$B,0)),IFERROR(INDEX('Catalog'!$B:$B,MATCH($J237,'Catalog'!$A:$A,0)),$B237)),$B237)</f>
        <v>35-38 מדרסי אפיק ג'ל נוחות</v>
      </c>
      <c r="D237" s="8" t="n">
        <f aca="false">SUMIFS('SALES Raw'!$C$6:$C$1634,'SALES Raw'!$J$6:$J$1634,$J237,'SALES Raw'!$K$6:$K$1634,"Y")</f>
        <v>148</v>
      </c>
      <c r="E237" s="8" t="n">
        <f aca="false">SUMIFS('SALES Raw'!$D$6:$D$1634,'SALES Raw'!$J$6:$J$1634,$J237,'SALES Raw'!$K$6:$K$1634,"Y")</f>
        <v>6726.54</v>
      </c>
      <c r="F237" s="8" t="n">
        <f aca="false">SUMIFS('SALES Raw'!$E$6:$E$1634,'SALES Raw'!$J$6:$J$1634,$J237,'SALES Raw'!$K$6:$K$1634,"Y")*$H$4</f>
        <v>58.1052631578947</v>
      </c>
      <c r="G237" s="8" t="n">
        <f aca="false">SUMIFS('SALES Raw'!$F$6:$F$1634,'SALES Raw'!$J$6:$J$1634,$J237,'SALES Raw'!$K$6:$K$1634,"Y")*$H$4</f>
        <v>2342.41263157895</v>
      </c>
      <c r="H237" s="16" t="s">
        <v>44</v>
      </c>
      <c r="I237" s="16" t="s">
        <v>32</v>
      </c>
      <c r="J237" s="16" t="n">
        <v>4413523</v>
      </c>
    </row>
    <row r="238" customFormat="false" ht="15" hidden="false" customHeight="false" outlineLevel="0" collapsed="false">
      <c r="A238" s="16" t="str">
        <f aca="false">IF(ISNUMBER($J238),$J238,"")</f>
        <v/>
      </c>
      <c r="B238" s="16" t="str">
        <f aca="false">IFERROR(INDEX('SALES Raw'!$B$6:$B$1634,MATCH($J238,'SALES Raw'!$J$6:$J$1634,0)),$J238)</f>
        <v>T43V XXXL</v>
      </c>
      <c r="C238" s="16" t="str">
        <f aca="false">IF(ISNUMBER($J238),IFERROR(INDEX('TRANS'!$C:$C,MATCH($J238,'TRANS'!$B:$B,0)),IFERROR(INDEX('Catalog'!$B:$B,MATCH($J238,'Catalog'!$A:$A,0)),$B238)),$B238)</f>
        <v>T43V XXXL</v>
      </c>
      <c r="D238" s="8" t="n">
        <f aca="false">SUMIFS('SALES Raw'!$C$6:$C$1634,'SALES Raw'!$J$6:$J$1634,$J238,'SALES Raw'!$K$6:$K$1634,"Y")</f>
        <v>36</v>
      </c>
      <c r="E238" s="8" t="n">
        <f aca="false">SUMIFS('SALES Raw'!$D$6:$D$1634,'SALES Raw'!$J$6:$J$1634,$J238,'SALES Raw'!$K$6:$K$1634,"Y")</f>
        <v>4111.41</v>
      </c>
      <c r="F238" s="8" t="n">
        <f aca="false">SUMIFS('SALES Raw'!$E$6:$E$1634,'SALES Raw'!$J$6:$J$1634,$J238,'SALES Raw'!$K$6:$K$1634,"Y")*$H$4</f>
        <v>58.1052631578947</v>
      </c>
      <c r="G238" s="8" t="n">
        <f aca="false">SUMIFS('SALES Raw'!$F$6:$F$1634,'SALES Raw'!$J$6:$J$1634,$J238,'SALES Raw'!$K$6:$K$1634,"Y")*$H$4</f>
        <v>6448.09263157895</v>
      </c>
      <c r="H238" s="16" t="s">
        <v>36</v>
      </c>
      <c r="I238" s="16"/>
      <c r="J238" s="16" t="s">
        <v>99</v>
      </c>
    </row>
    <row r="239" customFormat="false" ht="15" hidden="false" customHeight="false" outlineLevel="0" collapsed="false">
      <c r="A239" s="16" t="n">
        <f aca="false">IF(ISNUMBER($J239),$J239,"")</f>
        <v>4411026</v>
      </c>
      <c r="B239" s="16" t="str">
        <f aca="false">IFERROR(INDEX('SALES Raw'!$B$6:$B$1634,MATCH($J239,'SALES Raw'!$J$6:$J$1634,0)),$J239)</f>
        <v>213CTSL L</v>
      </c>
      <c r="C239" s="16" t="str">
        <f aca="false">IF(ISNUMBER($J239),IFERROR(INDEX('TRANS'!$C:$C,MATCH($J239,'TRANS'!$B:$B,0)),IFERROR(INDEX('Catalog'!$B:$B,MATCH($J239,'Catalog'!$A:$A,0)),$B239)),$B239)</f>
        <v>213CTSL L שמאל CTS כפפות</v>
      </c>
      <c r="D239" s="8" t="n">
        <f aca="false">SUMIFS('SALES Raw'!$C$6:$C$1634,'SALES Raw'!$J$6:$J$1634,$J239,'SALES Raw'!$K$6:$K$1634,"Y")</f>
        <v>25</v>
      </c>
      <c r="E239" s="8" t="n">
        <f aca="false">SUMIFS('SALES Raw'!$D$6:$D$1634,'SALES Raw'!$J$6:$J$1634,$J239,'SALES Raw'!$K$6:$K$1634,"Y")</f>
        <v>984.29</v>
      </c>
      <c r="F239" s="8" t="n">
        <f aca="false">SUMIFS('SALES Raw'!$E$6:$E$1634,'SALES Raw'!$J$6:$J$1634,$J239,'SALES Raw'!$K$6:$K$1634,"Y")*$H$4</f>
        <v>56.8421052631579</v>
      </c>
      <c r="G239" s="8" t="n">
        <f aca="false">SUMIFS('SALES Raw'!$F$6:$F$1634,'SALES Raw'!$J$6:$J$1634,$J239,'SALES Raw'!$K$6:$K$1634,"Y")*$H$4</f>
        <v>2369.35578947368</v>
      </c>
      <c r="H239" s="16" t="s">
        <v>44</v>
      </c>
      <c r="I239" s="16" t="s">
        <v>32</v>
      </c>
      <c r="J239" s="16" t="n">
        <v>4411026</v>
      </c>
    </row>
    <row r="240" customFormat="false" ht="15" hidden="false" customHeight="false" outlineLevel="0" collapsed="false">
      <c r="A240" s="16" t="n">
        <f aca="false">IF(ISNUMBER($J240),$J240,"")</f>
        <v>4408148</v>
      </c>
      <c r="B240" s="16" t="str">
        <f aca="false">IFERROR(INDEX('SALES Raw'!$B$6:$B$1634,MATCH($J240,'SALES Raw'!$J$6:$J$1634,0)),$J240)</f>
        <v>11PS XL</v>
      </c>
      <c r="C240" s="16" t="str">
        <f aca="false">IF(ISNUMBER($J240),IFERROR(INDEX('TRANS'!$C:$C,MATCH($J240,'TRANS'!$B:$B,0)),IFERROR(INDEX('Catalog'!$B:$B,MATCH($J240,'Catalog'!$A:$A,0)),$B240)),$B240)</f>
        <v>11PS XLחגורה למנותחי בטן</v>
      </c>
      <c r="D240" s="8" t="n">
        <f aca="false">SUMIFS('SALES Raw'!$C$6:$C$1634,'SALES Raw'!$J$6:$J$1634,$J240,'SALES Raw'!$K$6:$K$1634,"Y")</f>
        <v>84</v>
      </c>
      <c r="E240" s="8" t="n">
        <f aca="false">SUMIFS('SALES Raw'!$D$6:$D$1634,'SALES Raw'!$J$6:$J$1634,$J240,'SALES Raw'!$K$6:$K$1634,"Y")</f>
        <v>4705.74</v>
      </c>
      <c r="F240" s="8" t="n">
        <f aca="false">SUMIFS('SALES Raw'!$E$6:$E$1634,'SALES Raw'!$J$6:$J$1634,$J240,'SALES Raw'!$K$6:$K$1634,"Y")*$H$4</f>
        <v>56.8421052631579</v>
      </c>
      <c r="G240" s="8" t="n">
        <f aca="false">SUMIFS('SALES Raw'!$F$6:$F$1634,'SALES Raw'!$J$6:$J$1634,$J240,'SALES Raw'!$K$6:$K$1634,"Y")*$H$4</f>
        <v>3002.12210526316</v>
      </c>
      <c r="H240" s="16" t="s">
        <v>36</v>
      </c>
      <c r="I240" s="16" t="s">
        <v>41</v>
      </c>
      <c r="J240" s="16" t="n">
        <v>4408148</v>
      </c>
    </row>
    <row r="241" customFormat="false" ht="15" hidden="false" customHeight="false" outlineLevel="0" collapsed="false">
      <c r="A241" s="16" t="str">
        <f aca="false">IF(ISNUMBER($J241),$J241,"")</f>
        <v/>
      </c>
      <c r="B241" s="16" t="str">
        <f aca="false">IFERROR(INDEX('SALES Raw'!$B$6:$B$1634,MATCH($J241,'SALES Raw'!$J$6:$J$1634,0)),$J241)</f>
        <v>49PS XXL</v>
      </c>
      <c r="C241" s="16" t="str">
        <f aca="false">IF(ISNUMBER($J241),IFERROR(INDEX('TRANS'!$C:$C,MATCH($J241,'TRANS'!$B:$B,0)),IFERROR(INDEX('Catalog'!$B:$B,MATCH($J241,'Catalog'!$A:$A,0)),$B241)),$B241)</f>
        <v>49PS XXL</v>
      </c>
      <c r="D241" s="8" t="n">
        <f aca="false">SUMIFS('SALES Raw'!$C$6:$C$1634,'SALES Raw'!$J$6:$J$1634,$J241,'SALES Raw'!$K$6:$K$1634,"Y")</f>
        <v>61</v>
      </c>
      <c r="E241" s="8" t="n">
        <f aca="false">SUMIFS('SALES Raw'!$D$6:$D$1634,'SALES Raw'!$J$6:$J$1634,$J241,'SALES Raw'!$K$6:$K$1634,"Y")</f>
        <v>3467</v>
      </c>
      <c r="F241" s="8" t="n">
        <f aca="false">SUMIFS('SALES Raw'!$E$6:$E$1634,'SALES Raw'!$J$6:$J$1634,$J241,'SALES Raw'!$K$6:$K$1634,"Y")*$H$4</f>
        <v>55.5789473684211</v>
      </c>
      <c r="G241" s="8" t="n">
        <f aca="false">SUMIFS('SALES Raw'!$F$6:$F$1634,'SALES Raw'!$J$6:$J$1634,$J241,'SALES Raw'!$K$6:$K$1634,"Y")*$H$4</f>
        <v>3282.29052631579</v>
      </c>
      <c r="H241" s="16" t="s">
        <v>36</v>
      </c>
      <c r="I241" s="16"/>
      <c r="J241" s="16" t="s">
        <v>100</v>
      </c>
    </row>
    <row r="242" customFormat="false" ht="15" hidden="false" customHeight="false" outlineLevel="0" collapsed="false">
      <c r="A242" s="16" t="n">
        <f aca="false">IF(ISNUMBER($J242),$J242,"")</f>
        <v>4422041</v>
      </c>
      <c r="B242" s="16" t="str">
        <f aca="false">IFERROR(INDEX('SALES Raw'!$B$6:$B$1634,MATCH($J242,'SALES Raw'!$J$6:$J$1634,0)),$J242)</f>
        <v>SH422 5</v>
      </c>
      <c r="C242" s="16" t="str">
        <f aca="false">IF(ISNUMBER($J242),IFERROR(INDEX('TRANS'!$C:$C,MATCH($J242,'TRANS'!$B:$B,0)),IFERROR(INDEX('Catalog'!$B:$B,MATCH($J242,'Catalog'!$A:$A,0)),$B242)),$B242)</f>
        <v>SH422 5 תומך ברך גנושילד</v>
      </c>
      <c r="D242" s="8" t="n">
        <f aca="false">SUMIFS('SALES Raw'!$C$6:$C$1634,'SALES Raw'!$J$6:$J$1634,$J242,'SALES Raw'!$K$6:$K$1634,"Y")</f>
        <v>10</v>
      </c>
      <c r="E242" s="8" t="n">
        <f aca="false">SUMIFS('SALES Raw'!$D$6:$D$1634,'SALES Raw'!$J$6:$J$1634,$J242,'SALES Raw'!$K$6:$K$1634,"Y")</f>
        <v>863.63</v>
      </c>
      <c r="F242" s="8" t="n">
        <f aca="false">SUMIFS('SALES Raw'!$E$6:$E$1634,'SALES Raw'!$J$6:$J$1634,$J242,'SALES Raw'!$K$6:$K$1634,"Y")*$H$4</f>
        <v>54.3157894736842</v>
      </c>
      <c r="G242" s="8" t="n">
        <f aca="false">SUMIFS('SALES Raw'!$F$6:$F$1634,'SALES Raw'!$J$6:$J$1634,$J242,'SALES Raw'!$K$6:$K$1634,"Y")*$H$4</f>
        <v>4746.39157894737</v>
      </c>
      <c r="H242" s="16" t="s">
        <v>36</v>
      </c>
      <c r="I242" s="16" t="s">
        <v>32</v>
      </c>
      <c r="J242" s="16" t="n">
        <v>4422041</v>
      </c>
    </row>
    <row r="243" customFormat="false" ht="15" hidden="false" customHeight="false" outlineLevel="0" collapsed="false">
      <c r="A243" s="16" t="n">
        <f aca="false">IF(ISNUMBER($J243),$J243,"")</f>
        <v>4413524</v>
      </c>
      <c r="B243" s="16" t="str">
        <f aca="false">IFERROR(INDEX('SALES Raw'!$B$6:$B$1634,MATCH($J243,'SALES Raw'!$J$6:$J$1634,0)),$J243)</f>
        <v>379COM-39-42</v>
      </c>
      <c r="C243" s="16" t="str">
        <f aca="false">IF(ISNUMBER($J243),IFERROR(INDEX('TRANS'!$C:$C,MATCH($J243,'TRANS'!$B:$B,0)),IFERROR(INDEX('Catalog'!$B:$B,MATCH($J243,'Catalog'!$A:$A,0)),$B243)),$B243)</f>
        <v>39-42 מדרסי אפיק ג'ל נוחות</v>
      </c>
      <c r="D243" s="8" t="n">
        <f aca="false">SUMIFS('SALES Raw'!$C$6:$C$1634,'SALES Raw'!$J$6:$J$1634,$J243,'SALES Raw'!$K$6:$K$1634,"Y")</f>
        <v>176</v>
      </c>
      <c r="E243" s="8" t="n">
        <f aca="false">SUMIFS('SALES Raw'!$D$6:$D$1634,'SALES Raw'!$J$6:$J$1634,$J243,'SALES Raw'!$K$6:$K$1634,"Y")</f>
        <v>8076.23</v>
      </c>
      <c r="F243" s="8" t="n">
        <f aca="false">SUMIFS('SALES Raw'!$E$6:$E$1634,'SALES Raw'!$J$6:$J$1634,$J243,'SALES Raw'!$K$6:$K$1634,"Y")*$H$4</f>
        <v>53.0526315789474</v>
      </c>
      <c r="G243" s="8" t="n">
        <f aca="false">SUMIFS('SALES Raw'!$F$6:$F$1634,'SALES Raw'!$J$6:$J$1634,$J243,'SALES Raw'!$K$6:$K$1634,"Y")*$H$4</f>
        <v>2118.29052631579</v>
      </c>
      <c r="H243" s="16" t="s">
        <v>44</v>
      </c>
      <c r="I243" s="16" t="s">
        <v>42</v>
      </c>
      <c r="J243" s="16" t="n">
        <v>4413524</v>
      </c>
    </row>
    <row r="244" customFormat="false" ht="15" hidden="false" customHeight="false" outlineLevel="0" collapsed="false">
      <c r="A244" s="16" t="n">
        <f aca="false">IF(ISNUMBER($J244),$J244,"")</f>
        <v>4408223</v>
      </c>
      <c r="B244" s="16" t="str">
        <f aca="false">IFERROR(INDEX('SALES Raw'!$B$6:$B$1634,MATCH($J244,'SALES Raw'!$J$6:$J$1634,0)),$J244)</f>
        <v>078G XXL</v>
      </c>
      <c r="C244" s="16" t="str">
        <f aca="false">IF(ISNUMBER($J244),IFERROR(INDEX('TRANS'!$C:$C,MATCH($J244,'TRANS'!$B:$B,0)),IFERROR(INDEX('Catalog'!$B:$B,MATCH($J244,'Catalog'!$A:$A,0)),$B244)),$B244)</f>
        <v>078G-XXLחגורת גב אפורה</v>
      </c>
      <c r="D244" s="8" t="n">
        <f aca="false">SUMIFS('SALES Raw'!$C$6:$C$1634,'SALES Raw'!$J$6:$J$1634,$J244,'SALES Raw'!$K$6:$K$1634,"Y")</f>
        <v>119</v>
      </c>
      <c r="E244" s="8" t="n">
        <f aca="false">SUMIFS('SALES Raw'!$D$6:$D$1634,'SALES Raw'!$J$6:$J$1634,$J244,'SALES Raw'!$K$6:$K$1634,"Y")</f>
        <v>8326.77</v>
      </c>
      <c r="F244" s="8" t="n">
        <f aca="false">SUMIFS('SALES Raw'!$E$6:$E$1634,'SALES Raw'!$J$6:$J$1634,$J244,'SALES Raw'!$K$6:$K$1634,"Y")*$H$4</f>
        <v>50.5263157894737</v>
      </c>
      <c r="G244" s="8" t="n">
        <f aca="false">SUMIFS('SALES Raw'!$F$6:$F$1634,'SALES Raw'!$J$6:$J$1634,$J244,'SALES Raw'!$K$6:$K$1634,"Y")*$H$4</f>
        <v>2980.05473684211</v>
      </c>
      <c r="H244" s="16" t="s">
        <v>30</v>
      </c>
      <c r="I244" s="16" t="s">
        <v>37</v>
      </c>
      <c r="J244" s="16" t="n">
        <v>4408223</v>
      </c>
    </row>
    <row r="245" customFormat="false" ht="15" hidden="false" customHeight="false" outlineLevel="0" collapsed="false">
      <c r="A245" s="16" t="n">
        <f aca="false">IF(ISNUMBER($J245),$J245,"")</f>
        <v>4413494</v>
      </c>
      <c r="B245" s="16" t="str">
        <f aca="false">IFERROR(INDEX('SALES Raw'!$B$6:$B$1634,MATCH($J245,'SALES Raw'!$J$6:$J$1634,0)),$J245)</f>
        <v>35B XXL</v>
      </c>
      <c r="C245" s="16" t="str">
        <f aca="false">IF(ISNUMBER($J245),IFERROR(INDEX('TRANS'!$C:$C,MATCH($J245,'TRANS'!$B:$B,0)),IFERROR(INDEX('Catalog'!$B:$B,MATCH($J245,'Catalog'!$A:$A,0)),$B245)),$B245)</f>
        <v>35B XXL מגן קרסול שחור</v>
      </c>
      <c r="D245" s="8" t="n">
        <f aca="false">SUMIFS('SALES Raw'!$C$6:$C$1634,'SALES Raw'!$J$6:$J$1634,$J245,'SALES Raw'!$K$6:$K$1634,"Y")</f>
        <v>60</v>
      </c>
      <c r="E245" s="8" t="n">
        <f aca="false">SUMIFS('SALES Raw'!$D$6:$D$1634,'SALES Raw'!$J$6:$J$1634,$J245,'SALES Raw'!$K$6:$K$1634,"Y")</f>
        <v>688.01</v>
      </c>
      <c r="F245" s="8" t="n">
        <f aca="false">SUMIFS('SALES Raw'!$E$6:$E$1634,'SALES Raw'!$J$6:$J$1634,$J245,'SALES Raw'!$K$6:$K$1634,"Y")*$H$4</f>
        <v>50.5263157894737</v>
      </c>
      <c r="G245" s="8" t="n">
        <f aca="false">SUMIFS('SALES Raw'!$F$6:$F$1634,'SALES Raw'!$J$6:$J$1634,$J245,'SALES Raw'!$K$6:$K$1634,"Y")*$H$4</f>
        <v>507.486315789474</v>
      </c>
      <c r="H245" s="16" t="s">
        <v>38</v>
      </c>
      <c r="I245" s="16" t="s">
        <v>37</v>
      </c>
      <c r="J245" s="16" t="n">
        <v>4413494</v>
      </c>
    </row>
    <row r="246" customFormat="false" ht="15" hidden="false" customHeight="false" outlineLevel="0" collapsed="false">
      <c r="A246" s="16" t="n">
        <f aca="false">IF(ISNUMBER($J246),$J246,"")</f>
        <v>4413061</v>
      </c>
      <c r="B246" s="16" t="str">
        <f aca="false">IFERROR(INDEX('SALES Raw'!$B$6:$B$1634,MATCH($J246,'SALES Raw'!$J$6:$J$1634,0)),$J246)</f>
        <v>3641 0</v>
      </c>
      <c r="C246" s="16" t="str">
        <f aca="false">IF(ISNUMBER($J246),IFERROR(INDEX('TRANS'!$C:$C,MATCH($J246,'TRANS'!$B:$B,0)),IFERROR(INDEX('Catalog'!$B:$B,MATCH($J246,'Catalog'!$A:$A,0)),$B246)),$B246)</f>
        <v>3641-מיישר בוהן סיליקון קשיח</v>
      </c>
      <c r="D246" s="8" t="n">
        <f aca="false">SUMIFS('SALES Raw'!$C$6:$C$1634,'SALES Raw'!$J$6:$J$1634,$J246,'SALES Raw'!$K$6:$K$1634,"Y")</f>
        <v>454</v>
      </c>
      <c r="E246" s="8" t="n">
        <f aca="false">SUMIFS('SALES Raw'!$D$6:$D$1634,'SALES Raw'!$J$6:$J$1634,$J246,'SALES Raw'!$K$6:$K$1634,"Y")</f>
        <v>2441.21</v>
      </c>
      <c r="F246" s="8" t="n">
        <f aca="false">SUMIFS('SALES Raw'!$E$6:$E$1634,'SALES Raw'!$J$6:$J$1634,$J246,'SALES Raw'!$K$6:$K$1634,"Y")*$H$4</f>
        <v>50.5263157894737</v>
      </c>
      <c r="G246" s="8" t="n">
        <f aca="false">SUMIFS('SALES Raw'!$F$6:$F$1634,'SALES Raw'!$J$6:$J$1634,$J246,'SALES Raw'!$K$6:$K$1634,"Y")*$H$4</f>
        <v>248.513684210526</v>
      </c>
      <c r="H246" s="16" t="s">
        <v>38</v>
      </c>
      <c r="I246" s="16" t="s">
        <v>31</v>
      </c>
      <c r="J246" s="16" t="n">
        <v>4413061</v>
      </c>
    </row>
    <row r="247" customFormat="false" ht="15" hidden="false" customHeight="false" outlineLevel="0" collapsed="false">
      <c r="A247" s="16" t="n">
        <f aca="false">IF(ISNUMBER($J247),$J247,"")</f>
        <v>4403034</v>
      </c>
      <c r="B247" s="16" t="str">
        <f aca="false">IFERROR(INDEX('SALES Raw'!$B$6:$B$1634,MATCH($J247,'SALES Raw'!$J$6:$J$1634,0)),$J247)</f>
        <v>ST3555-S-M</v>
      </c>
      <c r="C247" s="16" t="str">
        <f aca="false">IF(ISNUMBER($J247),IFERROR(INDEX('TRANS'!$C:$C,MATCH($J247,'TRANS'!$B:$B,0)),IFERROR(INDEX('Catalog'!$B:$B,MATCH($J247,'Catalog'!$A:$A,0)),$B247)),$B247)</f>
        <v>ST3555 S-Mגרב לילה לטיפ.בדורבן</v>
      </c>
      <c r="D247" s="8" t="n">
        <f aca="false">SUMIFS('SALES Raw'!$C$6:$C$1634,'SALES Raw'!$J$6:$J$1634,$J247,'SALES Raw'!$K$6:$K$1634,"Y")</f>
        <v>70</v>
      </c>
      <c r="E247" s="8" t="n">
        <f aca="false">SUMIFS('SALES Raw'!$D$6:$D$1634,'SALES Raw'!$J$6:$J$1634,$J247,'SALES Raw'!$K$6:$K$1634,"Y")</f>
        <v>2654.93</v>
      </c>
      <c r="F247" s="8" t="n">
        <f aca="false">SUMIFS('SALES Raw'!$E$6:$E$1634,'SALES Raw'!$J$6:$J$1634,$J247,'SALES Raw'!$K$6:$K$1634,"Y")*$H$4</f>
        <v>50.5263157894737</v>
      </c>
      <c r="G247" s="8" t="n">
        <f aca="false">SUMIFS('SALES Raw'!$F$6:$F$1634,'SALES Raw'!$J$6:$J$1634,$J247,'SALES Raw'!$K$6:$K$1634,"Y")*$H$4</f>
        <v>1663.84421052632</v>
      </c>
      <c r="H247" s="16" t="s">
        <v>37</v>
      </c>
      <c r="I247" s="16"/>
      <c r="J247" s="16" t="n">
        <v>4403034</v>
      </c>
    </row>
    <row r="248" customFormat="false" ht="15" hidden="false" customHeight="false" outlineLevel="0" collapsed="false">
      <c r="A248" s="16" t="n">
        <f aca="false">IF(ISNUMBER($J248),$J248,"")</f>
        <v>4422006</v>
      </c>
      <c r="B248" s="16" t="str">
        <f aca="false">IFERROR(INDEX('SALES Raw'!$B$6:$B$1634,MATCH($J248,'SALES Raw'!$J$6:$J$1634,0)),$J248)</f>
        <v>T78 L</v>
      </c>
      <c r="C248" s="16" t="str">
        <f aca="false">IF(ISNUMBER($J248),IFERROR(INDEX('TRANS'!$C:$C,MATCH($J248,'TRANS'!$B:$B,0)),IFERROR(INDEX('Catalog'!$B:$B,MATCH($J248,'Catalog'!$A:$A,0)),$B248)),$B248)</f>
        <v>T78 L תומך זרוע וכתף</v>
      </c>
      <c r="D248" s="8" t="n">
        <f aca="false">SUMIFS('SALES Raw'!$C$6:$C$1634,'SALES Raw'!$J$6:$J$1634,$J248,'SALES Raw'!$K$6:$K$1634,"Y")</f>
        <v>7</v>
      </c>
      <c r="E248" s="8" t="n">
        <f aca="false">SUMIFS('SALES Raw'!$D$6:$D$1634,'SALES Raw'!$J$6:$J$1634,$J248,'SALES Raw'!$K$6:$K$1634,"Y")</f>
        <v>551.13</v>
      </c>
      <c r="F248" s="8" t="n">
        <f aca="false">SUMIFS('SALES Raw'!$E$6:$E$1634,'SALES Raw'!$J$6:$J$1634,$J248,'SALES Raw'!$K$6:$K$1634,"Y")*$H$4</f>
        <v>49.2631578947368</v>
      </c>
      <c r="G248" s="8" t="n">
        <f aca="false">SUMIFS('SALES Raw'!$F$6:$F$1634,'SALES Raw'!$J$6:$J$1634,$J248,'SALES Raw'!$K$6:$K$1634,"Y")*$H$4</f>
        <v>3603.49894736842</v>
      </c>
      <c r="H248" s="16" t="s">
        <v>42</v>
      </c>
      <c r="I248" s="16" t="s">
        <v>32</v>
      </c>
      <c r="J248" s="16" t="n">
        <v>4422006</v>
      </c>
    </row>
    <row r="249" customFormat="false" ht="15" hidden="false" customHeight="false" outlineLevel="0" collapsed="false">
      <c r="A249" s="16" t="n">
        <f aca="false">IF(ISNUMBER($J249),$J249,"")</f>
        <v>4418000</v>
      </c>
      <c r="B249" s="16" t="str">
        <f aca="false">IFERROR(INDEX('SALES Raw'!$B$6:$B$1634,MATCH($J249,'SALES Raw'!$J$6:$J$1634,0)),$J249)</f>
        <v>60 L</v>
      </c>
      <c r="C249" s="16" t="str">
        <f aca="false">IF(ISNUMBER($J249),IFERROR(INDEX('TRANS'!$C:$C,MATCH($J249,'TRANS'!$B:$B,0)),IFERROR(INDEX('Catalog'!$B:$B,MATCH($J249,'Catalog'!$A:$A,0)),$B249)),$B249)</f>
        <v>60 L צוארון ספוגי</v>
      </c>
      <c r="D249" s="8" t="n">
        <f aca="false">SUMIFS('SALES Raw'!$C$6:$C$1634,'SALES Raw'!$J$6:$J$1634,$J249,'SALES Raw'!$K$6:$K$1634,"Y")</f>
        <v>137</v>
      </c>
      <c r="E249" s="8" t="n">
        <f aca="false">SUMIFS('SALES Raw'!$D$6:$D$1634,'SALES Raw'!$J$6:$J$1634,$J249,'SALES Raw'!$K$6:$K$1634,"Y")</f>
        <v>3250.68</v>
      </c>
      <c r="F249" s="8" t="n">
        <f aca="false">SUMIFS('SALES Raw'!$E$6:$E$1634,'SALES Raw'!$J$6:$J$1634,$J249,'SALES Raw'!$K$6:$K$1634,"Y")*$H$4</f>
        <v>46.7368421052632</v>
      </c>
      <c r="G249" s="8" t="n">
        <f aca="false">SUMIFS('SALES Raw'!$F$6:$F$1634,'SALES Raw'!$J$6:$J$1634,$J249,'SALES Raw'!$K$6:$K$1634,"Y")*$H$4</f>
        <v>1003.54105263158</v>
      </c>
      <c r="H249" s="16" t="s">
        <v>38</v>
      </c>
      <c r="I249" s="16" t="s">
        <v>36</v>
      </c>
      <c r="J249" s="16" t="n">
        <v>4418000</v>
      </c>
    </row>
    <row r="250" customFormat="false" ht="15" hidden="false" customHeight="false" outlineLevel="0" collapsed="false">
      <c r="A250" s="16" t="n">
        <f aca="false">IF(ISNUMBER($J250),$J250,"")</f>
        <v>4408259</v>
      </c>
      <c r="B250" s="16" t="str">
        <f aca="false">IFERROR(INDEX('SALES Raw'!$B$6:$B$1634,MATCH($J250,'SALES Raw'!$J$6:$J$1634,0)),$J250)</f>
        <v>11STO S</v>
      </c>
      <c r="C250" s="16" t="str">
        <f aca="false">IF(ISNUMBER($J250),IFERROR(INDEX('TRANS'!$C:$C,MATCH($J250,'TRANS'!$B:$B,0)),IFERROR(INDEX('Catalog'!$B:$B,MATCH($J250,'Catalog'!$A:$A,0)),$B250)),$B250)</f>
        <v>11STO S חגורה אחרי ניתוח</v>
      </c>
      <c r="D250" s="8" t="n">
        <f aca="false">SUMIFS('SALES Raw'!$C$6:$C$1634,'SALES Raw'!$J$6:$J$1634,$J250,'SALES Raw'!$K$6:$K$1634,"Y")</f>
        <v>82</v>
      </c>
      <c r="E250" s="8" t="n">
        <f aca="false">SUMIFS('SALES Raw'!$D$6:$D$1634,'SALES Raw'!$J$6:$J$1634,$J250,'SALES Raw'!$K$6:$K$1634,"Y")</f>
        <v>5125.13</v>
      </c>
      <c r="F250" s="8" t="n">
        <f aca="false">SUMIFS('SALES Raw'!$E$6:$E$1634,'SALES Raw'!$J$6:$J$1634,$J250,'SALES Raw'!$K$6:$K$1634,"Y")*$H$4</f>
        <v>46.7368421052632</v>
      </c>
      <c r="G250" s="8" t="n">
        <f aca="false">SUMIFS('SALES Raw'!$F$6:$F$1634,'SALES Raw'!$J$6:$J$1634,$J250,'SALES Raw'!$K$6:$K$1634,"Y")*$H$4</f>
        <v>2883.62526315789</v>
      </c>
      <c r="H250" s="16" t="s">
        <v>44</v>
      </c>
      <c r="I250" s="16"/>
      <c r="J250" s="16" t="n">
        <v>4408259</v>
      </c>
    </row>
    <row r="251" customFormat="false" ht="15" hidden="false" customHeight="false" outlineLevel="0" collapsed="false">
      <c r="A251" s="16" t="n">
        <f aca="false">IF(ISNUMBER($J251),$J251,"")</f>
        <v>4403040</v>
      </c>
      <c r="B251" s="16" t="str">
        <f aca="false">IFERROR(INDEX('SALES Raw'!$B$6:$B$1634,MATCH($J251,'SALES Raw'!$J$6:$J$1634,0)),$J251)</f>
        <v>3444B 0</v>
      </c>
      <c r="C251" s="16" t="str">
        <f aca="false">IF(ISNUMBER($J251),IFERROR(INDEX('TRANS'!$C:$C,MATCH($J251,'TRANS'!$B:$B,0)),IFERROR(INDEX('Catalog'!$B:$B,MATCH($J251,'Catalog'!$A:$A,0)),$B251)),$B251)</f>
        <v>3444B גרבי ג'ל לריכוך עור העקב</v>
      </c>
      <c r="D251" s="8" t="n">
        <f aca="false">SUMIFS('SALES Raw'!$C$6:$C$1634,'SALES Raw'!$J$6:$J$1634,$J251,'SALES Raw'!$K$6:$K$1634,"Y")</f>
        <v>32</v>
      </c>
      <c r="E251" s="8" t="n">
        <f aca="false">SUMIFS('SALES Raw'!$D$6:$D$1634,'SALES Raw'!$J$6:$J$1634,$J251,'SALES Raw'!$K$6:$K$1634,"Y")</f>
        <v>553.22</v>
      </c>
      <c r="F251" s="8" t="n">
        <f aca="false">SUMIFS('SALES Raw'!$E$6:$E$1634,'SALES Raw'!$J$6:$J$1634,$J251,'SALES Raw'!$K$6:$K$1634,"Y")*$H$4</f>
        <v>45.4736842105263</v>
      </c>
      <c r="G251" s="8" t="n">
        <f aca="false">SUMIFS('SALES Raw'!$F$6:$F$1634,'SALES Raw'!$J$6:$J$1634,$J251,'SALES Raw'!$K$6:$K$1634,"Y")*$H$4</f>
        <v>754.08</v>
      </c>
      <c r="H251" s="16" t="s">
        <v>38</v>
      </c>
      <c r="I251" s="16" t="s">
        <v>42</v>
      </c>
      <c r="J251" s="16" t="n">
        <v>4403040</v>
      </c>
    </row>
    <row r="252" customFormat="false" ht="15" hidden="false" customHeight="false" outlineLevel="0" collapsed="false">
      <c r="A252" s="16" t="n">
        <f aca="false">IF(ISNUMBER($J252),$J252,"")</f>
        <v>4413096</v>
      </c>
      <c r="B252" s="16" t="str">
        <f aca="false">IFERROR(INDEX('SALES Raw'!$B$6:$B$1634,MATCH($J252,'SALES Raw'!$J$6:$J$1634,0)),$J252)</f>
        <v>45 XXL</v>
      </c>
      <c r="C252" s="16" t="str">
        <f aca="false">IF(ISNUMBER($J252),IFERROR(INDEX('TRANS'!$C:$C,MATCH($J252,'TRANS'!$B:$B,0)),IFERROR(INDEX('Catalog'!$B:$B,MATCH($J252,'Catalog'!$A:$A,0)),$B252)),$B252)</f>
        <v>45 XXL מגן ברך לבן</v>
      </c>
      <c r="D252" s="8" t="n">
        <f aca="false">SUMIFS('SALES Raw'!$C$6:$C$1634,'SALES Raw'!$J$6:$J$1634,$J252,'SALES Raw'!$K$6:$K$1634,"Y")</f>
        <v>157</v>
      </c>
      <c r="E252" s="8" t="n">
        <f aca="false">SUMIFS('SALES Raw'!$D$6:$D$1634,'SALES Raw'!$J$6:$J$1634,$J252,'SALES Raw'!$K$6:$K$1634,"Y")</f>
        <v>1631.14</v>
      </c>
      <c r="F252" s="8" t="n">
        <f aca="false">SUMIFS('SALES Raw'!$E$6:$E$1634,'SALES Raw'!$J$6:$J$1634,$J252,'SALES Raw'!$K$6:$K$1634,"Y")*$H$4</f>
        <v>45.4736842105263</v>
      </c>
      <c r="G252" s="8" t="n">
        <f aca="false">SUMIFS('SALES Raw'!$F$6:$F$1634,'SALES Raw'!$J$6:$J$1634,$J252,'SALES Raw'!$K$6:$K$1634,"Y")*$H$4</f>
        <v>467.204210526316</v>
      </c>
      <c r="H252" s="16" t="s">
        <v>44</v>
      </c>
      <c r="I252" s="16" t="s">
        <v>36</v>
      </c>
      <c r="J252" s="16" t="n">
        <v>4413096</v>
      </c>
    </row>
    <row r="253" customFormat="false" ht="15" hidden="false" customHeight="false" outlineLevel="0" collapsed="false">
      <c r="A253" s="16" t="n">
        <f aca="false">IF(ISNUMBER($J253),$J253,"")</f>
        <v>4415005</v>
      </c>
      <c r="B253" s="16" t="str">
        <f aca="false">IFERROR(INDEX('SALES Raw'!$B$6:$B$1634,MATCH($J253,'SALES Raw'!$J$6:$J$1634,0)),$J253)</f>
        <v>28 L</v>
      </c>
      <c r="C253" s="16" t="str">
        <f aca="false">IF(ISNUMBER($J253),IFERROR(INDEX('TRANS'!$C:$C,MATCH($J253,'TRANS'!$B:$B,0)),IFERROR(INDEX('Catalog'!$B:$B,MATCH($J253,'Catalog'!$A:$A,0)),$B253)),$B253)</f>
        <v>28 L סד לאגודל לאחר שבר</v>
      </c>
      <c r="D253" s="8" t="n">
        <f aca="false">SUMIFS('SALES Raw'!$C$6:$C$1634,'SALES Raw'!$J$6:$J$1634,$J253,'SALES Raw'!$K$6:$K$1634,"Y")</f>
        <v>25</v>
      </c>
      <c r="E253" s="8" t="n">
        <f aca="false">SUMIFS('SALES Raw'!$D$6:$D$1634,'SALES Raw'!$J$6:$J$1634,$J253,'SALES Raw'!$K$6:$K$1634,"Y")</f>
        <v>901.2</v>
      </c>
      <c r="F253" s="8" t="n">
        <f aca="false">SUMIFS('SALES Raw'!$E$6:$E$1634,'SALES Raw'!$J$6:$J$1634,$J253,'SALES Raw'!$K$6:$K$1634,"Y")*$H$4</f>
        <v>42.9473684210526</v>
      </c>
      <c r="G253" s="8" t="n">
        <f aca="false">SUMIFS('SALES Raw'!$F$6:$F$1634,'SALES Raw'!$J$6:$J$1634,$J253,'SALES Raw'!$K$6:$K$1634,"Y")*$H$4</f>
        <v>1411.52842105263</v>
      </c>
      <c r="H253" s="16" t="s">
        <v>38</v>
      </c>
      <c r="I253" s="16" t="s">
        <v>32</v>
      </c>
      <c r="J253" s="16" t="n">
        <v>4415005</v>
      </c>
    </row>
    <row r="254" customFormat="false" ht="15" hidden="false" customHeight="false" outlineLevel="0" collapsed="false">
      <c r="A254" s="16" t="n">
        <f aca="false">IF(ISNUMBER($J254),$J254,"")</f>
        <v>4422042</v>
      </c>
      <c r="B254" s="16" t="str">
        <f aca="false">IFERROR(INDEX('SALES Raw'!$B$6:$B$1634,MATCH($J254,'SALES Raw'!$J$6:$J$1634,0)),$J254)</f>
        <v>SH422 6</v>
      </c>
      <c r="C254" s="16" t="str">
        <f aca="false">IF(ISNUMBER($J254),IFERROR(INDEX('TRANS'!$C:$C,MATCH($J254,'TRANS'!$B:$B,0)),IFERROR(INDEX('Catalog'!$B:$B,MATCH($J254,'Catalog'!$A:$A,0)),$B254)),$B254)</f>
        <v>SH422 6 תומך ברך גנושילד</v>
      </c>
      <c r="D254" s="8" t="n">
        <f aca="false">SUMIFS('SALES Raw'!$C$6:$C$1634,'SALES Raw'!$J$6:$J$1634,$J254,'SALES Raw'!$K$6:$K$1634,"Y")</f>
        <v>10</v>
      </c>
      <c r="E254" s="8" t="n">
        <f aca="false">SUMIFS('SALES Raw'!$D$6:$D$1634,'SALES Raw'!$J$6:$J$1634,$J254,'SALES Raw'!$K$6:$K$1634,"Y")</f>
        <v>863.63</v>
      </c>
      <c r="F254" s="8" t="n">
        <f aca="false">SUMIFS('SALES Raw'!$E$6:$E$1634,'SALES Raw'!$J$6:$J$1634,$J254,'SALES Raw'!$K$6:$K$1634,"Y")*$H$4</f>
        <v>42.9473684210526</v>
      </c>
      <c r="G254" s="8" t="n">
        <f aca="false">SUMIFS('SALES Raw'!$F$6:$F$1634,'SALES Raw'!$J$6:$J$1634,$J254,'SALES Raw'!$K$6:$K$1634,"Y")*$H$4</f>
        <v>3400.00421052632</v>
      </c>
      <c r="H254" s="16" t="s">
        <v>36</v>
      </c>
      <c r="I254" s="16" t="s">
        <v>37</v>
      </c>
      <c r="J254" s="16" t="n">
        <v>4422042</v>
      </c>
    </row>
    <row r="255" customFormat="false" ht="15" hidden="false" customHeight="false" outlineLevel="0" collapsed="false">
      <c r="A255" s="16" t="n">
        <f aca="false">IF(ISNUMBER($J255),$J255,"")</f>
        <v>4413162</v>
      </c>
      <c r="B255" s="16" t="str">
        <f aca="false">IFERROR(INDEX('SALES Raw'!$B$6:$B$1634,MATCH($J255,'SALES Raw'!$J$6:$J$1634,0)),$J255)</f>
        <v>34+ XL</v>
      </c>
      <c r="C255" s="16" t="str">
        <f aca="false">IF(ISNUMBER($J255),IFERROR(INDEX('TRANS'!$C:$C,MATCH($J255,'TRANS'!$B:$B,0)),IFERROR(INDEX('Catalog'!$B:$B,MATCH($J255,'Catalog'!$A:$A,0)),$B255)),$B255)</f>
        <v>34+XL מגן קרסול עקב סגור+רצוע</v>
      </c>
      <c r="D255" s="8" t="n">
        <f aca="false">SUMIFS('SALES Raw'!$C$6:$C$1634,'SALES Raw'!$J$6:$J$1634,$J255,'SALES Raw'!$K$6:$K$1634,"Y")</f>
        <v>34</v>
      </c>
      <c r="E255" s="8" t="n">
        <f aca="false">SUMIFS('SALES Raw'!$D$6:$D$1634,'SALES Raw'!$J$6:$J$1634,$J255,'SALES Raw'!$K$6:$K$1634,"Y")</f>
        <v>1069.06</v>
      </c>
      <c r="F255" s="8" t="n">
        <f aca="false">SUMIFS('SALES Raw'!$E$6:$E$1634,'SALES Raw'!$J$6:$J$1634,$J255,'SALES Raw'!$K$6:$K$1634,"Y")*$H$4</f>
        <v>41.6842105263158</v>
      </c>
      <c r="G255" s="8" t="n">
        <f aca="false">SUMIFS('SALES Raw'!$F$6:$F$1634,'SALES Raw'!$J$6:$J$1634,$J255,'SALES Raw'!$K$6:$K$1634,"Y")*$H$4</f>
        <v>1215.61263157895</v>
      </c>
      <c r="H255" s="16" t="s">
        <v>41</v>
      </c>
      <c r="I255" s="16" t="s">
        <v>42</v>
      </c>
      <c r="J255" s="16" t="n">
        <v>4413162</v>
      </c>
    </row>
    <row r="256" customFormat="false" ht="15" hidden="false" customHeight="false" outlineLevel="0" collapsed="false">
      <c r="A256" s="16" t="n">
        <f aca="false">IF(ISNUMBER($J256),$J256,"")</f>
        <v>4415000</v>
      </c>
      <c r="B256" s="16" t="str">
        <f aca="false">IFERROR(INDEX('SALES Raw'!$B$6:$B$1634,MATCH($J256,'SALES Raw'!$J$6:$J$1634,0)),$J256)</f>
        <v>26 L</v>
      </c>
      <c r="C256" s="16" t="str">
        <f aca="false">IF(ISNUMBER($J256),IFERROR(INDEX('TRANS'!$C:$C,MATCH($J256,'TRANS'!$B:$B,0)),IFERROR(INDEX('Catalog'!$B:$B,MATCH($J256,'Catalog'!$A:$A,0)),$B256)),$B256)</f>
        <v>26 L סד ליד דו צדדי לאחר שבר</v>
      </c>
      <c r="D256" s="8" t="n">
        <f aca="false">SUMIFS('SALES Raw'!$C$6:$C$1634,'SALES Raw'!$J$6:$J$1634,$J256,'SALES Raw'!$K$6:$K$1634,"Y")</f>
        <v>90</v>
      </c>
      <c r="E256" s="8" t="n">
        <f aca="false">SUMIFS('SALES Raw'!$D$6:$D$1634,'SALES Raw'!$J$6:$J$1634,$J256,'SALES Raw'!$K$6:$K$1634,"Y")</f>
        <v>3901.02</v>
      </c>
      <c r="F256" s="8" t="n">
        <f aca="false">SUMIFS('SALES Raw'!$E$6:$E$1634,'SALES Raw'!$J$6:$J$1634,$J256,'SALES Raw'!$K$6:$K$1634,"Y")*$H$4</f>
        <v>41.6842105263158</v>
      </c>
      <c r="G256" s="8" t="n">
        <f aca="false">SUMIFS('SALES Raw'!$F$6:$F$1634,'SALES Raw'!$J$6:$J$1634,$J256,'SALES Raw'!$K$6:$K$1634,"Y")*$H$4</f>
        <v>1640.67789473684</v>
      </c>
      <c r="H256" s="16" t="s">
        <v>38</v>
      </c>
      <c r="I256" s="16" t="s">
        <v>36</v>
      </c>
      <c r="J256" s="16" t="n">
        <v>4415000</v>
      </c>
    </row>
    <row r="257" customFormat="false" ht="15" hidden="false" customHeight="false" outlineLevel="0" collapsed="false">
      <c r="A257" s="16" t="str">
        <f aca="false">IF(ISNUMBER($J257),$J257,"")</f>
        <v/>
      </c>
      <c r="B257" s="16" t="str">
        <f aca="false">IFERROR(INDEX('SALES Raw'!$B$6:$B$1634,MATCH($J257,'SALES Raw'!$J$6:$J$1634,0)),$J257)</f>
        <v>61 L</v>
      </c>
      <c r="C257" s="16" t="str">
        <f aca="false">IF(ISNUMBER($J257),IFERROR(INDEX('TRANS'!$C:$C,MATCH($J257,'TRANS'!$B:$B,0)),IFERROR(INDEX('Catalog'!$B:$B,MATCH($J257,'Catalog'!$A:$A,0)),$B257)),$B257)</f>
        <v>61 L</v>
      </c>
      <c r="D257" s="8" t="n">
        <f aca="false">SUMIFS('SALES Raw'!$C$6:$C$1634,'SALES Raw'!$J$6:$J$1634,$J257,'SALES Raw'!$K$6:$K$1634,"Y")</f>
        <v>172</v>
      </c>
      <c r="E257" s="8" t="n">
        <f aca="false">SUMIFS('SALES Raw'!$D$6:$D$1634,'SALES Raw'!$J$6:$J$1634,$J257,'SALES Raw'!$K$6:$K$1634,"Y")</f>
        <v>3057.72</v>
      </c>
      <c r="F257" s="8" t="n">
        <f aca="false">SUMIFS('SALES Raw'!$E$6:$E$1634,'SALES Raw'!$J$6:$J$1634,$J257,'SALES Raw'!$K$6:$K$1634,"Y")*$H$4</f>
        <v>40.4210526315789</v>
      </c>
      <c r="G257" s="8" t="n">
        <f aca="false">SUMIFS('SALES Raw'!$F$6:$F$1634,'SALES Raw'!$J$6:$J$1634,$J257,'SALES Raw'!$K$6:$K$1634,"Y")*$H$4</f>
        <v>656.273684210526</v>
      </c>
      <c r="H257" s="16" t="s">
        <v>38</v>
      </c>
      <c r="I257" s="16" t="s">
        <v>41</v>
      </c>
      <c r="J257" s="16" t="s">
        <v>101</v>
      </c>
    </row>
    <row r="258" customFormat="false" ht="15" hidden="false" customHeight="false" outlineLevel="0" collapsed="false">
      <c r="A258" s="16" t="str">
        <f aca="false">IF(ISNUMBER($J258),$J258,"")</f>
        <v/>
      </c>
      <c r="B258" s="16" t="str">
        <f aca="false">IFERROR(INDEX('SALES Raw'!$B$6:$B$1634,MATCH($J258,'SALES Raw'!$J$6:$J$1634,0)),$J258)</f>
        <v>45C XXL</v>
      </c>
      <c r="C258" s="16" t="str">
        <f aca="false">IF(ISNUMBER($J258),IFERROR(INDEX('TRANS'!$C:$C,MATCH($J258,'TRANS'!$B:$B,0)),IFERROR(INDEX('Catalog'!$B:$B,MATCH($J258,'Catalog'!$A:$A,0)),$B258)),$B258)</f>
        <v>45C XXL</v>
      </c>
      <c r="D258" s="8" t="n">
        <f aca="false">SUMIFS('SALES Raw'!$C$6:$C$1634,'SALES Raw'!$J$6:$J$1634,$J258,'SALES Raw'!$K$6:$K$1634,"Y")</f>
        <v>94</v>
      </c>
      <c r="E258" s="8" t="n">
        <f aca="false">SUMIFS('SALES Raw'!$D$6:$D$1634,'SALES Raw'!$J$6:$J$1634,$J258,'SALES Raw'!$K$6:$K$1634,"Y")</f>
        <v>1008.24</v>
      </c>
      <c r="F258" s="8" t="n">
        <f aca="false">SUMIFS('SALES Raw'!$E$6:$E$1634,'SALES Raw'!$J$6:$J$1634,$J258,'SALES Raw'!$K$6:$K$1634,"Y")*$H$4</f>
        <v>39.1578947368421</v>
      </c>
      <c r="G258" s="8" t="n">
        <f aca="false">SUMIFS('SALES Raw'!$F$6:$F$1634,'SALES Raw'!$J$6:$J$1634,$J258,'SALES Raw'!$K$6:$K$1634,"Y")*$H$4</f>
        <v>375.877894736842</v>
      </c>
      <c r="H258" s="16" t="s">
        <v>38</v>
      </c>
      <c r="I258" s="16" t="s">
        <v>37</v>
      </c>
      <c r="J258" s="16" t="s">
        <v>102</v>
      </c>
    </row>
    <row r="259" customFormat="false" ht="15" hidden="false" customHeight="false" outlineLevel="0" collapsed="false">
      <c r="A259" s="16" t="n">
        <f aca="false">IF(ISNUMBER($J259),$J259,"")</f>
        <v>4411015</v>
      </c>
      <c r="B259" s="16" t="str">
        <f aca="false">IFERROR(INDEX('SALES Raw'!$B$6:$B$1634,MATCH($J259,'SALES Raw'!$J$6:$J$1634,0)),$J259)</f>
        <v>820 0</v>
      </c>
      <c r="C259" s="16" t="str">
        <f aca="false">IF(ISNUMBER($J259),IFERROR(INDEX('TRANS'!$C:$C,MATCH($J259,'TRANS'!$B:$B,0)),IFERROR(INDEX('Catalog'!$B:$B,MATCH($J259,'Catalog'!$A:$A,0)),$B259)),$B259)</f>
        <v>820 0 כרית חום וקור</v>
      </c>
      <c r="D259" s="8" t="n">
        <f aca="false">SUMIFS('SALES Raw'!$C$6:$C$1634,'SALES Raw'!$J$6:$J$1634,$J259,'SALES Raw'!$K$6:$K$1634,"Y")</f>
        <v>61</v>
      </c>
      <c r="E259" s="8" t="n">
        <f aca="false">SUMIFS('SALES Raw'!$D$6:$D$1634,'SALES Raw'!$J$6:$J$1634,$J259,'SALES Raw'!$K$6:$K$1634,"Y")</f>
        <v>1448.04</v>
      </c>
      <c r="F259" s="8" t="n">
        <f aca="false">SUMIFS('SALES Raw'!$E$6:$E$1634,'SALES Raw'!$J$6:$J$1634,$J259,'SALES Raw'!$K$6:$K$1634,"Y")*$H$4</f>
        <v>39.1578947368421</v>
      </c>
      <c r="G259" s="8" t="n">
        <f aca="false">SUMIFS('SALES Raw'!$F$6:$F$1634,'SALES Raw'!$J$6:$J$1634,$J259,'SALES Raw'!$K$6:$K$1634,"Y")*$H$4</f>
        <v>814.736842105263</v>
      </c>
      <c r="H259" s="16" t="s">
        <v>38</v>
      </c>
      <c r="I259" s="16" t="s">
        <v>35</v>
      </c>
      <c r="J259" s="16" t="n">
        <v>4411015</v>
      </c>
    </row>
    <row r="260" customFormat="false" ht="15" hidden="false" customHeight="false" outlineLevel="0" collapsed="false">
      <c r="A260" s="16" t="n">
        <f aca="false">IF(ISNUMBER($J260),$J260,"")</f>
        <v>4403044</v>
      </c>
      <c r="B260" s="16" t="str">
        <f aca="false">IFERROR(INDEX('SALES Raw'!$B$6:$B$1634,MATCH($J260,'SALES Raw'!$J$6:$J$1634,0)),$J260)</f>
        <v>395B-39-42</v>
      </c>
      <c r="C260" s="16" t="str">
        <f aca="false">IF(ISNUMBER($J260),IFERROR(INDEX('TRANS'!$C:$C,MATCH($J260,'TRANS'!$B:$B,0)),IFERROR(INDEX('Catalog'!$B:$B,MATCH($J260,'Catalog'!$A:$A,0)),$B260)),$B260)</f>
        <v>395B גרבי קיץ אנטי בקטריא39-42</v>
      </c>
      <c r="D260" s="8" t="n">
        <f aca="false">SUMIFS('SALES Raw'!$C$6:$C$1634,'SALES Raw'!$J$6:$J$1634,$J260,'SALES Raw'!$K$6:$K$1634,"Y")</f>
        <v>1</v>
      </c>
      <c r="E260" s="8" t="n">
        <f aca="false">SUMIFS('SALES Raw'!$D$6:$D$1634,'SALES Raw'!$J$6:$J$1634,$J260,'SALES Raw'!$K$6:$K$1634,"Y")</f>
        <v>0.04</v>
      </c>
      <c r="F260" s="8" t="n">
        <f aca="false">SUMIFS('SALES Raw'!$E$6:$E$1634,'SALES Raw'!$J$6:$J$1634,$J260,'SALES Raw'!$K$6:$K$1634,"Y")*$H$4</f>
        <v>37.8947368421053</v>
      </c>
      <c r="G260" s="8" t="n">
        <f aca="false">SUMIFS('SALES Raw'!$F$6:$F$1634,'SALES Raw'!$J$6:$J$1634,$J260,'SALES Raw'!$K$6:$K$1634,"Y")*$H$4</f>
        <v>758.501052631579</v>
      </c>
      <c r="H260" s="16" t="s">
        <v>38</v>
      </c>
      <c r="I260" s="16" t="s">
        <v>30</v>
      </c>
      <c r="J260" s="16" t="n">
        <v>4403044</v>
      </c>
    </row>
    <row r="261" customFormat="false" ht="15" hidden="false" customHeight="false" outlineLevel="0" collapsed="false">
      <c r="A261" s="16" t="n">
        <f aca="false">IF(ISNUMBER($J261),$J261,"")</f>
        <v>4413367</v>
      </c>
      <c r="B261" s="16" t="str">
        <f aca="false">IFERROR(INDEX('SALES Raw'!$B$6:$B$1634,MATCH($J261,'SALES Raw'!$J$6:$J$1634,0)),$J261)</f>
        <v>95C XL</v>
      </c>
      <c r="C261" s="16" t="str">
        <f aca="false">IF(ISNUMBER($J261),IFERROR(INDEX('TRANS'!$C:$C,MATCH($J261,'TRANS'!$B:$B,0)),IFERROR(INDEX('Catalog'!$B:$B,MATCH($J261,'Catalog'!$A:$A,0)),$B261)),$B261)</f>
        <v>95C XL'מגן מרפק בז</v>
      </c>
      <c r="D261" s="8" t="n">
        <f aca="false">SUMIFS('SALES Raw'!$C$6:$C$1634,'SALES Raw'!$J$6:$J$1634,$J261,'SALES Raw'!$K$6:$K$1634,"Y")</f>
        <v>90</v>
      </c>
      <c r="E261" s="8" t="n">
        <f aca="false">SUMIFS('SALES Raw'!$D$6:$D$1634,'SALES Raw'!$J$6:$J$1634,$J261,'SALES Raw'!$K$6:$K$1634,"Y")</f>
        <v>1302.74</v>
      </c>
      <c r="F261" s="8" t="n">
        <f aca="false">SUMIFS('SALES Raw'!$E$6:$E$1634,'SALES Raw'!$J$6:$J$1634,$J261,'SALES Raw'!$K$6:$K$1634,"Y")*$H$4</f>
        <v>37.8947368421053</v>
      </c>
      <c r="G261" s="8" t="n">
        <f aca="false">SUMIFS('SALES Raw'!$F$6:$F$1634,'SALES Raw'!$J$6:$J$1634,$J261,'SALES Raw'!$K$6:$K$1634,"Y")*$H$4</f>
        <v>486.972631578947</v>
      </c>
      <c r="H261" s="16" t="s">
        <v>30</v>
      </c>
      <c r="I261" s="16"/>
      <c r="J261" s="16" t="n">
        <v>4413367</v>
      </c>
    </row>
    <row r="262" customFormat="false" ht="15" hidden="false" customHeight="false" outlineLevel="0" collapsed="false">
      <c r="A262" s="16" t="n">
        <f aca="false">IF(ISNUMBER($J262),$J262,"")</f>
        <v>4413456</v>
      </c>
      <c r="B262" s="16" t="str">
        <f aca="false">IFERROR(INDEX('SALES Raw'!$B$6:$B$1634,MATCH($J262,'SALES Raw'!$J$6:$J$1634,0)),$J262)</f>
        <v>AC75 XXL</v>
      </c>
      <c r="C262" s="16" t="str">
        <f aca="false">IF(ISNUMBER($J262),IFERROR(INDEX('TRANS'!$C:$C,MATCH($J262,'TRANS'!$B:$B,0)),IFERROR(INDEX('Catalog'!$B:$B,MATCH($J262,'Catalog'!$A:$A,0)),$B262)),$B262)</f>
        <v>AC75 XXL  מיישר כתפיים אקטיב</v>
      </c>
      <c r="D262" s="8" t="n">
        <f aca="false">SUMIFS('SALES Raw'!$C$6:$C$1634,'SALES Raw'!$J$6:$J$1634,$J262,'SALES Raw'!$K$6:$K$1634,"Y")</f>
        <v>70</v>
      </c>
      <c r="E262" s="8" t="n">
        <f aca="false">SUMIFS('SALES Raw'!$D$6:$D$1634,'SALES Raw'!$J$6:$J$1634,$J262,'SALES Raw'!$K$6:$K$1634,"Y")</f>
        <v>3583.91</v>
      </c>
      <c r="F262" s="8" t="n">
        <f aca="false">SUMIFS('SALES Raw'!$E$6:$E$1634,'SALES Raw'!$J$6:$J$1634,$J262,'SALES Raw'!$K$6:$K$1634,"Y")*$H$4</f>
        <v>37.8947368421053</v>
      </c>
      <c r="G262" s="8" t="n">
        <f aca="false">SUMIFS('SALES Raw'!$F$6:$F$1634,'SALES Raw'!$J$6:$J$1634,$J262,'SALES Raw'!$K$6:$K$1634,"Y")*$H$4</f>
        <v>1762.88842105263</v>
      </c>
      <c r="H262" s="16" t="s">
        <v>30</v>
      </c>
      <c r="I262" s="16"/>
      <c r="J262" s="16" t="n">
        <v>4413456</v>
      </c>
    </row>
    <row r="263" customFormat="false" ht="15" hidden="false" customHeight="false" outlineLevel="0" collapsed="false">
      <c r="A263" s="16" t="n">
        <f aca="false">IF(ISNUMBER($J263),$J263,"")</f>
        <v>4420035</v>
      </c>
      <c r="B263" s="16" t="str">
        <f aca="false">IFERROR(INDEX('SALES Raw'!$B$6:$B$1634,MATCH($J263,'SALES Raw'!$J$6:$J$1634,0)),$J263)</f>
        <v>301CW-36-40</v>
      </c>
      <c r="C263" s="16" t="str">
        <f aca="false">IF(ISNUMBER($J263),IFERROR(INDEX('TRANS'!$C:$C,MATCH($J263,'TRANS'!$B:$B,0)),IFERROR(INDEX('Catalog'!$B:$B,MATCH($J263,'Catalog'!$A:$A,0)),$B263)),$B263)</f>
        <v>301CW 36-40 'רפידת ג'ל בז</v>
      </c>
      <c r="D263" s="8" t="n">
        <f aca="false">SUMIFS('SALES Raw'!$C$6:$C$1634,'SALES Raw'!$J$6:$J$1634,$J263,'SALES Raw'!$K$6:$K$1634,"Y")</f>
        <v>10</v>
      </c>
      <c r="E263" s="8" t="n">
        <f aca="false">SUMIFS('SALES Raw'!$D$6:$D$1634,'SALES Raw'!$J$6:$J$1634,$J263,'SALES Raw'!$K$6:$K$1634,"Y")</f>
        <v>338.76</v>
      </c>
      <c r="F263" s="8" t="n">
        <f aca="false">SUMIFS('SALES Raw'!$E$6:$E$1634,'SALES Raw'!$J$6:$J$1634,$J263,'SALES Raw'!$K$6:$K$1634,"Y")*$H$4</f>
        <v>37.8947368421053</v>
      </c>
      <c r="G263" s="8" t="n">
        <f aca="false">SUMIFS('SALES Raw'!$F$6:$F$1634,'SALES Raw'!$J$6:$J$1634,$J263,'SALES Raw'!$K$6:$K$1634,"Y")*$H$4</f>
        <v>1020.99789473684</v>
      </c>
      <c r="H263" s="16" t="s">
        <v>37</v>
      </c>
      <c r="I263" s="16" t="s">
        <v>32</v>
      </c>
      <c r="J263" s="16" t="n">
        <v>4420035</v>
      </c>
    </row>
    <row r="264" customFormat="false" ht="15" hidden="false" customHeight="false" outlineLevel="0" collapsed="false">
      <c r="A264" s="16" t="str">
        <f aca="false">IF(ISNUMBER($J264),$J264,"")</f>
        <v/>
      </c>
      <c r="B264" s="16" t="str">
        <f aca="false">IFERROR(INDEX('SALES Raw'!$B$6:$B$1634,MATCH($J264,'SALES Raw'!$J$6:$J$1634,0)),$J264)</f>
        <v>43BD XXL</v>
      </c>
      <c r="C264" s="16" t="str">
        <f aca="false">IF(ISNUMBER($J264),IFERROR(INDEX('TRANS'!$C:$C,MATCH($J264,'TRANS'!$B:$B,0)),IFERROR(INDEX('Catalog'!$B:$B,MATCH($J264,'Catalog'!$A:$A,0)),$B264)),$B264)</f>
        <v>43BD XXL</v>
      </c>
      <c r="D264" s="8" t="n">
        <f aca="false">SUMIFS('SALES Raw'!$C$6:$C$1634,'SALES Raw'!$J$6:$J$1634,$J264,'SALES Raw'!$K$6:$K$1634,"Y")</f>
        <v>25</v>
      </c>
      <c r="E264" s="8" t="n">
        <f aca="false">SUMIFS('SALES Raw'!$D$6:$D$1634,'SALES Raw'!$J$6:$J$1634,$J264,'SALES Raw'!$K$6:$K$1634,"Y")</f>
        <v>2116.43</v>
      </c>
      <c r="F264" s="8" t="n">
        <f aca="false">SUMIFS('SALES Raw'!$E$6:$E$1634,'SALES Raw'!$J$6:$J$1634,$J264,'SALES Raw'!$K$6:$K$1634,"Y")*$H$4</f>
        <v>37.8947368421053</v>
      </c>
      <c r="G264" s="8" t="n">
        <f aca="false">SUMIFS('SALES Raw'!$F$6:$F$1634,'SALES Raw'!$J$6:$J$1634,$J264,'SALES Raw'!$K$6:$K$1634,"Y")*$H$4</f>
        <v>3442.26947368421</v>
      </c>
      <c r="H264" s="16" t="s">
        <v>42</v>
      </c>
      <c r="I264" s="16"/>
      <c r="J264" s="16" t="s">
        <v>103</v>
      </c>
    </row>
    <row r="265" customFormat="false" ht="15" hidden="false" customHeight="false" outlineLevel="0" collapsed="false">
      <c r="A265" s="16" t="n">
        <f aca="false">IF(ISNUMBER($J265),$J265,"")</f>
        <v>4413112</v>
      </c>
      <c r="B265" s="16" t="str">
        <f aca="false">IFERROR(INDEX('SALES Raw'!$B$6:$B$1634,MATCH($J265,'SALES Raw'!$J$6:$J$1634,0)),$J265)</f>
        <v>49 L</v>
      </c>
      <c r="C265" s="16" t="str">
        <f aca="false">IF(ISNUMBER($J265),IFERROR(INDEX('TRANS'!$C:$C,MATCH($J265,'TRANS'!$B:$B,0)),IFERROR(INDEX('Catalog'!$B:$B,MATCH($J265,'Catalog'!$A:$A,0)),$B265)),$B265)</f>
        <v>49  L מגן ירך</v>
      </c>
      <c r="D265" s="8" t="n">
        <f aca="false">SUMIFS('SALES Raw'!$C$6:$C$1634,'SALES Raw'!$J$6:$J$1634,$J265,'SALES Raw'!$K$6:$K$1634,"Y")</f>
        <v>44</v>
      </c>
      <c r="E265" s="8" t="n">
        <f aca="false">SUMIFS('SALES Raw'!$D$6:$D$1634,'SALES Raw'!$J$6:$J$1634,$J265,'SALES Raw'!$K$6:$K$1634,"Y")</f>
        <v>486.29</v>
      </c>
      <c r="F265" s="8" t="n">
        <f aca="false">SUMIFS('SALES Raw'!$E$6:$E$1634,'SALES Raw'!$J$6:$J$1634,$J265,'SALES Raw'!$K$6:$K$1634,"Y")*$H$4</f>
        <v>37.8947368421053</v>
      </c>
      <c r="G265" s="8" t="n">
        <f aca="false">SUMIFS('SALES Raw'!$F$6:$F$1634,'SALES Raw'!$J$6:$J$1634,$J265,'SALES Raw'!$K$6:$K$1634,"Y")*$H$4</f>
        <v>400.812631578947</v>
      </c>
      <c r="H265" s="16" t="s">
        <v>42</v>
      </c>
      <c r="I265" s="16"/>
      <c r="J265" s="16" t="n">
        <v>4413112</v>
      </c>
    </row>
    <row r="266" customFormat="false" ht="15" hidden="false" customHeight="false" outlineLevel="0" collapsed="false">
      <c r="A266" s="16" t="n">
        <f aca="false">IF(ISNUMBER($J266),$J266,"")</f>
        <v>4422007</v>
      </c>
      <c r="B266" s="16" t="str">
        <f aca="false">IFERROR(INDEX('SALES Raw'!$B$6:$B$1634,MATCH($J266,'SALES Raw'!$J$6:$J$1634,0)),$J266)</f>
        <v>T78 XL</v>
      </c>
      <c r="C266" s="16" t="str">
        <f aca="false">IF(ISNUMBER($J266),IFERROR(INDEX('TRANS'!$C:$C,MATCH($J266,'TRANS'!$B:$B,0)),IFERROR(INDEX('Catalog'!$B:$B,MATCH($J266,'Catalog'!$A:$A,0)),$B266)),$B266)</f>
        <v>T78 XLתומך זרוע וכתף</v>
      </c>
      <c r="D266" s="8" t="n">
        <f aca="false">SUMIFS('SALES Raw'!$C$6:$C$1634,'SALES Raw'!$J$6:$J$1634,$J266,'SALES Raw'!$K$6:$K$1634,"Y")</f>
        <v>5</v>
      </c>
      <c r="E266" s="8" t="n">
        <f aca="false">SUMIFS('SALES Raw'!$D$6:$D$1634,'SALES Raw'!$J$6:$J$1634,$J266,'SALES Raw'!$K$6:$K$1634,"Y")</f>
        <v>402.1</v>
      </c>
      <c r="F266" s="8" t="n">
        <f aca="false">SUMIFS('SALES Raw'!$E$6:$E$1634,'SALES Raw'!$J$6:$J$1634,$J266,'SALES Raw'!$K$6:$K$1634,"Y")*$H$4</f>
        <v>35.3684210526316</v>
      </c>
      <c r="G266" s="8" t="n">
        <f aca="false">SUMIFS('SALES Raw'!$F$6:$F$1634,'SALES Raw'!$J$6:$J$1634,$J266,'SALES Raw'!$K$6:$K$1634,"Y")*$H$4</f>
        <v>2576.22315789474</v>
      </c>
      <c r="H266" s="16" t="s">
        <v>32</v>
      </c>
      <c r="I266" s="16" t="s">
        <v>42</v>
      </c>
      <c r="J266" s="16" t="n">
        <v>4422007</v>
      </c>
    </row>
    <row r="267" customFormat="false" ht="15" hidden="false" customHeight="false" outlineLevel="0" collapsed="false">
      <c r="A267" s="16" t="n">
        <f aca="false">IF(ISNUMBER($J267),$J267,"")</f>
        <v>4422038</v>
      </c>
      <c r="B267" s="16" t="str">
        <f aca="false">IFERROR(INDEX('SALES Raw'!$B$6:$B$1634,MATCH($J267,'SALES Raw'!$J$6:$J$1634,0)),$J267)</f>
        <v>SH422 2</v>
      </c>
      <c r="C267" s="16" t="str">
        <f aca="false">IF(ISNUMBER($J267),IFERROR(INDEX('TRANS'!$C:$C,MATCH($J267,'TRANS'!$B:$B,0)),IFERROR(INDEX('Catalog'!$B:$B,MATCH($J267,'Catalog'!$A:$A,0)),$B267)),$B267)</f>
        <v>SH422 2 תומך ברך גנושילד</v>
      </c>
      <c r="D267" s="8" t="n">
        <f aca="false">SUMIFS('SALES Raw'!$C$6:$C$1634,'SALES Raw'!$J$6:$J$1634,$J267,'SALES Raw'!$K$6:$K$1634,"Y")</f>
        <v>8</v>
      </c>
      <c r="E267" s="8" t="n">
        <f aca="false">SUMIFS('SALES Raw'!$D$6:$D$1634,'SALES Raw'!$J$6:$J$1634,$J267,'SALES Raw'!$K$6:$K$1634,"Y")</f>
        <v>693.07</v>
      </c>
      <c r="F267" s="8" t="n">
        <f aca="false">SUMIFS('SALES Raw'!$E$6:$E$1634,'SALES Raw'!$J$6:$J$1634,$J267,'SALES Raw'!$K$6:$K$1634,"Y")*$H$4</f>
        <v>34.1052631578947</v>
      </c>
      <c r="G267" s="8" t="n">
        <f aca="false">SUMIFS('SALES Raw'!$F$6:$F$1634,'SALES Raw'!$J$6:$J$1634,$J267,'SALES Raw'!$K$6:$K$1634,"Y")*$H$4</f>
        <v>3028.62315789474</v>
      </c>
      <c r="H267" s="16" t="s">
        <v>36</v>
      </c>
      <c r="I267" s="16" t="s">
        <v>32</v>
      </c>
      <c r="J267" s="16" t="n">
        <v>4422038</v>
      </c>
    </row>
    <row r="268" customFormat="false" ht="15" hidden="false" customHeight="false" outlineLevel="0" collapsed="false">
      <c r="A268" s="16" t="n">
        <f aca="false">IF(ISNUMBER($J268),$J268,"")</f>
        <v>4413165</v>
      </c>
      <c r="B268" s="16" t="str">
        <f aca="false">IFERROR(INDEX('SALES Raw'!$B$6:$B$1634,MATCH($J268,'SALES Raw'!$J$6:$J$1634,0)),$J268)</f>
        <v>74-L-XL</v>
      </c>
      <c r="C268" s="16" t="str">
        <f aca="false">IF(ISNUMBER($J268),IFERROR(INDEX('TRANS'!$C:$C,MATCH($J268,'TRANS'!$B:$B,0)),IFERROR(INDEX('Catalog'!$B:$B,MATCH($J268,'Catalog'!$A:$A,0)),$B268)),$B268)</f>
        <v>74 L-XL מיצב כתפיים</v>
      </c>
      <c r="D268" s="8" t="n">
        <f aca="false">SUMIFS('SALES Raw'!$C$6:$C$1634,'SALES Raw'!$J$6:$J$1634,$J268,'SALES Raw'!$K$6:$K$1634,"Y")</f>
        <v>24</v>
      </c>
      <c r="E268" s="8" t="n">
        <f aca="false">SUMIFS('SALES Raw'!$D$6:$D$1634,'SALES Raw'!$J$6:$J$1634,$J268,'SALES Raw'!$K$6:$K$1634,"Y")</f>
        <v>1954.03</v>
      </c>
      <c r="F268" s="8" t="n">
        <f aca="false">SUMIFS('SALES Raw'!$E$6:$E$1634,'SALES Raw'!$J$6:$J$1634,$J268,'SALES Raw'!$K$6:$K$1634,"Y")*$H$4</f>
        <v>34.1052631578947</v>
      </c>
      <c r="G268" s="8" t="n">
        <f aca="false">SUMIFS('SALES Raw'!$F$6:$F$1634,'SALES Raw'!$J$6:$J$1634,$J268,'SALES Raw'!$K$6:$K$1634,"Y")*$H$4</f>
        <v>2723.16631578947</v>
      </c>
      <c r="H268" s="16" t="s">
        <v>36</v>
      </c>
      <c r="I268" s="16"/>
      <c r="J268" s="16" t="n">
        <v>4413165</v>
      </c>
    </row>
    <row r="269" customFormat="false" ht="15" hidden="false" customHeight="false" outlineLevel="0" collapsed="false">
      <c r="A269" s="16" t="str">
        <f aca="false">IF(ISNUMBER($J269),$J269,"")</f>
        <v/>
      </c>
      <c r="B269" s="16" t="str">
        <f aca="false">IFERROR(INDEX('SALES Raw'!$B$6:$B$1634,MATCH($J269,'SALES Raw'!$J$6:$J$1634,0)),$J269)</f>
        <v>55 M</v>
      </c>
      <c r="C269" s="16" t="str">
        <f aca="false">IF(ISNUMBER($J269),IFERROR(INDEX('TRANS'!$C:$C,MATCH($J269,'TRANS'!$B:$B,0)),IFERROR(INDEX('Catalog'!$B:$B,MATCH($J269,'Catalog'!$A:$A,0)),$B269)),$B269)</f>
        <v>55 M</v>
      </c>
      <c r="D269" s="8" t="n">
        <f aca="false">SUMIFS('SALES Raw'!$C$6:$C$1634,'SALES Raw'!$J$6:$J$1634,$J269,'SALES Raw'!$K$6:$K$1634,"Y")</f>
        <v>50</v>
      </c>
      <c r="E269" s="8" t="n">
        <f aca="false">SUMIFS('SALES Raw'!$D$6:$D$1634,'SALES Raw'!$J$6:$J$1634,$J269,'SALES Raw'!$K$6:$K$1634,"Y")</f>
        <v>1584.91</v>
      </c>
      <c r="F269" s="8" t="n">
        <f aca="false">SUMIFS('SALES Raw'!$E$6:$E$1634,'SALES Raw'!$J$6:$J$1634,$J269,'SALES Raw'!$K$6:$K$1634,"Y")*$H$4</f>
        <v>32.8421052631579</v>
      </c>
      <c r="G269" s="8" t="n">
        <f aca="false">SUMIFS('SALES Raw'!$F$6:$F$1634,'SALES Raw'!$J$6:$J$1634,$J269,'SALES Raw'!$K$6:$K$1634,"Y")*$H$4</f>
        <v>932.917894736842</v>
      </c>
      <c r="H269" s="16" t="s">
        <v>38</v>
      </c>
      <c r="I269" s="16"/>
      <c r="J269" s="16" t="s">
        <v>104</v>
      </c>
    </row>
    <row r="270" customFormat="false" ht="15" hidden="false" customHeight="false" outlineLevel="0" collapsed="false">
      <c r="A270" s="16" t="str">
        <f aca="false">IF(ISNUMBER($J270),$J270,"")</f>
        <v/>
      </c>
      <c r="B270" s="16" t="str">
        <f aca="false">IFERROR(INDEX('SALES Raw'!$B$6:$B$1634,MATCH($J270,'SALES Raw'!$J$6:$J$1634,0)),$J270)</f>
        <v>60B M</v>
      </c>
      <c r="C270" s="16" t="str">
        <f aca="false">IF(ISNUMBER($J270),IFERROR(INDEX('TRANS'!$C:$C,MATCH($J270,'TRANS'!$B:$B,0)),IFERROR(INDEX('Catalog'!$B:$B,MATCH($J270,'Catalog'!$A:$A,0)),$B270)),$B270)</f>
        <v>60B M</v>
      </c>
      <c r="D270" s="8" t="n">
        <f aca="false">SUMIFS('SALES Raw'!$C$6:$C$1634,'SALES Raw'!$J$6:$J$1634,$J270,'SALES Raw'!$K$6:$K$1634,"Y")</f>
        <v>23</v>
      </c>
      <c r="E270" s="8" t="n">
        <f aca="false">SUMIFS('SALES Raw'!$D$6:$D$1634,'SALES Raw'!$J$6:$J$1634,$J270,'SALES Raw'!$K$6:$K$1634,"Y")</f>
        <v>663</v>
      </c>
      <c r="F270" s="8" t="n">
        <f aca="false">SUMIFS('SALES Raw'!$E$6:$E$1634,'SALES Raw'!$J$6:$J$1634,$J270,'SALES Raw'!$K$6:$K$1634,"Y")*$H$4</f>
        <v>31.5789473684211</v>
      </c>
      <c r="G270" s="8" t="n">
        <f aca="false">SUMIFS('SALES Raw'!$F$6:$F$1634,'SALES Raw'!$J$6:$J$1634,$J270,'SALES Raw'!$K$6:$K$1634,"Y")*$H$4</f>
        <v>796.926315789474</v>
      </c>
      <c r="H270" s="16" t="s">
        <v>37</v>
      </c>
      <c r="I270" s="16" t="s">
        <v>32</v>
      </c>
      <c r="J270" s="16" t="s">
        <v>105</v>
      </c>
    </row>
    <row r="271" customFormat="false" ht="15" hidden="false" customHeight="false" outlineLevel="0" collapsed="false">
      <c r="A271" s="16" t="n">
        <f aca="false">IF(ISNUMBER($J271),$J271,"")</f>
        <v>4413101</v>
      </c>
      <c r="B271" s="16" t="str">
        <f aca="false">IFERROR(INDEX('SALES Raw'!$B$6:$B$1634,MATCH($J271,'SALES Raw'!$J$6:$J$1634,0)),$J271)</f>
        <v>45E S</v>
      </c>
      <c r="C271" s="16" t="str">
        <f aca="false">IF(ISNUMBER($J271),IFERROR(INDEX('TRANS'!$C:$C,MATCH($J271,'TRANS'!$B:$B,0)),IFERROR(INDEX('Catalog'!$B:$B,MATCH($J271,'Catalog'!$A:$A,0)),$B271)),$B271)</f>
        <v>45E Sמגן ברך ארוך לבן</v>
      </c>
      <c r="D271" s="8" t="n">
        <f aca="false">SUMIFS('SALES Raw'!$C$6:$C$1634,'SALES Raw'!$J$6:$J$1634,$J271,'SALES Raw'!$K$6:$K$1634,"Y")</f>
        <v>25</v>
      </c>
      <c r="E271" s="8" t="n">
        <f aca="false">SUMIFS('SALES Raw'!$D$6:$D$1634,'SALES Raw'!$J$6:$J$1634,$J271,'SALES Raw'!$K$6:$K$1634,"Y")</f>
        <v>281.87</v>
      </c>
      <c r="F271" s="8" t="n">
        <f aca="false">SUMIFS('SALES Raw'!$E$6:$E$1634,'SALES Raw'!$J$6:$J$1634,$J271,'SALES Raw'!$K$6:$K$1634,"Y")*$H$4</f>
        <v>31.5789473684211</v>
      </c>
      <c r="G271" s="8" t="n">
        <f aca="false">SUMIFS('SALES Raw'!$F$6:$F$1634,'SALES Raw'!$J$6:$J$1634,$J271,'SALES Raw'!$K$6:$K$1634,"Y")*$H$4</f>
        <v>355.338947368421</v>
      </c>
      <c r="H271" s="16" t="s">
        <v>42</v>
      </c>
      <c r="I271" s="16" t="s">
        <v>35</v>
      </c>
      <c r="J271" s="16" t="n">
        <v>4413101</v>
      </c>
    </row>
    <row r="272" customFormat="false" ht="15" hidden="false" customHeight="false" outlineLevel="0" collapsed="false">
      <c r="A272" s="16" t="n">
        <f aca="false">IF(ISNUMBER($J272),$J272,"")</f>
        <v>4413114</v>
      </c>
      <c r="B272" s="16" t="str">
        <f aca="false">IFERROR(INDEX('SALES Raw'!$B$6:$B$1634,MATCH($J272,'SALES Raw'!$J$6:$J$1634,0)),$J272)</f>
        <v>49 XL</v>
      </c>
      <c r="C272" s="16" t="str">
        <f aca="false">IF(ISNUMBER($J272),IFERROR(INDEX('TRANS'!$C:$C,MATCH($J272,'TRANS'!$B:$B,0)),IFERROR(INDEX('Catalog'!$B:$B,MATCH($J272,'Catalog'!$A:$A,0)),$B272)),$B272)</f>
        <v>49 XL מגן ירך</v>
      </c>
      <c r="D272" s="8" t="n">
        <f aca="false">SUMIFS('SALES Raw'!$C$6:$C$1634,'SALES Raw'!$J$6:$J$1634,$J272,'SALES Raw'!$K$6:$K$1634,"Y")</f>
        <v>34</v>
      </c>
      <c r="E272" s="8" t="n">
        <f aca="false">SUMIFS('SALES Raw'!$D$6:$D$1634,'SALES Raw'!$J$6:$J$1634,$J272,'SALES Raw'!$K$6:$K$1634,"Y")</f>
        <v>382.16</v>
      </c>
      <c r="F272" s="8" t="n">
        <f aca="false">SUMIFS('SALES Raw'!$E$6:$E$1634,'SALES Raw'!$J$6:$J$1634,$J272,'SALES Raw'!$K$6:$K$1634,"Y")*$H$4</f>
        <v>31.5789473684211</v>
      </c>
      <c r="G272" s="8" t="n">
        <f aca="false">SUMIFS('SALES Raw'!$F$6:$F$1634,'SALES Raw'!$J$6:$J$1634,$J272,'SALES Raw'!$K$6:$K$1634,"Y")*$H$4</f>
        <v>360.366315789474</v>
      </c>
      <c r="H272" s="16" t="s">
        <v>42</v>
      </c>
      <c r="I272" s="16"/>
      <c r="J272" s="16" t="n">
        <v>4413114</v>
      </c>
    </row>
    <row r="273" customFormat="false" ht="15" hidden="false" customHeight="false" outlineLevel="0" collapsed="false">
      <c r="A273" s="16" t="n">
        <f aca="false">IF(ISNUMBER($J273),$J273,"")</f>
        <v>4422005</v>
      </c>
      <c r="B273" s="16" t="str">
        <f aca="false">IFERROR(INDEX('SALES Raw'!$B$6:$B$1634,MATCH($J273,'SALES Raw'!$J$6:$J$1634,0)),$J273)</f>
        <v>T78 M</v>
      </c>
      <c r="C273" s="16" t="str">
        <f aca="false">IF(ISNUMBER($J273),IFERROR(INDEX('TRANS'!$C:$C,MATCH($J273,'TRANS'!$B:$B,0)),IFERROR(INDEX('Catalog'!$B:$B,MATCH($J273,'Catalog'!$A:$A,0)),$B273)),$B273)</f>
        <v>T78 M תומך זרוע וכתף</v>
      </c>
      <c r="D273" s="8" t="n">
        <f aca="false">SUMIFS('SALES Raw'!$C$6:$C$1634,'SALES Raw'!$J$6:$J$1634,$J273,'SALES Raw'!$K$6:$K$1634,"Y")</f>
        <v>6</v>
      </c>
      <c r="E273" s="8" t="n">
        <f aca="false">SUMIFS('SALES Raw'!$D$6:$D$1634,'SALES Raw'!$J$6:$J$1634,$J273,'SALES Raw'!$K$6:$K$1634,"Y")</f>
        <v>463.5</v>
      </c>
      <c r="F273" s="8" t="n">
        <f aca="false">SUMIFS('SALES Raw'!$E$6:$E$1634,'SALES Raw'!$J$6:$J$1634,$J273,'SALES Raw'!$K$6:$K$1634,"Y")*$H$4</f>
        <v>31.5789473684211</v>
      </c>
      <c r="G273" s="8" t="n">
        <f aca="false">SUMIFS('SALES Raw'!$F$6:$F$1634,'SALES Raw'!$J$6:$J$1634,$J273,'SALES Raw'!$K$6:$K$1634,"Y")*$H$4</f>
        <v>2272.82526315789</v>
      </c>
      <c r="H273" s="16" t="s">
        <v>42</v>
      </c>
      <c r="I273" s="16" t="s">
        <v>32</v>
      </c>
      <c r="J273" s="16" t="n">
        <v>4422005</v>
      </c>
    </row>
    <row r="274" customFormat="false" ht="15" hidden="false" customHeight="false" outlineLevel="0" collapsed="false">
      <c r="A274" s="16" t="str">
        <f aca="false">IF(ISNUMBER($J274),$J274,"")</f>
        <v/>
      </c>
      <c r="B274" s="16" t="str">
        <f aca="false">IFERROR(INDEX('SALES Raw'!$B$6:$B$1634,MATCH($J274,'SALES Raw'!$J$6:$J$1634,0)),$J274)</f>
        <v>35C XXL</v>
      </c>
      <c r="C274" s="16" t="str">
        <f aca="false">IF(ISNUMBER($J274),IFERROR(INDEX('TRANS'!$C:$C,MATCH($J274,'TRANS'!$B:$B,0)),IFERROR(INDEX('Catalog'!$B:$B,MATCH($J274,'Catalog'!$A:$A,0)),$B274)),$B274)</f>
        <v>35C XXL</v>
      </c>
      <c r="D274" s="8" t="n">
        <f aca="false">SUMIFS('SALES Raw'!$C$6:$C$1634,'SALES Raw'!$J$6:$J$1634,$J274,'SALES Raw'!$K$6:$K$1634,"Y")</f>
        <v>10</v>
      </c>
      <c r="E274" s="8" t="n">
        <f aca="false">SUMIFS('SALES Raw'!$D$6:$D$1634,'SALES Raw'!$J$6:$J$1634,$J274,'SALES Raw'!$K$6:$K$1634,"Y")</f>
        <v>106.78</v>
      </c>
      <c r="F274" s="8" t="n">
        <f aca="false">SUMIFS('SALES Raw'!$E$6:$E$1634,'SALES Raw'!$J$6:$J$1634,$J274,'SALES Raw'!$K$6:$K$1634,"Y")*$H$4</f>
        <v>30.3157894736842</v>
      </c>
      <c r="G274" s="8" t="n">
        <f aca="false">SUMIFS('SALES Raw'!$F$6:$F$1634,'SALES Raw'!$J$6:$J$1634,$J274,'SALES Raw'!$K$6:$K$1634,"Y")*$H$4</f>
        <v>281.949473684211</v>
      </c>
      <c r="H274" s="16" t="s">
        <v>38</v>
      </c>
      <c r="I274" s="16" t="s">
        <v>37</v>
      </c>
      <c r="J274" s="16" t="s">
        <v>106</v>
      </c>
    </row>
    <row r="275" customFormat="false" ht="15" hidden="false" customHeight="false" outlineLevel="0" collapsed="false">
      <c r="A275" s="16" t="n">
        <f aca="false">IF(ISNUMBER($J275),$J275,"")</f>
        <v>4408145</v>
      </c>
      <c r="B275" s="16" t="str">
        <f aca="false">IFERROR(INDEX('SALES Raw'!$B$6:$B$1634,MATCH($J275,'SALES Raw'!$J$6:$J$1634,0)),$J275)</f>
        <v>11PS S</v>
      </c>
      <c r="C275" s="16" t="str">
        <f aca="false">IF(ISNUMBER($J275),IFERROR(INDEX('TRANS'!$C:$C,MATCH($J275,'TRANS'!$B:$B,0)),IFERROR(INDEX('Catalog'!$B:$B,MATCH($J275,'Catalog'!$A:$A,0)),$B275)),$B275)</f>
        <v>11PS Sחגורה למנותחי בטן</v>
      </c>
      <c r="D275" s="8" t="n">
        <f aca="false">SUMIFS('SALES Raw'!$C$6:$C$1634,'SALES Raw'!$J$6:$J$1634,$J275,'SALES Raw'!$K$6:$K$1634,"Y")</f>
        <v>24</v>
      </c>
      <c r="E275" s="8" t="n">
        <f aca="false">SUMIFS('SALES Raw'!$D$6:$D$1634,'SALES Raw'!$J$6:$J$1634,$J275,'SALES Raw'!$K$6:$K$1634,"Y")</f>
        <v>1279.11</v>
      </c>
      <c r="F275" s="8" t="n">
        <f aca="false">SUMIFS('SALES Raw'!$E$6:$E$1634,'SALES Raw'!$J$6:$J$1634,$J275,'SALES Raw'!$K$6:$K$1634,"Y")*$H$4</f>
        <v>29.0526315789474</v>
      </c>
      <c r="G275" s="8" t="n">
        <f aca="false">SUMIFS('SALES Raw'!$F$6:$F$1634,'SALES Raw'!$J$6:$J$1634,$J275,'SALES Raw'!$K$6:$K$1634,"Y")*$H$4</f>
        <v>1438.63578947368</v>
      </c>
      <c r="H275" s="16" t="s">
        <v>36</v>
      </c>
      <c r="I275" s="16"/>
      <c r="J275" s="16" t="n">
        <v>4408145</v>
      </c>
    </row>
    <row r="276" customFormat="false" ht="15" hidden="false" customHeight="false" outlineLevel="0" collapsed="false">
      <c r="A276" s="16" t="n">
        <f aca="false">IF(ISNUMBER($J276),$J276,"")</f>
        <v>4413142</v>
      </c>
      <c r="B276" s="16" t="str">
        <f aca="false">IFERROR(INDEX('SALES Raw'!$B$6:$B$1634,MATCH($J276,'SALES Raw'!$J$6:$J$1634,0)),$J276)</f>
        <v>95 XL</v>
      </c>
      <c r="C276" s="16" t="str">
        <f aca="false">IF(ISNUMBER($J276),IFERROR(INDEX('TRANS'!$C:$C,MATCH($J276,'TRANS'!$B:$B,0)),IFERROR(INDEX('Catalog'!$B:$B,MATCH($J276,'Catalog'!$A:$A,0)),$B276)),$B276)</f>
        <v>95 XL מגן מרפק רגיל לבן</v>
      </c>
      <c r="D276" s="8" t="n">
        <f aca="false">SUMIFS('SALES Raw'!$C$6:$C$1634,'SALES Raw'!$J$6:$J$1634,$J276,'SALES Raw'!$K$6:$K$1634,"Y")</f>
        <v>70</v>
      </c>
      <c r="E276" s="8" t="n">
        <f aca="false">SUMIFS('SALES Raw'!$D$6:$D$1634,'SALES Raw'!$J$6:$J$1634,$J276,'SALES Raw'!$K$6:$K$1634,"Y")</f>
        <v>770.36</v>
      </c>
      <c r="F276" s="8" t="n">
        <f aca="false">SUMIFS('SALES Raw'!$E$6:$E$1634,'SALES Raw'!$J$6:$J$1634,$J276,'SALES Raw'!$K$6:$K$1634,"Y")*$H$4</f>
        <v>27.7894736842105</v>
      </c>
      <c r="G276" s="8" t="n">
        <f aca="false">SUMIFS('SALES Raw'!$F$6:$F$1634,'SALES Raw'!$J$6:$J$1634,$J276,'SALES Raw'!$K$6:$K$1634,"Y")*$H$4</f>
        <v>280.357894736842</v>
      </c>
      <c r="H276" s="16" t="s">
        <v>44</v>
      </c>
      <c r="I276" s="16" t="s">
        <v>42</v>
      </c>
      <c r="J276" s="16" t="n">
        <v>4413142</v>
      </c>
    </row>
    <row r="277" customFormat="false" ht="15" hidden="false" customHeight="false" outlineLevel="0" collapsed="false">
      <c r="A277" s="16" t="n">
        <f aca="false">IF(ISNUMBER($J277),$J277,"")</f>
        <v>4413044</v>
      </c>
      <c r="B277" s="16" t="str">
        <f aca="false">IFERROR(INDEX('SALES Raw'!$B$6:$B$1634,MATCH($J277,'SALES Raw'!$J$6:$J$1634,0)),$J277)</f>
        <v>34 XL</v>
      </c>
      <c r="C277" s="16" t="str">
        <f aca="false">IF(ISNUMBER($J277),IFERROR(INDEX('TRANS'!$C:$C,MATCH($J277,'TRANS'!$B:$B,0)),IFERROR(INDEX('Catalog'!$B:$B,MATCH($J277,'Catalog'!$A:$A,0)),$B277)),$B277)</f>
        <v>34 XL מגן קרסול עקב סגור</v>
      </c>
      <c r="D277" s="8" t="n">
        <f aca="false">SUMIFS('SALES Raw'!$C$6:$C$1634,'SALES Raw'!$J$6:$J$1634,$J277,'SALES Raw'!$K$6:$K$1634,"Y")</f>
        <v>96</v>
      </c>
      <c r="E277" s="8" t="n">
        <f aca="false">SUMIFS('SALES Raw'!$D$6:$D$1634,'SALES Raw'!$J$6:$J$1634,$J277,'SALES Raw'!$K$6:$K$1634,"Y")</f>
        <v>2114.51</v>
      </c>
      <c r="F277" s="8" t="n">
        <f aca="false">SUMIFS('SALES Raw'!$E$6:$E$1634,'SALES Raw'!$J$6:$J$1634,$J277,'SALES Raw'!$K$6:$K$1634,"Y")*$H$4</f>
        <v>27.7894736842105</v>
      </c>
      <c r="G277" s="8" t="n">
        <f aca="false">SUMIFS('SALES Raw'!$F$6:$F$1634,'SALES Raw'!$J$6:$J$1634,$J277,'SALES Raw'!$K$6:$K$1634,"Y")*$H$4</f>
        <v>521.557894736842</v>
      </c>
      <c r="H277" s="16" t="s">
        <v>38</v>
      </c>
      <c r="I277" s="16" t="s">
        <v>32</v>
      </c>
      <c r="J277" s="16" t="n">
        <v>4413044</v>
      </c>
    </row>
    <row r="278" customFormat="false" ht="15" hidden="false" customHeight="false" outlineLevel="0" collapsed="false">
      <c r="A278" s="16" t="str">
        <f aca="false">IF(ISNUMBER($J278),$J278,"")</f>
        <v/>
      </c>
      <c r="B278" s="16" t="str">
        <f aca="false">IFERROR(INDEX('SALES Raw'!$B$6:$B$1634,MATCH($J278,'SALES Raw'!$J$6:$J$1634,0)),$J278)</f>
        <v>49PS S</v>
      </c>
      <c r="C278" s="16" t="str">
        <f aca="false">IF(ISNUMBER($J278),IFERROR(INDEX('TRANS'!$C:$C,MATCH($J278,'TRANS'!$B:$B,0)),IFERROR(INDEX('Catalog'!$B:$B,MATCH($J278,'Catalog'!$A:$A,0)),$B278)),$B278)</f>
        <v>49PS S</v>
      </c>
      <c r="D278" s="8" t="n">
        <f aca="false">SUMIFS('SALES Raw'!$C$6:$C$1634,'SALES Raw'!$J$6:$J$1634,$J278,'SALES Raw'!$K$6:$K$1634,"Y")</f>
        <v>97</v>
      </c>
      <c r="E278" s="8" t="n">
        <f aca="false">SUMIFS('SALES Raw'!$D$6:$D$1634,'SALES Raw'!$J$6:$J$1634,$J278,'SALES Raw'!$K$6:$K$1634,"Y")</f>
        <v>5547.16</v>
      </c>
      <c r="F278" s="8" t="n">
        <f aca="false">SUMIFS('SALES Raw'!$E$6:$E$1634,'SALES Raw'!$J$6:$J$1634,$J278,'SALES Raw'!$K$6:$K$1634,"Y")*$H$4</f>
        <v>27.7894736842105</v>
      </c>
      <c r="G278" s="8" t="n">
        <f aca="false">SUMIFS('SALES Raw'!$F$6:$F$1634,'SALES Raw'!$J$6:$J$1634,$J278,'SALES Raw'!$K$6:$K$1634,"Y")*$H$4</f>
        <v>1641.17052631579</v>
      </c>
      <c r="H278" s="16" t="s">
        <v>36</v>
      </c>
      <c r="I278" s="16"/>
      <c r="J278" s="16" t="s">
        <v>107</v>
      </c>
    </row>
    <row r="279" customFormat="false" ht="15" hidden="false" customHeight="false" outlineLevel="0" collapsed="false">
      <c r="A279" s="16" t="str">
        <f aca="false">IF(ISNUMBER($J279),$J279,"")</f>
        <v/>
      </c>
      <c r="B279" s="16" t="str">
        <f aca="false">IFERROR(INDEX('SALES Raw'!$B$6:$B$1634,MATCH($J279,'SALES Raw'!$J$6:$J$1634,0)),$J279)</f>
        <v>T43V S</v>
      </c>
      <c r="C279" s="16" t="str">
        <f aca="false">IF(ISNUMBER($J279),IFERROR(INDEX('TRANS'!$C:$C,MATCH($J279,'TRANS'!$B:$B,0)),IFERROR(INDEX('Catalog'!$B:$B,MATCH($J279,'Catalog'!$A:$A,0)),$B279)),$B279)</f>
        <v>T43V S</v>
      </c>
      <c r="D279" s="8" t="n">
        <f aca="false">SUMIFS('SALES Raw'!$C$6:$C$1634,'SALES Raw'!$J$6:$J$1634,$J279,'SALES Raw'!$K$6:$K$1634,"Y")</f>
        <v>96</v>
      </c>
      <c r="E279" s="8" t="n">
        <f aca="false">SUMIFS('SALES Raw'!$D$6:$D$1634,'SALES Raw'!$J$6:$J$1634,$J279,'SALES Raw'!$K$6:$K$1634,"Y")</f>
        <v>11266.98</v>
      </c>
      <c r="F279" s="8" t="n">
        <f aca="false">SUMIFS('SALES Raw'!$E$6:$E$1634,'SALES Raw'!$J$6:$J$1634,$J279,'SALES Raw'!$K$6:$K$1634,"Y")*$H$4</f>
        <v>27.7894736842105</v>
      </c>
      <c r="G279" s="8" t="n">
        <f aca="false">SUMIFS('SALES Raw'!$F$6:$F$1634,'SALES Raw'!$J$6:$J$1634,$J279,'SALES Raw'!$K$6:$K$1634,"Y")*$H$4</f>
        <v>3168.37894736842</v>
      </c>
      <c r="H279" s="16" t="s">
        <v>36</v>
      </c>
      <c r="I279" s="16"/>
      <c r="J279" s="16" t="s">
        <v>108</v>
      </c>
    </row>
    <row r="280" customFormat="false" ht="15" hidden="false" customHeight="false" outlineLevel="0" collapsed="false">
      <c r="A280" s="16" t="n">
        <f aca="false">IF(ISNUMBER($J280),$J280,"")</f>
        <v>4413124</v>
      </c>
      <c r="B280" s="16" t="str">
        <f aca="false">IFERROR(INDEX('SALES Raw'!$B$6:$B$1634,MATCH($J280,'SALES Raw'!$J$6:$J$1634,0)),$J280)</f>
        <v>55 XL</v>
      </c>
      <c r="C280" s="16" t="str">
        <f aca="false">IF(ISNUMBER($J280),IFERROR(INDEX('TRANS'!$C:$C,MATCH($J280,'TRANS'!$B:$B,0)),IFERROR(INDEX('Catalog'!$B:$B,MATCH($J280,'Catalog'!$A:$A,0)),$B280)),$B280)</f>
        <v>55 XL מתלה אשכים לספורטאים</v>
      </c>
      <c r="D280" s="8" t="n">
        <f aca="false">SUMIFS('SALES Raw'!$C$6:$C$1634,'SALES Raw'!$J$6:$J$1634,$J280,'SALES Raw'!$K$6:$K$1634,"Y")</f>
        <v>31</v>
      </c>
      <c r="E280" s="8" t="n">
        <f aca="false">SUMIFS('SALES Raw'!$D$6:$D$1634,'SALES Raw'!$J$6:$J$1634,$J280,'SALES Raw'!$K$6:$K$1634,"Y")</f>
        <v>991.17</v>
      </c>
      <c r="F280" s="8" t="n">
        <f aca="false">SUMIFS('SALES Raw'!$E$6:$E$1634,'SALES Raw'!$J$6:$J$1634,$J280,'SALES Raw'!$K$6:$K$1634,"Y")*$H$4</f>
        <v>27.7894736842105</v>
      </c>
      <c r="G280" s="8" t="n">
        <f aca="false">SUMIFS('SALES Raw'!$F$6:$F$1634,'SALES Raw'!$J$6:$J$1634,$J280,'SALES Raw'!$K$6:$K$1634,"Y")*$H$4</f>
        <v>805.313684210526</v>
      </c>
      <c r="H280" s="16" t="s">
        <v>38</v>
      </c>
      <c r="I280" s="16"/>
      <c r="J280" s="16" t="n">
        <v>4413124</v>
      </c>
    </row>
    <row r="281" customFormat="false" ht="15" hidden="false" customHeight="false" outlineLevel="0" collapsed="false">
      <c r="A281" s="16" t="n">
        <f aca="false">IF(ISNUMBER($J281),$J281,"")</f>
        <v>4413525</v>
      </c>
      <c r="B281" s="16" t="str">
        <f aca="false">IFERROR(INDEX('SALES Raw'!$B$6:$B$1634,MATCH($J281,'SALES Raw'!$J$6:$J$1634,0)),$J281)</f>
        <v>379COM-43-46</v>
      </c>
      <c r="C281" s="16" t="str">
        <f aca="false">IF(ISNUMBER($J281),IFERROR(INDEX('TRANS'!$C:$C,MATCH($J281,'TRANS'!$B:$B,0)),IFERROR(INDEX('Catalog'!$B:$B,MATCH($J281,'Catalog'!$A:$A,0)),$B281)),$B281)</f>
        <v>43-47 מדרסי אפיק ג'ל נוחות</v>
      </c>
      <c r="D281" s="8" t="n">
        <f aca="false">SUMIFS('SALES Raw'!$C$6:$C$1634,'SALES Raw'!$J$6:$J$1634,$J281,'SALES Raw'!$K$6:$K$1634,"Y")</f>
        <v>168</v>
      </c>
      <c r="E281" s="8" t="n">
        <f aca="false">SUMIFS('SALES Raw'!$D$6:$D$1634,'SALES Raw'!$J$6:$J$1634,$J281,'SALES Raw'!$K$6:$K$1634,"Y")</f>
        <v>7773.17</v>
      </c>
      <c r="F281" s="8" t="n">
        <f aca="false">SUMIFS('SALES Raw'!$E$6:$E$1634,'SALES Raw'!$J$6:$J$1634,$J281,'SALES Raw'!$K$6:$K$1634,"Y")*$H$4</f>
        <v>26.5263157894737</v>
      </c>
      <c r="G281" s="8" t="n">
        <f aca="false">SUMIFS('SALES Raw'!$F$6:$F$1634,'SALES Raw'!$J$6:$J$1634,$J281,'SALES Raw'!$K$6:$K$1634,"Y")*$H$4</f>
        <v>1015.03578947368</v>
      </c>
      <c r="H281" s="16" t="s">
        <v>44</v>
      </c>
      <c r="I281" s="16" t="s">
        <v>42</v>
      </c>
      <c r="J281" s="16" t="n">
        <v>4413525</v>
      </c>
    </row>
    <row r="282" customFormat="false" ht="15" hidden="false" customHeight="false" outlineLevel="0" collapsed="false">
      <c r="A282" s="16" t="n">
        <f aca="false">IF(ISNUMBER($J282),$J282,"")</f>
        <v>4413534</v>
      </c>
      <c r="B282" s="16" t="str">
        <f aca="false">IFERROR(INDEX('SALES Raw'!$B$6:$B$1634,MATCH($J282,'SALES Raw'!$J$6:$J$1634,0)),$J282)</f>
        <v>SH333 0</v>
      </c>
      <c r="C282" s="16" t="str">
        <f aca="false">IF(ISNUMBER($J282),IFERROR(INDEX('TRANS'!$C:$C,MATCH($J282,'TRANS'!$B:$B,0)),IFERROR(INDEX('Catalog'!$B:$B,MATCH($J282,'Catalog'!$A:$A,0)),$B282)),$B282)</f>
        <v>SH333 מקבע קרסול</v>
      </c>
      <c r="D282" s="8" t="n">
        <f aca="false">SUMIFS('SALES Raw'!$C$6:$C$1634,'SALES Raw'!$J$6:$J$1634,$J282,'SALES Raw'!$K$6:$K$1634,"Y")</f>
        <v>1</v>
      </c>
      <c r="E282" s="8" t="n">
        <f aca="false">SUMIFS('SALES Raw'!$D$6:$D$1634,'SALES Raw'!$J$6:$J$1634,$J282,'SALES Raw'!$K$6:$K$1634,"Y")</f>
        <v>0.03</v>
      </c>
      <c r="F282" s="8" t="n">
        <f aca="false">SUMIFS('SALES Raw'!$E$6:$E$1634,'SALES Raw'!$J$6:$J$1634,$J282,'SALES Raw'!$K$6:$K$1634,"Y")*$H$4</f>
        <v>26.5263157894737</v>
      </c>
      <c r="G282" s="8" t="n">
        <f aca="false">SUMIFS('SALES Raw'!$F$6:$F$1634,'SALES Raw'!$J$6:$J$1634,$J282,'SALES Raw'!$K$6:$K$1634,"Y")*$H$4</f>
        <v>1420.21894736842</v>
      </c>
      <c r="H282" s="16" t="s">
        <v>32</v>
      </c>
      <c r="I282" s="16" t="s">
        <v>38</v>
      </c>
      <c r="J282" s="16" t="n">
        <v>4413534</v>
      </c>
    </row>
    <row r="283" customFormat="false" ht="15" hidden="false" customHeight="false" outlineLevel="0" collapsed="false">
      <c r="A283" s="16" t="n">
        <f aca="false">IF(ISNUMBER($J283),$J283,"")</f>
        <v>4421001</v>
      </c>
      <c r="B283" s="16" t="str">
        <f aca="false">IFERROR(INDEX('SALES Raw'!$B$6:$B$1634,MATCH($J283,'SALES Raw'!$J$6:$J$1634,0)),$J283)</f>
        <v>3611 0</v>
      </c>
      <c r="C283" s="16" t="str">
        <f aca="false">IF(ISNUMBER($J283),IFERROR(INDEX('TRANS'!$C:$C,MATCH($J283,'TRANS'!$B:$B,0)),IFERROR(INDEX('Catalog'!$B:$B,MATCH($J283,'Catalog'!$A:$A,0)),$B283)),$B283)</f>
        <v>3611 שרוול מטטרזלי מסיליקון</v>
      </c>
      <c r="D283" s="8" t="n">
        <f aca="false">SUMIFS('SALES Raw'!$C$6:$C$1634,'SALES Raw'!$J$6:$J$1634,$J283,'SALES Raw'!$K$6:$K$1634,"Y")</f>
        <v>96</v>
      </c>
      <c r="E283" s="8" t="n">
        <f aca="false">SUMIFS('SALES Raw'!$D$6:$D$1634,'SALES Raw'!$J$6:$J$1634,$J283,'SALES Raw'!$K$6:$K$1634,"Y")</f>
        <v>2790.4</v>
      </c>
      <c r="F283" s="8" t="n">
        <f aca="false">SUMIFS('SALES Raw'!$E$6:$E$1634,'SALES Raw'!$J$6:$J$1634,$J283,'SALES Raw'!$K$6:$K$1634,"Y")*$H$4</f>
        <v>26.5263157894737</v>
      </c>
      <c r="G283" s="8" t="n">
        <f aca="false">SUMIFS('SALES Raw'!$F$6:$F$1634,'SALES Raw'!$J$6:$J$1634,$J283,'SALES Raw'!$K$6:$K$1634,"Y")*$H$4</f>
        <v>742.231578947369</v>
      </c>
      <c r="H283" s="16" t="s">
        <v>38</v>
      </c>
      <c r="I283" s="16" t="s">
        <v>32</v>
      </c>
      <c r="J283" s="16" t="n">
        <v>4421001</v>
      </c>
    </row>
    <row r="284" customFormat="false" ht="15" hidden="false" customHeight="false" outlineLevel="0" collapsed="false">
      <c r="A284" s="16" t="n">
        <f aca="false">IF(ISNUMBER($J284),$J284,"")</f>
        <v>4413365</v>
      </c>
      <c r="B284" s="16" t="str">
        <f aca="false">IFERROR(INDEX('SALES Raw'!$B$6:$B$1634,MATCH($J284,'SALES Raw'!$J$6:$J$1634,0)),$J284)</f>
        <v>95C L</v>
      </c>
      <c r="C284" s="16" t="str">
        <f aca="false">IF(ISNUMBER($J284),IFERROR(INDEX('TRANS'!$C:$C,MATCH($J284,'TRANS'!$B:$B,0)),IFERROR(INDEX('Catalog'!$B:$B,MATCH($J284,'Catalog'!$A:$A,0)),$B284)),$B284)</f>
        <v>95C L 'מגן מרפק בז</v>
      </c>
      <c r="D284" s="8" t="n">
        <f aca="false">SUMIFS('SALES Raw'!$C$6:$C$1634,'SALES Raw'!$J$6:$J$1634,$J284,'SALES Raw'!$K$6:$K$1634,"Y")</f>
        <v>140</v>
      </c>
      <c r="E284" s="8" t="n">
        <f aca="false">SUMIFS('SALES Raw'!$D$6:$D$1634,'SALES Raw'!$J$6:$J$1634,$J284,'SALES Raw'!$K$6:$K$1634,"Y")</f>
        <v>2022.47</v>
      </c>
      <c r="F284" s="8" t="n">
        <f aca="false">SUMIFS('SALES Raw'!$E$6:$E$1634,'SALES Raw'!$J$6:$J$1634,$J284,'SALES Raw'!$K$6:$K$1634,"Y")*$H$4</f>
        <v>25.2631578947368</v>
      </c>
      <c r="G284" s="8" t="n">
        <f aca="false">SUMIFS('SALES Raw'!$F$6:$F$1634,'SALES Raw'!$J$6:$J$1634,$J284,'SALES Raw'!$K$6:$K$1634,"Y")*$H$4</f>
        <v>316.067368421053</v>
      </c>
      <c r="H284" s="16" t="s">
        <v>30</v>
      </c>
      <c r="I284" s="16"/>
      <c r="J284" s="16" t="n">
        <v>4413365</v>
      </c>
    </row>
    <row r="285" customFormat="false" ht="15" hidden="false" customHeight="false" outlineLevel="0" collapsed="false">
      <c r="A285" s="16" t="n">
        <f aca="false">IF(ISNUMBER($J285),$J285,"")</f>
        <v>4415073</v>
      </c>
      <c r="B285" s="16" t="str">
        <f aca="false">IFERROR(INDEX('SALES Raw'!$B$6:$B$1634,MATCH($J285,'SALES Raw'!$J$6:$J$1634,0)),$J285)</f>
        <v>T28A-L-XL</v>
      </c>
      <c r="C285" s="16" t="str">
        <f aca="false">IF(ISNUMBER($J285),IFERROR(INDEX('TRANS'!$C:$C,MATCH($J285,'TRANS'!$B:$B,0)),IFERROR(INDEX('Catalog'!$B:$B,MATCH($J285,'Catalog'!$A:$A,0)),$B285)),$B285)</f>
        <v>T28A L-XL סד לאגודל</v>
      </c>
      <c r="D285" s="8" t="n">
        <f aca="false">SUMIFS('SALES Raw'!$C$6:$C$1634,'SALES Raw'!$J$6:$J$1634,$J285,'SALES Raw'!$K$6:$K$1634,"Y")</f>
        <v>130</v>
      </c>
      <c r="E285" s="8" t="n">
        <f aca="false">SUMIFS('SALES Raw'!$D$6:$D$1634,'SALES Raw'!$J$6:$J$1634,$J285,'SALES Raw'!$K$6:$K$1634,"Y")</f>
        <v>4871.88</v>
      </c>
      <c r="F285" s="8" t="n">
        <f aca="false">SUMIFS('SALES Raw'!$E$6:$E$1634,'SALES Raw'!$J$6:$J$1634,$J285,'SALES Raw'!$K$6:$K$1634,"Y")*$H$4</f>
        <v>25.2631578947368</v>
      </c>
      <c r="G285" s="8" t="n">
        <f aca="false">SUMIFS('SALES Raw'!$F$6:$F$1634,'SALES Raw'!$J$6:$J$1634,$J285,'SALES Raw'!$K$6:$K$1634,"Y")*$H$4</f>
        <v>638.690526315789</v>
      </c>
      <c r="H285" s="16" t="s">
        <v>42</v>
      </c>
      <c r="I285" s="16" t="s">
        <v>30</v>
      </c>
      <c r="J285" s="16" t="n">
        <v>4415073</v>
      </c>
    </row>
    <row r="286" customFormat="false" ht="15" hidden="false" customHeight="false" outlineLevel="0" collapsed="false">
      <c r="A286" s="16" t="n">
        <f aca="false">IF(ISNUMBER($J286),$J286,"")</f>
        <v>4402007</v>
      </c>
      <c r="B286" s="16" t="str">
        <f aca="false">IFERROR(INDEX('SALES Raw'!$B$6:$B$1634,MATCH($J286,'SALES Raw'!$J$6:$J$1634,0)),$J286)</f>
        <v>320 0</v>
      </c>
      <c r="C286" s="16" t="str">
        <f aca="false">IF(ISNUMBER($J286),IFERROR(INDEX('TRANS'!$C:$C,MATCH($J286,'TRANS'!$B:$B,0)),IFERROR(INDEX('Catalog'!$B:$B,MATCH($J286,'Catalog'!$A:$A,0)),$B286)),$B286)</f>
        <v>320 בליסטר פלסטר</v>
      </c>
      <c r="D286" s="8" t="n">
        <f aca="false">SUMIFS('SALES Raw'!$C$6:$C$1634,'SALES Raw'!$J$6:$J$1634,$J286,'SALES Raw'!$K$6:$K$1634,"Y")</f>
        <v>54</v>
      </c>
      <c r="E286" s="8" t="n">
        <f aca="false">SUMIFS('SALES Raw'!$D$6:$D$1634,'SALES Raw'!$J$6:$J$1634,$J286,'SALES Raw'!$K$6:$K$1634,"Y")</f>
        <v>336.86</v>
      </c>
      <c r="F286" s="8" t="n">
        <f aca="false">SUMIFS('SALES Raw'!$E$6:$E$1634,'SALES Raw'!$J$6:$J$1634,$J286,'SALES Raw'!$K$6:$K$1634,"Y")*$H$4</f>
        <v>25.2631578947368</v>
      </c>
      <c r="G286" s="8" t="n">
        <f aca="false">SUMIFS('SALES Raw'!$F$6:$F$1634,'SALES Raw'!$J$6:$J$1634,$J286,'SALES Raw'!$K$6:$K$1634,"Y")*$H$4</f>
        <v>160.661052631579</v>
      </c>
      <c r="H286" s="16" t="s">
        <v>32</v>
      </c>
      <c r="I286" s="16" t="s">
        <v>38</v>
      </c>
      <c r="J286" s="16" t="n">
        <v>4402007</v>
      </c>
    </row>
    <row r="287" customFormat="false" ht="15" hidden="false" customHeight="false" outlineLevel="0" collapsed="false">
      <c r="A287" s="16" t="str">
        <f aca="false">IF(ISNUMBER($J287),$J287,"")</f>
        <v/>
      </c>
      <c r="B287" s="16" t="str">
        <f aca="false">IFERROR(INDEX('SALES Raw'!$B$6:$B$1634,MATCH($J287,'SALES Raw'!$J$6:$J$1634,0)),$J287)</f>
        <v>60B L</v>
      </c>
      <c r="C287" s="16" t="str">
        <f aca="false">IF(ISNUMBER($J287),IFERROR(INDEX('TRANS'!$C:$C,MATCH($J287,'TRANS'!$B:$B,0)),IFERROR(INDEX('Catalog'!$B:$B,MATCH($J287,'Catalog'!$A:$A,0)),$B287)),$B287)</f>
        <v>60B L</v>
      </c>
      <c r="D287" s="8" t="n">
        <f aca="false">SUMIFS('SALES Raw'!$C$6:$C$1634,'SALES Raw'!$J$6:$J$1634,$J287,'SALES Raw'!$K$6:$K$1634,"Y")</f>
        <v>10</v>
      </c>
      <c r="E287" s="8" t="n">
        <f aca="false">SUMIFS('SALES Raw'!$D$6:$D$1634,'SALES Raw'!$J$6:$J$1634,$J287,'SALES Raw'!$K$6:$K$1634,"Y")</f>
        <v>292.14</v>
      </c>
      <c r="F287" s="8" t="n">
        <f aca="false">SUMIFS('SALES Raw'!$E$6:$E$1634,'SALES Raw'!$J$6:$J$1634,$J287,'SALES Raw'!$K$6:$K$1634,"Y")*$H$4</f>
        <v>25.2631578947368</v>
      </c>
      <c r="G287" s="8" t="n">
        <f aca="false">SUMIFS('SALES Raw'!$F$6:$F$1634,'SALES Raw'!$J$6:$J$1634,$J287,'SALES Raw'!$K$6:$K$1634,"Y")*$H$4</f>
        <v>663.208421052632</v>
      </c>
      <c r="H287" s="16" t="s">
        <v>32</v>
      </c>
      <c r="I287" s="16" t="s">
        <v>37</v>
      </c>
      <c r="J287" s="16" t="s">
        <v>109</v>
      </c>
    </row>
    <row r="288" customFormat="false" ht="15" hidden="false" customHeight="false" outlineLevel="0" collapsed="false">
      <c r="A288" s="16" t="n">
        <f aca="false">IF(ISNUMBER($J288),$J288,"")</f>
        <v>4413115</v>
      </c>
      <c r="B288" s="16" t="str">
        <f aca="false">IFERROR(INDEX('SALES Raw'!$B$6:$B$1634,MATCH($J288,'SALES Raw'!$J$6:$J$1634,0)),$J288)</f>
        <v>49 XXL</v>
      </c>
      <c r="C288" s="16" t="str">
        <f aca="false">IF(ISNUMBER($J288),IFERROR(INDEX('TRANS'!$C:$C,MATCH($J288,'TRANS'!$B:$B,0)),IFERROR(INDEX('Catalog'!$B:$B,MATCH($J288,'Catalog'!$A:$A,0)),$B288)),$B288)</f>
        <v>49 XXL מגן ירך</v>
      </c>
      <c r="D288" s="8" t="n">
        <f aca="false">SUMIFS('SALES Raw'!$C$6:$C$1634,'SALES Raw'!$J$6:$J$1634,$J288,'SALES Raw'!$K$6:$K$1634,"Y")</f>
        <v>27</v>
      </c>
      <c r="E288" s="8" t="n">
        <f aca="false">SUMIFS('SALES Raw'!$D$6:$D$1634,'SALES Raw'!$J$6:$J$1634,$J288,'SALES Raw'!$K$6:$K$1634,"Y")</f>
        <v>295.22</v>
      </c>
      <c r="F288" s="8" t="n">
        <f aca="false">SUMIFS('SALES Raw'!$E$6:$E$1634,'SALES Raw'!$J$6:$J$1634,$J288,'SALES Raw'!$K$6:$K$1634,"Y")*$H$4</f>
        <v>25.2631578947368</v>
      </c>
      <c r="G288" s="8" t="n">
        <f aca="false">SUMIFS('SALES Raw'!$F$6:$F$1634,'SALES Raw'!$J$6:$J$1634,$J288,'SALES Raw'!$K$6:$K$1634,"Y")*$H$4</f>
        <v>297.334736842105</v>
      </c>
      <c r="H288" s="16" t="s">
        <v>42</v>
      </c>
      <c r="I288" s="16"/>
      <c r="J288" s="16" t="n">
        <v>4413115</v>
      </c>
    </row>
    <row r="289" customFormat="false" ht="15" hidden="false" customHeight="false" outlineLevel="0" collapsed="false">
      <c r="A289" s="16" t="n">
        <f aca="false">IF(ISNUMBER($J289),$J289,"")</f>
        <v>4408114</v>
      </c>
      <c r="B289" s="16" t="str">
        <f aca="false">IFERROR(INDEX('SALES Raw'!$B$6:$B$1634,MATCH($J289,'SALES Raw'!$J$6:$J$1634,0)),$J289)</f>
        <v>11EU M</v>
      </c>
      <c r="C289" s="16" t="str">
        <f aca="false">IF(ISNUMBER($J289),IFERROR(INDEX('TRANS'!$C:$C,MATCH($J289,'TRANS'!$B:$B,0)),IFERROR(INDEX('Catalog'!$B:$B,MATCH($J289,'Catalog'!$A:$A,0)),$B289)),$B289)</f>
        <v>11EU M ח.בטן לאחר ניתוח</v>
      </c>
      <c r="D289" s="8" t="n">
        <f aca="false">SUMIFS('SALES Raw'!$C$6:$C$1634,'SALES Raw'!$J$6:$J$1634,$J289,'SALES Raw'!$K$6:$K$1634,"Y")</f>
        <v>49</v>
      </c>
      <c r="E289" s="8" t="n">
        <f aca="false">SUMIFS('SALES Raw'!$D$6:$D$1634,'SALES Raw'!$J$6:$J$1634,$J289,'SALES Raw'!$K$6:$K$1634,"Y")</f>
        <v>2253.85</v>
      </c>
      <c r="F289" s="8" t="n">
        <f aca="false">SUMIFS('SALES Raw'!$E$6:$E$1634,'SALES Raw'!$J$6:$J$1634,$J289,'SALES Raw'!$K$6:$K$1634,"Y")*$H$4</f>
        <v>22.7368421052632</v>
      </c>
      <c r="G289" s="8" t="n">
        <f aca="false">SUMIFS('SALES Raw'!$F$6:$F$1634,'SALES Raw'!$J$6:$J$1634,$J289,'SALES Raw'!$K$6:$K$1634,"Y")*$H$4</f>
        <v>891.06947368421</v>
      </c>
      <c r="H289" s="16" t="s">
        <v>38</v>
      </c>
      <c r="I289" s="16" t="s">
        <v>32</v>
      </c>
      <c r="J289" s="16" t="n">
        <v>4408114</v>
      </c>
    </row>
    <row r="290" customFormat="false" ht="15" hidden="false" customHeight="false" outlineLevel="0" collapsed="false">
      <c r="A290" s="16" t="n">
        <f aca="false">IF(ISNUMBER($J290),$J290,"")</f>
        <v>4413122</v>
      </c>
      <c r="B290" s="16" t="str">
        <f aca="false">IFERROR(INDEX('SALES Raw'!$B$6:$B$1634,MATCH($J290,'SALES Raw'!$J$6:$J$1634,0)),$J290)</f>
        <v>55 L</v>
      </c>
      <c r="C290" s="16" t="str">
        <f aca="false">IF(ISNUMBER($J290),IFERROR(INDEX('TRANS'!$C:$C,MATCH($J290,'TRANS'!$B:$B,0)),IFERROR(INDEX('Catalog'!$B:$B,MATCH($J290,'Catalog'!$A:$A,0)),$B290)),$B290)</f>
        <v>55 L מתלה אשכים לספורטאים</v>
      </c>
      <c r="D290" s="8" t="n">
        <f aca="false">SUMIFS('SALES Raw'!$C$6:$C$1634,'SALES Raw'!$J$6:$J$1634,$J290,'SALES Raw'!$K$6:$K$1634,"Y")</f>
        <v>100</v>
      </c>
      <c r="E290" s="8" t="n">
        <f aca="false">SUMIFS('SALES Raw'!$D$6:$D$1634,'SALES Raw'!$J$6:$J$1634,$J290,'SALES Raw'!$K$6:$K$1634,"Y")</f>
        <v>3135.24</v>
      </c>
      <c r="F290" s="8" t="n">
        <f aca="false">SUMIFS('SALES Raw'!$E$6:$E$1634,'SALES Raw'!$J$6:$J$1634,$J290,'SALES Raw'!$K$6:$K$1634,"Y")*$H$4</f>
        <v>22.7368421052632</v>
      </c>
      <c r="G290" s="8" t="n">
        <f aca="false">SUMIFS('SALES Raw'!$F$6:$F$1634,'SALES Raw'!$J$6:$J$1634,$J290,'SALES Raw'!$K$6:$K$1634,"Y")*$H$4</f>
        <v>660.391578947368</v>
      </c>
      <c r="H290" s="16" t="s">
        <v>38</v>
      </c>
      <c r="I290" s="16"/>
      <c r="J290" s="16" t="n">
        <v>4413122</v>
      </c>
    </row>
    <row r="291" customFormat="false" ht="15" hidden="false" customHeight="false" outlineLevel="0" collapsed="false">
      <c r="A291" s="16" t="n">
        <f aca="false">IF(ISNUMBER($J291),$J291,"")</f>
        <v>4422009</v>
      </c>
      <c r="B291" s="16" t="str">
        <f aca="false">IFERROR(INDEX('SALES Raw'!$B$6:$B$1634,MATCH($J291,'SALES Raw'!$J$6:$J$1634,0)),$J291)</f>
        <v>T78 XXL</v>
      </c>
      <c r="C291" s="16" t="str">
        <f aca="false">IF(ISNUMBER($J291),IFERROR(INDEX('TRANS'!$C:$C,MATCH($J291,'TRANS'!$B:$B,0)),IFERROR(INDEX('Catalog'!$B:$B,MATCH($J291,'Catalog'!$A:$A,0)),$B291)),$B291)</f>
        <v>T78 XXL תומך זרוע וכתף</v>
      </c>
      <c r="D291" s="8" t="n">
        <f aca="false">SUMIFS('SALES Raw'!$C$6:$C$1634,'SALES Raw'!$J$6:$J$1634,$J291,'SALES Raw'!$K$6:$K$1634,"Y")</f>
        <v>0</v>
      </c>
      <c r="E291" s="8" t="n">
        <f aca="false">SUMIFS('SALES Raw'!$D$6:$D$1634,'SALES Raw'!$J$6:$J$1634,$J291,'SALES Raw'!$K$6:$K$1634,"Y")</f>
        <v>0</v>
      </c>
      <c r="F291" s="8" t="n">
        <f aca="false">SUMIFS('SALES Raw'!$E$6:$E$1634,'SALES Raw'!$J$6:$J$1634,$J291,'SALES Raw'!$K$6:$K$1634,"Y")*$H$4</f>
        <v>21.4736842105263</v>
      </c>
      <c r="G291" s="8" t="n">
        <f aca="false">SUMIFS('SALES Raw'!$F$6:$F$1634,'SALES Raw'!$J$6:$J$1634,$J291,'SALES Raw'!$K$6:$K$1634,"Y")*$H$4</f>
        <v>1542.72</v>
      </c>
      <c r="H291" s="16" t="s">
        <v>32</v>
      </c>
      <c r="I291" s="16" t="s">
        <v>37</v>
      </c>
      <c r="J291" s="16" t="n">
        <v>4422009</v>
      </c>
    </row>
    <row r="292" customFormat="false" ht="15" hidden="false" customHeight="false" outlineLevel="0" collapsed="false">
      <c r="A292" s="16" t="n">
        <f aca="false">IF(ISNUMBER($J292),$J292,"")</f>
        <v>4413395</v>
      </c>
      <c r="B292" s="16" t="str">
        <f aca="false">IFERROR(INDEX('SALES Raw'!$B$6:$B$1634,MATCH($J292,'SALES Raw'!$J$6:$J$1634,0)),$J292)</f>
        <v>45EC M</v>
      </c>
      <c r="C292" s="16" t="str">
        <f aca="false">IF(ISNUMBER($J292),IFERROR(INDEX('TRANS'!$C:$C,MATCH($J292,'TRANS'!$B:$B,0)),IFERROR(INDEX('Catalog'!$B:$B,MATCH($J292,'Catalog'!$A:$A,0)),$B292)),$B292)</f>
        <v>45EC M 'מגן ברך ארוך בז</v>
      </c>
      <c r="D292" s="8" t="n">
        <f aca="false">SUMIFS('SALES Raw'!$C$6:$C$1634,'SALES Raw'!$J$6:$J$1634,$J292,'SALES Raw'!$K$6:$K$1634,"Y")</f>
        <v>10</v>
      </c>
      <c r="E292" s="8" t="n">
        <f aca="false">SUMIFS('SALES Raw'!$D$6:$D$1634,'SALES Raw'!$J$6:$J$1634,$J292,'SALES Raw'!$K$6:$K$1634,"Y")</f>
        <v>126.59</v>
      </c>
      <c r="F292" s="8" t="n">
        <f aca="false">SUMIFS('SALES Raw'!$E$6:$E$1634,'SALES Raw'!$J$6:$J$1634,$J292,'SALES Raw'!$K$6:$K$1634,"Y")*$H$4</f>
        <v>20.2105263157895</v>
      </c>
      <c r="G292" s="8" t="n">
        <f aca="false">SUMIFS('SALES Raw'!$F$6:$F$1634,'SALES Raw'!$J$6:$J$1634,$J292,'SALES Raw'!$K$6:$K$1634,"Y")*$H$4</f>
        <v>235.136842105263</v>
      </c>
      <c r="H292" s="16" t="s">
        <v>32</v>
      </c>
      <c r="I292" s="16"/>
      <c r="J292" s="16" t="n">
        <v>4413395</v>
      </c>
    </row>
    <row r="293" customFormat="false" ht="15" hidden="false" customHeight="false" outlineLevel="0" collapsed="false">
      <c r="A293" s="16" t="str">
        <f aca="false">IF(ISNUMBER($J293),$J293,"")</f>
        <v/>
      </c>
      <c r="B293" s="16" t="str">
        <f aca="false">IFERROR(INDEX('SALES Raw'!$B$6:$B$1634,MATCH($J293,'SALES Raw'!$J$6:$J$1634,0)),$J293)</f>
        <v>60B S</v>
      </c>
      <c r="C293" s="16" t="str">
        <f aca="false">IF(ISNUMBER($J293),IFERROR(INDEX('TRANS'!$C:$C,MATCH($J293,'TRANS'!$B:$B,0)),IFERROR(INDEX('Catalog'!$B:$B,MATCH($J293,'Catalog'!$A:$A,0)),$B293)),$B293)</f>
        <v>60B S</v>
      </c>
      <c r="D293" s="8" t="n">
        <f aca="false">SUMIFS('SALES Raw'!$C$6:$C$1634,'SALES Raw'!$J$6:$J$1634,$J293,'SALES Raw'!$K$6:$K$1634,"Y")</f>
        <v>28</v>
      </c>
      <c r="E293" s="8" t="n">
        <f aca="false">SUMIFS('SALES Raw'!$D$6:$D$1634,'SALES Raw'!$J$6:$J$1634,$J293,'SALES Raw'!$K$6:$K$1634,"Y")</f>
        <v>813.62</v>
      </c>
      <c r="F293" s="8" t="n">
        <f aca="false">SUMIFS('SALES Raw'!$E$6:$E$1634,'SALES Raw'!$J$6:$J$1634,$J293,'SALES Raw'!$K$6:$K$1634,"Y")*$H$4</f>
        <v>20.2105263157895</v>
      </c>
      <c r="G293" s="8" t="n">
        <f aca="false">SUMIFS('SALES Raw'!$F$6:$F$1634,'SALES Raw'!$J$6:$J$1634,$J293,'SALES Raw'!$K$6:$K$1634,"Y")*$H$4</f>
        <v>523.97052631579</v>
      </c>
      <c r="H293" s="16" t="s">
        <v>37</v>
      </c>
      <c r="I293" s="16" t="s">
        <v>32</v>
      </c>
      <c r="J293" s="16" t="s">
        <v>110</v>
      </c>
    </row>
    <row r="294" customFormat="false" ht="15" hidden="false" customHeight="false" outlineLevel="0" collapsed="false">
      <c r="A294" s="16" t="n">
        <f aca="false">IF(ISNUMBER($J294),$J294,"")</f>
        <v>4403001</v>
      </c>
      <c r="B294" s="16" t="str">
        <f aca="false">IFERROR(INDEX('SALES Raw'!$B$6:$B$1634,MATCH($J294,'SALES Raw'!$J$6:$J$1634,0)),$J294)</f>
        <v>390B-39-42</v>
      </c>
      <c r="C294" s="16" t="str">
        <f aca="false">IF(ISNUMBER($J294),IFERROR(INDEX('TRANS'!$C:$C,MATCH($J294,'TRANS'!$B:$B,0)),IFERROR(INDEX('Catalog'!$B:$B,MATCH($J294,'Catalog'!$A:$A,0)),$B294)),$B294)</f>
        <v>390B 39-42.גרב.כסף לסכרתיים שח</v>
      </c>
      <c r="D294" s="8" t="n">
        <f aca="false">SUMIFS('SALES Raw'!$C$6:$C$1634,'SALES Raw'!$J$6:$J$1634,$J294,'SALES Raw'!$K$6:$K$1634,"Y")</f>
        <v>160</v>
      </c>
      <c r="E294" s="8" t="n">
        <f aca="false">SUMIFS('SALES Raw'!$D$6:$D$1634,'SALES Raw'!$J$6:$J$1634,$J294,'SALES Raw'!$K$6:$K$1634,"Y")</f>
        <v>3777.96</v>
      </c>
      <c r="F294" s="8" t="n">
        <f aca="false">SUMIFS('SALES Raw'!$E$6:$E$1634,'SALES Raw'!$J$6:$J$1634,$J294,'SALES Raw'!$K$6:$K$1634,"Y")*$H$4</f>
        <v>20.2105263157895</v>
      </c>
      <c r="G294" s="8" t="n">
        <f aca="false">SUMIFS('SALES Raw'!$F$6:$F$1634,'SALES Raw'!$J$6:$J$1634,$J294,'SALES Raw'!$K$6:$K$1634,"Y")*$H$4</f>
        <v>397.402105263158</v>
      </c>
      <c r="H294" s="16" t="s">
        <v>38</v>
      </c>
      <c r="I294" s="16" t="s">
        <v>34</v>
      </c>
      <c r="J294" s="16" t="n">
        <v>4403001</v>
      </c>
    </row>
    <row r="295" customFormat="false" ht="15" hidden="false" customHeight="false" outlineLevel="0" collapsed="false">
      <c r="A295" s="16" t="n">
        <f aca="false">IF(ISNUMBER($J295),$J295,"")</f>
        <v>4403002</v>
      </c>
      <c r="B295" s="16" t="str">
        <f aca="false">IFERROR(INDEX('SALES Raw'!$B$6:$B$1634,MATCH($J295,'SALES Raw'!$J$6:$J$1634,0)),$J295)</f>
        <v>390B-43-46</v>
      </c>
      <c r="C295" s="16" t="str">
        <f aca="false">IF(ISNUMBER($J295),IFERROR(INDEX('TRANS'!$C:$C,MATCH($J295,'TRANS'!$B:$B,0)),IFERROR(INDEX('Catalog'!$B:$B,MATCH($J295,'Catalog'!$A:$A,0)),$B295)),$B295)</f>
        <v>390B 43-46.גרב.כסף לסכרתיים שח</v>
      </c>
      <c r="D295" s="8" t="n">
        <f aca="false">SUMIFS('SALES Raw'!$C$6:$C$1634,'SALES Raw'!$J$6:$J$1634,$J295,'SALES Raw'!$K$6:$K$1634,"Y")</f>
        <v>195</v>
      </c>
      <c r="E295" s="8" t="n">
        <f aca="false">SUMIFS('SALES Raw'!$D$6:$D$1634,'SALES Raw'!$J$6:$J$1634,$J295,'SALES Raw'!$K$6:$K$1634,"Y")</f>
        <v>4521.98</v>
      </c>
      <c r="F295" s="8" t="n">
        <f aca="false">SUMIFS('SALES Raw'!$E$6:$E$1634,'SALES Raw'!$J$6:$J$1634,$J295,'SALES Raw'!$K$6:$K$1634,"Y")*$H$4</f>
        <v>20.2105263157895</v>
      </c>
      <c r="G295" s="8" t="n">
        <f aca="false">SUMIFS('SALES Raw'!$F$6:$F$1634,'SALES Raw'!$J$6:$J$1634,$J295,'SALES Raw'!$K$6:$K$1634,"Y")*$H$4</f>
        <v>414.012631578947</v>
      </c>
      <c r="H295" s="16" t="s">
        <v>38</v>
      </c>
      <c r="I295" s="16" t="s">
        <v>34</v>
      </c>
      <c r="J295" s="16" t="n">
        <v>4403002</v>
      </c>
    </row>
    <row r="296" customFormat="false" ht="15" hidden="false" customHeight="false" outlineLevel="0" collapsed="false">
      <c r="A296" s="16" t="n">
        <f aca="false">IF(ISNUMBER($J296),$J296,"")</f>
        <v>4415002</v>
      </c>
      <c r="B296" s="16" t="str">
        <f aca="false">IFERROR(INDEX('SALES Raw'!$B$6:$B$1634,MATCH($J296,'SALES Raw'!$J$6:$J$1634,0)),$J296)</f>
        <v>26 S</v>
      </c>
      <c r="C296" s="16" t="str">
        <f aca="false">IF(ISNUMBER($J296),IFERROR(INDEX('TRANS'!$C:$C,MATCH($J296,'TRANS'!$B:$B,0)),IFERROR(INDEX('Catalog'!$B:$B,MATCH($J296,'Catalog'!$A:$A,0)),$B296)),$B296)</f>
        <v>26 S סד ליד דו צדדי לאחר שבר</v>
      </c>
      <c r="D296" s="8" t="n">
        <f aca="false">SUMIFS('SALES Raw'!$C$6:$C$1634,'SALES Raw'!$J$6:$J$1634,$J296,'SALES Raw'!$K$6:$K$1634,"Y")</f>
        <v>53</v>
      </c>
      <c r="E296" s="8" t="n">
        <f aca="false">SUMIFS('SALES Raw'!$D$6:$D$1634,'SALES Raw'!$J$6:$J$1634,$J296,'SALES Raw'!$K$6:$K$1634,"Y")</f>
        <v>2321.95</v>
      </c>
      <c r="F296" s="8" t="n">
        <f aca="false">SUMIFS('SALES Raw'!$E$6:$E$1634,'SALES Raw'!$J$6:$J$1634,$J296,'SALES Raw'!$K$6:$K$1634,"Y")*$H$4</f>
        <v>20.2105263157895</v>
      </c>
      <c r="G296" s="8" t="n">
        <f aca="false">SUMIFS('SALES Raw'!$F$6:$F$1634,'SALES Raw'!$J$6:$J$1634,$J296,'SALES Raw'!$K$6:$K$1634,"Y")*$H$4</f>
        <v>803.722105263158</v>
      </c>
      <c r="H296" s="16" t="s">
        <v>38</v>
      </c>
      <c r="I296" s="16" t="s">
        <v>36</v>
      </c>
      <c r="J296" s="16" t="n">
        <v>4415002</v>
      </c>
    </row>
    <row r="297" customFormat="false" ht="15" hidden="false" customHeight="false" outlineLevel="0" collapsed="false">
      <c r="A297" s="16" t="str">
        <f aca="false">IF(ISNUMBER($J297),$J297,"")</f>
        <v/>
      </c>
      <c r="B297" s="16" t="str">
        <f aca="false">IFERROR(INDEX('SALES Raw'!$B$6:$B$1634,MATCH($J297,'SALES Raw'!$J$6:$J$1634,0)),$J297)</f>
        <v>62FC XS</v>
      </c>
      <c r="C297" s="16" t="str">
        <f aca="false">IF(ISNUMBER($J297),IFERROR(INDEX('TRANS'!$C:$C,MATCH($J297,'TRANS'!$B:$B,0)),IFERROR(INDEX('Catalog'!$B:$B,MATCH($J297,'Catalog'!$A:$A,0)),$B297)),$B297)</f>
        <v>62FC XS</v>
      </c>
      <c r="D297" s="8" t="n">
        <f aca="false">SUMIFS('SALES Raw'!$C$6:$C$1634,'SALES Raw'!$J$6:$J$1634,$J297,'SALES Raw'!$K$6:$K$1634,"Y")</f>
        <v>0</v>
      </c>
      <c r="E297" s="8" t="n">
        <f aca="false">SUMIFS('SALES Raw'!$D$6:$D$1634,'SALES Raw'!$J$6:$J$1634,$J297,'SALES Raw'!$K$6:$K$1634,"Y")</f>
        <v>0</v>
      </c>
      <c r="F297" s="8" t="n">
        <f aca="false">SUMIFS('SALES Raw'!$E$6:$E$1634,'SALES Raw'!$J$6:$J$1634,$J297,'SALES Raw'!$K$6:$K$1634,"Y")*$H$4</f>
        <v>20.2105263157895</v>
      </c>
      <c r="G297" s="8" t="n">
        <f aca="false">SUMIFS('SALES Raw'!$F$6:$F$1634,'SALES Raw'!$J$6:$J$1634,$J297,'SALES Raw'!$K$6:$K$1634,"Y")*$H$4</f>
        <v>506.614736842105</v>
      </c>
      <c r="H297" s="16" t="s">
        <v>36</v>
      </c>
      <c r="I297" s="16"/>
      <c r="J297" s="16" t="s">
        <v>111</v>
      </c>
    </row>
    <row r="298" customFormat="false" ht="15" hidden="false" customHeight="false" outlineLevel="0" collapsed="false">
      <c r="A298" s="16" t="n">
        <f aca="false">IF(ISNUMBER($J298),$J298,"")</f>
        <v>4408219</v>
      </c>
      <c r="B298" s="16" t="str">
        <f aca="false">IFERROR(INDEX('SALES Raw'!$B$6:$B$1634,MATCH($J298,'SALES Raw'!$J$6:$J$1634,0)),$J298)</f>
        <v>078G S</v>
      </c>
      <c r="C298" s="16" t="str">
        <f aca="false">IF(ISNUMBER($J298),IFERROR(INDEX('TRANS'!$C:$C,MATCH($J298,'TRANS'!$B:$B,0)),IFERROR(INDEX('Catalog'!$B:$B,MATCH($J298,'Catalog'!$A:$A,0)),$B298)),$B298)</f>
        <v>078G-S חגורת גב אפורה</v>
      </c>
      <c r="D298" s="8" t="n">
        <f aca="false">SUMIFS('SALES Raw'!$C$6:$C$1634,'SALES Raw'!$J$6:$J$1634,$J298,'SALES Raw'!$K$6:$K$1634,"Y")</f>
        <v>80</v>
      </c>
      <c r="E298" s="8" t="n">
        <f aca="false">SUMIFS('SALES Raw'!$D$6:$D$1634,'SALES Raw'!$J$6:$J$1634,$J298,'SALES Raw'!$K$6:$K$1634,"Y")</f>
        <v>5607.71</v>
      </c>
      <c r="F298" s="8" t="n">
        <f aca="false">SUMIFS('SALES Raw'!$E$6:$E$1634,'SALES Raw'!$J$6:$J$1634,$J298,'SALES Raw'!$K$6:$K$1634,"Y")*$H$4</f>
        <v>18.9473684210526</v>
      </c>
      <c r="G298" s="8" t="n">
        <f aca="false">SUMIFS('SALES Raw'!$F$6:$F$1634,'SALES Raw'!$J$6:$J$1634,$J298,'SALES Raw'!$K$6:$K$1634,"Y")*$H$4</f>
        <v>1099.2</v>
      </c>
      <c r="H298" s="16" t="s">
        <v>30</v>
      </c>
      <c r="I298" s="16" t="s">
        <v>37</v>
      </c>
      <c r="J298" s="16" t="n">
        <v>4408219</v>
      </c>
    </row>
    <row r="299" customFormat="false" ht="15" hidden="false" customHeight="false" outlineLevel="0" collapsed="false">
      <c r="A299" s="16" t="n">
        <f aca="false">IF(ISNUMBER($J299),$J299,"")</f>
        <v>4408132</v>
      </c>
      <c r="B299" s="16" t="str">
        <f aca="false">IFERROR(INDEX('SALES Raw'!$B$6:$B$1634,MATCH($J299,'SALES Raw'!$J$6:$J$1634,0)),$J299)</f>
        <v>11EU XXL</v>
      </c>
      <c r="C299" s="16" t="str">
        <f aca="false">IF(ISNUMBER($J299),IFERROR(INDEX('TRANS'!$C:$C,MATCH($J299,'TRANS'!$B:$B,0)),IFERROR(INDEX('Catalog'!$B:$B,MATCH($J299,'Catalog'!$A:$A,0)),$B299)),$B299)</f>
        <v>11EU XXL חגורת בטןלאחר ניתוח</v>
      </c>
      <c r="D299" s="8" t="n">
        <f aca="false">SUMIFS('SALES Raw'!$C$6:$C$1634,'SALES Raw'!$J$6:$J$1634,$J299,'SALES Raw'!$K$6:$K$1634,"Y")</f>
        <v>51</v>
      </c>
      <c r="E299" s="8" t="n">
        <f aca="false">SUMIFS('SALES Raw'!$D$6:$D$1634,'SALES Raw'!$J$6:$J$1634,$J299,'SALES Raw'!$K$6:$K$1634,"Y")</f>
        <v>2348.45</v>
      </c>
      <c r="F299" s="8" t="n">
        <f aca="false">SUMIFS('SALES Raw'!$E$6:$E$1634,'SALES Raw'!$J$6:$J$1634,$J299,'SALES Raw'!$K$6:$K$1634,"Y")*$H$4</f>
        <v>18.9473684210526</v>
      </c>
      <c r="G299" s="8" t="n">
        <f aca="false">SUMIFS('SALES Raw'!$F$6:$F$1634,'SALES Raw'!$J$6:$J$1634,$J299,'SALES Raw'!$K$6:$K$1634,"Y")*$H$4</f>
        <v>804.745263157895</v>
      </c>
      <c r="H299" s="16" t="s">
        <v>32</v>
      </c>
      <c r="I299" s="16" t="s">
        <v>38</v>
      </c>
      <c r="J299" s="16" t="n">
        <v>4408132</v>
      </c>
    </row>
    <row r="300" customFormat="false" ht="15" hidden="false" customHeight="false" outlineLevel="0" collapsed="false">
      <c r="A300" s="16" t="n">
        <f aca="false">IF(ISNUMBER($J300),$J300,"")</f>
        <v>4403035</v>
      </c>
      <c r="B300" s="16" t="str">
        <f aca="false">IFERROR(INDEX('SALES Raw'!$B$6:$B$1634,MATCH($J300,'SALES Raw'!$J$6:$J$1634,0)),$J300)</f>
        <v>ST3555-L-XL</v>
      </c>
      <c r="C300" s="16" t="str">
        <f aca="false">IF(ISNUMBER($J300),IFERROR(INDEX('TRANS'!$C:$C,MATCH($J300,'TRANS'!$B:$B,0)),IFERROR(INDEX('Catalog'!$B:$B,MATCH($J300,'Catalog'!$A:$A,0)),$B300)),$B300)</f>
        <v>ST3555L-XLגרב לילה לטיפ.בדורבן</v>
      </c>
      <c r="D300" s="8" t="n">
        <f aca="false">SUMIFS('SALES Raw'!$C$6:$C$1634,'SALES Raw'!$J$6:$J$1634,$J300,'SALES Raw'!$K$6:$K$1634,"Y")</f>
        <v>60</v>
      </c>
      <c r="E300" s="8" t="n">
        <f aca="false">SUMIFS('SALES Raw'!$D$6:$D$1634,'SALES Raw'!$J$6:$J$1634,$J300,'SALES Raw'!$K$6:$K$1634,"Y")</f>
        <v>2271.41</v>
      </c>
      <c r="F300" s="8" t="n">
        <f aca="false">SUMIFS('SALES Raw'!$E$6:$E$1634,'SALES Raw'!$J$6:$J$1634,$J300,'SALES Raw'!$K$6:$K$1634,"Y")*$H$4</f>
        <v>18.9473684210526</v>
      </c>
      <c r="G300" s="8" t="n">
        <f aca="false">SUMIFS('SALES Raw'!$F$6:$F$1634,'SALES Raw'!$J$6:$J$1634,$J300,'SALES Raw'!$K$6:$K$1634,"Y")*$H$4</f>
        <v>623.949473684211</v>
      </c>
      <c r="H300" s="16" t="s">
        <v>37</v>
      </c>
      <c r="I300" s="16"/>
      <c r="J300" s="16" t="n">
        <v>4403035</v>
      </c>
    </row>
    <row r="301" customFormat="false" ht="15" hidden="false" customHeight="false" outlineLevel="0" collapsed="false">
      <c r="A301" s="16" t="str">
        <f aca="false">IF(ISNUMBER($J301),$J301,"")</f>
        <v/>
      </c>
      <c r="B301" s="16" t="str">
        <f aca="false">IFERROR(INDEX('SALES Raw'!$B$6:$B$1634,MATCH($J301,'SALES Raw'!$J$6:$J$1634,0)),$J301)</f>
        <v>32 M</v>
      </c>
      <c r="C301" s="16" t="str">
        <f aca="false">IF(ISNUMBER($J301),IFERROR(INDEX('TRANS'!$C:$C,MATCH($J301,'TRANS'!$B:$B,0)),IFERROR(INDEX('Catalog'!$B:$B,MATCH($J301,'Catalog'!$A:$A,0)),$B301)),$B301)</f>
        <v>32 M</v>
      </c>
      <c r="D301" s="8" t="n">
        <f aca="false">SUMIFS('SALES Raw'!$C$6:$C$1634,'SALES Raw'!$J$6:$J$1634,$J301,'SALES Raw'!$K$6:$K$1634,"Y")</f>
        <v>20</v>
      </c>
      <c r="E301" s="8" t="n">
        <f aca="false">SUMIFS('SALES Raw'!$D$6:$D$1634,'SALES Raw'!$J$6:$J$1634,$J301,'SALES Raw'!$K$6:$K$1634,"Y")</f>
        <v>1441.61</v>
      </c>
      <c r="F301" s="8" t="n">
        <f aca="false">SUMIFS('SALES Raw'!$E$6:$E$1634,'SALES Raw'!$J$6:$J$1634,$J301,'SALES Raw'!$K$6:$K$1634,"Y")*$H$4</f>
        <v>18.9473684210526</v>
      </c>
      <c r="G301" s="8" t="n">
        <f aca="false">SUMIFS('SALES Raw'!$F$6:$F$1634,'SALES Raw'!$J$6:$J$1634,$J301,'SALES Raw'!$K$6:$K$1634,"Y")*$H$4</f>
        <v>1465.44</v>
      </c>
      <c r="H301" s="16" t="s">
        <v>42</v>
      </c>
      <c r="I301" s="16"/>
      <c r="J301" s="16" t="s">
        <v>112</v>
      </c>
    </row>
    <row r="302" customFormat="false" ht="15" hidden="false" customHeight="false" outlineLevel="0" collapsed="false">
      <c r="A302" s="16" t="str">
        <f aca="false">IF(ISNUMBER($J302),$J302,"")</f>
        <v/>
      </c>
      <c r="B302" s="16" t="str">
        <f aca="false">IFERROR(INDEX('SALES Raw'!$B$6:$B$1634,MATCH($J302,'SALES Raw'!$J$6:$J$1634,0)),$J302)</f>
        <v>43BD S</v>
      </c>
      <c r="C302" s="16" t="str">
        <f aca="false">IF(ISNUMBER($J302),IFERROR(INDEX('TRANS'!$C:$C,MATCH($J302,'TRANS'!$B:$B,0)),IFERROR(INDEX('Catalog'!$B:$B,MATCH($J302,'Catalog'!$A:$A,0)),$B302)),$B302)</f>
        <v>43BD S</v>
      </c>
      <c r="D302" s="8" t="n">
        <f aca="false">SUMIFS('SALES Raw'!$C$6:$C$1634,'SALES Raw'!$J$6:$J$1634,$J302,'SALES Raw'!$K$6:$K$1634,"Y")</f>
        <v>0</v>
      </c>
      <c r="E302" s="8" t="n">
        <f aca="false">SUMIFS('SALES Raw'!$D$6:$D$1634,'SALES Raw'!$J$6:$J$1634,$J302,'SALES Raw'!$K$6:$K$1634,"Y")</f>
        <v>0</v>
      </c>
      <c r="F302" s="8" t="n">
        <f aca="false">SUMIFS('SALES Raw'!$E$6:$E$1634,'SALES Raw'!$J$6:$J$1634,$J302,'SALES Raw'!$K$6:$K$1634,"Y")*$H$4</f>
        <v>18.9473684210526</v>
      </c>
      <c r="G302" s="8" t="n">
        <f aca="false">SUMIFS('SALES Raw'!$F$6:$F$1634,'SALES Raw'!$J$6:$J$1634,$J302,'SALES Raw'!$K$6:$K$1634,"Y")*$H$4</f>
        <v>1629.30947368421</v>
      </c>
      <c r="H302" s="16" t="s">
        <v>42</v>
      </c>
      <c r="I302" s="16"/>
      <c r="J302" s="16" t="s">
        <v>113</v>
      </c>
    </row>
    <row r="303" customFormat="false" ht="15" hidden="false" customHeight="false" outlineLevel="0" collapsed="false">
      <c r="A303" s="16" t="n">
        <f aca="false">IF(ISNUMBER($J303),$J303,"")</f>
        <v>4408231</v>
      </c>
      <c r="B303" s="16" t="str">
        <f aca="false">IFERROR(INDEX('SALES Raw'!$B$6:$B$1634,MATCH($J303,'SALES Raw'!$J$6:$J$1634,0)),$J303)</f>
        <v>16-S-M</v>
      </c>
      <c r="C303" s="16" t="str">
        <f aca="false">IF(ISNUMBER($J303),IFERROR(INDEX('TRANS'!$C:$C,MATCH($J303,'TRANS'!$B:$B,0)),IFERROR(INDEX('Catalog'!$B:$B,MATCH($J303,'Catalog'!$A:$A,0)),$B303)),$B303)</f>
        <v>16 S-M חגורת הריון</v>
      </c>
      <c r="D303" s="8" t="n">
        <f aca="false">SUMIFS('SALES Raw'!$C$6:$C$1634,'SALES Raw'!$J$6:$J$1634,$J303,'SALES Raw'!$K$6:$K$1634,"Y")</f>
        <v>46</v>
      </c>
      <c r="E303" s="8" t="n">
        <f aca="false">SUMIFS('SALES Raw'!$D$6:$D$1634,'SALES Raw'!$J$6:$J$1634,$J303,'SALES Raw'!$K$6:$K$1634,"Y")</f>
        <v>3336.69</v>
      </c>
      <c r="F303" s="8" t="n">
        <f aca="false">SUMIFS('SALES Raw'!$E$6:$E$1634,'SALES Raw'!$J$6:$J$1634,$J303,'SALES Raw'!$K$6:$K$1634,"Y")*$H$4</f>
        <v>16.4210526315789</v>
      </c>
      <c r="G303" s="8" t="n">
        <f aca="false">SUMIFS('SALES Raw'!$F$6:$F$1634,'SALES Raw'!$J$6:$J$1634,$J303,'SALES Raw'!$K$6:$K$1634,"Y")*$H$4</f>
        <v>895.162105263158</v>
      </c>
      <c r="H303" s="16" t="s">
        <v>30</v>
      </c>
      <c r="I303" s="16" t="s">
        <v>37</v>
      </c>
      <c r="J303" s="16" t="n">
        <v>4408231</v>
      </c>
    </row>
    <row r="304" customFormat="false" ht="15" hidden="false" customHeight="false" outlineLevel="0" collapsed="false">
      <c r="A304" s="16" t="n">
        <f aca="false">IF(ISNUMBER($J304),$J304,"")</f>
        <v>4408116</v>
      </c>
      <c r="B304" s="16" t="str">
        <f aca="false">IFERROR(INDEX('SALES Raw'!$B$6:$B$1634,MATCH($J304,'SALES Raw'!$J$6:$J$1634,0)),$J304)</f>
        <v>11EU XL</v>
      </c>
      <c r="C304" s="16" t="str">
        <f aca="false">IF(ISNUMBER($J304),IFERROR(INDEX('TRANS'!$C:$C,MATCH($J304,'TRANS'!$B:$B,0)),IFERROR(INDEX('Catalog'!$B:$B,MATCH($J304,'Catalog'!$A:$A,0)),$B304)),$B304)</f>
        <v>11EU XLח.בטן לאחר ניתוח</v>
      </c>
      <c r="D304" s="8" t="n">
        <f aca="false">SUMIFS('SALES Raw'!$C$6:$C$1634,'SALES Raw'!$J$6:$J$1634,$J304,'SALES Raw'!$K$6:$K$1634,"Y")</f>
        <v>76</v>
      </c>
      <c r="E304" s="8" t="n">
        <f aca="false">SUMIFS('SALES Raw'!$D$6:$D$1634,'SALES Raw'!$J$6:$J$1634,$J304,'SALES Raw'!$K$6:$K$1634,"Y")</f>
        <v>3485.93</v>
      </c>
      <c r="F304" s="8" t="n">
        <f aca="false">SUMIFS('SALES Raw'!$E$6:$E$1634,'SALES Raw'!$J$6:$J$1634,$J304,'SALES Raw'!$K$6:$K$1634,"Y")*$H$4</f>
        <v>16.4210526315789</v>
      </c>
      <c r="G304" s="8" t="n">
        <f aca="false">SUMIFS('SALES Raw'!$F$6:$F$1634,'SALES Raw'!$J$6:$J$1634,$J304,'SALES Raw'!$K$6:$K$1634,"Y")*$H$4</f>
        <v>700.547368421053</v>
      </c>
      <c r="H304" s="16" t="s">
        <v>32</v>
      </c>
      <c r="I304" s="16" t="s">
        <v>38</v>
      </c>
      <c r="J304" s="16" t="n">
        <v>4408116</v>
      </c>
    </row>
    <row r="305" customFormat="false" ht="15" hidden="false" customHeight="false" outlineLevel="0" collapsed="false">
      <c r="A305" s="16" t="str">
        <f aca="false">IF(ISNUMBER($J305),$J305,"")</f>
        <v/>
      </c>
      <c r="B305" s="16" t="str">
        <f aca="false">IFERROR(INDEX('SALES Raw'!$B$6:$B$1634,MATCH($J305,'SALES Raw'!$J$6:$J$1634,0)),$J305)</f>
        <v>15W S</v>
      </c>
      <c r="C305" s="16" t="str">
        <f aca="false">IF(ISNUMBER($J305),IFERROR(INDEX('TRANS'!$C:$C,MATCH($J305,'TRANS'!$B:$B,0)),IFERROR(INDEX('Catalog'!$B:$B,MATCH($J305,'Catalog'!$A:$A,0)),$B305)),$B305)</f>
        <v>15W S</v>
      </c>
      <c r="D305" s="8" t="n">
        <f aca="false">SUMIFS('SALES Raw'!$C$6:$C$1634,'SALES Raw'!$J$6:$J$1634,$J305,'SALES Raw'!$K$6:$K$1634,"Y")</f>
        <v>11</v>
      </c>
      <c r="E305" s="8" t="n">
        <f aca="false">SUMIFS('SALES Raw'!$D$6:$D$1634,'SALES Raw'!$J$6:$J$1634,$J305,'SALES Raw'!$K$6:$K$1634,"Y")</f>
        <v>520.7</v>
      </c>
      <c r="F305" s="8" t="n">
        <f aca="false">SUMIFS('SALES Raw'!$E$6:$E$1634,'SALES Raw'!$J$6:$J$1634,$J305,'SALES Raw'!$K$6:$K$1634,"Y")*$H$4</f>
        <v>16.4210526315789</v>
      </c>
      <c r="G305" s="8" t="n">
        <f aca="false">SUMIFS('SALES Raw'!$F$6:$F$1634,'SALES Raw'!$J$6:$J$1634,$J305,'SALES Raw'!$K$6:$K$1634,"Y")*$H$4</f>
        <v>764.766315789474</v>
      </c>
      <c r="H305" s="16" t="s">
        <v>36</v>
      </c>
      <c r="I305" s="16" t="s">
        <v>37</v>
      </c>
      <c r="J305" s="16" t="s">
        <v>114</v>
      </c>
    </row>
    <row r="306" customFormat="false" ht="15" hidden="false" customHeight="false" outlineLevel="0" collapsed="false">
      <c r="A306" s="16" t="n">
        <f aca="false">IF(ISNUMBER($J306),$J306,"")</f>
        <v>4422037</v>
      </c>
      <c r="B306" s="16" t="str">
        <f aca="false">IFERROR(INDEX('SALES Raw'!$B$6:$B$1634,MATCH($J306,'SALES Raw'!$J$6:$J$1634,0)),$J306)</f>
        <v>SH422 1</v>
      </c>
      <c r="C306" s="16" t="str">
        <f aca="false">IF(ISNUMBER($J306),IFERROR(INDEX('TRANS'!$C:$C,MATCH($J306,'TRANS'!$B:$B,0)),IFERROR(INDEX('Catalog'!$B:$B,MATCH($J306,'Catalog'!$A:$A,0)),$B306)),$B306)</f>
        <v>SH422 1 תומך ברך גנושילד</v>
      </c>
      <c r="D306" s="8" t="n">
        <f aca="false">SUMIFS('SALES Raw'!$C$6:$C$1634,'SALES Raw'!$J$6:$J$1634,$J306,'SALES Raw'!$K$6:$K$1634,"Y")</f>
        <v>3</v>
      </c>
      <c r="E306" s="8" t="n">
        <f aca="false">SUMIFS('SALES Raw'!$D$6:$D$1634,'SALES Raw'!$J$6:$J$1634,$J306,'SALES Raw'!$K$6:$K$1634,"Y")</f>
        <v>262.35</v>
      </c>
      <c r="F306" s="8" t="n">
        <f aca="false">SUMIFS('SALES Raw'!$E$6:$E$1634,'SALES Raw'!$J$6:$J$1634,$J306,'SALES Raw'!$K$6:$K$1634,"Y")*$H$4</f>
        <v>15.1578947368421</v>
      </c>
      <c r="G306" s="8" t="n">
        <f aca="false">SUMIFS('SALES Raw'!$F$6:$F$1634,'SALES Raw'!$J$6:$J$1634,$J306,'SALES Raw'!$K$6:$K$1634,"Y")*$H$4</f>
        <v>1450.8</v>
      </c>
      <c r="H306" s="16" t="s">
        <v>32</v>
      </c>
      <c r="I306" s="16" t="s">
        <v>36</v>
      </c>
      <c r="J306" s="16" t="n">
        <v>4422037</v>
      </c>
    </row>
    <row r="307" customFormat="false" ht="15" hidden="false" customHeight="false" outlineLevel="0" collapsed="false">
      <c r="A307" s="16" t="n">
        <f aca="false">IF(ISNUMBER($J307),$J307,"")</f>
        <v>4408017</v>
      </c>
      <c r="B307" s="16" t="str">
        <f aca="false">IFERROR(INDEX('SALES Raw'!$B$6:$B$1634,MATCH($J307,'SALES Raw'!$J$6:$J$1634,0)),$J307)</f>
        <v>07AU XL</v>
      </c>
      <c r="C307" s="16" t="str">
        <f aca="false">IF(ISNUMBER($J307),IFERROR(INDEX('TRANS'!$C:$C,MATCH($J307,'TRANS'!$B:$B,0)),IFERROR(INDEX('Catalog'!$B:$B,MATCH($J307,'Catalog'!$A:$A,0)),$B307)),$B307)</f>
        <v>07AU XL ח.גב """"איטלקית"""" אורירית</v>
      </c>
      <c r="D307" s="8" t="n">
        <f aca="false">SUMIFS('SALES Raw'!$C$6:$C$1634,'SALES Raw'!$J$6:$J$1634,$J307,'SALES Raw'!$K$6:$K$1634,"Y")</f>
        <v>18</v>
      </c>
      <c r="E307" s="8" t="n">
        <f aca="false">SUMIFS('SALES Raw'!$D$6:$D$1634,'SALES Raw'!$J$6:$J$1634,$J307,'SALES Raw'!$K$6:$K$1634,"Y")</f>
        <v>2322.67</v>
      </c>
      <c r="F307" s="8" t="n">
        <f aca="false">SUMIFS('SALES Raw'!$E$6:$E$1634,'SALES Raw'!$J$6:$J$1634,$J307,'SALES Raw'!$K$6:$K$1634,"Y")*$H$4</f>
        <v>15.1578947368421</v>
      </c>
      <c r="G307" s="8" t="n">
        <f aca="false">SUMIFS('SALES Raw'!$F$6:$F$1634,'SALES Raw'!$J$6:$J$1634,$J307,'SALES Raw'!$K$6:$K$1634,"Y")*$H$4</f>
        <v>1761.47368421053</v>
      </c>
      <c r="H307" s="16" t="s">
        <v>32</v>
      </c>
      <c r="I307" s="16" t="s">
        <v>37</v>
      </c>
      <c r="J307" s="16" t="n">
        <v>4408017</v>
      </c>
    </row>
    <row r="308" customFormat="false" ht="15" hidden="false" customHeight="false" outlineLevel="0" collapsed="false">
      <c r="A308" s="16" t="n">
        <f aca="false">IF(ISNUMBER($J308),$J308,"")</f>
        <v>4415008</v>
      </c>
      <c r="B308" s="16" t="str">
        <f aca="false">IFERROR(INDEX('SALES Raw'!$B$6:$B$1634,MATCH($J308,'SALES Raw'!$J$6:$J$1634,0)),$J308)</f>
        <v>28 XL</v>
      </c>
      <c r="C308" s="16" t="str">
        <f aca="false">IF(ISNUMBER($J308),IFERROR(INDEX('TRANS'!$C:$C,MATCH($J308,'TRANS'!$B:$B,0)),IFERROR(INDEX('Catalog'!$B:$B,MATCH($J308,'Catalog'!$A:$A,0)),$B308)),$B308)</f>
        <v>28 XL סד לאגודל לאחר שבר</v>
      </c>
      <c r="D308" s="8" t="n">
        <f aca="false">SUMIFS('SALES Raw'!$C$6:$C$1634,'SALES Raw'!$J$6:$J$1634,$J308,'SALES Raw'!$K$6:$K$1634,"Y")</f>
        <v>3</v>
      </c>
      <c r="E308" s="8" t="n">
        <f aca="false">SUMIFS('SALES Raw'!$D$6:$D$1634,'SALES Raw'!$J$6:$J$1634,$J308,'SALES Raw'!$K$6:$K$1634,"Y")</f>
        <v>117.4</v>
      </c>
      <c r="F308" s="8" t="n">
        <f aca="false">SUMIFS('SALES Raw'!$E$6:$E$1634,'SALES Raw'!$J$6:$J$1634,$J308,'SALES Raw'!$K$6:$K$1634,"Y")*$H$4</f>
        <v>15.1578947368421</v>
      </c>
      <c r="G308" s="8" t="n">
        <f aca="false">SUMIFS('SALES Raw'!$F$6:$F$1634,'SALES Raw'!$J$6:$J$1634,$J308,'SALES Raw'!$K$6:$K$1634,"Y")*$H$4</f>
        <v>495.637894736842</v>
      </c>
      <c r="H308" s="16" t="s">
        <v>38</v>
      </c>
      <c r="I308" s="16" t="s">
        <v>32</v>
      </c>
      <c r="J308" s="16" t="n">
        <v>4415008</v>
      </c>
    </row>
    <row r="309" customFormat="false" ht="15" hidden="false" customHeight="false" outlineLevel="0" collapsed="false">
      <c r="A309" s="16" t="n">
        <f aca="false">IF(ISNUMBER($J309),$J309,"")</f>
        <v>4409012</v>
      </c>
      <c r="B309" s="16" t="str">
        <f aca="false">IFERROR(INDEX('SALES Raw'!$B$6:$B$1634,MATCH($J309,'SALES Raw'!$J$6:$J$1634,0)),$J309)</f>
        <v>804AT-C</v>
      </c>
      <c r="C309" s="16" t="str">
        <f aca="false">IF(ISNUMBER($J309),IFERROR(INDEX('TRANS'!$C:$C,MATCH($J309,'TRANS'!$B:$B,0)),IFERROR(INDEX('Catalog'!$B:$B,MATCH($J309,'Catalog'!$A:$A,0)),$B309)),$B309)</f>
        <v>804AT-C      טייפ חבישה לספורט</v>
      </c>
      <c r="D309" s="8" t="n">
        <f aca="false">SUMIFS('SALES Raw'!$C$6:$C$1634,'SALES Raw'!$J$6:$J$1634,$J309,'SALES Raw'!$K$6:$K$1634,"Y")</f>
        <v>44</v>
      </c>
      <c r="E309" s="8" t="n">
        <f aca="false">SUMIFS('SALES Raw'!$D$6:$D$1634,'SALES Raw'!$J$6:$J$1634,$J309,'SALES Raw'!$K$6:$K$1634,"Y")</f>
        <v>422.71</v>
      </c>
      <c r="F309" s="8" t="n">
        <f aca="false">SUMIFS('SALES Raw'!$E$6:$E$1634,'SALES Raw'!$J$6:$J$1634,$J309,'SALES Raw'!$K$6:$K$1634,"Y")*$H$4</f>
        <v>15.1578947368421</v>
      </c>
      <c r="G309" s="8" t="n">
        <f aca="false">SUMIFS('SALES Raw'!$F$6:$F$1634,'SALES Raw'!$J$6:$J$1634,$J309,'SALES Raw'!$K$6:$K$1634,"Y")*$H$4</f>
        <v>126.050526315789</v>
      </c>
      <c r="H309" s="16" t="s">
        <v>37</v>
      </c>
      <c r="I309" s="16" t="s">
        <v>32</v>
      </c>
      <c r="J309" s="16" t="n">
        <v>4409012</v>
      </c>
    </row>
    <row r="310" customFormat="false" ht="15" hidden="false" customHeight="false" outlineLevel="0" collapsed="false">
      <c r="A310" s="16" t="str">
        <f aca="false">IF(ISNUMBER($J310),$J310,"")</f>
        <v/>
      </c>
      <c r="B310" s="16" t="str">
        <f aca="false">IFERROR(INDEX('SALES Raw'!$B$6:$B$1634,MATCH($J310,'SALES Raw'!$J$6:$J$1634,0)),$J310)</f>
        <v>15M L</v>
      </c>
      <c r="C310" s="16" t="str">
        <f aca="false">IF(ISNUMBER($J310),IFERROR(INDEX('TRANS'!$C:$C,MATCH($J310,'TRANS'!$B:$B,0)),IFERROR(INDEX('Catalog'!$B:$B,MATCH($J310,'Catalog'!$A:$A,0)),$B310)),$B310)</f>
        <v>15M L</v>
      </c>
      <c r="D310" s="8" t="n">
        <f aca="false">SUMIFS('SALES Raw'!$C$6:$C$1634,'SALES Raw'!$J$6:$J$1634,$J310,'SALES Raw'!$K$6:$K$1634,"Y")</f>
        <v>58</v>
      </c>
      <c r="E310" s="8" t="n">
        <f aca="false">SUMIFS('SALES Raw'!$D$6:$D$1634,'SALES Raw'!$J$6:$J$1634,$J310,'SALES Raw'!$K$6:$K$1634,"Y")</f>
        <v>3014.82</v>
      </c>
      <c r="F310" s="8" t="n">
        <f aca="false">SUMIFS('SALES Raw'!$E$6:$E$1634,'SALES Raw'!$J$6:$J$1634,$J310,'SALES Raw'!$K$6:$K$1634,"Y")*$H$4</f>
        <v>15.1578947368421</v>
      </c>
      <c r="G310" s="8" t="n">
        <f aca="false">SUMIFS('SALES Raw'!$F$6:$F$1634,'SALES Raw'!$J$6:$J$1634,$J310,'SALES Raw'!$K$6:$K$1634,"Y")*$H$4</f>
        <v>726.265263157895</v>
      </c>
      <c r="H310" s="16" t="s">
        <v>36</v>
      </c>
      <c r="I310" s="16" t="s">
        <v>43</v>
      </c>
      <c r="J310" s="16" t="s">
        <v>115</v>
      </c>
    </row>
    <row r="311" customFormat="false" ht="15" hidden="false" customHeight="false" outlineLevel="0" collapsed="false">
      <c r="A311" s="16" t="str">
        <f aca="false">IF(ISNUMBER($J311),$J311,"")</f>
        <v/>
      </c>
      <c r="B311" s="16" t="str">
        <f aca="false">IFERROR(INDEX('SALES Raw'!$B$6:$B$1634,MATCH($J311,'SALES Raw'!$J$6:$J$1634,0)),$J311)</f>
        <v>15W M</v>
      </c>
      <c r="C311" s="16" t="str">
        <f aca="false">IF(ISNUMBER($J311),IFERROR(INDEX('TRANS'!$C:$C,MATCH($J311,'TRANS'!$B:$B,0)),IFERROR(INDEX('Catalog'!$B:$B,MATCH($J311,'Catalog'!$A:$A,0)),$B311)),$B311)</f>
        <v>15W M</v>
      </c>
      <c r="D311" s="8" t="n">
        <f aca="false">SUMIFS('SALES Raw'!$C$6:$C$1634,'SALES Raw'!$J$6:$J$1634,$J311,'SALES Raw'!$K$6:$K$1634,"Y")</f>
        <v>19</v>
      </c>
      <c r="E311" s="8" t="n">
        <f aca="false">SUMIFS('SALES Raw'!$D$6:$D$1634,'SALES Raw'!$J$6:$J$1634,$J311,'SALES Raw'!$K$6:$K$1634,"Y")</f>
        <v>837.8</v>
      </c>
      <c r="F311" s="8" t="n">
        <f aca="false">SUMIFS('SALES Raw'!$E$6:$E$1634,'SALES Raw'!$J$6:$J$1634,$J311,'SALES Raw'!$K$6:$K$1634,"Y")*$H$4</f>
        <v>15.1578947368421</v>
      </c>
      <c r="G311" s="8" t="n">
        <f aca="false">SUMIFS('SALES Raw'!$F$6:$F$1634,'SALES Raw'!$J$6:$J$1634,$J311,'SALES Raw'!$K$6:$K$1634,"Y")*$H$4</f>
        <v>648.176842105263</v>
      </c>
      <c r="H311" s="16" t="s">
        <v>36</v>
      </c>
      <c r="I311" s="16" t="s">
        <v>43</v>
      </c>
      <c r="J311" s="16" t="s">
        <v>116</v>
      </c>
    </row>
    <row r="312" customFormat="false" ht="15" hidden="false" customHeight="false" outlineLevel="0" collapsed="false">
      <c r="A312" s="16" t="n">
        <f aca="false">IF(ISNUMBER($J312),$J312,"")</f>
        <v>4415003</v>
      </c>
      <c r="B312" s="16" t="str">
        <f aca="false">IFERROR(INDEX('SALES Raw'!$B$6:$B$1634,MATCH($J312,'SALES Raw'!$J$6:$J$1634,0)),$J312)</f>
        <v>26 XL</v>
      </c>
      <c r="C312" s="16" t="str">
        <f aca="false">IF(ISNUMBER($J312),IFERROR(INDEX('TRANS'!$C:$C,MATCH($J312,'TRANS'!$B:$B,0)),IFERROR(INDEX('Catalog'!$B:$B,MATCH($J312,'Catalog'!$A:$A,0)),$B312)),$B312)</f>
        <v>26 XL סד ליד דו צדדי לאחר שבר</v>
      </c>
      <c r="D312" s="8" t="n">
        <f aca="false">SUMIFS('SALES Raw'!$C$6:$C$1634,'SALES Raw'!$J$6:$J$1634,$J312,'SALES Raw'!$K$6:$K$1634,"Y")</f>
        <v>33</v>
      </c>
      <c r="E312" s="8" t="n">
        <f aca="false">SUMIFS('SALES Raw'!$D$6:$D$1634,'SALES Raw'!$J$6:$J$1634,$J312,'SALES Raw'!$K$6:$K$1634,"Y")</f>
        <v>1431.93</v>
      </c>
      <c r="F312" s="8" t="n">
        <f aca="false">SUMIFS('SALES Raw'!$E$6:$E$1634,'SALES Raw'!$J$6:$J$1634,$J312,'SALES Raw'!$K$6:$K$1634,"Y")*$H$4</f>
        <v>15.1578947368421</v>
      </c>
      <c r="G312" s="8" t="n">
        <f aca="false">SUMIFS('SALES Raw'!$F$6:$F$1634,'SALES Raw'!$J$6:$J$1634,$J312,'SALES Raw'!$K$6:$K$1634,"Y")*$H$4</f>
        <v>574.269473684211</v>
      </c>
      <c r="H312" s="16" t="s">
        <v>36</v>
      </c>
      <c r="I312" s="16" t="s">
        <v>38</v>
      </c>
      <c r="J312" s="16" t="n">
        <v>4415003</v>
      </c>
    </row>
    <row r="313" customFormat="false" ht="15" hidden="false" customHeight="false" outlineLevel="0" collapsed="false">
      <c r="A313" s="16" t="str">
        <f aca="false">IF(ISNUMBER($J313),$J313,"")</f>
        <v/>
      </c>
      <c r="B313" s="16" t="str">
        <f aca="false">IFERROR(INDEX('SALES Raw'!$B$6:$B$1634,MATCH($J313,'SALES Raw'!$J$6:$J$1634,0)),$J313)</f>
        <v>N433D L</v>
      </c>
      <c r="C313" s="16" t="str">
        <f aca="false">IF(ISNUMBER($J313),IFERROR(INDEX('TRANS'!$C:$C,MATCH($J313,'TRANS'!$B:$B,0)),IFERROR(INDEX('Catalog'!$B:$B,MATCH($J313,'Catalog'!$A:$A,0)),$B313)),$B313)</f>
        <v>N433D L</v>
      </c>
      <c r="D313" s="8" t="n">
        <f aca="false">SUMIFS('SALES Raw'!$C$6:$C$1634,'SALES Raw'!$J$6:$J$1634,$J313,'SALES Raw'!$K$6:$K$1634,"Y")</f>
        <v>0</v>
      </c>
      <c r="E313" s="8" t="n">
        <f aca="false">SUMIFS('SALES Raw'!$D$6:$D$1634,'SALES Raw'!$J$6:$J$1634,$J313,'SALES Raw'!$K$6:$K$1634,"Y")</f>
        <v>0</v>
      </c>
      <c r="F313" s="8" t="n">
        <f aca="false">SUMIFS('SALES Raw'!$E$6:$E$1634,'SALES Raw'!$J$6:$J$1634,$J313,'SALES Raw'!$K$6:$K$1634,"Y")*$H$4</f>
        <v>15.1578947368421</v>
      </c>
      <c r="G313" s="8" t="n">
        <f aca="false">SUMIFS('SALES Raw'!$F$6:$F$1634,'SALES Raw'!$J$6:$J$1634,$J313,'SALES Raw'!$K$6:$K$1634,"Y")*$H$4</f>
        <v>1815.10736842105</v>
      </c>
      <c r="H313" s="16" t="s">
        <v>37</v>
      </c>
      <c r="I313" s="16"/>
      <c r="J313" s="16" t="s">
        <v>117</v>
      </c>
    </row>
    <row r="314" customFormat="false" ht="15" hidden="false" customHeight="false" outlineLevel="0" collapsed="false">
      <c r="A314" s="16" t="n">
        <f aca="false">IF(ISNUMBER($J314),$J314,"")</f>
        <v>4413504</v>
      </c>
      <c r="B314" s="16" t="str">
        <f aca="false">IFERROR(INDEX('SALES Raw'!$B$6:$B$1634,MATCH($J314,'SALES Raw'!$J$6:$J$1634,0)),$J314)</f>
        <v>95B XXL</v>
      </c>
      <c r="C314" s="16" t="str">
        <f aca="false">IF(ISNUMBER($J314),IFERROR(INDEX('TRANS'!$C:$C,MATCH($J314,'TRANS'!$B:$B,0)),IFERROR(INDEX('Catalog'!$B:$B,MATCH($J314,'Catalog'!$A:$A,0)),$B314)),$B314)</f>
        <v>95B XXLמגן מרפק שחור</v>
      </c>
      <c r="D314" s="8" t="n">
        <f aca="false">SUMIFS('SALES Raw'!$C$6:$C$1634,'SALES Raw'!$J$6:$J$1634,$J314,'SALES Raw'!$K$6:$K$1634,"Y")</f>
        <v>6</v>
      </c>
      <c r="E314" s="8" t="n">
        <f aca="false">SUMIFS('SALES Raw'!$D$6:$D$1634,'SALES Raw'!$J$6:$J$1634,$J314,'SALES Raw'!$K$6:$K$1634,"Y")</f>
        <v>68.97</v>
      </c>
      <c r="F314" s="8" t="n">
        <f aca="false">SUMIFS('SALES Raw'!$E$6:$E$1634,'SALES Raw'!$J$6:$J$1634,$J314,'SALES Raw'!$K$6:$K$1634,"Y")*$H$4</f>
        <v>15.1578947368421</v>
      </c>
      <c r="G314" s="8" t="n">
        <f aca="false">SUMIFS('SALES Raw'!$F$6:$F$1634,'SALES Raw'!$J$6:$J$1634,$J314,'SALES Raw'!$K$6:$K$1634,"Y")*$H$4</f>
        <v>143.936842105263</v>
      </c>
      <c r="H314" s="16" t="s">
        <v>38</v>
      </c>
      <c r="I314" s="16"/>
      <c r="J314" s="16" t="n">
        <v>4413504</v>
      </c>
    </row>
    <row r="315" customFormat="false" ht="15" hidden="false" customHeight="false" outlineLevel="0" collapsed="false">
      <c r="A315" s="16" t="n">
        <f aca="false">IF(ISNUMBER($J315),$J315,"")</f>
        <v>4408049</v>
      </c>
      <c r="B315" s="16" t="str">
        <f aca="false">IFERROR(INDEX('SALES Raw'!$B$6:$B$1634,MATCH($J315,'SALES Raw'!$J$6:$J$1634,0)),$J315)</f>
        <v>20 XL</v>
      </c>
      <c r="C315" s="16" t="str">
        <f aca="false">IF(ISNUMBER($J315),IFERROR(INDEX('TRANS'!$C:$C,MATCH($J315,'TRANS'!$B:$B,0)),IFERROR(INDEX('Catalog'!$B:$B,MATCH($J315,'Catalog'!$A:$A,0)),$B315)),$B315)</f>
        <v>20 XL חבק יד מתכוון עם צמדן</v>
      </c>
      <c r="D315" s="8" t="n">
        <f aca="false">SUMIFS('SALES Raw'!$C$6:$C$1634,'SALES Raw'!$J$6:$J$1634,$J315,'SALES Raw'!$K$6:$K$1634,"Y")</f>
        <v>125</v>
      </c>
      <c r="E315" s="8" t="n">
        <f aca="false">SUMIFS('SALES Raw'!$D$6:$D$1634,'SALES Raw'!$J$6:$J$1634,$J315,'SALES Raw'!$K$6:$K$1634,"Y")</f>
        <v>2360.47</v>
      </c>
      <c r="F315" s="8" t="n">
        <f aca="false">SUMIFS('SALES Raw'!$E$6:$E$1634,'SALES Raw'!$J$6:$J$1634,$J315,'SALES Raw'!$K$6:$K$1634,"Y")*$H$4</f>
        <v>13.8947368421053</v>
      </c>
      <c r="G315" s="8" t="n">
        <f aca="false">SUMIFS('SALES Raw'!$F$6:$F$1634,'SALES Raw'!$J$6:$J$1634,$J315,'SALES Raw'!$K$6:$K$1634,"Y")*$H$4</f>
        <v>211.667368421053</v>
      </c>
      <c r="H315" s="16" t="s">
        <v>38</v>
      </c>
      <c r="I315" s="16" t="s">
        <v>42</v>
      </c>
      <c r="J315" s="16" t="n">
        <v>4408049</v>
      </c>
    </row>
    <row r="316" customFormat="false" ht="15" hidden="false" customHeight="false" outlineLevel="0" collapsed="false">
      <c r="A316" s="16" t="str">
        <f aca="false">IF(ISNUMBER($J316),$J316,"")</f>
        <v/>
      </c>
      <c r="B316" s="16" t="str">
        <f aca="false">IFERROR(INDEX('SALES Raw'!$B$6:$B$1634,MATCH($J316,'SALES Raw'!$J$6:$J$1634,0)),$J316)</f>
        <v>T40B 0</v>
      </c>
      <c r="C316" s="16" t="str">
        <f aca="false">IF(ISNUMBER($J316),IFERROR(INDEX('TRANS'!$C:$C,MATCH($J316,'TRANS'!$B:$B,0)),IFERROR(INDEX('Catalog'!$B:$B,MATCH($J316,'Catalog'!$A:$A,0)),$B316)),$B316)</f>
        <v>T40B 0</v>
      </c>
      <c r="D316" s="8" t="n">
        <f aca="false">SUMIFS('SALES Raw'!$C$6:$C$1634,'SALES Raw'!$J$6:$J$1634,$J316,'SALES Raw'!$K$6:$K$1634,"Y")</f>
        <v>0</v>
      </c>
      <c r="E316" s="8" t="n">
        <f aca="false">SUMIFS('SALES Raw'!$D$6:$D$1634,'SALES Raw'!$J$6:$J$1634,$J316,'SALES Raw'!$K$6:$K$1634,"Y")</f>
        <v>0</v>
      </c>
      <c r="F316" s="8" t="n">
        <f aca="false">SUMIFS('SALES Raw'!$E$6:$E$1634,'SALES Raw'!$J$6:$J$1634,$J316,'SALES Raw'!$K$6:$K$1634,"Y")*$H$4</f>
        <v>13.8947368421053</v>
      </c>
      <c r="G316" s="8" t="n">
        <f aca="false">SUMIFS('SALES Raw'!$F$6:$F$1634,'SALES Raw'!$J$6:$J$1634,$J316,'SALES Raw'!$K$6:$K$1634,"Y")*$H$4</f>
        <v>421.907368421053</v>
      </c>
      <c r="H316" s="16" t="s">
        <v>42</v>
      </c>
      <c r="I316" s="16" t="s">
        <v>38</v>
      </c>
      <c r="J316" s="16" t="s">
        <v>118</v>
      </c>
    </row>
    <row r="317" customFormat="false" ht="15" hidden="false" customHeight="false" outlineLevel="0" collapsed="false">
      <c r="A317" s="16" t="n">
        <f aca="false">IF(ISNUMBER($J317),$J317,"")</f>
        <v>4413332</v>
      </c>
      <c r="B317" s="16" t="str">
        <f aca="false">IFERROR(INDEX('SALES Raw'!$B$6:$B$1634,MATCH($J317,'SALES Raw'!$J$6:$J$1634,0)),$J317)</f>
        <v>45 XS</v>
      </c>
      <c r="C317" s="16" t="str">
        <f aca="false">IF(ISNUMBER($J317),IFERROR(INDEX('TRANS'!$C:$C,MATCH($J317,'TRANS'!$B:$B,0)),IFERROR(INDEX('Catalog'!$B:$B,MATCH($J317,'Catalog'!$A:$A,0)),$B317)),$B317)</f>
        <v>45  XS מגן ברך רגיל לבן</v>
      </c>
      <c r="D317" s="8" t="n">
        <f aca="false">SUMIFS('SALES Raw'!$C$6:$C$1634,'SALES Raw'!$J$6:$J$1634,$J317,'SALES Raw'!$K$6:$K$1634,"Y")</f>
        <v>10</v>
      </c>
      <c r="E317" s="8" t="n">
        <f aca="false">SUMIFS('SALES Raw'!$D$6:$D$1634,'SALES Raw'!$J$6:$J$1634,$J317,'SALES Raw'!$K$6:$K$1634,"Y")</f>
        <v>101.43</v>
      </c>
      <c r="F317" s="8" t="n">
        <f aca="false">SUMIFS('SALES Raw'!$E$6:$E$1634,'SALES Raw'!$J$6:$J$1634,$J317,'SALES Raw'!$K$6:$K$1634,"Y")*$H$4</f>
        <v>13.8947368421053</v>
      </c>
      <c r="G317" s="8" t="n">
        <f aca="false">SUMIFS('SALES Raw'!$F$6:$F$1634,'SALES Raw'!$J$6:$J$1634,$J317,'SALES Raw'!$K$6:$K$1634,"Y")*$H$4</f>
        <v>140.273684210526</v>
      </c>
      <c r="H317" s="16" t="s">
        <v>44</v>
      </c>
      <c r="I317" s="16" t="s">
        <v>42</v>
      </c>
      <c r="J317" s="16" t="n">
        <v>4413332</v>
      </c>
    </row>
    <row r="318" customFormat="false" ht="15" hidden="false" customHeight="false" outlineLevel="0" collapsed="false">
      <c r="A318" s="16" t="n">
        <f aca="false">IF(ISNUMBER($J318),$J318,"")</f>
        <v>4408230</v>
      </c>
      <c r="B318" s="16" t="str">
        <f aca="false">IFERROR(INDEX('SALES Raw'!$B$6:$B$1634,MATCH($J318,'SALES Raw'!$J$6:$J$1634,0)),$J318)</f>
        <v>16-L-XL</v>
      </c>
      <c r="C318" s="16" t="str">
        <f aca="false">IF(ISNUMBER($J318),IFERROR(INDEX('TRANS'!$C:$C,MATCH($J318,'TRANS'!$B:$B,0)),IFERROR(INDEX('Catalog'!$B:$B,MATCH($J318,'Catalog'!$A:$A,0)),$B318)),$B318)</f>
        <v>16 L-XL חגורת הריון</v>
      </c>
      <c r="D318" s="8" t="n">
        <f aca="false">SUMIFS('SALES Raw'!$C$6:$C$1634,'SALES Raw'!$J$6:$J$1634,$J318,'SALES Raw'!$K$6:$K$1634,"Y")</f>
        <v>51</v>
      </c>
      <c r="E318" s="8" t="n">
        <f aca="false">SUMIFS('SALES Raw'!$D$6:$D$1634,'SALES Raw'!$J$6:$J$1634,$J318,'SALES Raw'!$K$6:$K$1634,"Y")</f>
        <v>3924.85</v>
      </c>
      <c r="F318" s="8" t="n">
        <f aca="false">SUMIFS('SALES Raw'!$E$6:$E$1634,'SALES Raw'!$J$6:$J$1634,$J318,'SALES Raw'!$K$6:$K$1634,"Y")*$H$4</f>
        <v>13.8947368421053</v>
      </c>
      <c r="G318" s="8" t="n">
        <f aca="false">SUMIFS('SALES Raw'!$F$6:$F$1634,'SALES Raw'!$J$6:$J$1634,$J318,'SALES Raw'!$K$6:$K$1634,"Y")*$H$4</f>
        <v>604.837894736842</v>
      </c>
      <c r="H318" s="16" t="s">
        <v>32</v>
      </c>
      <c r="I318" s="16" t="s">
        <v>37</v>
      </c>
      <c r="J318" s="16" t="n">
        <v>4408230</v>
      </c>
    </row>
    <row r="319" customFormat="false" ht="15" hidden="false" customHeight="false" outlineLevel="0" collapsed="false">
      <c r="A319" s="16" t="str">
        <f aca="false">IF(ISNUMBER($J319),$J319,"")</f>
        <v/>
      </c>
      <c r="B319" s="16" t="str">
        <f aca="false">IFERROR(INDEX('SALES Raw'!$B$6:$B$1634,MATCH($J319,'SALES Raw'!$J$6:$J$1634,0)),$J319)</f>
        <v>15M XL</v>
      </c>
      <c r="C319" s="16" t="str">
        <f aca="false">IF(ISNUMBER($J319),IFERROR(INDEX('TRANS'!$C:$C,MATCH($J319,'TRANS'!$B:$B,0)),IFERROR(INDEX('Catalog'!$B:$B,MATCH($J319,'Catalog'!$A:$A,0)),$B319)),$B319)</f>
        <v>15M XL</v>
      </c>
      <c r="D319" s="8" t="n">
        <f aca="false">SUMIFS('SALES Raw'!$C$6:$C$1634,'SALES Raw'!$J$6:$J$1634,$J319,'SALES Raw'!$K$6:$K$1634,"Y")</f>
        <v>24</v>
      </c>
      <c r="E319" s="8" t="n">
        <f aca="false">SUMIFS('SALES Raw'!$D$6:$D$1634,'SALES Raw'!$J$6:$J$1634,$J319,'SALES Raw'!$K$6:$K$1634,"Y")</f>
        <v>1156.21</v>
      </c>
      <c r="F319" s="8" t="n">
        <f aca="false">SUMIFS('SALES Raw'!$E$6:$E$1634,'SALES Raw'!$J$6:$J$1634,$J319,'SALES Raw'!$K$6:$K$1634,"Y")*$H$4</f>
        <v>13.8947368421053</v>
      </c>
      <c r="G319" s="8" t="n">
        <f aca="false">SUMIFS('SALES Raw'!$F$6:$F$1634,'SALES Raw'!$J$6:$J$1634,$J319,'SALES Raw'!$K$6:$K$1634,"Y")*$H$4</f>
        <v>683.027368421053</v>
      </c>
      <c r="H319" s="16" t="s">
        <v>36</v>
      </c>
      <c r="I319" s="16" t="s">
        <v>43</v>
      </c>
      <c r="J319" s="16" t="s">
        <v>119</v>
      </c>
    </row>
    <row r="320" customFormat="false" ht="15" hidden="false" customHeight="false" outlineLevel="0" collapsed="false">
      <c r="A320" s="16" t="n">
        <f aca="false">IF(ISNUMBER($J320),$J320,"")</f>
        <v>4408015</v>
      </c>
      <c r="B320" s="16" t="str">
        <f aca="false">IFERROR(INDEX('SALES Raw'!$B$6:$B$1634,MATCH($J320,'SALES Raw'!$J$6:$J$1634,0)),$J320)</f>
        <v>07AU L</v>
      </c>
      <c r="C320" s="16" t="str">
        <f aca="false">IF(ISNUMBER($J320),IFERROR(INDEX('TRANS'!$C:$C,MATCH($J320,'TRANS'!$B:$B,0)),IFERROR(INDEX('Catalog'!$B:$B,MATCH($J320,'Catalog'!$A:$A,0)),$B320)),$B320)</f>
        <v>07AU L ח.גב """"איטלקית"""" אורירית</v>
      </c>
      <c r="D320" s="8" t="n">
        <f aca="false">SUMIFS('SALES Raw'!$C$6:$C$1634,'SALES Raw'!$J$6:$J$1634,$J320,'SALES Raw'!$K$6:$K$1634,"Y")</f>
        <v>13</v>
      </c>
      <c r="E320" s="8" t="n">
        <f aca="false">SUMIFS('SALES Raw'!$D$6:$D$1634,'SALES Raw'!$J$6:$J$1634,$J320,'SALES Raw'!$K$6:$K$1634,"Y")</f>
        <v>1689.02</v>
      </c>
      <c r="F320" s="8" t="n">
        <f aca="false">SUMIFS('SALES Raw'!$E$6:$E$1634,'SALES Raw'!$J$6:$J$1634,$J320,'SALES Raw'!$K$6:$K$1634,"Y")*$H$4</f>
        <v>12.6315789473684</v>
      </c>
      <c r="G320" s="8" t="n">
        <f aca="false">SUMIFS('SALES Raw'!$F$6:$F$1634,'SALES Raw'!$J$6:$J$1634,$J320,'SALES Raw'!$K$6:$K$1634,"Y")*$H$4</f>
        <v>1482.48</v>
      </c>
      <c r="H320" s="16" t="s">
        <v>32</v>
      </c>
      <c r="I320" s="16" t="s">
        <v>37</v>
      </c>
      <c r="J320" s="16" t="n">
        <v>4408015</v>
      </c>
    </row>
    <row r="321" customFormat="false" ht="15" hidden="false" customHeight="false" outlineLevel="0" collapsed="false">
      <c r="A321" s="16" t="n">
        <f aca="false">IF(ISNUMBER($J321),$J321,"")</f>
        <v>4415297</v>
      </c>
      <c r="B321" s="16" t="str">
        <f aca="false">IFERROR(INDEX('SALES Raw'!$B$6:$B$1634,MATCH($J321,'SALES Raw'!$J$6:$J$1634,0)),$J321)</f>
        <v>313 0</v>
      </c>
      <c r="C321" s="16" t="str">
        <f aca="false">IF(ISNUMBER($J321),IFERROR(INDEX('TRANS'!$C:$C,MATCH($J321,'TRANS'!$B:$B,0)),IFERROR(INDEX('Catalog'!$B:$B,MATCH($J321,'Catalog'!$A:$A,0)),$B321)),$B321)</f>
        <v>313 סט פלסטרים נגד שפשופים</v>
      </c>
      <c r="D321" s="8" t="n">
        <f aca="false">SUMIFS('SALES Raw'!$C$6:$C$1634,'SALES Raw'!$J$6:$J$1634,$J321,'SALES Raw'!$K$6:$K$1634,"Y")</f>
        <v>55</v>
      </c>
      <c r="E321" s="8" t="n">
        <f aca="false">SUMIFS('SALES Raw'!$D$6:$D$1634,'SALES Raw'!$J$6:$J$1634,$J321,'SALES Raw'!$K$6:$K$1634,"Y")</f>
        <v>698.31</v>
      </c>
      <c r="F321" s="8" t="n">
        <f aca="false">SUMIFS('SALES Raw'!$E$6:$E$1634,'SALES Raw'!$J$6:$J$1634,$J321,'SALES Raw'!$K$6:$K$1634,"Y")*$H$4</f>
        <v>12.6315789473684</v>
      </c>
      <c r="G321" s="8" t="n">
        <f aca="false">SUMIFS('SALES Raw'!$F$6:$F$1634,'SALES Raw'!$J$6:$J$1634,$J321,'SALES Raw'!$K$6:$K$1634,"Y")*$H$4</f>
        <v>164.753684210526</v>
      </c>
      <c r="H321" s="16" t="s">
        <v>32</v>
      </c>
      <c r="I321" s="16" t="s">
        <v>38</v>
      </c>
      <c r="J321" s="16" t="n">
        <v>4415297</v>
      </c>
    </row>
    <row r="322" customFormat="false" ht="15" hidden="false" customHeight="false" outlineLevel="0" collapsed="false">
      <c r="A322" s="16" t="n">
        <f aca="false">IF(ISNUMBER($J322),$J322,"")</f>
        <v>4413528</v>
      </c>
      <c r="B322" s="16" t="str">
        <f aca="false">IFERROR(INDEX('SALES Raw'!$B$6:$B$1634,MATCH($J322,'SALES Raw'!$J$6:$J$1634,0)),$J322)</f>
        <v>379WRK-39-42</v>
      </c>
      <c r="C322" s="16" t="str">
        <f aca="false">IF(ISNUMBER($J322),IFERROR(INDEX('TRANS'!$C:$C,MATCH($J322,'TRANS'!$B:$B,0)),IFERROR(INDEX('Catalog'!$B:$B,MATCH($J322,'Catalog'!$A:$A,0)),$B322)),$B322)</f>
        <v>39-42 מדרסי אפיק ג'ל עבודה</v>
      </c>
      <c r="D322" s="8" t="n">
        <f aca="false">SUMIFS('SALES Raw'!$C$6:$C$1634,'SALES Raw'!$J$6:$J$1634,$J322,'SALES Raw'!$K$6:$K$1634,"Y")</f>
        <v>73</v>
      </c>
      <c r="E322" s="8" t="n">
        <f aca="false">SUMIFS('SALES Raw'!$D$6:$D$1634,'SALES Raw'!$J$6:$J$1634,$J322,'SALES Raw'!$K$6:$K$1634,"Y")</f>
        <v>3237.24</v>
      </c>
      <c r="F322" s="8" t="n">
        <f aca="false">SUMIFS('SALES Raw'!$E$6:$E$1634,'SALES Raw'!$J$6:$J$1634,$J322,'SALES Raw'!$K$6:$K$1634,"Y")*$H$4</f>
        <v>12.6315789473684</v>
      </c>
      <c r="G322" s="8" t="n">
        <f aca="false">SUMIFS('SALES Raw'!$F$6:$F$1634,'SALES Raw'!$J$6:$J$1634,$J322,'SALES Raw'!$K$6:$K$1634,"Y")*$H$4</f>
        <v>452.690526315789</v>
      </c>
      <c r="H322" s="16" t="s">
        <v>42</v>
      </c>
      <c r="I322" s="16" t="s">
        <v>32</v>
      </c>
      <c r="J322" s="16" t="n">
        <v>4413528</v>
      </c>
    </row>
    <row r="323" customFormat="false" ht="15" hidden="false" customHeight="false" outlineLevel="0" collapsed="false">
      <c r="A323" s="16" t="n">
        <f aca="false">IF(ISNUMBER($J323),$J323,"")</f>
        <v>4413529</v>
      </c>
      <c r="B323" s="16" t="str">
        <f aca="false">IFERROR(INDEX('SALES Raw'!$B$6:$B$1634,MATCH($J323,'SALES Raw'!$J$6:$J$1634,0)),$J323)</f>
        <v>379WRK-43-46</v>
      </c>
      <c r="C323" s="16" t="str">
        <f aca="false">IF(ISNUMBER($J323),IFERROR(INDEX('TRANS'!$C:$C,MATCH($J323,'TRANS'!$B:$B,0)),IFERROR(INDEX('Catalog'!$B:$B,MATCH($J323,'Catalog'!$A:$A,0)),$B323)),$B323)</f>
        <v>43-47 מדרסי אפיק ג'ל עבודה</v>
      </c>
      <c r="D323" s="8" t="n">
        <f aca="false">SUMIFS('SALES Raw'!$C$6:$C$1634,'SALES Raw'!$J$6:$J$1634,$J323,'SALES Raw'!$K$6:$K$1634,"Y")</f>
        <v>86</v>
      </c>
      <c r="E323" s="8" t="n">
        <f aca="false">SUMIFS('SALES Raw'!$D$6:$D$1634,'SALES Raw'!$J$6:$J$1634,$J323,'SALES Raw'!$K$6:$K$1634,"Y")</f>
        <v>3948.12</v>
      </c>
      <c r="F323" s="8" t="n">
        <f aca="false">SUMIFS('SALES Raw'!$E$6:$E$1634,'SALES Raw'!$J$6:$J$1634,$J323,'SALES Raw'!$K$6:$K$1634,"Y")*$H$4</f>
        <v>12.6315789473684</v>
      </c>
      <c r="G323" s="8" t="n">
        <f aca="false">SUMIFS('SALES Raw'!$F$6:$F$1634,'SALES Raw'!$J$6:$J$1634,$J323,'SALES Raw'!$K$6:$K$1634,"Y")*$H$4</f>
        <v>452.690526315789</v>
      </c>
      <c r="H323" s="16" t="s">
        <v>42</v>
      </c>
      <c r="I323" s="16" t="s">
        <v>32</v>
      </c>
      <c r="J323" s="16" t="n">
        <v>4413529</v>
      </c>
    </row>
    <row r="324" customFormat="false" ht="15" hidden="false" customHeight="false" outlineLevel="0" collapsed="false">
      <c r="A324" s="16" t="str">
        <f aca="false">IF(ISNUMBER($J324),$J324,"")</f>
        <v/>
      </c>
      <c r="B324" s="16" t="str">
        <f aca="false">IFERROR(INDEX('SALES Raw'!$B$6:$B$1634,MATCH($J324,'SALES Raw'!$J$6:$J$1634,0)),$J324)</f>
        <v>390G-39-42</v>
      </c>
      <c r="C324" s="16" t="str">
        <f aca="false">IF(ISNUMBER($J324),IFERROR(INDEX('TRANS'!$C:$C,MATCH($J324,'TRANS'!$B:$B,0)),IFERROR(INDEX('Catalog'!$B:$B,MATCH($J324,'Catalog'!$A:$A,0)),$B324)),$B324)</f>
        <v>390G-39-42</v>
      </c>
      <c r="D324" s="8" t="n">
        <f aca="false">SUMIFS('SALES Raw'!$C$6:$C$1634,'SALES Raw'!$J$6:$J$1634,$J324,'SALES Raw'!$K$6:$K$1634,"Y")</f>
        <v>62</v>
      </c>
      <c r="E324" s="8" t="n">
        <f aca="false">SUMIFS('SALES Raw'!$D$6:$D$1634,'SALES Raw'!$J$6:$J$1634,$J324,'SALES Raw'!$K$6:$K$1634,"Y")</f>
        <v>1568.51</v>
      </c>
      <c r="F324" s="8" t="n">
        <f aca="false">SUMIFS('SALES Raw'!$E$6:$E$1634,'SALES Raw'!$J$6:$J$1634,$J324,'SALES Raw'!$K$6:$K$1634,"Y")*$H$4</f>
        <v>12.6315789473684</v>
      </c>
      <c r="G324" s="8" t="n">
        <f aca="false">SUMIFS('SALES Raw'!$F$6:$F$1634,'SALES Raw'!$J$6:$J$1634,$J324,'SALES Raw'!$K$6:$K$1634,"Y")*$H$4</f>
        <v>224.930526315789</v>
      </c>
      <c r="H324" s="16" t="s">
        <v>38</v>
      </c>
      <c r="I324" s="16" t="s">
        <v>34</v>
      </c>
      <c r="J324" s="16" t="s">
        <v>120</v>
      </c>
    </row>
    <row r="325" customFormat="false" ht="15" hidden="false" customHeight="false" outlineLevel="0" collapsed="false">
      <c r="A325" s="16" t="str">
        <f aca="false">IF(ISNUMBER($J325),$J325,"")</f>
        <v/>
      </c>
      <c r="B325" s="16" t="str">
        <f aca="false">IFERROR(INDEX('SALES Raw'!$B$6:$B$1634,MATCH($J325,'SALES Raw'!$J$6:$J$1634,0)),$J325)</f>
        <v>N433D XL</v>
      </c>
      <c r="C325" s="16" t="str">
        <f aca="false">IF(ISNUMBER($J325),IFERROR(INDEX('TRANS'!$C:$C,MATCH($J325,'TRANS'!$B:$B,0)),IFERROR(INDEX('Catalog'!$B:$B,MATCH($J325,'Catalog'!$A:$A,0)),$B325)),$B325)</f>
        <v>N433D XL</v>
      </c>
      <c r="D325" s="8" t="n">
        <f aca="false">SUMIFS('SALES Raw'!$C$6:$C$1634,'SALES Raw'!$J$6:$J$1634,$J325,'SALES Raw'!$K$6:$K$1634,"Y")</f>
        <v>0</v>
      </c>
      <c r="E325" s="8" t="n">
        <f aca="false">SUMIFS('SALES Raw'!$D$6:$D$1634,'SALES Raw'!$J$6:$J$1634,$J325,'SALES Raw'!$K$6:$K$1634,"Y")</f>
        <v>0</v>
      </c>
      <c r="F325" s="8" t="n">
        <f aca="false">SUMIFS('SALES Raw'!$E$6:$E$1634,'SALES Raw'!$J$6:$J$1634,$J325,'SALES Raw'!$K$6:$K$1634,"Y")*$H$4</f>
        <v>12.6315789473684</v>
      </c>
      <c r="G325" s="8" t="n">
        <f aca="false">SUMIFS('SALES Raw'!$F$6:$F$1634,'SALES Raw'!$J$6:$J$1634,$J325,'SALES Raw'!$K$6:$K$1634,"Y")*$H$4</f>
        <v>1512.59368421053</v>
      </c>
      <c r="H325" s="16" t="s">
        <v>37</v>
      </c>
      <c r="I325" s="16"/>
      <c r="J325" s="16" t="s">
        <v>121</v>
      </c>
    </row>
    <row r="326" customFormat="false" ht="15" hidden="false" customHeight="false" outlineLevel="0" collapsed="false">
      <c r="A326" s="16" t="str">
        <f aca="false">IF(ISNUMBER($J326),$J326,"")</f>
        <v/>
      </c>
      <c r="B326" s="16" t="str">
        <f aca="false">IFERROR(INDEX('SALES Raw'!$B$6:$B$1634,MATCH($J326,'SALES Raw'!$J$6:$J$1634,0)),$J326)</f>
        <v>34+ XS</v>
      </c>
      <c r="C326" s="16" t="str">
        <f aca="false">IF(ISNUMBER($J326),IFERROR(INDEX('TRANS'!$C:$C,MATCH($J326,'TRANS'!$B:$B,0)),IFERROR(INDEX('Catalog'!$B:$B,MATCH($J326,'Catalog'!$A:$A,0)),$B326)),$B326)</f>
        <v>34+ XS</v>
      </c>
      <c r="D326" s="8" t="n">
        <f aca="false">SUMIFS('SALES Raw'!$C$6:$C$1634,'SALES Raw'!$J$6:$J$1634,$J326,'SALES Raw'!$K$6:$K$1634,"Y")</f>
        <v>5</v>
      </c>
      <c r="E326" s="8" t="n">
        <f aca="false">SUMIFS('SALES Raw'!$D$6:$D$1634,'SALES Raw'!$J$6:$J$1634,$J326,'SALES Raw'!$K$6:$K$1634,"Y")</f>
        <v>142</v>
      </c>
      <c r="F326" s="8" t="n">
        <f aca="false">SUMIFS('SALES Raw'!$E$6:$E$1634,'SALES Raw'!$J$6:$J$1634,$J326,'SALES Raw'!$K$6:$K$1634,"Y")*$H$4</f>
        <v>12.6315789473684</v>
      </c>
      <c r="G326" s="8" t="n">
        <f aca="false">SUMIFS('SALES Raw'!$F$6:$F$1634,'SALES Raw'!$J$6:$J$1634,$J326,'SALES Raw'!$K$6:$K$1634,"Y")*$H$4</f>
        <v>343.844210526316</v>
      </c>
      <c r="H326" s="16" t="s">
        <v>42</v>
      </c>
      <c r="I326" s="16"/>
      <c r="J326" s="16" t="s">
        <v>122</v>
      </c>
    </row>
    <row r="327" customFormat="false" ht="15" hidden="false" customHeight="false" outlineLevel="0" collapsed="false">
      <c r="A327" s="16" t="n">
        <f aca="false">IF(ISNUMBER($J327),$J327,"")</f>
        <v>4413113</v>
      </c>
      <c r="B327" s="16" t="str">
        <f aca="false">IFERROR(INDEX('SALES Raw'!$B$6:$B$1634,MATCH($J327,'SALES Raw'!$J$6:$J$1634,0)),$J327)</f>
        <v>49 M</v>
      </c>
      <c r="C327" s="16" t="str">
        <f aca="false">IF(ISNUMBER($J327),IFERROR(INDEX('TRANS'!$C:$C,MATCH($J327,'TRANS'!$B:$B,0)),IFERROR(INDEX('Catalog'!$B:$B,MATCH($J327,'Catalog'!$A:$A,0)),$B327)),$B327)</f>
        <v>49  M מגן ירך</v>
      </c>
      <c r="D327" s="8" t="n">
        <f aca="false">SUMIFS('SALES Raw'!$C$6:$C$1634,'SALES Raw'!$J$6:$J$1634,$J327,'SALES Raw'!$K$6:$K$1634,"Y")</f>
        <v>24</v>
      </c>
      <c r="E327" s="8" t="n">
        <f aca="false">SUMIFS('SALES Raw'!$D$6:$D$1634,'SALES Raw'!$J$6:$J$1634,$J327,'SALES Raw'!$K$6:$K$1634,"Y")</f>
        <v>278.03</v>
      </c>
      <c r="F327" s="8" t="n">
        <f aca="false">SUMIFS('SALES Raw'!$E$6:$E$1634,'SALES Raw'!$J$6:$J$1634,$J327,'SALES Raw'!$K$6:$K$1634,"Y")*$H$4</f>
        <v>12.6315789473684</v>
      </c>
      <c r="G327" s="8" t="n">
        <f aca="false">SUMIFS('SALES Raw'!$F$6:$F$1634,'SALES Raw'!$J$6:$J$1634,$J327,'SALES Raw'!$K$6:$K$1634,"Y")*$H$4</f>
        <v>126.088421052632</v>
      </c>
      <c r="H327" s="16" t="s">
        <v>42</v>
      </c>
      <c r="I327" s="16"/>
      <c r="J327" s="16" t="n">
        <v>4413113</v>
      </c>
    </row>
    <row r="328" customFormat="false" ht="15" hidden="false" customHeight="false" outlineLevel="0" collapsed="false">
      <c r="A328" s="16" t="str">
        <f aca="false">IF(ISNUMBER($J328),$J328,"")</f>
        <v/>
      </c>
      <c r="B328" s="16" t="str">
        <f aca="false">IFERROR(INDEX('SALES Raw'!$B$6:$B$1634,MATCH($J328,'SALES Raw'!$J$6:$J$1634,0)),$J328)</f>
        <v>25 M</v>
      </c>
      <c r="C328" s="16" t="str">
        <f aca="false">IF(ISNUMBER($J328),IFERROR(INDEX('TRANS'!$C:$C,MATCH($J328,'TRANS'!$B:$B,0)),IFERROR(INDEX('Catalog'!$B:$B,MATCH($J328,'Catalog'!$A:$A,0)),$B328)),$B328)</f>
        <v>25 M</v>
      </c>
      <c r="D328" s="8" t="n">
        <f aca="false">SUMIFS('SALES Raw'!$C$6:$C$1634,'SALES Raw'!$J$6:$J$1634,$J328,'SALES Raw'!$K$6:$K$1634,"Y")</f>
        <v>15</v>
      </c>
      <c r="E328" s="8" t="n">
        <f aca="false">SUMIFS('SALES Raw'!$D$6:$D$1634,'SALES Raw'!$J$6:$J$1634,$J328,'SALES Raw'!$K$6:$K$1634,"Y")</f>
        <v>496.51</v>
      </c>
      <c r="F328" s="8" t="n">
        <f aca="false">SUMIFS('SALES Raw'!$E$6:$E$1634,'SALES Raw'!$J$6:$J$1634,$J328,'SALES Raw'!$K$6:$K$1634,"Y")*$H$4</f>
        <v>11.3684210526316</v>
      </c>
      <c r="G328" s="8" t="n">
        <f aca="false">SUMIFS('SALES Raw'!$F$6:$F$1634,'SALES Raw'!$J$6:$J$1634,$J328,'SALES Raw'!$K$6:$K$1634,"Y")*$H$4</f>
        <v>331.225263157895</v>
      </c>
      <c r="H328" s="16" t="s">
        <v>40</v>
      </c>
      <c r="I328" s="16"/>
      <c r="J328" s="16" t="s">
        <v>123</v>
      </c>
    </row>
    <row r="329" customFormat="false" ht="15" hidden="false" customHeight="false" outlineLevel="0" collapsed="false">
      <c r="A329" s="16" t="str">
        <f aca="false">IF(ISNUMBER($J329),$J329,"")</f>
        <v/>
      </c>
      <c r="B329" s="16" t="str">
        <f aca="false">IFERROR(INDEX('SALES Raw'!$B$6:$B$1634,MATCH($J329,'SALES Raw'!$J$6:$J$1634,0)),$J329)</f>
        <v>332B L</v>
      </c>
      <c r="C329" s="16" t="str">
        <f aca="false">IF(ISNUMBER($J329),IFERROR(INDEX('TRANS'!$C:$C,MATCH($J329,'TRANS'!$B:$B,0)),IFERROR(INDEX('Catalog'!$B:$B,MATCH($J329,'Catalog'!$A:$A,0)),$B329)),$B329)</f>
        <v>332B L</v>
      </c>
      <c r="D329" s="8" t="n">
        <f aca="false">SUMIFS('SALES Raw'!$C$6:$C$1634,'SALES Raw'!$J$6:$J$1634,$J329,'SALES Raw'!$K$6:$K$1634,"Y")</f>
        <v>13</v>
      </c>
      <c r="E329" s="8" t="n">
        <f aca="false">SUMIFS('SALES Raw'!$D$6:$D$1634,'SALES Raw'!$J$6:$J$1634,$J329,'SALES Raw'!$K$6:$K$1634,"Y")</f>
        <v>811.55</v>
      </c>
      <c r="F329" s="8" t="n">
        <f aca="false">SUMIFS('SALES Raw'!$E$6:$E$1634,'SALES Raw'!$J$6:$J$1634,$J329,'SALES Raw'!$K$6:$K$1634,"Y")*$H$4</f>
        <v>10.1052631578947</v>
      </c>
      <c r="G329" s="8" t="n">
        <f aca="false">SUMIFS('SALES Raw'!$F$6:$F$1634,'SALES Raw'!$J$6:$J$1634,$J329,'SALES Raw'!$K$6:$K$1634,"Y")*$H$4</f>
        <v>623.52</v>
      </c>
      <c r="H329" s="16" t="s">
        <v>37</v>
      </c>
      <c r="I329" s="16" t="s">
        <v>38</v>
      </c>
      <c r="J329" s="16" t="s">
        <v>124</v>
      </c>
    </row>
    <row r="330" customFormat="false" ht="15" hidden="false" customHeight="false" outlineLevel="0" collapsed="false">
      <c r="A330" s="16" t="str">
        <f aca="false">IF(ISNUMBER($J330),$J330,"")</f>
        <v/>
      </c>
      <c r="B330" s="16" t="str">
        <f aca="false">IFERROR(INDEX('SALES Raw'!$B$6:$B$1634,MATCH($J330,'SALES Raw'!$J$6:$J$1634,0)),$J330)</f>
        <v>332B M</v>
      </c>
      <c r="C330" s="16" t="str">
        <f aca="false">IF(ISNUMBER($J330),IFERROR(INDEX('TRANS'!$C:$C,MATCH($J330,'TRANS'!$B:$B,0)),IFERROR(INDEX('Catalog'!$B:$B,MATCH($J330,'Catalog'!$A:$A,0)),$B330)),$B330)</f>
        <v>332B M</v>
      </c>
      <c r="D330" s="8" t="n">
        <f aca="false">SUMIFS('SALES Raw'!$C$6:$C$1634,'SALES Raw'!$J$6:$J$1634,$J330,'SALES Raw'!$K$6:$K$1634,"Y")</f>
        <v>10</v>
      </c>
      <c r="E330" s="8" t="n">
        <f aca="false">SUMIFS('SALES Raw'!$D$6:$D$1634,'SALES Raw'!$J$6:$J$1634,$J330,'SALES Raw'!$K$6:$K$1634,"Y")</f>
        <v>623.26</v>
      </c>
      <c r="F330" s="8" t="n">
        <f aca="false">SUMIFS('SALES Raw'!$E$6:$E$1634,'SALES Raw'!$J$6:$J$1634,$J330,'SALES Raw'!$K$6:$K$1634,"Y")*$H$4</f>
        <v>10.1052631578947</v>
      </c>
      <c r="G330" s="8" t="n">
        <f aca="false">SUMIFS('SALES Raw'!$F$6:$F$1634,'SALES Raw'!$J$6:$J$1634,$J330,'SALES Raw'!$K$6:$K$1634,"Y")*$H$4</f>
        <v>623.52</v>
      </c>
      <c r="H330" s="16" t="s">
        <v>37</v>
      </c>
      <c r="I330" s="16" t="s">
        <v>38</v>
      </c>
      <c r="J330" s="16" t="s">
        <v>125</v>
      </c>
    </row>
    <row r="331" customFormat="false" ht="15" hidden="false" customHeight="false" outlineLevel="0" collapsed="false">
      <c r="A331" s="16" t="n">
        <f aca="false">IF(ISNUMBER($J331),$J331,"")</f>
        <v>4413117</v>
      </c>
      <c r="B331" s="16" t="str">
        <f aca="false">IFERROR(INDEX('SALES Raw'!$B$6:$B$1634,MATCH($J331,'SALES Raw'!$J$6:$J$1634,0)),$J331)</f>
        <v>50 L</v>
      </c>
      <c r="C331" s="16" t="str">
        <f aca="false">IF(ISNUMBER($J331),IFERROR(INDEX('TRANS'!$C:$C,MATCH($J331,'TRANS'!$B:$B,0)),IFERROR(INDEX('Catalog'!$B:$B,MATCH($J331,'Catalog'!$A:$A,0)),$B331)),$B331)</f>
        <v>50 L מתלה אשכים לאחר ניתוח</v>
      </c>
      <c r="D331" s="8" t="n">
        <f aca="false">SUMIFS('SALES Raw'!$C$6:$C$1634,'SALES Raw'!$J$6:$J$1634,$J331,'SALES Raw'!$K$6:$K$1634,"Y")</f>
        <v>20</v>
      </c>
      <c r="E331" s="8" t="n">
        <f aca="false">SUMIFS('SALES Raw'!$D$6:$D$1634,'SALES Raw'!$J$6:$J$1634,$J331,'SALES Raw'!$K$6:$K$1634,"Y")</f>
        <v>929.46</v>
      </c>
      <c r="F331" s="8" t="n">
        <f aca="false">SUMIFS('SALES Raw'!$E$6:$E$1634,'SALES Raw'!$J$6:$J$1634,$J331,'SALES Raw'!$K$6:$K$1634,"Y")*$H$4</f>
        <v>10.1052631578947</v>
      </c>
      <c r="G331" s="8" t="n">
        <f aca="false">SUMIFS('SALES Raw'!$F$6:$F$1634,'SALES Raw'!$J$6:$J$1634,$J331,'SALES Raw'!$K$6:$K$1634,"Y")*$H$4</f>
        <v>403.351578947368</v>
      </c>
      <c r="H331" s="16" t="s">
        <v>37</v>
      </c>
      <c r="I331" s="16" t="s">
        <v>43</v>
      </c>
      <c r="J331" s="16" t="n">
        <v>4413117</v>
      </c>
    </row>
    <row r="332" customFormat="false" ht="15" hidden="false" customHeight="false" outlineLevel="0" collapsed="false">
      <c r="A332" s="16" t="str">
        <f aca="false">IF(ISNUMBER($J332),$J332,"")</f>
        <v/>
      </c>
      <c r="B332" s="16" t="str">
        <f aca="false">IFERROR(INDEX('SALES Raw'!$B$6:$B$1634,MATCH($J332,'SALES Raw'!$J$6:$J$1634,0)),$J332)</f>
        <v>N433D XXL</v>
      </c>
      <c r="C332" s="16" t="str">
        <f aca="false">IF(ISNUMBER($J332),IFERROR(INDEX('TRANS'!$C:$C,MATCH($J332,'TRANS'!$B:$B,0)),IFERROR(INDEX('Catalog'!$B:$B,MATCH($J332,'Catalog'!$A:$A,0)),$B332)),$B332)</f>
        <v>N433D XXL</v>
      </c>
      <c r="D332" s="8" t="n">
        <f aca="false">SUMIFS('SALES Raw'!$C$6:$C$1634,'SALES Raw'!$J$6:$J$1634,$J332,'SALES Raw'!$K$6:$K$1634,"Y")</f>
        <v>0</v>
      </c>
      <c r="E332" s="8" t="n">
        <f aca="false">SUMIFS('SALES Raw'!$D$6:$D$1634,'SALES Raw'!$J$6:$J$1634,$J332,'SALES Raw'!$K$6:$K$1634,"Y")</f>
        <v>0</v>
      </c>
      <c r="F332" s="8" t="n">
        <f aca="false">SUMIFS('SALES Raw'!$E$6:$E$1634,'SALES Raw'!$J$6:$J$1634,$J332,'SALES Raw'!$K$6:$K$1634,"Y")*$H$4</f>
        <v>10.1052631578947</v>
      </c>
      <c r="G332" s="8" t="n">
        <f aca="false">SUMIFS('SALES Raw'!$F$6:$F$1634,'SALES Raw'!$J$6:$J$1634,$J332,'SALES Raw'!$K$6:$K$1634,"Y")*$H$4</f>
        <v>1210.06736842105</v>
      </c>
      <c r="H332" s="16" t="s">
        <v>37</v>
      </c>
      <c r="I332" s="16"/>
      <c r="J332" s="16" t="s">
        <v>126</v>
      </c>
    </row>
    <row r="333" customFormat="false" ht="15" hidden="false" customHeight="false" outlineLevel="0" collapsed="false">
      <c r="A333" s="16" t="str">
        <f aca="false">IF(ISNUMBER($J333),$J333,"")</f>
        <v/>
      </c>
      <c r="B333" s="16" t="str">
        <f aca="false">IFERROR(INDEX('SALES Raw'!$B$6:$B$1634,MATCH($J333,'SALES Raw'!$J$6:$J$1634,0)),$J333)</f>
        <v>91 0</v>
      </c>
      <c r="C333" s="16" t="str">
        <f aca="false">IF(ISNUMBER($J333),IFERROR(INDEX('TRANS'!$C:$C,MATCH($J333,'TRANS'!$B:$B,0)),IFERROR(INDEX('Catalog'!$B:$B,MATCH($J333,'Catalog'!$A:$A,0)),$B333)),$B333)</f>
        <v>91 0</v>
      </c>
      <c r="D333" s="8" t="n">
        <f aca="false">SUMIFS('SALES Raw'!$C$6:$C$1634,'SALES Raw'!$J$6:$J$1634,$J333,'SALES Raw'!$K$6:$K$1634,"Y")</f>
        <v>0</v>
      </c>
      <c r="E333" s="8" t="n">
        <f aca="false">SUMIFS('SALES Raw'!$D$6:$D$1634,'SALES Raw'!$J$6:$J$1634,$J333,'SALES Raw'!$K$6:$K$1634,"Y")</f>
        <v>0</v>
      </c>
      <c r="F333" s="8" t="n">
        <f aca="false">SUMIFS('SALES Raw'!$E$6:$E$1634,'SALES Raw'!$J$6:$J$1634,$J333,'SALES Raw'!$K$6:$K$1634,"Y")*$H$4</f>
        <v>10.1052631578947</v>
      </c>
      <c r="G333" s="8" t="n">
        <f aca="false">SUMIFS('SALES Raw'!$F$6:$F$1634,'SALES Raw'!$J$6:$J$1634,$J333,'SALES Raw'!$K$6:$K$1634,"Y")*$H$4</f>
        <v>312.745263157895</v>
      </c>
      <c r="H333" s="16" t="s">
        <v>38</v>
      </c>
      <c r="I333" s="16"/>
      <c r="J333" s="16" t="s">
        <v>127</v>
      </c>
    </row>
    <row r="334" customFormat="false" ht="15" hidden="false" customHeight="false" outlineLevel="0" collapsed="false">
      <c r="A334" s="16" t="n">
        <f aca="false">IF(ISNUMBER($J334),$J334,"")</f>
        <v>4408232</v>
      </c>
      <c r="B334" s="16" t="str">
        <f aca="false">IFERROR(INDEX('SALES Raw'!$B$6:$B$1634,MATCH($J334,'SALES Raw'!$J$6:$J$1634,0)),$J334)</f>
        <v>16 XXL</v>
      </c>
      <c r="C334" s="16" t="str">
        <f aca="false">IF(ISNUMBER($J334),IFERROR(INDEX('TRANS'!$C:$C,MATCH($J334,'TRANS'!$B:$B,0)),IFERROR(INDEX('Catalog'!$B:$B,MATCH($J334,'Catalog'!$A:$A,0)),$B334)),$B334)</f>
        <v>16 XXL חגורת הריון</v>
      </c>
      <c r="D334" s="8" t="n">
        <f aca="false">SUMIFS('SALES Raw'!$C$6:$C$1634,'SALES Raw'!$J$6:$J$1634,$J334,'SALES Raw'!$K$6:$K$1634,"Y")</f>
        <v>5</v>
      </c>
      <c r="E334" s="8" t="n">
        <f aca="false">SUMIFS('SALES Raw'!$D$6:$D$1634,'SALES Raw'!$J$6:$J$1634,$J334,'SALES Raw'!$K$6:$K$1634,"Y")</f>
        <v>252.29</v>
      </c>
      <c r="F334" s="8" t="n">
        <f aca="false">SUMIFS('SALES Raw'!$E$6:$E$1634,'SALES Raw'!$J$6:$J$1634,$J334,'SALES Raw'!$K$6:$K$1634,"Y")*$H$4</f>
        <v>8.84210526315789</v>
      </c>
      <c r="G334" s="8" t="n">
        <f aca="false">SUMIFS('SALES Raw'!$F$6:$F$1634,'SALES Raw'!$J$6:$J$1634,$J334,'SALES Raw'!$K$6:$K$1634,"Y")*$H$4</f>
        <v>382.623157894737</v>
      </c>
      <c r="H334" s="16" t="s">
        <v>37</v>
      </c>
      <c r="I334" s="16" t="s">
        <v>32</v>
      </c>
      <c r="J334" s="16" t="n">
        <v>4408232</v>
      </c>
    </row>
    <row r="335" customFormat="false" ht="15" hidden="false" customHeight="false" outlineLevel="0" collapsed="false">
      <c r="A335" s="16" t="n">
        <f aca="false">IF(ISNUMBER($J335),$J335,"")</f>
        <v>4413127</v>
      </c>
      <c r="B335" s="16" t="str">
        <f aca="false">IFERROR(INDEX('SALES Raw'!$B$6:$B$1634,MATCH($J335,'SALES Raw'!$J$6:$J$1634,0)),$J335)</f>
        <v>75 L</v>
      </c>
      <c r="C335" s="16" t="str">
        <f aca="false">IF(ISNUMBER($J335),IFERROR(INDEX('TRANS'!$C:$C,MATCH($J335,'TRANS'!$B:$B,0)),IFERROR(INDEX('Catalog'!$B:$B,MATCH($J335,'Catalog'!$A:$A,0)),$B335)),$B335)</f>
        <v>75 Lמיישר כתף יציב יישור גב צר</v>
      </c>
      <c r="D335" s="8" t="n">
        <f aca="false">SUMIFS('SALES Raw'!$C$6:$C$1634,'SALES Raw'!$J$6:$J$1634,$J335,'SALES Raw'!$K$6:$K$1634,"Y")</f>
        <v>9</v>
      </c>
      <c r="E335" s="8" t="n">
        <f aca="false">SUMIFS('SALES Raw'!$D$6:$D$1634,'SALES Raw'!$J$6:$J$1634,$J335,'SALES Raw'!$K$6:$K$1634,"Y")</f>
        <v>602.03</v>
      </c>
      <c r="F335" s="8" t="n">
        <f aca="false">SUMIFS('SALES Raw'!$E$6:$E$1634,'SALES Raw'!$J$6:$J$1634,$J335,'SALES Raw'!$K$6:$K$1634,"Y")*$H$4</f>
        <v>8.84210526315789</v>
      </c>
      <c r="G335" s="8" t="n">
        <f aca="false">SUMIFS('SALES Raw'!$F$6:$F$1634,'SALES Raw'!$J$6:$J$1634,$J335,'SALES Raw'!$K$6:$K$1634,"Y")*$H$4</f>
        <v>617.646315789474</v>
      </c>
      <c r="H335" s="16" t="s">
        <v>42</v>
      </c>
      <c r="I335" s="16" t="s">
        <v>38</v>
      </c>
      <c r="J335" s="16" t="n">
        <v>4413127</v>
      </c>
    </row>
    <row r="336" customFormat="false" ht="15" hidden="false" customHeight="false" outlineLevel="0" collapsed="false">
      <c r="A336" s="16" t="n">
        <f aca="false">IF(ISNUMBER($J336),$J336,"")</f>
        <v>4408018</v>
      </c>
      <c r="B336" s="16" t="str">
        <f aca="false">IFERROR(INDEX('SALES Raw'!$B$6:$B$1634,MATCH($J336,'SALES Raw'!$J$6:$J$1634,0)),$J336)</f>
        <v>07AU XXL</v>
      </c>
      <c r="C336" s="16" t="str">
        <f aca="false">IF(ISNUMBER($J336),IFERROR(INDEX('TRANS'!$C:$C,MATCH($J336,'TRANS'!$B:$B,0)),IFERROR(INDEX('Catalog'!$B:$B,MATCH($J336,'Catalog'!$A:$A,0)),$B336)),$B336)</f>
        <v>07AU XXL.ח.גב """"איטלקית"""" אוריר</v>
      </c>
      <c r="D336" s="8" t="n">
        <f aca="false">SUMIFS('SALES Raw'!$C$6:$C$1634,'SALES Raw'!$J$6:$J$1634,$J336,'SALES Raw'!$K$6:$K$1634,"Y")</f>
        <v>6</v>
      </c>
      <c r="E336" s="8" t="n">
        <f aca="false">SUMIFS('SALES Raw'!$D$6:$D$1634,'SALES Raw'!$J$6:$J$1634,$J336,'SALES Raw'!$K$6:$K$1634,"Y")</f>
        <v>763.84</v>
      </c>
      <c r="F336" s="8" t="n">
        <f aca="false">SUMIFS('SALES Raw'!$E$6:$E$1634,'SALES Raw'!$J$6:$J$1634,$J336,'SALES Raw'!$K$6:$K$1634,"Y")*$H$4</f>
        <v>7.57894736842105</v>
      </c>
      <c r="G336" s="8" t="n">
        <f aca="false">SUMIFS('SALES Raw'!$F$6:$F$1634,'SALES Raw'!$J$6:$J$1634,$J336,'SALES Raw'!$K$6:$K$1634,"Y")*$H$4</f>
        <v>836.968421052632</v>
      </c>
      <c r="H336" s="16" t="s">
        <v>37</v>
      </c>
      <c r="I336" s="16" t="s">
        <v>32</v>
      </c>
      <c r="J336" s="16" t="n">
        <v>4408018</v>
      </c>
    </row>
    <row r="337" customFormat="false" ht="15" hidden="false" customHeight="false" outlineLevel="0" collapsed="false">
      <c r="A337" s="16" t="n">
        <f aca="false">IF(ISNUMBER($J337),$J337,"")</f>
        <v>4408115</v>
      </c>
      <c r="B337" s="16" t="str">
        <f aca="false">IFERROR(INDEX('SALES Raw'!$B$6:$B$1634,MATCH($J337,'SALES Raw'!$J$6:$J$1634,0)),$J337)</f>
        <v>11EU L</v>
      </c>
      <c r="C337" s="16" t="str">
        <f aca="false">IF(ISNUMBER($J337),IFERROR(INDEX('TRANS'!$C:$C,MATCH($J337,'TRANS'!$B:$B,0)),IFERROR(INDEX('Catalog'!$B:$B,MATCH($J337,'Catalog'!$A:$A,0)),$B337)),$B337)</f>
        <v>11EU L ח.בטן לאחר ניתוח</v>
      </c>
      <c r="D337" s="8" t="n">
        <f aca="false">SUMIFS('SALES Raw'!$C$6:$C$1634,'SALES Raw'!$J$6:$J$1634,$J337,'SALES Raw'!$K$6:$K$1634,"Y")</f>
        <v>70</v>
      </c>
      <c r="E337" s="8" t="n">
        <f aca="false">SUMIFS('SALES Raw'!$D$6:$D$1634,'SALES Raw'!$J$6:$J$1634,$J337,'SALES Raw'!$K$6:$K$1634,"Y")</f>
        <v>3203.27</v>
      </c>
      <c r="F337" s="8" t="n">
        <f aca="false">SUMIFS('SALES Raw'!$E$6:$E$1634,'SALES Raw'!$J$6:$J$1634,$J337,'SALES Raw'!$K$6:$K$1634,"Y")*$H$4</f>
        <v>7.57894736842105</v>
      </c>
      <c r="G337" s="8" t="n">
        <f aca="false">SUMIFS('SALES Raw'!$F$6:$F$1634,'SALES Raw'!$J$6:$J$1634,$J337,'SALES Raw'!$K$6:$K$1634,"Y")*$H$4</f>
        <v>345.296842105263</v>
      </c>
      <c r="H337" s="16" t="s">
        <v>32</v>
      </c>
      <c r="I337" s="16" t="s">
        <v>35</v>
      </c>
      <c r="J337" s="16" t="n">
        <v>4408115</v>
      </c>
    </row>
    <row r="338" customFormat="false" ht="15" hidden="false" customHeight="false" outlineLevel="0" collapsed="false">
      <c r="A338" s="16" t="n">
        <f aca="false">IF(ISNUMBER($J338),$J338,"")</f>
        <v>4413046</v>
      </c>
      <c r="B338" s="16" t="str">
        <f aca="false">IFERROR(INDEX('SALES Raw'!$B$6:$B$1634,MATCH($J338,'SALES Raw'!$J$6:$J$1634,0)),$J338)</f>
        <v>34 XXL</v>
      </c>
      <c r="C338" s="16" t="str">
        <f aca="false">IF(ISNUMBER($J338),IFERROR(INDEX('TRANS'!$C:$C,MATCH($J338,'TRANS'!$B:$B,0)),IFERROR(INDEX('Catalog'!$B:$B,MATCH($J338,'Catalog'!$A:$A,0)),$B338)),$B338)</f>
        <v>34 XXL מגן קרסול עקב סגור</v>
      </c>
      <c r="D338" s="8" t="n">
        <f aca="false">SUMIFS('SALES Raw'!$C$6:$C$1634,'SALES Raw'!$J$6:$J$1634,$J338,'SALES Raw'!$K$6:$K$1634,"Y")</f>
        <v>17</v>
      </c>
      <c r="E338" s="8" t="n">
        <f aca="false">SUMIFS('SALES Raw'!$D$6:$D$1634,'SALES Raw'!$J$6:$J$1634,$J338,'SALES Raw'!$K$6:$K$1634,"Y")</f>
        <v>273.75</v>
      </c>
      <c r="F338" s="8" t="n">
        <f aca="false">SUMIFS('SALES Raw'!$E$6:$E$1634,'SALES Raw'!$J$6:$J$1634,$J338,'SALES Raw'!$K$6:$K$1634,"Y")*$H$4</f>
        <v>7.57894736842105</v>
      </c>
      <c r="G338" s="8" t="n">
        <f aca="false">SUMIFS('SALES Raw'!$F$6:$F$1634,'SALES Raw'!$J$6:$J$1634,$J338,'SALES Raw'!$K$6:$K$1634,"Y")*$H$4</f>
        <v>145.768421052632</v>
      </c>
      <c r="H338" s="16" t="s">
        <v>38</v>
      </c>
      <c r="I338" s="16" t="s">
        <v>32</v>
      </c>
      <c r="J338" s="16" t="n">
        <v>4413046</v>
      </c>
    </row>
    <row r="339" customFormat="false" ht="15" hidden="false" customHeight="false" outlineLevel="0" collapsed="false">
      <c r="A339" s="16" t="n">
        <f aca="false">IF(ISNUMBER($J339),$J339,"")</f>
        <v>4403005</v>
      </c>
      <c r="B339" s="16" t="str">
        <f aca="false">IFERROR(INDEX('SALES Raw'!$B$6:$B$1634,MATCH($J339,'SALES Raw'!$J$6:$J$1634,0)),$J339)</f>
        <v>390G-43-46</v>
      </c>
      <c r="C339" s="16" t="str">
        <f aca="false">IF(ISNUMBER($J339),IFERROR(INDEX('TRANS'!$C:$C,MATCH($J339,'TRANS'!$B:$B,0)),IFERROR(INDEX('Catalog'!$B:$B,MATCH($J339,'Catalog'!$A:$A,0)),$B339)),$B339)</f>
        <v>G390.43-46 גרבי כסף לסכרת מידה</v>
      </c>
      <c r="D339" s="8" t="n">
        <f aca="false">SUMIFS('SALES Raw'!$C$6:$C$1634,'SALES Raw'!$J$6:$J$1634,$J339,'SALES Raw'!$K$6:$K$1634,"Y")</f>
        <v>40</v>
      </c>
      <c r="E339" s="8" t="n">
        <f aca="false">SUMIFS('SALES Raw'!$D$6:$D$1634,'SALES Raw'!$J$6:$J$1634,$J339,'SALES Raw'!$K$6:$K$1634,"Y")</f>
        <v>1667.06</v>
      </c>
      <c r="F339" s="8" t="n">
        <f aca="false">SUMIFS('SALES Raw'!$E$6:$E$1634,'SALES Raw'!$J$6:$J$1634,$J339,'SALES Raw'!$K$6:$K$1634,"Y")*$H$4</f>
        <v>7.57894736842105</v>
      </c>
      <c r="G339" s="8" t="n">
        <f aca="false">SUMIFS('SALES Raw'!$F$6:$F$1634,'SALES Raw'!$J$6:$J$1634,$J339,'SALES Raw'!$K$6:$K$1634,"Y")*$H$4</f>
        <v>140.905263157895</v>
      </c>
      <c r="H339" s="16" t="s">
        <v>38</v>
      </c>
      <c r="I339" s="16" t="s">
        <v>32</v>
      </c>
      <c r="J339" s="16" t="n">
        <v>4403005</v>
      </c>
    </row>
    <row r="340" customFormat="false" ht="15" hidden="false" customHeight="false" outlineLevel="0" collapsed="false">
      <c r="A340" s="16" t="str">
        <f aca="false">IF(ISNUMBER($J340),$J340,"")</f>
        <v/>
      </c>
      <c r="B340" s="16" t="str">
        <f aca="false">IFERROR(INDEX('SALES Raw'!$B$6:$B$1634,MATCH($J340,'SALES Raw'!$J$6:$J$1634,0)),$J340)</f>
        <v>45C XS</v>
      </c>
      <c r="C340" s="16" t="str">
        <f aca="false">IF(ISNUMBER($J340),IFERROR(INDEX('TRANS'!$C:$C,MATCH($J340,'TRANS'!$B:$B,0)),IFERROR(INDEX('Catalog'!$B:$B,MATCH($J340,'Catalog'!$A:$A,0)),$B340)),$B340)</f>
        <v>45C XS</v>
      </c>
      <c r="D340" s="8" t="n">
        <f aca="false">SUMIFS('SALES Raw'!$C$6:$C$1634,'SALES Raw'!$J$6:$J$1634,$J340,'SALES Raw'!$K$6:$K$1634,"Y")</f>
        <v>0</v>
      </c>
      <c r="E340" s="8" t="n">
        <f aca="false">SUMIFS('SALES Raw'!$D$6:$D$1634,'SALES Raw'!$J$6:$J$1634,$J340,'SALES Raw'!$K$6:$K$1634,"Y")</f>
        <v>0</v>
      </c>
      <c r="F340" s="8" t="n">
        <f aca="false">SUMIFS('SALES Raw'!$E$6:$E$1634,'SALES Raw'!$J$6:$J$1634,$J340,'SALES Raw'!$K$6:$K$1634,"Y")*$H$4</f>
        <v>7.57894736842105</v>
      </c>
      <c r="G340" s="8" t="n">
        <f aca="false">SUMIFS('SALES Raw'!$F$6:$F$1634,'SALES Raw'!$J$6:$J$1634,$J340,'SALES Raw'!$K$6:$K$1634,"Y")*$H$4</f>
        <v>76.5221052631579</v>
      </c>
      <c r="H340" s="16" t="s">
        <v>32</v>
      </c>
      <c r="I340" s="16"/>
      <c r="J340" s="16" t="s">
        <v>128</v>
      </c>
    </row>
    <row r="341" customFormat="false" ht="15" hidden="false" customHeight="false" outlineLevel="0" collapsed="false">
      <c r="A341" s="16" t="n">
        <f aca="false">IF(ISNUMBER($J341),$J341,"")</f>
        <v>4413397</v>
      </c>
      <c r="B341" s="16" t="str">
        <f aca="false">IFERROR(INDEX('SALES Raw'!$B$6:$B$1634,MATCH($J341,'SALES Raw'!$J$6:$J$1634,0)),$J341)</f>
        <v>45EC XL</v>
      </c>
      <c r="C341" s="16" t="str">
        <f aca="false">IF(ISNUMBER($J341),IFERROR(INDEX('TRANS'!$C:$C,MATCH($J341,'TRANS'!$B:$B,0)),IFERROR(INDEX('Catalog'!$B:$B,MATCH($J341,'Catalog'!$A:$A,0)),$B341)),$B341)</f>
        <v>45EC XL'מגן ברך ארוך בז</v>
      </c>
      <c r="D341" s="8" t="n">
        <f aca="false">SUMIFS('SALES Raw'!$C$6:$C$1634,'SALES Raw'!$J$6:$J$1634,$J341,'SALES Raw'!$K$6:$K$1634,"Y")</f>
        <v>6</v>
      </c>
      <c r="E341" s="8" t="n">
        <f aca="false">SUMIFS('SALES Raw'!$D$6:$D$1634,'SALES Raw'!$J$6:$J$1634,$J341,'SALES Raw'!$K$6:$K$1634,"Y")</f>
        <v>74.08</v>
      </c>
      <c r="F341" s="8" t="n">
        <f aca="false">SUMIFS('SALES Raw'!$E$6:$E$1634,'SALES Raw'!$J$6:$J$1634,$J341,'SALES Raw'!$K$6:$K$1634,"Y")*$H$4</f>
        <v>7.57894736842105</v>
      </c>
      <c r="G341" s="8" t="n">
        <f aca="false">SUMIFS('SALES Raw'!$F$6:$F$1634,'SALES Raw'!$J$6:$J$1634,$J341,'SALES Raw'!$K$6:$K$1634,"Y")*$H$4</f>
        <v>90.5052631578948</v>
      </c>
      <c r="H341" s="16" t="s">
        <v>32</v>
      </c>
      <c r="I341" s="16"/>
      <c r="J341" s="16" t="n">
        <v>4413397</v>
      </c>
    </row>
    <row r="342" customFormat="false" ht="15" hidden="false" customHeight="false" outlineLevel="0" collapsed="false">
      <c r="A342" s="16" t="str">
        <f aca="false">IF(ISNUMBER($J342),$J342,"")</f>
        <v/>
      </c>
      <c r="B342" s="16" t="str">
        <f aca="false">IFERROR(INDEX('SALES Raw'!$B$6:$B$1634,MATCH($J342,'SALES Raw'!$J$6:$J$1634,0)),$J342)</f>
        <v>395B-35-38</v>
      </c>
      <c r="C342" s="16" t="str">
        <f aca="false">IF(ISNUMBER($J342),IFERROR(INDEX('TRANS'!$C:$C,MATCH($J342,'TRANS'!$B:$B,0)),IFERROR(INDEX('Catalog'!$B:$B,MATCH($J342,'Catalog'!$A:$A,0)),$B342)),$B342)</f>
        <v>395B-35-38</v>
      </c>
      <c r="D342" s="8" t="n">
        <f aca="false">SUMIFS('SALES Raw'!$C$6:$C$1634,'SALES Raw'!$J$6:$J$1634,$J342,'SALES Raw'!$K$6:$K$1634,"Y")</f>
        <v>1</v>
      </c>
      <c r="E342" s="8" t="n">
        <f aca="false">SUMIFS('SALES Raw'!$D$6:$D$1634,'SALES Raw'!$J$6:$J$1634,$J342,'SALES Raw'!$K$6:$K$1634,"Y")</f>
        <v>0.04</v>
      </c>
      <c r="F342" s="8" t="n">
        <f aca="false">SUMIFS('SALES Raw'!$E$6:$E$1634,'SALES Raw'!$J$6:$J$1634,$J342,'SALES Raw'!$K$6:$K$1634,"Y")*$H$4</f>
        <v>7.57894736842105</v>
      </c>
      <c r="G342" s="8" t="n">
        <f aca="false">SUMIFS('SALES Raw'!$F$6:$F$1634,'SALES Raw'!$J$6:$J$1634,$J342,'SALES Raw'!$K$6:$K$1634,"Y")*$H$4</f>
        <v>156.568421052632</v>
      </c>
      <c r="H342" s="16" t="s">
        <v>38</v>
      </c>
      <c r="I342" s="16" t="s">
        <v>34</v>
      </c>
      <c r="J342" s="16" t="s">
        <v>129</v>
      </c>
    </row>
    <row r="343" customFormat="false" ht="15" hidden="false" customHeight="false" outlineLevel="0" collapsed="false">
      <c r="A343" s="16" t="str">
        <f aca="false">IF(ISNUMBER($J343),$J343,"")</f>
        <v/>
      </c>
      <c r="B343" s="16" t="str">
        <f aca="false">IFERROR(INDEX('SALES Raw'!$B$6:$B$1634,MATCH($J343,'SALES Raw'!$J$6:$J$1634,0)),$J343)</f>
        <v>11EU S</v>
      </c>
      <c r="C343" s="16" t="str">
        <f aca="false">IF(ISNUMBER($J343),IFERROR(INDEX('TRANS'!$C:$C,MATCH($J343,'TRANS'!$B:$B,0)),IFERROR(INDEX('Catalog'!$B:$B,MATCH($J343,'Catalog'!$A:$A,0)),$B343)),$B343)</f>
        <v>11EU S</v>
      </c>
      <c r="D343" s="8" t="n">
        <f aca="false">SUMIFS('SALES Raw'!$C$6:$C$1634,'SALES Raw'!$J$6:$J$1634,$J343,'SALES Raw'!$K$6:$K$1634,"Y")</f>
        <v>27</v>
      </c>
      <c r="E343" s="8" t="n">
        <f aca="false">SUMIFS('SALES Raw'!$D$6:$D$1634,'SALES Raw'!$J$6:$J$1634,$J343,'SALES Raw'!$K$6:$K$1634,"Y")</f>
        <v>1247.08</v>
      </c>
      <c r="F343" s="8" t="n">
        <f aca="false">SUMIFS('SALES Raw'!$E$6:$E$1634,'SALES Raw'!$J$6:$J$1634,$J343,'SALES Raw'!$K$6:$K$1634,"Y")*$H$4</f>
        <v>7.57894736842105</v>
      </c>
      <c r="G343" s="8" t="n">
        <f aca="false">SUMIFS('SALES Raw'!$F$6:$F$1634,'SALES Raw'!$J$6:$J$1634,$J343,'SALES Raw'!$K$6:$K$1634,"Y")*$H$4</f>
        <v>301.263157894737</v>
      </c>
      <c r="H343" s="16" t="s">
        <v>38</v>
      </c>
      <c r="I343" s="16" t="s">
        <v>35</v>
      </c>
      <c r="J343" s="16" t="s">
        <v>130</v>
      </c>
    </row>
    <row r="344" customFormat="false" ht="15" hidden="false" customHeight="false" outlineLevel="0" collapsed="false">
      <c r="A344" s="16" t="str">
        <f aca="false">IF(ISNUMBER($J344),$J344,"")</f>
        <v/>
      </c>
      <c r="B344" s="16" t="str">
        <f aca="false">IFERROR(INDEX('SALES Raw'!$B$6:$B$1634,MATCH($J344,'SALES Raw'!$J$6:$J$1634,0)),$J344)</f>
        <v>13 L</v>
      </c>
      <c r="C344" s="16" t="str">
        <f aca="false">IF(ISNUMBER($J344),IFERROR(INDEX('TRANS'!$C:$C,MATCH($J344,'TRANS'!$B:$B,0)),IFERROR(INDEX('Catalog'!$B:$B,MATCH($J344,'Catalog'!$A:$A,0)),$B344)),$B344)</f>
        <v>13 L</v>
      </c>
      <c r="D344" s="8" t="n">
        <f aca="false">SUMIFS('SALES Raw'!$C$6:$C$1634,'SALES Raw'!$J$6:$J$1634,$J344,'SALES Raw'!$K$6:$K$1634,"Y")</f>
        <v>10</v>
      </c>
      <c r="E344" s="8" t="n">
        <f aca="false">SUMIFS('SALES Raw'!$D$6:$D$1634,'SALES Raw'!$J$6:$J$1634,$J344,'SALES Raw'!$K$6:$K$1634,"Y")</f>
        <v>626.27</v>
      </c>
      <c r="F344" s="8" t="n">
        <f aca="false">SUMIFS('SALES Raw'!$E$6:$E$1634,'SALES Raw'!$J$6:$J$1634,$J344,'SALES Raw'!$K$6:$K$1634,"Y")*$H$4</f>
        <v>7.57894736842105</v>
      </c>
      <c r="G344" s="8" t="n">
        <f aca="false">SUMIFS('SALES Raw'!$F$6:$F$1634,'SALES Raw'!$J$6:$J$1634,$J344,'SALES Raw'!$K$6:$K$1634,"Y")*$H$4</f>
        <v>409.654736842105</v>
      </c>
      <c r="H344" s="16" t="s">
        <v>37</v>
      </c>
      <c r="I344" s="16"/>
      <c r="J344" s="16" t="s">
        <v>131</v>
      </c>
    </row>
    <row r="345" customFormat="false" ht="15" hidden="false" customHeight="false" outlineLevel="0" collapsed="false">
      <c r="A345" s="16" t="n">
        <f aca="false">IF(ISNUMBER($J345),$J345,"")</f>
        <v>4408179</v>
      </c>
      <c r="B345" s="16" t="str">
        <f aca="false">IFERROR(INDEX('SALES Raw'!$B$6:$B$1634,MATCH($J345,'SALES Raw'!$J$6:$J$1634,0)),$J345)</f>
        <v>13 XL</v>
      </c>
      <c r="C345" s="16" t="str">
        <f aca="false">IF(ISNUMBER($J345),IFERROR(INDEX('TRANS'!$C:$C,MATCH($J345,'TRANS'!$B:$B,0)),IFERROR(INDEX('Catalog'!$B:$B,MATCH($J345,'Catalog'!$A:$A,0)),$B345)),$B345)</f>
        <v>13 XL חגורה לשבר טבור</v>
      </c>
      <c r="D345" s="8" t="n">
        <f aca="false">SUMIFS('SALES Raw'!$C$6:$C$1634,'SALES Raw'!$J$6:$J$1634,$J345,'SALES Raw'!$K$6:$K$1634,"Y")</f>
        <v>10</v>
      </c>
      <c r="E345" s="8" t="n">
        <f aca="false">SUMIFS('SALES Raw'!$D$6:$D$1634,'SALES Raw'!$J$6:$J$1634,$J345,'SALES Raw'!$K$6:$K$1634,"Y")</f>
        <v>639.27</v>
      </c>
      <c r="F345" s="8" t="n">
        <f aca="false">SUMIFS('SALES Raw'!$E$6:$E$1634,'SALES Raw'!$J$6:$J$1634,$J345,'SALES Raw'!$K$6:$K$1634,"Y")*$H$4</f>
        <v>7.57894736842105</v>
      </c>
      <c r="G345" s="8" t="n">
        <f aca="false">SUMIFS('SALES Raw'!$F$6:$F$1634,'SALES Raw'!$J$6:$J$1634,$J345,'SALES Raw'!$K$6:$K$1634,"Y")*$H$4</f>
        <v>409.654736842105</v>
      </c>
      <c r="H345" s="16" t="s">
        <v>37</v>
      </c>
      <c r="I345" s="16"/>
      <c r="J345" s="16" t="n">
        <v>4408179</v>
      </c>
    </row>
    <row r="346" customFormat="false" ht="15" hidden="false" customHeight="false" outlineLevel="0" collapsed="false">
      <c r="A346" s="16" t="str">
        <f aca="false">IF(ISNUMBER($J346),$J346,"")</f>
        <v/>
      </c>
      <c r="B346" s="16" t="str">
        <f aca="false">IFERROR(INDEX('SALES Raw'!$B$6:$B$1634,MATCH($J346,'SALES Raw'!$J$6:$J$1634,0)),$J346)</f>
        <v>30 XL</v>
      </c>
      <c r="C346" s="16" t="str">
        <f aca="false">IF(ISNUMBER($J346),IFERROR(INDEX('TRANS'!$C:$C,MATCH($J346,'TRANS'!$B:$B,0)),IFERROR(INDEX('Catalog'!$B:$B,MATCH($J346,'Catalog'!$A:$A,0)),$B346)),$B346)</f>
        <v>30 XL</v>
      </c>
      <c r="D346" s="8" t="n">
        <f aca="false">SUMIFS('SALES Raw'!$C$6:$C$1634,'SALES Raw'!$J$6:$J$1634,$J346,'SALES Raw'!$K$6:$K$1634,"Y")</f>
        <v>6</v>
      </c>
      <c r="E346" s="8" t="n">
        <f aca="false">SUMIFS('SALES Raw'!$D$6:$D$1634,'SALES Raw'!$J$6:$J$1634,$J346,'SALES Raw'!$K$6:$K$1634,"Y")</f>
        <v>201.48</v>
      </c>
      <c r="F346" s="8" t="n">
        <f aca="false">SUMIFS('SALES Raw'!$E$6:$E$1634,'SALES Raw'!$J$6:$J$1634,$J346,'SALES Raw'!$K$6:$K$1634,"Y")*$H$4</f>
        <v>7.57894736842105</v>
      </c>
      <c r="G346" s="8" t="n">
        <f aca="false">SUMIFS('SALES Raw'!$F$6:$F$1634,'SALES Raw'!$J$6:$J$1634,$J346,'SALES Raw'!$K$6:$K$1634,"Y")*$H$4</f>
        <v>213.018947368421</v>
      </c>
      <c r="H346" s="16" t="s">
        <v>37</v>
      </c>
      <c r="I346" s="16"/>
      <c r="J346" s="16" t="s">
        <v>132</v>
      </c>
    </row>
    <row r="347" customFormat="false" ht="15" hidden="false" customHeight="false" outlineLevel="0" collapsed="false">
      <c r="A347" s="16" t="n">
        <f aca="false">IF(ISNUMBER($J347),$J347,"")</f>
        <v>4408072</v>
      </c>
      <c r="B347" s="16" t="str">
        <f aca="false">IFERROR(INDEX('SALES Raw'!$B$6:$B$1634,MATCH($J347,'SALES Raw'!$J$6:$J$1634,0)),$J347)</f>
        <v>59D M</v>
      </c>
      <c r="C347" s="16" t="str">
        <f aca="false">IF(ISNUMBER($J347),IFERROR(INDEX('TRANS'!$C:$C,MATCH($J347,'TRANS'!$B:$B,0)),IFERROR(INDEX('Catalog'!$B:$B,MATCH($J347,'Catalog'!$A:$A,0)),$B347)),$B347)</f>
        <v>59D M חגורת שבר דו צדדי</v>
      </c>
      <c r="D347" s="8" t="n">
        <f aca="false">SUMIFS('SALES Raw'!$C$6:$C$1634,'SALES Raw'!$J$6:$J$1634,$J347,'SALES Raw'!$K$6:$K$1634,"Y")</f>
        <v>6</v>
      </c>
      <c r="E347" s="8" t="n">
        <f aca="false">SUMIFS('SALES Raw'!$D$6:$D$1634,'SALES Raw'!$J$6:$J$1634,$J347,'SALES Raw'!$K$6:$K$1634,"Y")</f>
        <v>604.45</v>
      </c>
      <c r="F347" s="8" t="n">
        <f aca="false">SUMIFS('SALES Raw'!$E$6:$E$1634,'SALES Raw'!$J$6:$J$1634,$J347,'SALES Raw'!$K$6:$K$1634,"Y")*$H$4</f>
        <v>7.57894736842105</v>
      </c>
      <c r="G347" s="8" t="n">
        <f aca="false">SUMIFS('SALES Raw'!$F$6:$F$1634,'SALES Raw'!$J$6:$J$1634,$J347,'SALES Raw'!$K$6:$K$1634,"Y")*$H$4</f>
        <v>639.069473684211</v>
      </c>
      <c r="H347" s="16" t="s">
        <v>37</v>
      </c>
      <c r="I347" s="16"/>
      <c r="J347" s="16" t="n">
        <v>4408072</v>
      </c>
    </row>
    <row r="348" customFormat="false" ht="15" hidden="false" customHeight="false" outlineLevel="0" collapsed="false">
      <c r="A348" s="16" t="str">
        <f aca="false">IF(ISNUMBER($J348),$J348,"")</f>
        <v/>
      </c>
      <c r="B348" s="16" t="str">
        <f aca="false">IFERROR(INDEX('SALES Raw'!$B$6:$B$1634,MATCH($J348,'SALES Raw'!$J$6:$J$1634,0)),$J348)</f>
        <v>55 XXL</v>
      </c>
      <c r="C348" s="16" t="str">
        <f aca="false">IF(ISNUMBER($J348),IFERROR(INDEX('TRANS'!$C:$C,MATCH($J348,'TRANS'!$B:$B,0)),IFERROR(INDEX('Catalog'!$B:$B,MATCH($J348,'Catalog'!$A:$A,0)),$B348)),$B348)</f>
        <v>55 XXL</v>
      </c>
      <c r="D348" s="8" t="n">
        <f aca="false">SUMIFS('SALES Raw'!$C$6:$C$1634,'SALES Raw'!$J$6:$J$1634,$J348,'SALES Raw'!$K$6:$K$1634,"Y")</f>
        <v>26</v>
      </c>
      <c r="E348" s="8" t="n">
        <f aca="false">SUMIFS('SALES Raw'!$D$6:$D$1634,'SALES Raw'!$J$6:$J$1634,$J348,'SALES Raw'!$K$6:$K$1634,"Y")</f>
        <v>823.38</v>
      </c>
      <c r="F348" s="8" t="n">
        <f aca="false">SUMIFS('SALES Raw'!$E$6:$E$1634,'SALES Raw'!$J$6:$J$1634,$J348,'SALES Raw'!$K$6:$K$1634,"Y")*$H$4</f>
        <v>7.57894736842105</v>
      </c>
      <c r="G348" s="8" t="n">
        <f aca="false">SUMIFS('SALES Raw'!$F$6:$F$1634,'SALES Raw'!$J$6:$J$1634,$J348,'SALES Raw'!$K$6:$K$1634,"Y")*$H$4</f>
        <v>224.905263157895</v>
      </c>
      <c r="H348" s="16" t="s">
        <v>38</v>
      </c>
      <c r="I348" s="16"/>
      <c r="J348" s="16" t="s">
        <v>133</v>
      </c>
    </row>
    <row r="349" customFormat="false" ht="15" hidden="false" customHeight="false" outlineLevel="0" collapsed="false">
      <c r="A349" s="16" t="n">
        <f aca="false">IF(ISNUMBER($J349),$J349,"")</f>
        <v>4408016</v>
      </c>
      <c r="B349" s="16" t="str">
        <f aca="false">IFERROR(INDEX('SALES Raw'!$B$6:$B$1634,MATCH($J349,'SALES Raw'!$J$6:$J$1634,0)),$J349)</f>
        <v>07AU M</v>
      </c>
      <c r="C349" s="16" t="str">
        <f aca="false">IF(ISNUMBER($J349),IFERROR(INDEX('TRANS'!$C:$C,MATCH($J349,'TRANS'!$B:$B,0)),IFERROR(INDEX('Catalog'!$B:$B,MATCH($J349,'Catalog'!$A:$A,0)),$B349)),$B349)</f>
        <v>07AU M ח.גב """"איטלקית"""" אורירית</v>
      </c>
      <c r="D349" s="8" t="n">
        <f aca="false">SUMIFS('SALES Raw'!$C$6:$C$1634,'SALES Raw'!$J$6:$J$1634,$J349,'SALES Raw'!$K$6:$K$1634,"Y")</f>
        <v>6</v>
      </c>
      <c r="E349" s="8" t="n">
        <f aca="false">SUMIFS('SALES Raw'!$D$6:$D$1634,'SALES Raw'!$J$6:$J$1634,$J349,'SALES Raw'!$K$6:$K$1634,"Y")</f>
        <v>783.77</v>
      </c>
      <c r="F349" s="8" t="n">
        <f aca="false">SUMIFS('SALES Raw'!$E$6:$E$1634,'SALES Raw'!$J$6:$J$1634,$J349,'SALES Raw'!$K$6:$K$1634,"Y")*$H$4</f>
        <v>6.31578947368421</v>
      </c>
      <c r="G349" s="8" t="n">
        <f aca="false">SUMIFS('SALES Raw'!$F$6:$F$1634,'SALES Raw'!$J$6:$J$1634,$J349,'SALES Raw'!$K$6:$K$1634,"Y")*$H$4</f>
        <v>741.246315789474</v>
      </c>
      <c r="H349" s="16" t="s">
        <v>32</v>
      </c>
      <c r="I349" s="16" t="s">
        <v>37</v>
      </c>
      <c r="J349" s="16" t="n">
        <v>4408016</v>
      </c>
    </row>
    <row r="350" customFormat="false" ht="15" hidden="false" customHeight="false" outlineLevel="0" collapsed="false">
      <c r="A350" s="16" t="str">
        <f aca="false">IF(ISNUMBER($J350),$J350,"")</f>
        <v/>
      </c>
      <c r="B350" s="16" t="str">
        <f aca="false">IFERROR(INDEX('SALES Raw'!$B$6:$B$1634,MATCH($J350,'SALES Raw'!$J$6:$J$1634,0)),$J350)</f>
        <v>34 XS</v>
      </c>
      <c r="C350" s="16" t="str">
        <f aca="false">IF(ISNUMBER($J350),IFERROR(INDEX('TRANS'!$C:$C,MATCH($J350,'TRANS'!$B:$B,0)),IFERROR(INDEX('Catalog'!$B:$B,MATCH($J350,'Catalog'!$A:$A,0)),$B350)),$B350)</f>
        <v>34 XS</v>
      </c>
      <c r="D350" s="8" t="n">
        <f aca="false">SUMIFS('SALES Raw'!$C$6:$C$1634,'SALES Raw'!$J$6:$J$1634,$J350,'SALES Raw'!$K$6:$K$1634,"Y")</f>
        <v>12</v>
      </c>
      <c r="E350" s="8" t="n">
        <f aca="false">SUMIFS('SALES Raw'!$D$6:$D$1634,'SALES Raw'!$J$6:$J$1634,$J350,'SALES Raw'!$K$6:$K$1634,"Y")</f>
        <v>257.89</v>
      </c>
      <c r="F350" s="8" t="n">
        <f aca="false">SUMIFS('SALES Raw'!$E$6:$E$1634,'SALES Raw'!$J$6:$J$1634,$J350,'SALES Raw'!$K$6:$K$1634,"Y")*$H$4</f>
        <v>6.31578947368421</v>
      </c>
      <c r="G350" s="8" t="n">
        <f aca="false">SUMIFS('SALES Raw'!$F$6:$F$1634,'SALES Raw'!$J$6:$J$1634,$J350,'SALES Raw'!$K$6:$K$1634,"Y")*$H$4</f>
        <v>139.983157894737</v>
      </c>
      <c r="H350" s="16" t="s">
        <v>42</v>
      </c>
      <c r="I350" s="16" t="s">
        <v>32</v>
      </c>
      <c r="J350" s="16" t="s">
        <v>134</v>
      </c>
    </row>
    <row r="351" customFormat="false" ht="15" hidden="false" customHeight="false" outlineLevel="0" collapsed="false">
      <c r="A351" s="16" t="n">
        <f aca="false">IF(ISNUMBER($J351),$J351,"")</f>
        <v>4413527</v>
      </c>
      <c r="B351" s="16" t="str">
        <f aca="false">IFERROR(INDEX('SALES Raw'!$B$6:$B$1634,MATCH($J351,'SALES Raw'!$J$6:$J$1634,0)),$J351)</f>
        <v>379WRK-35-38</v>
      </c>
      <c r="C351" s="16" t="str">
        <f aca="false">IF(ISNUMBER($J351),IFERROR(INDEX('TRANS'!$C:$C,MATCH($J351,'TRANS'!$B:$B,0)),IFERROR(INDEX('Catalog'!$B:$B,MATCH($J351,'Catalog'!$A:$A,0)),$B351)),$B351)</f>
        <v>35-38 מדרסי אפיק ג'ל עבודה</v>
      </c>
      <c r="D351" s="8" t="n">
        <f aca="false">SUMIFS('SALES Raw'!$C$6:$C$1634,'SALES Raw'!$J$6:$J$1634,$J351,'SALES Raw'!$K$6:$K$1634,"Y")</f>
        <v>51</v>
      </c>
      <c r="E351" s="8" t="n">
        <f aca="false">SUMIFS('SALES Raw'!$D$6:$D$1634,'SALES Raw'!$J$6:$J$1634,$J351,'SALES Raw'!$K$6:$K$1634,"Y")</f>
        <v>2333.09</v>
      </c>
      <c r="F351" s="8" t="n">
        <f aca="false">SUMIFS('SALES Raw'!$E$6:$E$1634,'SALES Raw'!$J$6:$J$1634,$J351,'SALES Raw'!$K$6:$K$1634,"Y")*$H$4</f>
        <v>6.31578947368421</v>
      </c>
      <c r="G351" s="8" t="n">
        <f aca="false">SUMIFS('SALES Raw'!$F$6:$F$1634,'SALES Raw'!$J$6:$J$1634,$J351,'SALES Raw'!$K$6:$K$1634,"Y")*$H$4</f>
        <v>226.345263157895</v>
      </c>
      <c r="H351" s="16" t="s">
        <v>42</v>
      </c>
      <c r="I351" s="16" t="s">
        <v>32</v>
      </c>
      <c r="J351" s="16" t="n">
        <v>4413527</v>
      </c>
    </row>
    <row r="352" customFormat="false" ht="15" hidden="false" customHeight="false" outlineLevel="0" collapsed="false">
      <c r="A352" s="16" t="n">
        <f aca="false">IF(ISNUMBER($J352),$J352,"")</f>
        <v>4419011</v>
      </c>
      <c r="B352" s="16" t="str">
        <f aca="false">IFERROR(INDEX('SALES Raw'!$B$6:$B$1634,MATCH($J352,'SALES Raw'!$J$6:$J$1634,0)),$J352)</f>
        <v>239B-S-M</v>
      </c>
      <c r="C352" s="16" t="str">
        <f aca="false">IF(ISNUMBER($J352),IFERROR(INDEX('TRANS'!$C:$C,MATCH($J352,'TRANS'!$B:$B,0)),IFERROR(INDEX('Catalog'!$B:$B,MATCH($J352,'Catalog'!$A:$A,0)),$B352)),$B352)</f>
        <v>239B S-M STRAP4U</v>
      </c>
      <c r="D352" s="8" t="n">
        <f aca="false">SUMIFS('SALES Raw'!$C$6:$C$1634,'SALES Raw'!$J$6:$J$1634,$J352,'SALES Raw'!$K$6:$K$1634,"Y")</f>
        <v>51</v>
      </c>
      <c r="E352" s="8" t="n">
        <f aca="false">SUMIFS('SALES Raw'!$D$6:$D$1634,'SALES Raw'!$J$6:$J$1634,$J352,'SALES Raw'!$K$6:$K$1634,"Y")</f>
        <v>802.69</v>
      </c>
      <c r="F352" s="8" t="n">
        <f aca="false">SUMIFS('SALES Raw'!$E$6:$E$1634,'SALES Raw'!$J$6:$J$1634,$J352,'SALES Raw'!$K$6:$K$1634,"Y")*$H$4</f>
        <v>6.31578947368421</v>
      </c>
      <c r="G352" s="8" t="n">
        <f aca="false">SUMIFS('SALES Raw'!$F$6:$F$1634,'SALES Raw'!$J$6:$J$1634,$J352,'SALES Raw'!$K$6:$K$1634,"Y")*$H$4</f>
        <v>89.0526315789474</v>
      </c>
      <c r="H352" s="16" t="s">
        <v>44</v>
      </c>
      <c r="I352" s="16" t="s">
        <v>35</v>
      </c>
      <c r="J352" s="16" t="n">
        <v>4419011</v>
      </c>
    </row>
    <row r="353" customFormat="false" ht="15" hidden="false" customHeight="false" outlineLevel="0" collapsed="false">
      <c r="A353" s="16" t="n">
        <f aca="false">IF(ISNUMBER($J353),$J353,"")</f>
        <v>4415004</v>
      </c>
      <c r="B353" s="16" t="str">
        <f aca="false">IFERROR(INDEX('SALES Raw'!$B$6:$B$1634,MATCH($J353,'SALES Raw'!$J$6:$J$1634,0)),$J353)</f>
        <v>26 XXL</v>
      </c>
      <c r="C353" s="16" t="str">
        <f aca="false">IF(ISNUMBER($J353),IFERROR(INDEX('TRANS'!$C:$C,MATCH($J353,'TRANS'!$B:$B,0)),IFERROR(INDEX('Catalog'!$B:$B,MATCH($J353,'Catalog'!$A:$A,0)),$B353)),$B353)</f>
        <v>26 XXL סד ליד דו צדדי לאחר שבר</v>
      </c>
      <c r="D353" s="8" t="n">
        <f aca="false">SUMIFS('SALES Raw'!$C$6:$C$1634,'SALES Raw'!$J$6:$J$1634,$J353,'SALES Raw'!$K$6:$K$1634,"Y")</f>
        <v>5</v>
      </c>
      <c r="E353" s="8" t="n">
        <f aca="false">SUMIFS('SALES Raw'!$D$6:$D$1634,'SALES Raw'!$J$6:$J$1634,$J353,'SALES Raw'!$K$6:$K$1634,"Y")</f>
        <v>270</v>
      </c>
      <c r="F353" s="8" t="n">
        <f aca="false">SUMIFS('SALES Raw'!$E$6:$E$1634,'SALES Raw'!$J$6:$J$1634,$J353,'SALES Raw'!$K$6:$K$1634,"Y")*$H$4</f>
        <v>6.31578947368421</v>
      </c>
      <c r="G353" s="8" t="n">
        <f aca="false">SUMIFS('SALES Raw'!$F$6:$F$1634,'SALES Raw'!$J$6:$J$1634,$J353,'SALES Raw'!$K$6:$K$1634,"Y")*$H$4</f>
        <v>275.406315789474</v>
      </c>
      <c r="H353" s="16" t="s">
        <v>36</v>
      </c>
      <c r="I353" s="16"/>
      <c r="J353" s="16" t="n">
        <v>4415004</v>
      </c>
    </row>
    <row r="354" customFormat="false" ht="15" hidden="false" customHeight="false" outlineLevel="0" collapsed="false">
      <c r="A354" s="16" t="str">
        <f aca="false">IF(ISNUMBER($J354),$J354,"")</f>
        <v/>
      </c>
      <c r="B354" s="16" t="str">
        <f aca="false">IFERROR(INDEX('SALES Raw'!$B$6:$B$1634,MATCH($J354,'SALES Raw'!$J$6:$J$1634,0)),$J354)</f>
        <v>62FC S</v>
      </c>
      <c r="C354" s="16" t="str">
        <f aca="false">IF(ISNUMBER($J354),IFERROR(INDEX('TRANS'!$C:$C,MATCH($J354,'TRANS'!$B:$B,0)),IFERROR(INDEX('Catalog'!$B:$B,MATCH($J354,'Catalog'!$A:$A,0)),$B354)),$B354)</f>
        <v>62FC S</v>
      </c>
      <c r="D354" s="8" t="n">
        <f aca="false">SUMIFS('SALES Raw'!$C$6:$C$1634,'SALES Raw'!$J$6:$J$1634,$J354,'SALES Raw'!$K$6:$K$1634,"Y")</f>
        <v>36</v>
      </c>
      <c r="E354" s="8" t="n">
        <f aca="false">SUMIFS('SALES Raw'!$D$6:$D$1634,'SALES Raw'!$J$6:$J$1634,$J354,'SALES Raw'!$K$6:$K$1634,"Y")</f>
        <v>887.28</v>
      </c>
      <c r="F354" s="8" t="n">
        <f aca="false">SUMIFS('SALES Raw'!$E$6:$E$1634,'SALES Raw'!$J$6:$J$1634,$J354,'SALES Raw'!$K$6:$K$1634,"Y")*$H$4</f>
        <v>6.31578947368421</v>
      </c>
      <c r="G354" s="8" t="n">
        <f aca="false">SUMIFS('SALES Raw'!$F$6:$F$1634,'SALES Raw'!$J$6:$J$1634,$J354,'SALES Raw'!$K$6:$K$1634,"Y")*$H$4</f>
        <v>165.246315789474</v>
      </c>
      <c r="H354" s="16" t="s">
        <v>36</v>
      </c>
      <c r="I354" s="16"/>
      <c r="J354" s="16" t="s">
        <v>135</v>
      </c>
    </row>
    <row r="355" customFormat="false" ht="15" hidden="false" customHeight="false" outlineLevel="0" collapsed="false">
      <c r="A355" s="16" t="str">
        <f aca="false">IF(ISNUMBER($J355),$J355,"")</f>
        <v/>
      </c>
      <c r="B355" s="16" t="str">
        <f aca="false">IFERROR(INDEX('SALES Raw'!$B$6:$B$1634,MATCH($J355,'SALES Raw'!$J$6:$J$1634,0)),$J355)</f>
        <v>74-S-M</v>
      </c>
      <c r="C355" s="16" t="str">
        <f aca="false">IF(ISNUMBER($J355),IFERROR(INDEX('TRANS'!$C:$C,MATCH($J355,'TRANS'!$B:$B,0)),IFERROR(INDEX('Catalog'!$B:$B,MATCH($J355,'Catalog'!$A:$A,0)),$B355)),$B355)</f>
        <v>74-S-M</v>
      </c>
      <c r="D355" s="8" t="n">
        <f aca="false">SUMIFS('SALES Raw'!$C$6:$C$1634,'SALES Raw'!$J$6:$J$1634,$J355,'SALES Raw'!$K$6:$K$1634,"Y")</f>
        <v>12</v>
      </c>
      <c r="E355" s="8" t="n">
        <f aca="false">SUMIFS('SALES Raw'!$D$6:$D$1634,'SALES Raw'!$J$6:$J$1634,$J355,'SALES Raw'!$K$6:$K$1634,"Y")</f>
        <v>934.66</v>
      </c>
      <c r="F355" s="8" t="n">
        <f aca="false">SUMIFS('SALES Raw'!$E$6:$E$1634,'SALES Raw'!$J$6:$J$1634,$J355,'SALES Raw'!$K$6:$K$1634,"Y")*$H$4</f>
        <v>6.31578947368421</v>
      </c>
      <c r="G355" s="8" t="n">
        <f aca="false">SUMIFS('SALES Raw'!$F$6:$F$1634,'SALES Raw'!$J$6:$J$1634,$J355,'SALES Raw'!$K$6:$K$1634,"Y")*$H$4</f>
        <v>515.002105263158</v>
      </c>
      <c r="H355" s="16" t="s">
        <v>36</v>
      </c>
      <c r="I355" s="16"/>
      <c r="J355" s="16" t="s">
        <v>136</v>
      </c>
    </row>
    <row r="356" customFormat="false" ht="15" hidden="false" customHeight="false" outlineLevel="0" collapsed="false">
      <c r="A356" s="16" t="str">
        <f aca="false">IF(ISNUMBER($J356),$J356,"")</f>
        <v/>
      </c>
      <c r="B356" s="16" t="str">
        <f aca="false">IFERROR(INDEX('SALES Raw'!$B$6:$B$1634,MATCH($J356,'SALES Raw'!$J$6:$J$1634,0)),$J356)</f>
        <v>86U XXL</v>
      </c>
      <c r="C356" s="16" t="str">
        <f aca="false">IF(ISNUMBER($J356),IFERROR(INDEX('TRANS'!$C:$C,MATCH($J356,'TRANS'!$B:$B,0)),IFERROR(INDEX('Catalog'!$B:$B,MATCH($J356,'Catalog'!$A:$A,0)),$B356)),$B356)</f>
        <v>86U XXL</v>
      </c>
      <c r="D356" s="8" t="n">
        <f aca="false">SUMIFS('SALES Raw'!$C$6:$C$1634,'SALES Raw'!$J$6:$J$1634,$J356,'SALES Raw'!$K$6:$K$1634,"Y")</f>
        <v>0</v>
      </c>
      <c r="E356" s="8" t="n">
        <f aca="false">SUMIFS('SALES Raw'!$D$6:$D$1634,'SALES Raw'!$J$6:$J$1634,$J356,'SALES Raw'!$K$6:$K$1634,"Y")</f>
        <v>0</v>
      </c>
      <c r="F356" s="8" t="n">
        <f aca="false">SUMIFS('SALES Raw'!$E$6:$E$1634,'SALES Raw'!$J$6:$J$1634,$J356,'SALES Raw'!$K$6:$K$1634,"Y")*$H$4</f>
        <v>6.31578947368421</v>
      </c>
      <c r="G356" s="8" t="n">
        <f aca="false">SUMIFS('SALES Raw'!$F$6:$F$1634,'SALES Raw'!$J$6:$J$1634,$J356,'SALES Raw'!$K$6:$K$1634,"Y")*$H$4</f>
        <v>615.738947368421</v>
      </c>
      <c r="H356" s="16" t="s">
        <v>36</v>
      </c>
      <c r="I356" s="16"/>
      <c r="J356" s="16" t="s">
        <v>137</v>
      </c>
    </row>
    <row r="357" customFormat="false" ht="15" hidden="false" customHeight="false" outlineLevel="0" collapsed="false">
      <c r="A357" s="16" t="str">
        <f aca="false">IF(ISNUMBER($J357),$J357,"")</f>
        <v/>
      </c>
      <c r="B357" s="16" t="str">
        <f aca="false">IFERROR(INDEX('SALES Raw'!$B$6:$B$1634,MATCH($J357,'SALES Raw'!$J$6:$J$1634,0)),$J357)</f>
        <v>332B XL</v>
      </c>
      <c r="C357" s="16" t="str">
        <f aca="false">IF(ISNUMBER($J357),IFERROR(INDEX('TRANS'!$C:$C,MATCH($J357,'TRANS'!$B:$B,0)),IFERROR(INDEX('Catalog'!$B:$B,MATCH($J357,'Catalog'!$A:$A,0)),$B357)),$B357)</f>
        <v>332B XL</v>
      </c>
      <c r="D357" s="8" t="n">
        <f aca="false">SUMIFS('SALES Raw'!$C$6:$C$1634,'SALES Raw'!$J$6:$J$1634,$J357,'SALES Raw'!$K$6:$K$1634,"Y")</f>
        <v>1</v>
      </c>
      <c r="E357" s="8" t="n">
        <f aca="false">SUMIFS('SALES Raw'!$D$6:$D$1634,'SALES Raw'!$J$6:$J$1634,$J357,'SALES Raw'!$K$6:$K$1634,"Y")</f>
        <v>60.86</v>
      </c>
      <c r="F357" s="8" t="n">
        <f aca="false">SUMIFS('SALES Raw'!$E$6:$E$1634,'SALES Raw'!$J$6:$J$1634,$J357,'SALES Raw'!$K$6:$K$1634,"Y")*$H$4</f>
        <v>6.31578947368421</v>
      </c>
      <c r="G357" s="8" t="n">
        <f aca="false">SUMIFS('SALES Raw'!$F$6:$F$1634,'SALES Raw'!$J$6:$J$1634,$J357,'SALES Raw'!$K$6:$K$1634,"Y")*$H$4</f>
        <v>381.221052631579</v>
      </c>
      <c r="H357" s="16" t="s">
        <v>38</v>
      </c>
      <c r="I357" s="16" t="s">
        <v>37</v>
      </c>
      <c r="J357" s="16" t="s">
        <v>138</v>
      </c>
    </row>
    <row r="358" customFormat="false" ht="15" hidden="false" customHeight="false" outlineLevel="0" collapsed="false">
      <c r="A358" s="16" t="str">
        <f aca="false">IF(ISNUMBER($J358),$J358,"")</f>
        <v/>
      </c>
      <c r="B358" s="16" t="str">
        <f aca="false">IFERROR(INDEX('SALES Raw'!$B$6:$B$1634,MATCH($J358,'SALES Raw'!$J$6:$J$1634,0)),$J358)</f>
        <v>60B XL</v>
      </c>
      <c r="C358" s="16" t="str">
        <f aca="false">IF(ISNUMBER($J358),IFERROR(INDEX('TRANS'!$C:$C,MATCH($J358,'TRANS'!$B:$B,0)),IFERROR(INDEX('Catalog'!$B:$B,MATCH($J358,'Catalog'!$A:$A,0)),$B358)),$B358)</f>
        <v>60B XL</v>
      </c>
      <c r="D358" s="8" t="n">
        <f aca="false">SUMIFS('SALES Raw'!$C$6:$C$1634,'SALES Raw'!$J$6:$J$1634,$J358,'SALES Raw'!$K$6:$K$1634,"Y")</f>
        <v>0</v>
      </c>
      <c r="E358" s="8" t="n">
        <f aca="false">SUMIFS('SALES Raw'!$D$6:$D$1634,'SALES Raw'!$J$6:$J$1634,$J358,'SALES Raw'!$K$6:$K$1634,"Y")</f>
        <v>0</v>
      </c>
      <c r="F358" s="8" t="n">
        <f aca="false">SUMIFS('SALES Raw'!$E$6:$E$1634,'SALES Raw'!$J$6:$J$1634,$J358,'SALES Raw'!$K$6:$K$1634,"Y")*$H$4</f>
        <v>6.31578947368421</v>
      </c>
      <c r="G358" s="8" t="n">
        <f aca="false">SUMIFS('SALES Raw'!$F$6:$F$1634,'SALES Raw'!$J$6:$J$1634,$J358,'SALES Raw'!$K$6:$K$1634,"Y")*$H$4</f>
        <v>157.566315789474</v>
      </c>
      <c r="H358" s="16" t="s">
        <v>37</v>
      </c>
      <c r="I358" s="16"/>
      <c r="J358" s="16" t="s">
        <v>139</v>
      </c>
    </row>
    <row r="359" customFormat="false" ht="15" hidden="false" customHeight="false" outlineLevel="0" collapsed="false">
      <c r="A359" s="16" t="str">
        <f aca="false">IF(ISNUMBER($J359),$J359,"")</f>
        <v/>
      </c>
      <c r="B359" s="16" t="str">
        <f aca="false">IFERROR(INDEX('SALES Raw'!$B$6:$B$1634,MATCH($J359,'SALES Raw'!$J$6:$J$1634,0)),$J359)</f>
        <v>T03 L</v>
      </c>
      <c r="C359" s="16" t="str">
        <f aca="false">IF(ISNUMBER($J359),IFERROR(INDEX('TRANS'!$C:$C,MATCH($J359,'TRANS'!$B:$B,0)),IFERROR(INDEX('Catalog'!$B:$B,MATCH($J359,'Catalog'!$A:$A,0)),$B359)),$B359)</f>
        <v>T03 L</v>
      </c>
      <c r="D359" s="8" t="n">
        <f aca="false">SUMIFS('SALES Raw'!$C$6:$C$1634,'SALES Raw'!$J$6:$J$1634,$J359,'SALES Raw'!$K$6:$K$1634,"Y")</f>
        <v>6</v>
      </c>
      <c r="E359" s="8" t="n">
        <f aca="false">SUMIFS('SALES Raw'!$D$6:$D$1634,'SALES Raw'!$J$6:$J$1634,$J359,'SALES Raw'!$K$6:$K$1634,"Y")</f>
        <v>296.36</v>
      </c>
      <c r="F359" s="8" t="n">
        <f aca="false">SUMIFS('SALES Raw'!$E$6:$E$1634,'SALES Raw'!$J$6:$J$1634,$J359,'SALES Raw'!$K$6:$K$1634,"Y")*$H$4</f>
        <v>6.31578947368421</v>
      </c>
      <c r="G359" s="8" t="n">
        <f aca="false">SUMIFS('SALES Raw'!$F$6:$F$1634,'SALES Raw'!$J$6:$J$1634,$J359,'SALES Raw'!$K$6:$K$1634,"Y")*$H$4</f>
        <v>267.852631578947</v>
      </c>
      <c r="H359" s="16" t="s">
        <v>37</v>
      </c>
      <c r="I359" s="16"/>
      <c r="J359" s="16" t="s">
        <v>140</v>
      </c>
    </row>
    <row r="360" customFormat="false" ht="15" hidden="false" customHeight="false" outlineLevel="0" collapsed="false">
      <c r="A360" s="16" t="str">
        <f aca="false">IF(ISNUMBER($J360),$J360,"")</f>
        <v/>
      </c>
      <c r="B360" s="16" t="str">
        <f aca="false">IFERROR(INDEX('SALES Raw'!$B$6:$B$1634,MATCH($J360,'SALES Raw'!$J$6:$J$1634,0)),$J360)</f>
        <v>T03 M</v>
      </c>
      <c r="C360" s="16" t="str">
        <f aca="false">IF(ISNUMBER($J360),IFERROR(INDEX('TRANS'!$C:$C,MATCH($J360,'TRANS'!$B:$B,0)),IFERROR(INDEX('Catalog'!$B:$B,MATCH($J360,'Catalog'!$A:$A,0)),$B360)),$B360)</f>
        <v>T03 M</v>
      </c>
      <c r="D360" s="8" t="n">
        <f aca="false">SUMIFS('SALES Raw'!$C$6:$C$1634,'SALES Raw'!$J$6:$J$1634,$J360,'SALES Raw'!$K$6:$K$1634,"Y")</f>
        <v>5</v>
      </c>
      <c r="E360" s="8" t="n">
        <f aca="false">SUMIFS('SALES Raw'!$D$6:$D$1634,'SALES Raw'!$J$6:$J$1634,$J360,'SALES Raw'!$K$6:$K$1634,"Y")</f>
        <v>245.69</v>
      </c>
      <c r="F360" s="8" t="n">
        <f aca="false">SUMIFS('SALES Raw'!$E$6:$E$1634,'SALES Raw'!$J$6:$J$1634,$J360,'SALES Raw'!$K$6:$K$1634,"Y")*$H$4</f>
        <v>6.31578947368421</v>
      </c>
      <c r="G360" s="8" t="n">
        <f aca="false">SUMIFS('SALES Raw'!$F$6:$F$1634,'SALES Raw'!$J$6:$J$1634,$J360,'SALES Raw'!$K$6:$K$1634,"Y")*$H$4</f>
        <v>267.852631578947</v>
      </c>
      <c r="H360" s="16" t="s">
        <v>37</v>
      </c>
      <c r="I360" s="16"/>
      <c r="J360" s="16" t="s">
        <v>141</v>
      </c>
    </row>
    <row r="361" customFormat="false" ht="15" hidden="false" customHeight="false" outlineLevel="0" collapsed="false">
      <c r="A361" s="16" t="str">
        <f aca="false">IF(ISNUMBER($J361),$J361,"")</f>
        <v/>
      </c>
      <c r="B361" s="16" t="str">
        <f aca="false">IFERROR(INDEX('SALES Raw'!$B$6:$B$1634,MATCH($J361,'SALES Raw'!$J$6:$J$1634,0)),$J361)</f>
        <v>T03 XL</v>
      </c>
      <c r="C361" s="16" t="str">
        <f aca="false">IF(ISNUMBER($J361),IFERROR(INDEX('TRANS'!$C:$C,MATCH($J361,'TRANS'!$B:$B,0)),IFERROR(INDEX('Catalog'!$B:$B,MATCH($J361,'Catalog'!$A:$A,0)),$B361)),$B361)</f>
        <v>T03 XL</v>
      </c>
      <c r="D361" s="8" t="n">
        <f aca="false">SUMIFS('SALES Raw'!$C$6:$C$1634,'SALES Raw'!$J$6:$J$1634,$J361,'SALES Raw'!$K$6:$K$1634,"Y")</f>
        <v>0</v>
      </c>
      <c r="E361" s="8" t="n">
        <f aca="false">SUMIFS('SALES Raw'!$D$6:$D$1634,'SALES Raw'!$J$6:$J$1634,$J361,'SALES Raw'!$K$6:$K$1634,"Y")</f>
        <v>0</v>
      </c>
      <c r="F361" s="8" t="n">
        <f aca="false">SUMIFS('SALES Raw'!$E$6:$E$1634,'SALES Raw'!$J$6:$J$1634,$J361,'SALES Raw'!$K$6:$K$1634,"Y")*$H$4</f>
        <v>6.31578947368421</v>
      </c>
      <c r="G361" s="8" t="n">
        <f aca="false">SUMIFS('SALES Raw'!$F$6:$F$1634,'SALES Raw'!$J$6:$J$1634,$J361,'SALES Raw'!$K$6:$K$1634,"Y")*$H$4</f>
        <v>267.852631578947</v>
      </c>
      <c r="H361" s="16" t="s">
        <v>37</v>
      </c>
      <c r="I361" s="16"/>
      <c r="J361" s="16" t="s">
        <v>142</v>
      </c>
    </row>
    <row r="362" customFormat="false" ht="15" hidden="false" customHeight="false" outlineLevel="0" collapsed="false">
      <c r="A362" s="16" t="str">
        <f aca="false">IF(ISNUMBER($J362),$J362,"")</f>
        <v/>
      </c>
      <c r="B362" s="16" t="str">
        <f aca="false">IFERROR(INDEX('SALES Raw'!$B$6:$B$1634,MATCH($J362,'SALES Raw'!$J$6:$J$1634,0)),$J362)</f>
        <v>T03 XXL</v>
      </c>
      <c r="C362" s="16" t="str">
        <f aca="false">IF(ISNUMBER($J362),IFERROR(INDEX('TRANS'!$C:$C,MATCH($J362,'TRANS'!$B:$B,0)),IFERROR(INDEX('Catalog'!$B:$B,MATCH($J362,'Catalog'!$A:$A,0)),$B362)),$B362)</f>
        <v>T03 XXL</v>
      </c>
      <c r="D362" s="8" t="n">
        <f aca="false">SUMIFS('SALES Raw'!$C$6:$C$1634,'SALES Raw'!$J$6:$J$1634,$J362,'SALES Raw'!$K$6:$K$1634,"Y")</f>
        <v>0</v>
      </c>
      <c r="E362" s="8" t="n">
        <f aca="false">SUMIFS('SALES Raw'!$D$6:$D$1634,'SALES Raw'!$J$6:$J$1634,$J362,'SALES Raw'!$K$6:$K$1634,"Y")</f>
        <v>0</v>
      </c>
      <c r="F362" s="8" t="n">
        <f aca="false">SUMIFS('SALES Raw'!$E$6:$E$1634,'SALES Raw'!$J$6:$J$1634,$J362,'SALES Raw'!$K$6:$K$1634,"Y")*$H$4</f>
        <v>6.31578947368421</v>
      </c>
      <c r="G362" s="8" t="n">
        <f aca="false">SUMIFS('SALES Raw'!$F$6:$F$1634,'SALES Raw'!$J$6:$J$1634,$J362,'SALES Raw'!$K$6:$K$1634,"Y")*$H$4</f>
        <v>267.852631578947</v>
      </c>
      <c r="H362" s="16" t="s">
        <v>37</v>
      </c>
      <c r="I362" s="16"/>
      <c r="J362" s="16" t="s">
        <v>143</v>
      </c>
    </row>
    <row r="363" customFormat="false" ht="15" hidden="false" customHeight="false" outlineLevel="0" collapsed="false">
      <c r="A363" s="16" t="str">
        <f aca="false">IF(ISNUMBER($J363),$J363,"")</f>
        <v/>
      </c>
      <c r="B363" s="16" t="str">
        <f aca="false">IFERROR(INDEX('SALES Raw'!$B$6:$B$1634,MATCH($J363,'SALES Raw'!$J$6:$J$1634,0)),$J363)</f>
        <v>32 L</v>
      </c>
      <c r="C363" s="16" t="str">
        <f aca="false">IF(ISNUMBER($J363),IFERROR(INDEX('TRANS'!$C:$C,MATCH($J363,'TRANS'!$B:$B,0)),IFERROR(INDEX('Catalog'!$B:$B,MATCH($J363,'Catalog'!$A:$A,0)),$B363)),$B363)</f>
        <v>32 L</v>
      </c>
      <c r="D363" s="8" t="n">
        <f aca="false">SUMIFS('SALES Raw'!$C$6:$C$1634,'SALES Raw'!$J$6:$J$1634,$J363,'SALES Raw'!$K$6:$K$1634,"Y")</f>
        <v>10</v>
      </c>
      <c r="E363" s="8" t="n">
        <f aca="false">SUMIFS('SALES Raw'!$D$6:$D$1634,'SALES Raw'!$J$6:$J$1634,$J363,'SALES Raw'!$K$6:$K$1634,"Y")</f>
        <v>720.8</v>
      </c>
      <c r="F363" s="8" t="n">
        <f aca="false">SUMIFS('SALES Raw'!$E$6:$E$1634,'SALES Raw'!$J$6:$J$1634,$J363,'SALES Raw'!$K$6:$K$1634,"Y")*$H$4</f>
        <v>6.31578947368421</v>
      </c>
      <c r="G363" s="8" t="n">
        <f aca="false">SUMIFS('SALES Raw'!$F$6:$F$1634,'SALES Raw'!$J$6:$J$1634,$J363,'SALES Raw'!$K$6:$K$1634,"Y")*$H$4</f>
        <v>436.357894736842</v>
      </c>
      <c r="H363" s="16" t="s">
        <v>42</v>
      </c>
      <c r="I363" s="16"/>
      <c r="J363" s="16" t="s">
        <v>144</v>
      </c>
    </row>
    <row r="364" customFormat="false" ht="15" hidden="false" customHeight="false" outlineLevel="0" collapsed="false">
      <c r="A364" s="16" t="n">
        <f aca="false">IF(ISNUMBER($J364),$J364,"")</f>
        <v>4413111</v>
      </c>
      <c r="B364" s="16" t="str">
        <f aca="false">IFERROR(INDEX('SALES Raw'!$B$6:$B$1634,MATCH($J364,'SALES Raw'!$J$6:$J$1634,0)),$J364)</f>
        <v>49 S</v>
      </c>
      <c r="C364" s="16" t="str">
        <f aca="false">IF(ISNUMBER($J364),IFERROR(INDEX('TRANS'!$C:$C,MATCH($J364,'TRANS'!$B:$B,0)),IFERROR(INDEX('Catalog'!$B:$B,MATCH($J364,'Catalog'!$A:$A,0)),$B364)),$B364)</f>
        <v>49  S מגן ירך</v>
      </c>
      <c r="D364" s="8" t="n">
        <f aca="false">SUMIFS('SALES Raw'!$C$6:$C$1634,'SALES Raw'!$J$6:$J$1634,$J364,'SALES Raw'!$K$6:$K$1634,"Y")</f>
        <v>5</v>
      </c>
      <c r="E364" s="8" t="n">
        <f aca="false">SUMIFS('SALES Raw'!$D$6:$D$1634,'SALES Raw'!$J$6:$J$1634,$J364,'SALES Raw'!$K$6:$K$1634,"Y")</f>
        <v>52.06</v>
      </c>
      <c r="F364" s="8" t="n">
        <f aca="false">SUMIFS('SALES Raw'!$E$6:$E$1634,'SALES Raw'!$J$6:$J$1634,$J364,'SALES Raw'!$K$6:$K$1634,"Y")*$H$4</f>
        <v>6.31578947368421</v>
      </c>
      <c r="G364" s="8" t="n">
        <f aca="false">SUMIFS('SALES Raw'!$F$6:$F$1634,'SALES Raw'!$J$6:$J$1634,$J364,'SALES Raw'!$K$6:$K$1634,"Y")*$H$4</f>
        <v>63.0315789473684</v>
      </c>
      <c r="H364" s="16" t="s">
        <v>42</v>
      </c>
      <c r="I364" s="16"/>
      <c r="J364" s="16" t="n">
        <v>4413111</v>
      </c>
    </row>
    <row r="365" customFormat="false" ht="15" hidden="false" customHeight="false" outlineLevel="0" collapsed="false">
      <c r="A365" s="16" t="n">
        <f aca="false">IF(ISNUMBER($J365),$J365,"")</f>
        <v>4413128</v>
      </c>
      <c r="B365" s="16" t="str">
        <f aca="false">IFERROR(INDEX('SALES Raw'!$B$6:$B$1634,MATCH($J365,'SALES Raw'!$J$6:$J$1634,0)),$J365)</f>
        <v>75 M</v>
      </c>
      <c r="C365" s="16" t="str">
        <f aca="false">IF(ISNUMBER($J365),IFERROR(INDEX('TRANS'!$C:$C,MATCH($J365,'TRANS'!$B:$B,0)),IFERROR(INDEX('Catalog'!$B:$B,MATCH($J365,'Catalog'!$A:$A,0)),$B365)),$B365)</f>
        <v>75 Mמיישר כתף יציב יישור גב צר</v>
      </c>
      <c r="D365" s="8" t="n">
        <f aca="false">SUMIFS('SALES Raw'!$C$6:$C$1634,'SALES Raw'!$J$6:$J$1634,$J365,'SALES Raw'!$K$6:$K$1634,"Y")</f>
        <v>5</v>
      </c>
      <c r="E365" s="8" t="n">
        <f aca="false">SUMIFS('SALES Raw'!$D$6:$D$1634,'SALES Raw'!$J$6:$J$1634,$J365,'SALES Raw'!$K$6:$K$1634,"Y")</f>
        <v>343.78</v>
      </c>
      <c r="F365" s="8" t="n">
        <f aca="false">SUMIFS('SALES Raw'!$E$6:$E$1634,'SALES Raw'!$J$6:$J$1634,$J365,'SALES Raw'!$K$6:$K$1634,"Y")*$H$4</f>
        <v>6.31578947368421</v>
      </c>
      <c r="G365" s="8" t="n">
        <f aca="false">SUMIFS('SALES Raw'!$F$6:$F$1634,'SALES Raw'!$J$6:$J$1634,$J365,'SALES Raw'!$K$6:$K$1634,"Y")*$H$4</f>
        <v>441.170526315789</v>
      </c>
      <c r="H365" s="16" t="s">
        <v>42</v>
      </c>
      <c r="I365" s="16"/>
      <c r="J365" s="16" t="n">
        <v>4413128</v>
      </c>
    </row>
    <row r="366" customFormat="false" ht="15" hidden="false" customHeight="false" outlineLevel="0" collapsed="false">
      <c r="A366" s="16" t="n">
        <f aca="false">IF(ISNUMBER($J366),$J366,"")</f>
        <v>4408071</v>
      </c>
      <c r="B366" s="16" t="str">
        <f aca="false">IFERROR(INDEX('SALES Raw'!$B$6:$B$1634,MATCH($J366,'SALES Raw'!$J$6:$J$1634,0)),$J366)</f>
        <v>59D L</v>
      </c>
      <c r="C366" s="16" t="str">
        <f aca="false">IF(ISNUMBER($J366),IFERROR(INDEX('TRANS'!$C:$C,MATCH($J366,'TRANS'!$B:$B,0)),IFERROR(INDEX('Catalog'!$B:$B,MATCH($J366,'Catalog'!$A:$A,0)),$B366)),$B366)</f>
        <v>59D L חגורת שבר דו צדדי</v>
      </c>
      <c r="D366" s="8" t="n">
        <f aca="false">SUMIFS('SALES Raw'!$C$6:$C$1634,'SALES Raw'!$J$6:$J$1634,$J366,'SALES Raw'!$K$6:$K$1634,"Y")</f>
        <v>6</v>
      </c>
      <c r="E366" s="8" t="n">
        <f aca="false">SUMIFS('SALES Raw'!$D$6:$D$1634,'SALES Raw'!$J$6:$J$1634,$J366,'SALES Raw'!$K$6:$K$1634,"Y")</f>
        <v>604.45</v>
      </c>
      <c r="F366" s="8" t="n">
        <f aca="false">SUMIFS('SALES Raw'!$E$6:$E$1634,'SALES Raw'!$J$6:$J$1634,$J366,'SALES Raw'!$K$6:$K$1634,"Y")*$H$4</f>
        <v>5.05263157894737</v>
      </c>
      <c r="G366" s="8" t="n">
        <f aca="false">SUMIFS('SALES Raw'!$F$6:$F$1634,'SALES Raw'!$J$6:$J$1634,$J366,'SALES Raw'!$K$6:$K$1634,"Y")*$H$4</f>
        <v>409.717894736842</v>
      </c>
      <c r="H366" s="16" t="s">
        <v>32</v>
      </c>
      <c r="I366" s="16" t="s">
        <v>37</v>
      </c>
      <c r="J366" s="16" t="n">
        <v>4408071</v>
      </c>
    </row>
    <row r="367" customFormat="false" ht="15" hidden="false" customHeight="false" outlineLevel="0" collapsed="false">
      <c r="A367" s="16" t="n">
        <f aca="false">IF(ISNUMBER($J367),$J367,"")</f>
        <v>4413144</v>
      </c>
      <c r="B367" s="16" t="str">
        <f aca="false">IFERROR(INDEX('SALES Raw'!$B$6:$B$1634,MATCH($J367,'SALES Raw'!$J$6:$J$1634,0)),$J367)</f>
        <v>95 XXL</v>
      </c>
      <c r="C367" s="16" t="str">
        <f aca="false">IF(ISNUMBER($J367),IFERROR(INDEX('TRANS'!$C:$C,MATCH($J367,'TRANS'!$B:$B,0)),IFERROR(INDEX('Catalog'!$B:$B,MATCH($J367,'Catalog'!$A:$A,0)),$B367)),$B367)</f>
        <v>95 XXL מגן מרפק רגיל לבן</v>
      </c>
      <c r="D367" s="8" t="n">
        <f aca="false">SUMIFS('SALES Raw'!$C$6:$C$1634,'SALES Raw'!$J$6:$J$1634,$J367,'SALES Raw'!$K$6:$K$1634,"Y")</f>
        <v>18</v>
      </c>
      <c r="E367" s="8" t="n">
        <f aca="false">SUMIFS('SALES Raw'!$D$6:$D$1634,'SALES Raw'!$J$6:$J$1634,$J367,'SALES Raw'!$K$6:$K$1634,"Y")</f>
        <v>190.72</v>
      </c>
      <c r="F367" s="8" t="n">
        <f aca="false">SUMIFS('SALES Raw'!$E$6:$E$1634,'SALES Raw'!$J$6:$J$1634,$J367,'SALES Raw'!$K$6:$K$1634,"Y")*$H$4</f>
        <v>5.05263157894737</v>
      </c>
      <c r="G367" s="8" t="n">
        <f aca="false">SUMIFS('SALES Raw'!$F$6:$F$1634,'SALES Raw'!$J$6:$J$1634,$J367,'SALES Raw'!$K$6:$K$1634,"Y")*$H$4</f>
        <v>52.9263157894737</v>
      </c>
      <c r="H367" s="16" t="s">
        <v>44</v>
      </c>
      <c r="I367" s="16" t="s">
        <v>32</v>
      </c>
      <c r="J367" s="16" t="n">
        <v>4413144</v>
      </c>
    </row>
    <row r="368" customFormat="false" ht="15" hidden="false" customHeight="false" outlineLevel="0" collapsed="false">
      <c r="A368" s="16" t="n">
        <f aca="false">IF(ISNUMBER($J368),$J368,"")</f>
        <v>4408029</v>
      </c>
      <c r="B368" s="16" t="str">
        <f aca="false">IFERROR(INDEX('SALES Raw'!$B$6:$B$1634,MATCH($J368,'SALES Raw'!$J$6:$J$1634,0)),$J368)</f>
        <v>10 XL</v>
      </c>
      <c r="C368" s="16" t="str">
        <f aca="false">IF(ISNUMBER($J368),IFERROR(INDEX('TRANS'!$C:$C,MATCH($J368,'TRANS'!$B:$B,0)),IFERROR(INDEX('Catalog'!$B:$B,MATCH($J368,'Catalog'!$A:$A,0)),$B368)),$B368)</f>
        <v>10 XL """"חגורת גב """"לומבו</v>
      </c>
      <c r="D368" s="8" t="n">
        <f aca="false">SUMIFS('SALES Raw'!$C$6:$C$1634,'SALES Raw'!$J$6:$J$1634,$J368,'SALES Raw'!$K$6:$K$1634,"Y")</f>
        <v>11</v>
      </c>
      <c r="E368" s="8" t="n">
        <f aca="false">SUMIFS('SALES Raw'!$D$6:$D$1634,'SALES Raw'!$J$6:$J$1634,$J368,'SALES Raw'!$K$6:$K$1634,"Y")</f>
        <v>467.37</v>
      </c>
      <c r="F368" s="8" t="n">
        <f aca="false">SUMIFS('SALES Raw'!$E$6:$E$1634,'SALES Raw'!$J$6:$J$1634,$J368,'SALES Raw'!$K$6:$K$1634,"Y")*$H$4</f>
        <v>5.05263157894737</v>
      </c>
      <c r="G368" s="8" t="n">
        <f aca="false">SUMIFS('SALES Raw'!$F$6:$F$1634,'SALES Raw'!$J$6:$J$1634,$J368,'SALES Raw'!$K$6:$K$1634,"Y")*$H$4</f>
        <v>329.406315789474</v>
      </c>
      <c r="H368" s="16" t="s">
        <v>37</v>
      </c>
      <c r="I368" s="16" t="s">
        <v>43</v>
      </c>
      <c r="J368" s="16" t="n">
        <v>4408029</v>
      </c>
    </row>
    <row r="369" customFormat="false" ht="15" hidden="false" customHeight="false" outlineLevel="0" collapsed="false">
      <c r="A369" s="16" t="str">
        <f aca="false">IF(ISNUMBER($J369),$J369,"")</f>
        <v/>
      </c>
      <c r="B369" s="16" t="str">
        <f aca="false">IFERROR(INDEX('SALES Raw'!$B$6:$B$1634,MATCH($J369,'SALES Raw'!$J$6:$J$1634,0)),$J369)</f>
        <v>10 XXL</v>
      </c>
      <c r="C369" s="16" t="str">
        <f aca="false">IF(ISNUMBER($J369),IFERROR(INDEX('TRANS'!$C:$C,MATCH($J369,'TRANS'!$B:$B,0)),IFERROR(INDEX('Catalog'!$B:$B,MATCH($J369,'Catalog'!$A:$A,0)),$B369)),$B369)</f>
        <v>10 XXL</v>
      </c>
      <c r="D369" s="8" t="n">
        <f aca="false">SUMIFS('SALES Raw'!$C$6:$C$1634,'SALES Raw'!$J$6:$J$1634,$J369,'SALES Raw'!$K$6:$K$1634,"Y")</f>
        <v>24</v>
      </c>
      <c r="E369" s="8" t="n">
        <f aca="false">SUMIFS('SALES Raw'!$D$6:$D$1634,'SALES Raw'!$J$6:$J$1634,$J369,'SALES Raw'!$K$6:$K$1634,"Y")</f>
        <v>1886.4</v>
      </c>
      <c r="F369" s="8" t="n">
        <f aca="false">SUMIFS('SALES Raw'!$E$6:$E$1634,'SALES Raw'!$J$6:$J$1634,$J369,'SALES Raw'!$K$6:$K$1634,"Y")*$H$4</f>
        <v>5.05263157894737</v>
      </c>
      <c r="G369" s="8" t="n">
        <f aca="false">SUMIFS('SALES Raw'!$F$6:$F$1634,'SALES Raw'!$J$6:$J$1634,$J369,'SALES Raw'!$K$6:$K$1634,"Y")*$H$4</f>
        <v>329.406315789474</v>
      </c>
      <c r="H369" s="16" t="s">
        <v>37</v>
      </c>
      <c r="I369" s="16" t="s">
        <v>38</v>
      </c>
      <c r="J369" s="16" t="s">
        <v>145</v>
      </c>
    </row>
    <row r="370" customFormat="false" ht="15" hidden="false" customHeight="false" outlineLevel="0" collapsed="false">
      <c r="A370" s="16" t="n">
        <f aca="false">IF(ISNUMBER($J370),$J370,"")</f>
        <v>4408180</v>
      </c>
      <c r="B370" s="16" t="str">
        <f aca="false">IFERROR(INDEX('SALES Raw'!$B$6:$B$1634,MATCH($J370,'SALES Raw'!$J$6:$J$1634,0)),$J370)</f>
        <v>13 XXL</v>
      </c>
      <c r="C370" s="16" t="str">
        <f aca="false">IF(ISNUMBER($J370),IFERROR(INDEX('TRANS'!$C:$C,MATCH($J370,'TRANS'!$B:$B,0)),IFERROR(INDEX('Catalog'!$B:$B,MATCH($J370,'Catalog'!$A:$A,0)),$B370)),$B370)</f>
        <v>13 XXL חגורה לשבר טבור</v>
      </c>
      <c r="D370" s="8" t="n">
        <f aca="false">SUMIFS('SALES Raw'!$C$6:$C$1634,'SALES Raw'!$J$6:$J$1634,$J370,'SALES Raw'!$K$6:$K$1634,"Y")</f>
        <v>8</v>
      </c>
      <c r="E370" s="8" t="n">
        <f aca="false">SUMIFS('SALES Raw'!$D$6:$D$1634,'SALES Raw'!$J$6:$J$1634,$J370,'SALES Raw'!$K$6:$K$1634,"Y")</f>
        <v>516.62</v>
      </c>
      <c r="F370" s="8" t="n">
        <f aca="false">SUMIFS('SALES Raw'!$E$6:$E$1634,'SALES Raw'!$J$6:$J$1634,$J370,'SALES Raw'!$K$6:$K$1634,"Y")*$H$4</f>
        <v>5.05263157894737</v>
      </c>
      <c r="G370" s="8" t="n">
        <f aca="false">SUMIFS('SALES Raw'!$F$6:$F$1634,'SALES Raw'!$J$6:$J$1634,$J370,'SALES Raw'!$K$6:$K$1634,"Y")*$H$4</f>
        <v>273.107368421053</v>
      </c>
      <c r="H370" s="16" t="s">
        <v>37</v>
      </c>
      <c r="I370" s="16"/>
      <c r="J370" s="16" t="n">
        <v>4408180</v>
      </c>
    </row>
    <row r="371" customFormat="false" ht="15" hidden="false" customHeight="false" outlineLevel="0" collapsed="false">
      <c r="A371" s="16" t="str">
        <f aca="false">IF(ISNUMBER($J371),$J371,"")</f>
        <v/>
      </c>
      <c r="B371" s="16" t="str">
        <f aca="false">IFERROR(INDEX('SALES Raw'!$B$6:$B$1634,MATCH($J371,'SALES Raw'!$J$6:$J$1634,0)),$J371)</f>
        <v>30 S</v>
      </c>
      <c r="C371" s="16" t="str">
        <f aca="false">IF(ISNUMBER($J371),IFERROR(INDEX('TRANS'!$C:$C,MATCH($J371,'TRANS'!$B:$B,0)),IFERROR(INDEX('Catalog'!$B:$B,MATCH($J371,'Catalog'!$A:$A,0)),$B371)),$B371)</f>
        <v>30 S</v>
      </c>
      <c r="D371" s="8" t="n">
        <f aca="false">SUMIFS('SALES Raw'!$C$6:$C$1634,'SALES Raw'!$J$6:$J$1634,$J371,'SALES Raw'!$K$6:$K$1634,"Y")</f>
        <v>6</v>
      </c>
      <c r="E371" s="8" t="n">
        <f aca="false">SUMIFS('SALES Raw'!$D$6:$D$1634,'SALES Raw'!$J$6:$J$1634,$J371,'SALES Raw'!$K$6:$K$1634,"Y")</f>
        <v>177.85</v>
      </c>
      <c r="F371" s="8" t="n">
        <f aca="false">SUMIFS('SALES Raw'!$E$6:$E$1634,'SALES Raw'!$J$6:$J$1634,$J371,'SALES Raw'!$K$6:$K$1634,"Y")*$H$4</f>
        <v>5.05263157894737</v>
      </c>
      <c r="G371" s="8" t="n">
        <f aca="false">SUMIFS('SALES Raw'!$F$6:$F$1634,'SALES Raw'!$J$6:$J$1634,$J371,'SALES Raw'!$K$6:$K$1634,"Y")*$H$4</f>
        <v>142.016842105263</v>
      </c>
      <c r="H371" s="16" t="s">
        <v>37</v>
      </c>
      <c r="I371" s="16" t="s">
        <v>38</v>
      </c>
      <c r="J371" s="16" t="s">
        <v>146</v>
      </c>
    </row>
    <row r="372" customFormat="false" ht="15" hidden="false" customHeight="false" outlineLevel="0" collapsed="false">
      <c r="A372" s="16" t="str">
        <f aca="false">IF(ISNUMBER($J372),$J372,"")</f>
        <v/>
      </c>
      <c r="B372" s="16" t="str">
        <f aca="false">IFERROR(INDEX('SALES Raw'!$B$6:$B$1634,MATCH($J372,'SALES Raw'!$J$6:$J$1634,0)),$J372)</f>
        <v>332B S</v>
      </c>
      <c r="C372" s="16" t="str">
        <f aca="false">IF(ISNUMBER($J372),IFERROR(INDEX('TRANS'!$C:$C,MATCH($J372,'TRANS'!$B:$B,0)),IFERROR(INDEX('Catalog'!$B:$B,MATCH($J372,'Catalog'!$A:$A,0)),$B372)),$B372)</f>
        <v>332B S</v>
      </c>
      <c r="D372" s="8" t="n">
        <f aca="false">SUMIFS('SALES Raw'!$C$6:$C$1634,'SALES Raw'!$J$6:$J$1634,$J372,'SALES Raw'!$K$6:$K$1634,"Y")</f>
        <v>0</v>
      </c>
      <c r="E372" s="8" t="n">
        <f aca="false">SUMIFS('SALES Raw'!$D$6:$D$1634,'SALES Raw'!$J$6:$J$1634,$J372,'SALES Raw'!$K$6:$K$1634,"Y")</f>
        <v>0</v>
      </c>
      <c r="F372" s="8" t="n">
        <f aca="false">SUMIFS('SALES Raw'!$E$6:$E$1634,'SALES Raw'!$J$6:$J$1634,$J372,'SALES Raw'!$K$6:$K$1634,"Y")*$H$4</f>
        <v>5.05263157894737</v>
      </c>
      <c r="G372" s="8" t="n">
        <f aca="false">SUMIFS('SALES Raw'!$F$6:$F$1634,'SALES Raw'!$J$6:$J$1634,$J372,'SALES Raw'!$K$6:$K$1634,"Y")*$H$4</f>
        <v>311.76</v>
      </c>
      <c r="H372" s="16" t="s">
        <v>37</v>
      </c>
      <c r="I372" s="16"/>
      <c r="J372" s="16" t="s">
        <v>147</v>
      </c>
    </row>
    <row r="373" customFormat="false" ht="15" hidden="false" customHeight="false" outlineLevel="0" collapsed="false">
      <c r="A373" s="16" t="str">
        <f aca="false">IF(ISNUMBER($J373),$J373,"")</f>
        <v/>
      </c>
      <c r="B373" s="16" t="str">
        <f aca="false">IFERROR(INDEX('SALES Raw'!$B$6:$B$1634,MATCH($J373,'SALES Raw'!$J$6:$J$1634,0)),$J373)</f>
        <v>332B XXL</v>
      </c>
      <c r="C373" s="16" t="str">
        <f aca="false">IF(ISNUMBER($J373),IFERROR(INDEX('TRANS'!$C:$C,MATCH($J373,'TRANS'!$B:$B,0)),IFERROR(INDEX('Catalog'!$B:$B,MATCH($J373,'Catalog'!$A:$A,0)),$B373)),$B373)</f>
        <v>332B XXL</v>
      </c>
      <c r="D373" s="8" t="n">
        <f aca="false">SUMIFS('SALES Raw'!$C$6:$C$1634,'SALES Raw'!$J$6:$J$1634,$J373,'SALES Raw'!$K$6:$K$1634,"Y")</f>
        <v>0</v>
      </c>
      <c r="E373" s="8" t="n">
        <f aca="false">SUMIFS('SALES Raw'!$D$6:$D$1634,'SALES Raw'!$J$6:$J$1634,$J373,'SALES Raw'!$K$6:$K$1634,"Y")</f>
        <v>0</v>
      </c>
      <c r="F373" s="8" t="n">
        <f aca="false">SUMIFS('SALES Raw'!$E$6:$E$1634,'SALES Raw'!$J$6:$J$1634,$J373,'SALES Raw'!$K$6:$K$1634,"Y")*$H$4</f>
        <v>5.05263157894737</v>
      </c>
      <c r="G373" s="8" t="n">
        <f aca="false">SUMIFS('SALES Raw'!$F$6:$F$1634,'SALES Raw'!$J$6:$J$1634,$J373,'SALES Raw'!$K$6:$K$1634,"Y")*$H$4</f>
        <v>311.76</v>
      </c>
      <c r="H373" s="16" t="s">
        <v>37</v>
      </c>
      <c r="I373" s="16"/>
      <c r="J373" s="16" t="s">
        <v>148</v>
      </c>
    </row>
    <row r="374" customFormat="false" ht="15" hidden="false" customHeight="false" outlineLevel="0" collapsed="false">
      <c r="A374" s="16" t="n">
        <f aca="false">IF(ISNUMBER($J374),$J374,"")</f>
        <v>4413132</v>
      </c>
      <c r="B374" s="16" t="str">
        <f aca="false">IFERROR(INDEX('SALES Raw'!$B$6:$B$1634,MATCH($J374,'SALES Raw'!$J$6:$J$1634,0)),$J374)</f>
        <v>76 L</v>
      </c>
      <c r="C374" s="16" t="str">
        <f aca="false">IF(ISNUMBER($J374),IFERROR(INDEX('TRANS'!$C:$C,MATCH($J374,'TRANS'!$B:$B,0)),IFERROR(INDEX('Catalog'!$B:$B,MATCH($J374,'Catalog'!$A:$A,0)),$B374)),$B374)</f>
        <v>76 Lמיישר כתף יציב יישור רחב</v>
      </c>
      <c r="D374" s="8" t="n">
        <f aca="false">SUMIFS('SALES Raw'!$C$6:$C$1634,'SALES Raw'!$J$6:$J$1634,$J374,'SALES Raw'!$K$6:$K$1634,"Y")</f>
        <v>0</v>
      </c>
      <c r="E374" s="8" t="n">
        <f aca="false">SUMIFS('SALES Raw'!$D$6:$D$1634,'SALES Raw'!$J$6:$J$1634,$J374,'SALES Raw'!$K$6:$K$1634,"Y")</f>
        <v>0</v>
      </c>
      <c r="F374" s="8" t="n">
        <f aca="false">SUMIFS('SALES Raw'!$E$6:$E$1634,'SALES Raw'!$J$6:$J$1634,$J374,'SALES Raw'!$K$6:$K$1634,"Y")*$H$4</f>
        <v>5.05263157894737</v>
      </c>
      <c r="G374" s="8" t="n">
        <f aca="false">SUMIFS('SALES Raw'!$F$6:$F$1634,'SALES Raw'!$J$6:$J$1634,$J374,'SALES Raw'!$K$6:$K$1634,"Y")*$H$4</f>
        <v>436.976842105263</v>
      </c>
      <c r="H374" s="16" t="s">
        <v>37</v>
      </c>
      <c r="I374" s="16"/>
      <c r="J374" s="16" t="n">
        <v>4413132</v>
      </c>
    </row>
    <row r="375" customFormat="false" ht="15" hidden="false" customHeight="false" outlineLevel="0" collapsed="false">
      <c r="A375" s="16" t="n">
        <f aca="false">IF(ISNUMBER($J375),$J375,"")</f>
        <v>4413521</v>
      </c>
      <c r="B375" s="16" t="str">
        <f aca="false">IFERROR(INDEX('SALES Raw'!$B$6:$B$1634,MATCH($J375,'SALES Raw'!$J$6:$J$1634,0)),$J375)</f>
        <v>379MSP-39-42</v>
      </c>
      <c r="C375" s="16" t="str">
        <f aca="false">IF(ISNUMBER($J375),IFERROR(INDEX('TRANS'!$C:$C,MATCH($J375,'TRANS'!$B:$B,0)),IFERROR(INDEX('Catalog'!$B:$B,MATCH($J375,'Catalog'!$A:$A,0)),$B375)),$B375)</f>
        <v>מדרסי אפיק ג'ל מולטי ספור39-42</v>
      </c>
      <c r="D375" s="8" t="n">
        <f aca="false">SUMIFS('SALES Raw'!$C$6:$C$1634,'SALES Raw'!$J$6:$J$1634,$J375,'SALES Raw'!$K$6:$K$1634,"Y")</f>
        <v>62</v>
      </c>
      <c r="E375" s="8" t="n">
        <f aca="false">SUMIFS('SALES Raw'!$D$6:$D$1634,'SALES Raw'!$J$6:$J$1634,$J375,'SALES Raw'!$K$6:$K$1634,"Y")</f>
        <v>2790.81</v>
      </c>
      <c r="F375" s="8" t="n">
        <f aca="false">SUMIFS('SALES Raw'!$E$6:$E$1634,'SALES Raw'!$J$6:$J$1634,$J375,'SALES Raw'!$K$6:$K$1634,"Y")*$H$4</f>
        <v>3.78947368421053</v>
      </c>
      <c r="G375" s="8" t="n">
        <f aca="false">SUMIFS('SALES Raw'!$F$6:$F$1634,'SALES Raw'!$J$6:$J$1634,$J375,'SALES Raw'!$K$6:$K$1634,"Y")*$H$4</f>
        <v>135.802105263158</v>
      </c>
      <c r="H375" s="16" t="s">
        <v>42</v>
      </c>
      <c r="I375" s="16" t="s">
        <v>31</v>
      </c>
      <c r="J375" s="16" t="n">
        <v>4413521</v>
      </c>
    </row>
    <row r="376" customFormat="false" ht="15" hidden="false" customHeight="false" outlineLevel="0" collapsed="false">
      <c r="A376" s="16" t="n">
        <f aca="false">IF(ISNUMBER($J376),$J376,"")</f>
        <v>4408014</v>
      </c>
      <c r="B376" s="16" t="str">
        <f aca="false">IFERROR(INDEX('SALES Raw'!$B$6:$B$1634,MATCH($J376,'SALES Raw'!$J$6:$J$1634,0)),$J376)</f>
        <v>07AU S</v>
      </c>
      <c r="C376" s="16" t="str">
        <f aca="false">IF(ISNUMBER($J376),IFERROR(INDEX('TRANS'!$C:$C,MATCH($J376,'TRANS'!$B:$B,0)),IFERROR(INDEX('Catalog'!$B:$B,MATCH($J376,'Catalog'!$A:$A,0)),$B376)),$B376)</f>
        <v>07AU S ח.גב """"איטלקית"""" אורירית</v>
      </c>
      <c r="D376" s="8" t="n">
        <f aca="false">SUMIFS('SALES Raw'!$C$6:$C$1634,'SALES Raw'!$J$6:$J$1634,$J376,'SALES Raw'!$K$6:$K$1634,"Y")</f>
        <v>4</v>
      </c>
      <c r="E376" s="8" t="n">
        <f aca="false">SUMIFS('SALES Raw'!$D$6:$D$1634,'SALES Raw'!$J$6:$J$1634,$J376,'SALES Raw'!$K$6:$K$1634,"Y")</f>
        <v>522.51</v>
      </c>
      <c r="F376" s="8" t="n">
        <f aca="false">SUMIFS('SALES Raw'!$E$6:$E$1634,'SALES Raw'!$J$6:$J$1634,$J376,'SALES Raw'!$K$6:$K$1634,"Y")*$H$4</f>
        <v>3.78947368421053</v>
      </c>
      <c r="G376" s="8" t="n">
        <f aca="false">SUMIFS('SALES Raw'!$F$6:$F$1634,'SALES Raw'!$J$6:$J$1634,$J376,'SALES Raw'!$K$6:$K$1634,"Y")*$H$4</f>
        <v>462.252631578947</v>
      </c>
      <c r="H376" s="16" t="s">
        <v>32</v>
      </c>
      <c r="I376" s="16" t="s">
        <v>37</v>
      </c>
      <c r="J376" s="16" t="n">
        <v>4408014</v>
      </c>
    </row>
    <row r="377" customFormat="false" ht="15" hidden="false" customHeight="false" outlineLevel="0" collapsed="false">
      <c r="A377" s="16" t="n">
        <f aca="false">IF(ISNUMBER($J377),$J377,"")</f>
        <v>4415025</v>
      </c>
      <c r="B377" s="16" t="str">
        <f aca="false">IFERROR(INDEX('SALES Raw'!$B$6:$B$1634,MATCH($J377,'SALES Raw'!$J$6:$J$1634,0)),$J377)</f>
        <v>28 XS</v>
      </c>
      <c r="C377" s="16" t="str">
        <f aca="false">IF(ISNUMBER($J377),IFERROR(INDEX('TRANS'!$C:$C,MATCH($J377,'TRANS'!$B:$B,0)),IFERROR(INDEX('Catalog'!$B:$B,MATCH($J377,'Catalog'!$A:$A,0)),$B377)),$B377)</f>
        <v>28-XS סד לאגודל לאחר שבר</v>
      </c>
      <c r="D377" s="8" t="n">
        <f aca="false">SUMIFS('SALES Raw'!$C$6:$C$1634,'SALES Raw'!$J$6:$J$1634,$J377,'SALES Raw'!$K$6:$K$1634,"Y")</f>
        <v>0</v>
      </c>
      <c r="E377" s="8" t="n">
        <f aca="false">SUMIFS('SALES Raw'!$D$6:$D$1634,'SALES Raw'!$J$6:$J$1634,$J377,'SALES Raw'!$K$6:$K$1634,"Y")</f>
        <v>0</v>
      </c>
      <c r="F377" s="8" t="n">
        <f aca="false">SUMIFS('SALES Raw'!$E$6:$E$1634,'SALES Raw'!$J$6:$J$1634,$J377,'SALES Raw'!$K$6:$K$1634,"Y")*$H$4</f>
        <v>3.78947368421053</v>
      </c>
      <c r="G377" s="8" t="n">
        <f aca="false">SUMIFS('SALES Raw'!$F$6:$F$1634,'SALES Raw'!$J$6:$J$1634,$J377,'SALES Raw'!$K$6:$K$1634,"Y")*$H$4</f>
        <v>143.406315789474</v>
      </c>
      <c r="H377" s="16" t="s">
        <v>32</v>
      </c>
      <c r="I377" s="16"/>
      <c r="J377" s="16" t="n">
        <v>4415025</v>
      </c>
    </row>
    <row r="378" customFormat="false" ht="15" hidden="false" customHeight="false" outlineLevel="0" collapsed="false">
      <c r="A378" s="16" t="n">
        <f aca="false">IF(ISNUMBER($J378),$J378,"")</f>
        <v>4413522</v>
      </c>
      <c r="B378" s="16" t="str">
        <f aca="false">IFERROR(INDEX('SALES Raw'!$B$6:$B$1634,MATCH($J378,'SALES Raw'!$J$6:$J$1634,0)),$J378)</f>
        <v>379MSP-43-46</v>
      </c>
      <c r="C378" s="16" t="str">
        <f aca="false">IF(ISNUMBER($J378),IFERROR(INDEX('TRANS'!$C:$C,MATCH($J378,'TRANS'!$B:$B,0)),IFERROR(INDEX('Catalog'!$B:$B,MATCH($J378,'Catalog'!$A:$A,0)),$B378)),$B378)</f>
        <v>מדרסי אפיק ג'ל מולט.ספורט43-47</v>
      </c>
      <c r="D378" s="8" t="n">
        <f aca="false">SUMIFS('SALES Raw'!$C$6:$C$1634,'SALES Raw'!$J$6:$J$1634,$J378,'SALES Raw'!$K$6:$K$1634,"Y")</f>
        <v>49</v>
      </c>
      <c r="E378" s="8" t="n">
        <f aca="false">SUMIFS('SALES Raw'!$D$6:$D$1634,'SALES Raw'!$J$6:$J$1634,$J378,'SALES Raw'!$K$6:$K$1634,"Y")</f>
        <v>2219.61</v>
      </c>
      <c r="F378" s="8" t="n">
        <f aca="false">SUMIFS('SALES Raw'!$E$6:$E$1634,'SALES Raw'!$J$6:$J$1634,$J378,'SALES Raw'!$K$6:$K$1634,"Y")*$H$4</f>
        <v>3.78947368421053</v>
      </c>
      <c r="G378" s="8" t="n">
        <f aca="false">SUMIFS('SALES Raw'!$F$6:$F$1634,'SALES Raw'!$J$6:$J$1634,$J378,'SALES Raw'!$K$6:$K$1634,"Y")*$H$4</f>
        <v>135.802105263158</v>
      </c>
      <c r="H378" s="16" t="s">
        <v>42</v>
      </c>
      <c r="I378" s="16" t="s">
        <v>32</v>
      </c>
      <c r="J378" s="16" t="n">
        <v>4413522</v>
      </c>
    </row>
    <row r="379" customFormat="false" ht="15" hidden="false" customHeight="false" outlineLevel="0" collapsed="false">
      <c r="A379" s="16" t="n">
        <f aca="false">IF(ISNUMBER($J379),$J379,"")</f>
        <v>4408080</v>
      </c>
      <c r="B379" s="16" t="str">
        <f aca="false">IFERROR(INDEX('SALES Raw'!$B$6:$B$1634,MATCH($J379,'SALES Raw'!$J$6:$J$1634,0)),$J379)</f>
        <v>59R L</v>
      </c>
      <c r="C379" s="16" t="str">
        <f aca="false">IF(ISNUMBER($J379),IFERROR(INDEX('TRANS'!$C:$C,MATCH($J379,'TRANS'!$B:$B,0)),IFERROR(INDEX('Catalog'!$B:$B,MATCH($J379,'Catalog'!$A:$A,0)),$B379)),$B379)</f>
        <v>59R L חגורת שבר לצד ימין</v>
      </c>
      <c r="D379" s="8" t="n">
        <f aca="false">SUMIFS('SALES Raw'!$C$6:$C$1634,'SALES Raw'!$J$6:$J$1634,$J379,'SALES Raw'!$K$6:$K$1634,"Y")</f>
        <v>1</v>
      </c>
      <c r="E379" s="8" t="n">
        <f aca="false">SUMIFS('SALES Raw'!$D$6:$D$1634,'SALES Raw'!$J$6:$J$1634,$J379,'SALES Raw'!$K$6:$K$1634,"Y")</f>
        <v>81.3</v>
      </c>
      <c r="F379" s="8" t="n">
        <f aca="false">SUMIFS('SALES Raw'!$E$6:$E$1634,'SALES Raw'!$J$6:$J$1634,$J379,'SALES Raw'!$K$6:$K$1634,"Y")*$H$4</f>
        <v>3.78947368421053</v>
      </c>
      <c r="G379" s="8" t="n">
        <f aca="false">SUMIFS('SALES Raw'!$F$6:$F$1634,'SALES Raw'!$J$6:$J$1634,$J379,'SALES Raw'!$K$6:$K$1634,"Y")*$H$4</f>
        <v>297.953684210526</v>
      </c>
      <c r="H379" s="16" t="s">
        <v>32</v>
      </c>
      <c r="I379" s="16"/>
      <c r="J379" s="16" t="n">
        <v>4408080</v>
      </c>
    </row>
    <row r="380" customFormat="false" ht="15" hidden="false" customHeight="false" outlineLevel="0" collapsed="false">
      <c r="A380" s="16" t="n">
        <f aca="false">IF(ISNUMBER($J380),$J380,"")</f>
        <v>4414000</v>
      </c>
      <c r="B380" s="16" t="str">
        <f aca="false">IFERROR(INDEX('SALES Raw'!$B$6:$B$1634,MATCH($J380,'SALES Raw'!$J$6:$J$1634,0)),$J380)</f>
        <v>FC342 0</v>
      </c>
      <c r="C380" s="16" t="str">
        <f aca="false">IF(ISNUMBER($J380),IFERROR(INDEX('TRANS'!$C:$C,MATCH($J380,'TRANS'!$B:$B,0)),IFERROR(INDEX('Catalog'!$B:$B,MATCH($J380,'Catalog'!$A:$A,0)),$B380)),$B380)</f>
        <v>FC342-נוזל לציפורן חודרנית</v>
      </c>
      <c r="D380" s="8" t="n">
        <f aca="false">SUMIFS('SALES Raw'!$C$6:$C$1634,'SALES Raw'!$J$6:$J$1634,$J380,'SALES Raw'!$K$6:$K$1634,"Y")</f>
        <v>10</v>
      </c>
      <c r="E380" s="8" t="n">
        <f aca="false">SUMIFS('SALES Raw'!$D$6:$D$1634,'SALES Raw'!$J$6:$J$1634,$J380,'SALES Raw'!$K$6:$K$1634,"Y")</f>
        <v>192.81</v>
      </c>
      <c r="F380" s="8" t="n">
        <f aca="false">SUMIFS('SALES Raw'!$E$6:$E$1634,'SALES Raw'!$J$6:$J$1634,$J380,'SALES Raw'!$K$6:$K$1634,"Y")*$H$4</f>
        <v>3.78947368421053</v>
      </c>
      <c r="G380" s="8" t="n">
        <f aca="false">SUMIFS('SALES Raw'!$F$6:$F$1634,'SALES Raw'!$J$6:$J$1634,$J380,'SALES Raw'!$K$6:$K$1634,"Y")*$H$4</f>
        <v>64.1936842105263</v>
      </c>
      <c r="H380" s="16" t="s">
        <v>32</v>
      </c>
      <c r="I380" s="16"/>
      <c r="J380" s="16" t="n">
        <v>4414000</v>
      </c>
    </row>
    <row r="381" customFormat="false" ht="15" hidden="false" customHeight="false" outlineLevel="0" collapsed="false">
      <c r="A381" s="16" t="str">
        <f aca="false">IF(ISNUMBER($J381),$J381,"")</f>
        <v/>
      </c>
      <c r="B381" s="16" t="str">
        <f aca="false">IFERROR(INDEX('SALES Raw'!$B$6:$B$1634,MATCH($J381,'SALES Raw'!$J$6:$J$1634,0)),$J381)</f>
        <v>SH776 L</v>
      </c>
      <c r="C381" s="16" t="str">
        <f aca="false">IF(ISNUMBER($J381),IFERROR(INDEX('TRANS'!$C:$C,MATCH($J381,'TRANS'!$B:$B,0)),IFERROR(INDEX('Catalog'!$B:$B,MATCH($J381,'Catalog'!$A:$A,0)),$B381)),$B381)</f>
        <v>SH776 L</v>
      </c>
      <c r="D381" s="8" t="n">
        <f aca="false">SUMIFS('SALES Raw'!$C$6:$C$1634,'SALES Raw'!$J$6:$J$1634,$J381,'SALES Raw'!$K$6:$K$1634,"Y")</f>
        <v>0</v>
      </c>
      <c r="E381" s="8" t="n">
        <f aca="false">SUMIFS('SALES Raw'!$D$6:$D$1634,'SALES Raw'!$J$6:$J$1634,$J381,'SALES Raw'!$K$6:$K$1634,"Y")</f>
        <v>0</v>
      </c>
      <c r="F381" s="8" t="n">
        <f aca="false">SUMIFS('SALES Raw'!$E$6:$E$1634,'SALES Raw'!$J$6:$J$1634,$J381,'SALES Raw'!$K$6:$K$1634,"Y")*$H$4</f>
        <v>3.78947368421053</v>
      </c>
      <c r="G381" s="8" t="n">
        <f aca="false">SUMIFS('SALES Raw'!$F$6:$F$1634,'SALES Raw'!$J$6:$J$1634,$J381,'SALES Raw'!$K$6:$K$1634,"Y")*$H$4</f>
        <v>584.778947368421</v>
      </c>
      <c r="H381" s="16" t="s">
        <v>32</v>
      </c>
      <c r="I381" s="16"/>
      <c r="J381" s="16" t="s">
        <v>149</v>
      </c>
    </row>
    <row r="382" customFormat="false" ht="15" hidden="false" customHeight="false" outlineLevel="0" collapsed="false">
      <c r="A382" s="16" t="str">
        <f aca="false">IF(ISNUMBER($J382),$J382,"")</f>
        <v/>
      </c>
      <c r="B382" s="16" t="str">
        <f aca="false">IFERROR(INDEX('SALES Raw'!$B$6:$B$1634,MATCH($J382,'SALES Raw'!$J$6:$J$1634,0)),$J382)</f>
        <v>SH776 XL</v>
      </c>
      <c r="C382" s="16" t="str">
        <f aca="false">IF(ISNUMBER($J382),IFERROR(INDEX('TRANS'!$C:$C,MATCH($J382,'TRANS'!$B:$B,0)),IFERROR(INDEX('Catalog'!$B:$B,MATCH($J382,'Catalog'!$A:$A,0)),$B382)),$B382)</f>
        <v>SH776 XL</v>
      </c>
      <c r="D382" s="8" t="n">
        <f aca="false">SUMIFS('SALES Raw'!$C$6:$C$1634,'SALES Raw'!$J$6:$J$1634,$J382,'SALES Raw'!$K$6:$K$1634,"Y")</f>
        <v>0</v>
      </c>
      <c r="E382" s="8" t="n">
        <f aca="false">SUMIFS('SALES Raw'!$D$6:$D$1634,'SALES Raw'!$J$6:$J$1634,$J382,'SALES Raw'!$K$6:$K$1634,"Y")</f>
        <v>0</v>
      </c>
      <c r="F382" s="8" t="n">
        <f aca="false">SUMIFS('SALES Raw'!$E$6:$E$1634,'SALES Raw'!$J$6:$J$1634,$J382,'SALES Raw'!$K$6:$K$1634,"Y")*$H$4</f>
        <v>3.78947368421053</v>
      </c>
      <c r="G382" s="8" t="n">
        <f aca="false">SUMIFS('SALES Raw'!$F$6:$F$1634,'SALES Raw'!$J$6:$J$1634,$J382,'SALES Raw'!$K$6:$K$1634,"Y")*$H$4</f>
        <v>584.778947368421</v>
      </c>
      <c r="H382" s="16" t="s">
        <v>32</v>
      </c>
      <c r="I382" s="16"/>
      <c r="J382" s="16" t="s">
        <v>150</v>
      </c>
    </row>
    <row r="383" customFormat="false" ht="15" hidden="false" customHeight="false" outlineLevel="0" collapsed="false">
      <c r="A383" s="16" t="str">
        <f aca="false">IF(ISNUMBER($J383),$J383,"")</f>
        <v/>
      </c>
      <c r="B383" s="16" t="str">
        <f aca="false">IFERROR(INDEX('SALES Raw'!$B$6:$B$1634,MATCH($J383,'SALES Raw'!$J$6:$J$1634,0)),$J383)</f>
        <v>SH776 XXL</v>
      </c>
      <c r="C383" s="16" t="str">
        <f aca="false">IF(ISNUMBER($J383),IFERROR(INDEX('TRANS'!$C:$C,MATCH($J383,'TRANS'!$B:$B,0)),IFERROR(INDEX('Catalog'!$B:$B,MATCH($J383,'Catalog'!$A:$A,0)),$B383)),$B383)</f>
        <v>SH776 XXL</v>
      </c>
      <c r="D383" s="8" t="n">
        <f aca="false">SUMIFS('SALES Raw'!$C$6:$C$1634,'SALES Raw'!$J$6:$J$1634,$J383,'SALES Raw'!$K$6:$K$1634,"Y")</f>
        <v>0</v>
      </c>
      <c r="E383" s="8" t="n">
        <f aca="false">SUMIFS('SALES Raw'!$D$6:$D$1634,'SALES Raw'!$J$6:$J$1634,$J383,'SALES Raw'!$K$6:$K$1634,"Y")</f>
        <v>0</v>
      </c>
      <c r="F383" s="8" t="n">
        <f aca="false">SUMIFS('SALES Raw'!$E$6:$E$1634,'SALES Raw'!$J$6:$J$1634,$J383,'SALES Raw'!$K$6:$K$1634,"Y")*$H$4</f>
        <v>3.78947368421053</v>
      </c>
      <c r="G383" s="8" t="n">
        <f aca="false">SUMIFS('SALES Raw'!$F$6:$F$1634,'SALES Raw'!$J$6:$J$1634,$J383,'SALES Raw'!$K$6:$K$1634,"Y")*$H$4</f>
        <v>584.778947368421</v>
      </c>
      <c r="H383" s="16" t="s">
        <v>32</v>
      </c>
      <c r="I383" s="16"/>
      <c r="J383" s="16" t="s">
        <v>151</v>
      </c>
    </row>
    <row r="384" customFormat="false" ht="15" hidden="false" customHeight="false" outlineLevel="0" collapsed="false">
      <c r="A384" s="16" t="n">
        <f aca="false">IF(ISNUMBER($J384),$J384,"")</f>
        <v>4408099</v>
      </c>
      <c r="B384" s="16" t="str">
        <f aca="false">IFERROR(INDEX('SALES Raw'!$B$6:$B$1634,MATCH($J384,'SALES Raw'!$J$6:$J$1634,0)),$J384)</f>
        <v>T25C 0</v>
      </c>
      <c r="C384" s="16" t="str">
        <f aca="false">IF(ISNUMBER($J384),IFERROR(INDEX('TRANS'!$C:$C,MATCH($J384,'TRANS'!$B:$B,0)),IFERROR(INDEX('Catalog'!$B:$B,MATCH($J384,'Catalog'!$A:$A,0)),$B384)),$B384)</f>
        <v>T25C-חבק יד אגודלי</v>
      </c>
      <c r="D384" s="8" t="n">
        <f aca="false">SUMIFS('SALES Raw'!$C$6:$C$1634,'SALES Raw'!$J$6:$J$1634,$J384,'SALES Raw'!$K$6:$K$1634,"Y")</f>
        <v>0</v>
      </c>
      <c r="E384" s="8" t="n">
        <f aca="false">SUMIFS('SALES Raw'!$D$6:$D$1634,'SALES Raw'!$J$6:$J$1634,$J384,'SALES Raw'!$K$6:$K$1634,"Y")</f>
        <v>0</v>
      </c>
      <c r="F384" s="8" t="n">
        <f aca="false">SUMIFS('SALES Raw'!$E$6:$E$1634,'SALES Raw'!$J$6:$J$1634,$J384,'SALES Raw'!$K$6:$K$1634,"Y")*$H$4</f>
        <v>3.78947368421053</v>
      </c>
      <c r="G384" s="8" t="n">
        <f aca="false">SUMIFS('SALES Raw'!$F$6:$F$1634,'SALES Raw'!$J$6:$J$1634,$J384,'SALES Raw'!$K$6:$K$1634,"Y")*$H$4</f>
        <v>75.2210526315789</v>
      </c>
      <c r="H384" s="16" t="s">
        <v>32</v>
      </c>
      <c r="I384" s="16"/>
      <c r="J384" s="16" t="n">
        <v>4408099</v>
      </c>
    </row>
    <row r="385" customFormat="false" ht="15" hidden="false" customHeight="false" outlineLevel="0" collapsed="false">
      <c r="A385" s="16" t="str">
        <f aca="false">IF(ISNUMBER($J385),$J385,"")</f>
        <v/>
      </c>
      <c r="B385" s="16" t="str">
        <f aca="false">IFERROR(INDEX('SALES Raw'!$B$6:$B$1634,MATCH($J385,'SALES Raw'!$J$6:$J$1634,0)),$J385)</f>
        <v>T33 XL</v>
      </c>
      <c r="C385" s="16" t="str">
        <f aca="false">IF(ISNUMBER($J385),IFERROR(INDEX('TRANS'!$C:$C,MATCH($J385,'TRANS'!$B:$B,0)),IFERROR(INDEX('Catalog'!$B:$B,MATCH($J385,'Catalog'!$A:$A,0)),$B385)),$B385)</f>
        <v>T33 XL</v>
      </c>
      <c r="D385" s="8" t="n">
        <f aca="false">SUMIFS('SALES Raw'!$C$6:$C$1634,'SALES Raw'!$J$6:$J$1634,$J385,'SALES Raw'!$K$6:$K$1634,"Y")</f>
        <v>32</v>
      </c>
      <c r="E385" s="8" t="n">
        <f aca="false">SUMIFS('SALES Raw'!$D$6:$D$1634,'SALES Raw'!$J$6:$J$1634,$J385,'SALES Raw'!$K$6:$K$1634,"Y")</f>
        <v>1895.85</v>
      </c>
      <c r="F385" s="8" t="n">
        <f aca="false">SUMIFS('SALES Raw'!$E$6:$E$1634,'SALES Raw'!$J$6:$J$1634,$J385,'SALES Raw'!$K$6:$K$1634,"Y")*$H$4</f>
        <v>3.78947368421053</v>
      </c>
      <c r="G385" s="8" t="n">
        <f aca="false">SUMIFS('SALES Raw'!$F$6:$F$1634,'SALES Raw'!$J$6:$J$1634,$J385,'SALES Raw'!$K$6:$K$1634,"Y")*$H$4</f>
        <v>200.804210526316</v>
      </c>
      <c r="H385" s="16" t="s">
        <v>41</v>
      </c>
      <c r="I385" s="16" t="s">
        <v>35</v>
      </c>
      <c r="J385" s="16" t="s">
        <v>152</v>
      </c>
    </row>
    <row r="386" customFormat="false" ht="15" hidden="false" customHeight="false" outlineLevel="0" collapsed="false">
      <c r="A386" s="16" t="n">
        <f aca="false">IF(ISNUMBER($J386),$J386,"")</f>
        <v>4408131</v>
      </c>
      <c r="B386" s="16" t="str">
        <f aca="false">IFERROR(INDEX('SALES Raw'!$B$6:$B$1634,MATCH($J386,'SALES Raw'!$J$6:$J$1634,0)),$J386)</f>
        <v>15W L</v>
      </c>
      <c r="C386" s="16" t="str">
        <f aca="false">IF(ISNUMBER($J386),IFERROR(INDEX('TRANS'!$C:$C,MATCH($J386,'TRANS'!$B:$B,0)),IFERROR(INDEX('Catalog'!$B:$B,MATCH($J386,'Catalog'!$A:$A,0)),$B386)),$B386)</f>
        <v>15W L חגורת צלעות לאשה</v>
      </c>
      <c r="D386" s="8" t="n">
        <f aca="false">SUMIFS('SALES Raw'!$C$6:$C$1634,'SALES Raw'!$J$6:$J$1634,$J386,'SALES Raw'!$K$6:$K$1634,"Y")</f>
        <v>34</v>
      </c>
      <c r="E386" s="8" t="n">
        <f aca="false">SUMIFS('SALES Raw'!$D$6:$D$1634,'SALES Raw'!$J$6:$J$1634,$J386,'SALES Raw'!$K$6:$K$1634,"Y")</f>
        <v>1528.18</v>
      </c>
      <c r="F386" s="8" t="n">
        <f aca="false">SUMIFS('SALES Raw'!$E$6:$E$1634,'SALES Raw'!$J$6:$J$1634,$J386,'SALES Raw'!$K$6:$K$1634,"Y")*$H$4</f>
        <v>3.78947368421053</v>
      </c>
      <c r="G386" s="8" t="n">
        <f aca="false">SUMIFS('SALES Raw'!$F$6:$F$1634,'SALES Raw'!$J$6:$J$1634,$J386,'SALES Raw'!$K$6:$K$1634,"Y")*$H$4</f>
        <v>172.054736842105</v>
      </c>
      <c r="H386" s="16" t="s">
        <v>37</v>
      </c>
      <c r="I386" s="16" t="s">
        <v>36</v>
      </c>
      <c r="J386" s="16" t="n">
        <v>4408131</v>
      </c>
    </row>
    <row r="387" customFormat="false" ht="15" hidden="false" customHeight="false" outlineLevel="0" collapsed="false">
      <c r="A387" s="16" t="str">
        <f aca="false">IF(ISNUMBER($J387),$J387,"")</f>
        <v/>
      </c>
      <c r="B387" s="16" t="str">
        <f aca="false">IFERROR(INDEX('SALES Raw'!$B$6:$B$1634,MATCH($J387,'SALES Raw'!$J$6:$J$1634,0)),$J387)</f>
        <v>13 M</v>
      </c>
      <c r="C387" s="16" t="str">
        <f aca="false">IF(ISNUMBER($J387),IFERROR(INDEX('TRANS'!$C:$C,MATCH($J387,'TRANS'!$B:$B,0)),IFERROR(INDEX('Catalog'!$B:$B,MATCH($J387,'Catalog'!$A:$A,0)),$B387)),$B387)</f>
        <v>13 M</v>
      </c>
      <c r="D387" s="8" t="n">
        <f aca="false">SUMIFS('SALES Raw'!$C$6:$C$1634,'SALES Raw'!$J$6:$J$1634,$J387,'SALES Raw'!$K$6:$K$1634,"Y")</f>
        <v>2</v>
      </c>
      <c r="E387" s="8" t="n">
        <f aca="false">SUMIFS('SALES Raw'!$D$6:$D$1634,'SALES Raw'!$J$6:$J$1634,$J387,'SALES Raw'!$K$6:$K$1634,"Y")</f>
        <v>122.65</v>
      </c>
      <c r="F387" s="8" t="n">
        <f aca="false">SUMIFS('SALES Raw'!$E$6:$E$1634,'SALES Raw'!$J$6:$J$1634,$J387,'SALES Raw'!$K$6:$K$1634,"Y")*$H$4</f>
        <v>3.78947368421053</v>
      </c>
      <c r="G387" s="8" t="n">
        <f aca="false">SUMIFS('SALES Raw'!$F$6:$F$1634,'SALES Raw'!$J$6:$J$1634,$J387,'SALES Raw'!$K$6:$K$1634,"Y")*$H$4</f>
        <v>204.833684210526</v>
      </c>
      <c r="H387" s="16" t="s">
        <v>37</v>
      </c>
      <c r="I387" s="16"/>
      <c r="J387" s="16" t="s">
        <v>153</v>
      </c>
    </row>
    <row r="388" customFormat="false" ht="15" hidden="false" customHeight="false" outlineLevel="0" collapsed="false">
      <c r="A388" s="16" t="n">
        <f aca="false">IF(ISNUMBER($J388),$J388,"")</f>
        <v>4413119</v>
      </c>
      <c r="B388" s="16" t="str">
        <f aca="false">IFERROR(INDEX('SALES Raw'!$B$6:$B$1634,MATCH($J388,'SALES Raw'!$J$6:$J$1634,0)),$J388)</f>
        <v>50 XL</v>
      </c>
      <c r="C388" s="16" t="str">
        <f aca="false">IF(ISNUMBER($J388),IFERROR(INDEX('TRANS'!$C:$C,MATCH($J388,'TRANS'!$B:$B,0)),IFERROR(INDEX('Catalog'!$B:$B,MATCH($J388,'Catalog'!$A:$A,0)),$B388)),$B388)</f>
        <v>50 XL מתלה אשכים לאחר ניתוח</v>
      </c>
      <c r="D388" s="8" t="n">
        <f aca="false">SUMIFS('SALES Raw'!$C$6:$C$1634,'SALES Raw'!$J$6:$J$1634,$J388,'SALES Raw'!$K$6:$K$1634,"Y")</f>
        <v>14</v>
      </c>
      <c r="E388" s="8" t="n">
        <f aca="false">SUMIFS('SALES Raw'!$D$6:$D$1634,'SALES Raw'!$J$6:$J$1634,$J388,'SALES Raw'!$K$6:$K$1634,"Y")</f>
        <v>643.33</v>
      </c>
      <c r="F388" s="8" t="n">
        <f aca="false">SUMIFS('SALES Raw'!$E$6:$E$1634,'SALES Raw'!$J$6:$J$1634,$J388,'SALES Raw'!$K$6:$K$1634,"Y")*$H$4</f>
        <v>3.78947368421053</v>
      </c>
      <c r="G388" s="8" t="n">
        <f aca="false">SUMIFS('SALES Raw'!$F$6:$F$1634,'SALES Raw'!$J$6:$J$1634,$J388,'SALES Raw'!$K$6:$K$1634,"Y")*$H$4</f>
        <v>151.263157894737</v>
      </c>
      <c r="H388" s="16" t="s">
        <v>37</v>
      </c>
      <c r="I388" s="16" t="s">
        <v>43</v>
      </c>
      <c r="J388" s="16" t="n">
        <v>4413119</v>
      </c>
    </row>
    <row r="389" customFormat="false" ht="15" hidden="false" customHeight="false" outlineLevel="0" collapsed="false">
      <c r="A389" s="16" t="str">
        <f aca="false">IF(ISNUMBER($J389),$J389,"")</f>
        <v/>
      </c>
      <c r="B389" s="16" t="str">
        <f aca="false">IFERROR(INDEX('SALES Raw'!$B$6:$B$1634,MATCH($J389,'SALES Raw'!$J$6:$J$1634,0)),$J389)</f>
        <v>63 L</v>
      </c>
      <c r="C389" s="16" t="str">
        <f aca="false">IF(ISNUMBER($J389),IFERROR(INDEX('TRANS'!$C:$C,MATCH($J389,'TRANS'!$B:$B,0)),IFERROR(INDEX('Catalog'!$B:$B,MATCH($J389,'Catalog'!$A:$A,0)),$B389)),$B389)</f>
        <v>63 L</v>
      </c>
      <c r="D389" s="8" t="n">
        <f aca="false">SUMIFS('SALES Raw'!$C$6:$C$1634,'SALES Raw'!$J$6:$J$1634,$J389,'SALES Raw'!$K$6:$K$1634,"Y")</f>
        <v>0</v>
      </c>
      <c r="E389" s="8" t="n">
        <f aca="false">SUMIFS('SALES Raw'!$D$6:$D$1634,'SALES Raw'!$J$6:$J$1634,$J389,'SALES Raw'!$K$6:$K$1634,"Y")</f>
        <v>0</v>
      </c>
      <c r="F389" s="8" t="n">
        <f aca="false">SUMIFS('SALES Raw'!$E$6:$E$1634,'SALES Raw'!$J$6:$J$1634,$J389,'SALES Raw'!$K$6:$K$1634,"Y")*$H$4</f>
        <v>3.78947368421053</v>
      </c>
      <c r="G389" s="8" t="n">
        <f aca="false">SUMIFS('SALES Raw'!$F$6:$F$1634,'SALES Raw'!$J$6:$J$1634,$J389,'SALES Raw'!$K$6:$K$1634,"Y")*$H$4</f>
        <v>94.5347368421053</v>
      </c>
      <c r="H389" s="16" t="s">
        <v>37</v>
      </c>
      <c r="I389" s="16"/>
      <c r="J389" s="16" t="s">
        <v>154</v>
      </c>
    </row>
    <row r="390" customFormat="false" ht="15" hidden="false" customHeight="false" outlineLevel="0" collapsed="false">
      <c r="A390" s="16" t="str">
        <f aca="false">IF(ISNUMBER($J390),$J390,"")</f>
        <v/>
      </c>
      <c r="B390" s="16" t="str">
        <f aca="false">IFERROR(INDEX('SALES Raw'!$B$6:$B$1634,MATCH($J390,'SALES Raw'!$J$6:$J$1634,0)),$J390)</f>
        <v>63 M</v>
      </c>
      <c r="C390" s="16" t="str">
        <f aca="false">IF(ISNUMBER($J390),IFERROR(INDEX('TRANS'!$C:$C,MATCH($J390,'TRANS'!$B:$B,0)),IFERROR(INDEX('Catalog'!$B:$B,MATCH($J390,'Catalog'!$A:$A,0)),$B390)),$B390)</f>
        <v>63 M</v>
      </c>
      <c r="D390" s="8" t="n">
        <f aca="false">SUMIFS('SALES Raw'!$C$6:$C$1634,'SALES Raw'!$J$6:$J$1634,$J390,'SALES Raw'!$K$6:$K$1634,"Y")</f>
        <v>2</v>
      </c>
      <c r="E390" s="8" t="n">
        <f aca="false">SUMIFS('SALES Raw'!$D$6:$D$1634,'SALES Raw'!$J$6:$J$1634,$J390,'SALES Raw'!$K$6:$K$1634,"Y")</f>
        <v>56.61</v>
      </c>
      <c r="F390" s="8" t="n">
        <f aca="false">SUMIFS('SALES Raw'!$E$6:$E$1634,'SALES Raw'!$J$6:$J$1634,$J390,'SALES Raw'!$K$6:$K$1634,"Y")*$H$4</f>
        <v>3.78947368421053</v>
      </c>
      <c r="G390" s="8" t="n">
        <f aca="false">SUMIFS('SALES Raw'!$F$6:$F$1634,'SALES Raw'!$J$6:$J$1634,$J390,'SALES Raw'!$K$6:$K$1634,"Y")*$H$4</f>
        <v>94.5347368421053</v>
      </c>
      <c r="H390" s="16" t="s">
        <v>37</v>
      </c>
      <c r="I390" s="16"/>
      <c r="J390" s="16" t="s">
        <v>155</v>
      </c>
    </row>
    <row r="391" customFormat="false" ht="15" hidden="false" customHeight="false" outlineLevel="0" collapsed="false">
      <c r="A391" s="16" t="str">
        <f aca="false">IF(ISNUMBER($J391),$J391,"")</f>
        <v/>
      </c>
      <c r="B391" s="16" t="str">
        <f aca="false">IFERROR(INDEX('SALES Raw'!$B$6:$B$1634,MATCH($J391,'SALES Raw'!$J$6:$J$1634,0)),$J391)</f>
        <v>T402 XL</v>
      </c>
      <c r="C391" s="16" t="str">
        <f aca="false">IF(ISNUMBER($J391),IFERROR(INDEX('TRANS'!$C:$C,MATCH($J391,'TRANS'!$B:$B,0)),IFERROR(INDEX('Catalog'!$B:$B,MATCH($J391,'Catalog'!$A:$A,0)),$B391)),$B391)</f>
        <v>T402 XL</v>
      </c>
      <c r="D391" s="8" t="n">
        <f aca="false">SUMIFS('SALES Raw'!$C$6:$C$1634,'SALES Raw'!$J$6:$J$1634,$J391,'SALES Raw'!$K$6:$K$1634,"Y")</f>
        <v>5</v>
      </c>
      <c r="E391" s="8" t="n">
        <f aca="false">SUMIFS('SALES Raw'!$D$6:$D$1634,'SALES Raw'!$J$6:$J$1634,$J391,'SALES Raw'!$K$6:$K$1634,"Y")</f>
        <v>218.76</v>
      </c>
      <c r="F391" s="8" t="n">
        <f aca="false">SUMIFS('SALES Raw'!$E$6:$E$1634,'SALES Raw'!$J$6:$J$1634,$J391,'SALES Raw'!$K$6:$K$1634,"Y")*$H$4</f>
        <v>3.78947368421053</v>
      </c>
      <c r="G391" s="8" t="n">
        <f aca="false">SUMIFS('SALES Raw'!$F$6:$F$1634,'SALES Raw'!$J$6:$J$1634,$J391,'SALES Raw'!$K$6:$K$1634,"Y")*$H$4</f>
        <v>138.025263157895</v>
      </c>
      <c r="H391" s="16" t="s">
        <v>37</v>
      </c>
      <c r="I391" s="16" t="s">
        <v>42</v>
      </c>
      <c r="J391" s="16" t="s">
        <v>156</v>
      </c>
    </row>
    <row r="392" customFormat="false" ht="15" hidden="false" customHeight="false" outlineLevel="0" collapsed="false">
      <c r="A392" s="16" t="str">
        <f aca="false">IF(ISNUMBER($J392),$J392,"")</f>
        <v/>
      </c>
      <c r="B392" s="16" t="str">
        <f aca="false">IFERROR(INDEX('SALES Raw'!$B$6:$B$1634,MATCH($J392,'SALES Raw'!$J$6:$J$1634,0)),$J392)</f>
        <v>T402 XXL</v>
      </c>
      <c r="C392" s="16" t="str">
        <f aca="false">IF(ISNUMBER($J392),IFERROR(INDEX('TRANS'!$C:$C,MATCH($J392,'TRANS'!$B:$B,0)),IFERROR(INDEX('Catalog'!$B:$B,MATCH($J392,'Catalog'!$A:$A,0)),$B392)),$B392)</f>
        <v>T402 XXL</v>
      </c>
      <c r="D392" s="8" t="n">
        <f aca="false">SUMIFS('SALES Raw'!$C$6:$C$1634,'SALES Raw'!$J$6:$J$1634,$J392,'SALES Raw'!$K$6:$K$1634,"Y")</f>
        <v>5</v>
      </c>
      <c r="E392" s="8" t="n">
        <f aca="false">SUMIFS('SALES Raw'!$D$6:$D$1634,'SALES Raw'!$J$6:$J$1634,$J392,'SALES Raw'!$K$6:$K$1634,"Y")</f>
        <v>218.76</v>
      </c>
      <c r="F392" s="8" t="n">
        <f aca="false">SUMIFS('SALES Raw'!$E$6:$E$1634,'SALES Raw'!$J$6:$J$1634,$J392,'SALES Raw'!$K$6:$K$1634,"Y")*$H$4</f>
        <v>3.78947368421053</v>
      </c>
      <c r="G392" s="8" t="n">
        <f aca="false">SUMIFS('SALES Raw'!$F$6:$F$1634,'SALES Raw'!$J$6:$J$1634,$J392,'SALES Raw'!$K$6:$K$1634,"Y")*$H$4</f>
        <v>138.025263157895</v>
      </c>
      <c r="H392" s="16" t="s">
        <v>37</v>
      </c>
      <c r="I392" s="16" t="s">
        <v>42</v>
      </c>
      <c r="J392" s="16" t="s">
        <v>157</v>
      </c>
    </row>
    <row r="393" customFormat="false" ht="15" hidden="false" customHeight="false" outlineLevel="0" collapsed="false">
      <c r="A393" s="16" t="str">
        <f aca="false">IF(ISNUMBER($J393),$J393,"")</f>
        <v/>
      </c>
      <c r="B393" s="16" t="str">
        <f aca="false">IFERROR(INDEX('SALES Raw'!$B$6:$B$1634,MATCH($J393,'SALES Raw'!$J$6:$J$1634,0)),$J393)</f>
        <v>T43F XXL</v>
      </c>
      <c r="C393" s="16" t="str">
        <f aca="false">IF(ISNUMBER($J393),IFERROR(INDEX('TRANS'!$C:$C,MATCH($J393,'TRANS'!$B:$B,0)),IFERROR(INDEX('Catalog'!$B:$B,MATCH($J393,'Catalog'!$A:$A,0)),$B393)),$B393)</f>
        <v>T43F XXL</v>
      </c>
      <c r="D393" s="8" t="n">
        <f aca="false">SUMIFS('SALES Raw'!$C$6:$C$1634,'SALES Raw'!$J$6:$J$1634,$J393,'SALES Raw'!$K$6:$K$1634,"Y")</f>
        <v>0</v>
      </c>
      <c r="E393" s="8" t="n">
        <f aca="false">SUMIFS('SALES Raw'!$D$6:$D$1634,'SALES Raw'!$J$6:$J$1634,$J393,'SALES Raw'!$K$6:$K$1634,"Y")</f>
        <v>0</v>
      </c>
      <c r="F393" s="8" t="n">
        <f aca="false">SUMIFS('SALES Raw'!$E$6:$E$1634,'SALES Raw'!$J$6:$J$1634,$J393,'SALES Raw'!$K$6:$K$1634,"Y")*$H$4</f>
        <v>3.78947368421053</v>
      </c>
      <c r="G393" s="8" t="n">
        <f aca="false">SUMIFS('SALES Raw'!$F$6:$F$1634,'SALES Raw'!$J$6:$J$1634,$J393,'SALES Raw'!$K$6:$K$1634,"Y")*$H$4</f>
        <v>378.151578947368</v>
      </c>
      <c r="H393" s="16" t="s">
        <v>37</v>
      </c>
      <c r="I393" s="16"/>
      <c r="J393" s="16" t="s">
        <v>158</v>
      </c>
    </row>
    <row r="394" customFormat="false" ht="15" hidden="false" customHeight="false" outlineLevel="0" collapsed="false">
      <c r="A394" s="16" t="n">
        <f aca="false">IF(ISNUMBER($J394),$J394,"")</f>
        <v>4422004</v>
      </c>
      <c r="B394" s="16" t="str">
        <f aca="false">IFERROR(INDEX('SALES Raw'!$B$6:$B$1634,MATCH($J394,'SALES Raw'!$J$6:$J$1634,0)),$J394)</f>
        <v>T78 S</v>
      </c>
      <c r="C394" s="16" t="str">
        <f aca="false">IF(ISNUMBER($J394),IFERROR(INDEX('TRANS'!$C:$C,MATCH($J394,'TRANS'!$B:$B,0)),IFERROR(INDEX('Catalog'!$B:$B,MATCH($J394,'Catalog'!$A:$A,0)),$B394)),$B394)</f>
        <v>T78 S תומך זרוע וכתף</v>
      </c>
      <c r="D394" s="8" t="n">
        <f aca="false">SUMIFS('SALES Raw'!$C$6:$C$1634,'SALES Raw'!$J$6:$J$1634,$J394,'SALES Raw'!$K$6:$K$1634,"Y")</f>
        <v>7</v>
      </c>
      <c r="E394" s="8" t="n">
        <f aca="false">SUMIFS('SALES Raw'!$D$6:$D$1634,'SALES Raw'!$J$6:$J$1634,$J394,'SALES Raw'!$K$6:$K$1634,"Y")</f>
        <v>537.85</v>
      </c>
      <c r="F394" s="8" t="n">
        <f aca="false">SUMIFS('SALES Raw'!$E$6:$E$1634,'SALES Raw'!$J$6:$J$1634,$J394,'SALES Raw'!$K$6:$K$1634,"Y")*$H$4</f>
        <v>3.78947368421053</v>
      </c>
      <c r="G394" s="8" t="n">
        <f aca="false">SUMIFS('SALES Raw'!$F$6:$F$1634,'SALES Raw'!$J$6:$J$1634,$J394,'SALES Raw'!$K$6:$K$1634,"Y")*$H$4</f>
        <v>254.614736842105</v>
      </c>
      <c r="H394" s="16" t="s">
        <v>37</v>
      </c>
      <c r="I394" s="16" t="s">
        <v>41</v>
      </c>
      <c r="J394" s="16" t="n">
        <v>4422004</v>
      </c>
    </row>
    <row r="395" customFormat="false" ht="15" hidden="false" customHeight="false" outlineLevel="0" collapsed="false">
      <c r="A395" s="16" t="str">
        <f aca="false">IF(ISNUMBER($J395),$J395,"")</f>
        <v/>
      </c>
      <c r="B395" s="16" t="str">
        <f aca="false">IFERROR(INDEX('SALES Raw'!$B$6:$B$1634,MATCH($J395,'SALES Raw'!$J$6:$J$1634,0)),$J395)</f>
        <v>59LB L</v>
      </c>
      <c r="C395" s="16" t="str">
        <f aca="false">IF(ISNUMBER($J395),IFERROR(INDEX('TRANS'!$C:$C,MATCH($J395,'TRANS'!$B:$B,0)),IFERROR(INDEX('Catalog'!$B:$B,MATCH($J395,'Catalog'!$A:$A,0)),$B395)),$B395)</f>
        <v>59LB L</v>
      </c>
      <c r="D395" s="8" t="n">
        <f aca="false">SUMIFS('SALES Raw'!$C$6:$C$1634,'SALES Raw'!$J$6:$J$1634,$J395,'SALES Raw'!$K$6:$K$1634,"Y")</f>
        <v>5</v>
      </c>
      <c r="E395" s="8" t="n">
        <f aca="false">SUMIFS('SALES Raw'!$D$6:$D$1634,'SALES Raw'!$J$6:$J$1634,$J395,'SALES Raw'!$K$6:$K$1634,"Y")</f>
        <v>405.71</v>
      </c>
      <c r="F395" s="8" t="n">
        <f aca="false">SUMIFS('SALES Raw'!$E$6:$E$1634,'SALES Raw'!$J$6:$J$1634,$J395,'SALES Raw'!$K$6:$K$1634,"Y")*$H$4</f>
        <v>3.78947368421053</v>
      </c>
      <c r="G395" s="8" t="n">
        <f aca="false">SUMIFS('SALES Raw'!$F$6:$F$1634,'SALES Raw'!$J$6:$J$1634,$J395,'SALES Raw'!$K$6:$K$1634,"Y")*$H$4</f>
        <v>294.732631578947</v>
      </c>
      <c r="H395" s="16" t="s">
        <v>42</v>
      </c>
      <c r="I395" s="16"/>
      <c r="J395" s="16" t="s">
        <v>159</v>
      </c>
    </row>
    <row r="396" customFormat="false" ht="15" hidden="false" customHeight="false" outlineLevel="0" collapsed="false">
      <c r="A396" s="16" t="str">
        <f aca="false">IF(ISNUMBER($J396),$J396,"")</f>
        <v/>
      </c>
      <c r="B396" s="16" t="str">
        <f aca="false">IFERROR(INDEX('SALES Raw'!$B$6:$B$1634,MATCH($J396,'SALES Raw'!$J$6:$J$1634,0)),$J396)</f>
        <v>59LB M</v>
      </c>
      <c r="C396" s="16" t="str">
        <f aca="false">IF(ISNUMBER($J396),IFERROR(INDEX('TRANS'!$C:$C,MATCH($J396,'TRANS'!$B:$B,0)),IFERROR(INDEX('Catalog'!$B:$B,MATCH($J396,'Catalog'!$A:$A,0)),$B396)),$B396)</f>
        <v>59LB M</v>
      </c>
      <c r="D396" s="8" t="n">
        <f aca="false">SUMIFS('SALES Raw'!$C$6:$C$1634,'SALES Raw'!$J$6:$J$1634,$J396,'SALES Raw'!$K$6:$K$1634,"Y")</f>
        <v>5</v>
      </c>
      <c r="E396" s="8" t="n">
        <f aca="false">SUMIFS('SALES Raw'!$D$6:$D$1634,'SALES Raw'!$J$6:$J$1634,$J396,'SALES Raw'!$K$6:$K$1634,"Y")</f>
        <v>405.71</v>
      </c>
      <c r="F396" s="8" t="n">
        <f aca="false">SUMIFS('SALES Raw'!$E$6:$E$1634,'SALES Raw'!$J$6:$J$1634,$J396,'SALES Raw'!$K$6:$K$1634,"Y")*$H$4</f>
        <v>3.78947368421053</v>
      </c>
      <c r="G396" s="8" t="n">
        <f aca="false">SUMIFS('SALES Raw'!$F$6:$F$1634,'SALES Raw'!$J$6:$J$1634,$J396,'SALES Raw'!$K$6:$K$1634,"Y")*$H$4</f>
        <v>294.732631578947</v>
      </c>
      <c r="H396" s="16" t="s">
        <v>42</v>
      </c>
      <c r="I396" s="16"/>
      <c r="J396" s="16" t="s">
        <v>160</v>
      </c>
    </row>
    <row r="397" customFormat="false" ht="15" hidden="false" customHeight="false" outlineLevel="0" collapsed="false">
      <c r="A397" s="16" t="str">
        <f aca="false">IF(ISNUMBER($J397),$J397,"")</f>
        <v/>
      </c>
      <c r="B397" s="16" t="str">
        <f aca="false">IFERROR(INDEX('SALES Raw'!$B$6:$B$1634,MATCH($J397,'SALES Raw'!$J$6:$J$1634,0)),$J397)</f>
        <v>59RB L</v>
      </c>
      <c r="C397" s="16" t="str">
        <f aca="false">IF(ISNUMBER($J397),IFERROR(INDEX('TRANS'!$C:$C,MATCH($J397,'TRANS'!$B:$B,0)),IFERROR(INDEX('Catalog'!$B:$B,MATCH($J397,'Catalog'!$A:$A,0)),$B397)),$B397)</f>
        <v>59RB L</v>
      </c>
      <c r="D397" s="8" t="n">
        <f aca="false">SUMIFS('SALES Raw'!$C$6:$C$1634,'SALES Raw'!$J$6:$J$1634,$J397,'SALES Raw'!$K$6:$K$1634,"Y")</f>
        <v>5</v>
      </c>
      <c r="E397" s="8" t="n">
        <f aca="false">SUMIFS('SALES Raw'!$D$6:$D$1634,'SALES Raw'!$J$6:$J$1634,$J397,'SALES Raw'!$K$6:$K$1634,"Y")</f>
        <v>405.71</v>
      </c>
      <c r="F397" s="8" t="n">
        <f aca="false">SUMIFS('SALES Raw'!$E$6:$E$1634,'SALES Raw'!$J$6:$J$1634,$J397,'SALES Raw'!$K$6:$K$1634,"Y")*$H$4</f>
        <v>3.78947368421053</v>
      </c>
      <c r="G397" s="8" t="n">
        <f aca="false">SUMIFS('SALES Raw'!$F$6:$F$1634,'SALES Raw'!$J$6:$J$1634,$J397,'SALES Raw'!$K$6:$K$1634,"Y")*$H$4</f>
        <v>294.732631578947</v>
      </c>
      <c r="H397" s="16" t="s">
        <v>42</v>
      </c>
      <c r="I397" s="16"/>
      <c r="J397" s="16" t="s">
        <v>161</v>
      </c>
    </row>
    <row r="398" customFormat="false" ht="15" hidden="false" customHeight="false" outlineLevel="0" collapsed="false">
      <c r="A398" s="16" t="str">
        <f aca="false">IF(ISNUMBER($J398),$J398,"")</f>
        <v/>
      </c>
      <c r="B398" s="16" t="str">
        <f aca="false">IFERROR(INDEX('SALES Raw'!$B$6:$B$1634,MATCH($J398,'SALES Raw'!$J$6:$J$1634,0)),$J398)</f>
        <v>59RB M</v>
      </c>
      <c r="C398" s="16" t="str">
        <f aca="false">IF(ISNUMBER($J398),IFERROR(INDEX('TRANS'!$C:$C,MATCH($J398,'TRANS'!$B:$B,0)),IFERROR(INDEX('Catalog'!$B:$B,MATCH($J398,'Catalog'!$A:$A,0)),$B398)),$B398)</f>
        <v>59RB M</v>
      </c>
      <c r="D398" s="8" t="n">
        <f aca="false">SUMIFS('SALES Raw'!$C$6:$C$1634,'SALES Raw'!$J$6:$J$1634,$J398,'SALES Raw'!$K$6:$K$1634,"Y")</f>
        <v>5</v>
      </c>
      <c r="E398" s="8" t="n">
        <f aca="false">SUMIFS('SALES Raw'!$D$6:$D$1634,'SALES Raw'!$J$6:$J$1634,$J398,'SALES Raw'!$K$6:$K$1634,"Y")</f>
        <v>405.71</v>
      </c>
      <c r="F398" s="8" t="n">
        <f aca="false">SUMIFS('SALES Raw'!$E$6:$E$1634,'SALES Raw'!$J$6:$J$1634,$J398,'SALES Raw'!$K$6:$K$1634,"Y")*$H$4</f>
        <v>3.78947368421053</v>
      </c>
      <c r="G398" s="8" t="n">
        <f aca="false">SUMIFS('SALES Raw'!$F$6:$F$1634,'SALES Raw'!$J$6:$J$1634,$J398,'SALES Raw'!$K$6:$K$1634,"Y")*$H$4</f>
        <v>294.732631578947</v>
      </c>
      <c r="H398" s="16" t="s">
        <v>42</v>
      </c>
      <c r="I398" s="16"/>
      <c r="J398" s="16" t="s">
        <v>162</v>
      </c>
    </row>
    <row r="399" customFormat="false" ht="15" hidden="false" customHeight="false" outlineLevel="0" collapsed="false">
      <c r="A399" s="16" t="n">
        <f aca="false">IF(ISNUMBER($J399),$J399,"")</f>
        <v>4413126</v>
      </c>
      <c r="B399" s="16" t="str">
        <f aca="false">IFERROR(INDEX('SALES Raw'!$B$6:$B$1634,MATCH($J399,'SALES Raw'!$J$6:$J$1634,0)),$J399)</f>
        <v>75 S</v>
      </c>
      <c r="C399" s="16" t="str">
        <f aca="false">IF(ISNUMBER($J399),IFERROR(INDEX('TRANS'!$C:$C,MATCH($J399,'TRANS'!$B:$B,0)),IFERROR(INDEX('Catalog'!$B:$B,MATCH($J399,'Catalog'!$A:$A,0)),$B399)),$B399)</f>
        <v>75 Sמיישר כתף יציב יישור גב צר</v>
      </c>
      <c r="D399" s="8" t="n">
        <f aca="false">SUMIFS('SALES Raw'!$C$6:$C$1634,'SALES Raw'!$J$6:$J$1634,$J399,'SALES Raw'!$K$6:$K$1634,"Y")</f>
        <v>2</v>
      </c>
      <c r="E399" s="8" t="n">
        <f aca="false">SUMIFS('SALES Raw'!$D$6:$D$1634,'SALES Raw'!$J$6:$J$1634,$J399,'SALES Raw'!$K$6:$K$1634,"Y")</f>
        <v>123.61</v>
      </c>
      <c r="F399" s="8" t="n">
        <f aca="false">SUMIFS('SALES Raw'!$E$6:$E$1634,'SALES Raw'!$J$6:$J$1634,$J399,'SALES Raw'!$K$6:$K$1634,"Y")*$H$4</f>
        <v>3.78947368421053</v>
      </c>
      <c r="G399" s="8" t="n">
        <f aca="false">SUMIFS('SALES Raw'!$F$6:$F$1634,'SALES Raw'!$J$6:$J$1634,$J399,'SALES Raw'!$K$6:$K$1634,"Y")*$H$4</f>
        <v>264.707368421053</v>
      </c>
      <c r="H399" s="16" t="s">
        <v>42</v>
      </c>
      <c r="I399" s="16"/>
      <c r="J399" s="16" t="n">
        <v>4413126</v>
      </c>
    </row>
    <row r="400" customFormat="false" ht="15" hidden="false" customHeight="false" outlineLevel="0" collapsed="false">
      <c r="A400" s="16" t="n">
        <f aca="false">IF(ISNUMBER($J400),$J400,"")</f>
        <v>4408028</v>
      </c>
      <c r="B400" s="16" t="str">
        <f aca="false">IFERROR(INDEX('SALES Raw'!$B$6:$B$1634,MATCH($J400,'SALES Raw'!$J$6:$J$1634,0)),$J400)</f>
        <v>10 M</v>
      </c>
      <c r="C400" s="16" t="str">
        <f aca="false">IF(ISNUMBER($J400),IFERROR(INDEX('TRANS'!$C:$C,MATCH($J400,'TRANS'!$B:$B,0)),IFERROR(INDEX('Catalog'!$B:$B,MATCH($J400,'Catalog'!$A:$A,0)),$B400)),$B400)</f>
        <v>10 M """"חגורת גב """"לומבו</v>
      </c>
      <c r="D400" s="8" t="n">
        <f aca="false">SUMIFS('SALES Raw'!$C$6:$C$1634,'SALES Raw'!$J$6:$J$1634,$J400,'SALES Raw'!$K$6:$K$1634,"Y")</f>
        <v>24</v>
      </c>
      <c r="E400" s="8" t="n">
        <f aca="false">SUMIFS('SALES Raw'!$D$6:$D$1634,'SALES Raw'!$J$6:$J$1634,$J400,'SALES Raw'!$K$6:$K$1634,"Y")</f>
        <v>1905.14</v>
      </c>
      <c r="F400" s="8" t="n">
        <f aca="false">SUMIFS('SALES Raw'!$E$6:$E$1634,'SALES Raw'!$J$6:$J$1634,$J400,'SALES Raw'!$K$6:$K$1634,"Y")*$H$4</f>
        <v>2.52631578947368</v>
      </c>
      <c r="G400" s="8" t="n">
        <f aca="false">SUMIFS('SALES Raw'!$F$6:$F$1634,'SALES Raw'!$J$6:$J$1634,$J400,'SALES Raw'!$K$6:$K$1634,"Y")*$H$4</f>
        <v>164.703157894737</v>
      </c>
      <c r="H400" s="16" t="s">
        <v>37</v>
      </c>
      <c r="I400" s="16" t="s">
        <v>32</v>
      </c>
      <c r="J400" s="16" t="n">
        <v>4408028</v>
      </c>
    </row>
    <row r="401" customFormat="false" ht="15" hidden="false" customHeight="false" outlineLevel="0" collapsed="false">
      <c r="A401" s="16" t="n">
        <f aca="false">IF(ISNUMBER($J401),$J401,"")</f>
        <v>4413394</v>
      </c>
      <c r="B401" s="16" t="str">
        <f aca="false">IFERROR(INDEX('SALES Raw'!$B$6:$B$1634,MATCH($J401,'SALES Raw'!$J$6:$J$1634,0)),$J401)</f>
        <v>45EC S</v>
      </c>
      <c r="C401" s="16" t="str">
        <f aca="false">IF(ISNUMBER($J401),IFERROR(INDEX('TRANS'!$C:$C,MATCH($J401,'TRANS'!$B:$B,0)),IFERROR(INDEX('Catalog'!$B:$B,MATCH($J401,'Catalog'!$A:$A,0)),$B401)),$B401)</f>
        <v>45EC S 'מגן ברך ארוך בז</v>
      </c>
      <c r="D401" s="8" t="n">
        <f aca="false">SUMIFS('SALES Raw'!$C$6:$C$1634,'SALES Raw'!$J$6:$J$1634,$J401,'SALES Raw'!$K$6:$K$1634,"Y")</f>
        <v>0</v>
      </c>
      <c r="E401" s="8" t="n">
        <f aca="false">SUMIFS('SALES Raw'!$D$6:$D$1634,'SALES Raw'!$J$6:$J$1634,$J401,'SALES Raw'!$K$6:$K$1634,"Y")</f>
        <v>0</v>
      </c>
      <c r="F401" s="8" t="n">
        <f aca="false">SUMIFS('SALES Raw'!$E$6:$E$1634,'SALES Raw'!$J$6:$J$1634,$J401,'SALES Raw'!$K$6:$K$1634,"Y")*$H$4</f>
        <v>2.52631578947368</v>
      </c>
      <c r="G401" s="8" t="n">
        <f aca="false">SUMIFS('SALES Raw'!$F$6:$F$1634,'SALES Raw'!$J$6:$J$1634,$J401,'SALES Raw'!$K$6:$K$1634,"Y")*$H$4</f>
        <v>28.1052631578947</v>
      </c>
      <c r="H401" s="16" t="s">
        <v>32</v>
      </c>
      <c r="I401" s="16"/>
      <c r="J401" s="16" t="n">
        <v>4413394</v>
      </c>
    </row>
    <row r="402" customFormat="false" ht="15" hidden="false" customHeight="false" outlineLevel="0" collapsed="false">
      <c r="A402" s="16" t="n">
        <f aca="false">IF(ISNUMBER($J402),$J402,"")</f>
        <v>4408077</v>
      </c>
      <c r="B402" s="16" t="str">
        <f aca="false">IFERROR(INDEX('SALES Raw'!$B$6:$B$1634,MATCH($J402,'SALES Raw'!$J$6:$J$1634,0)),$J402)</f>
        <v>59L M</v>
      </c>
      <c r="C402" s="16" t="str">
        <f aca="false">IF(ISNUMBER($J402),IFERROR(INDEX('TRANS'!$C:$C,MATCH($J402,'TRANS'!$B:$B,0)),IFERROR(INDEX('Catalog'!$B:$B,MATCH($J402,'Catalog'!$A:$A,0)),$B402)),$B402)</f>
        <v>59L M חגורת שבר לצד שמאל</v>
      </c>
      <c r="D402" s="8" t="n">
        <f aca="false">SUMIFS('SALES Raw'!$C$6:$C$1634,'SALES Raw'!$J$6:$J$1634,$J402,'SALES Raw'!$K$6:$K$1634,"Y")</f>
        <v>0</v>
      </c>
      <c r="E402" s="8" t="n">
        <f aca="false">SUMIFS('SALES Raw'!$D$6:$D$1634,'SALES Raw'!$J$6:$J$1634,$J402,'SALES Raw'!$K$6:$K$1634,"Y")</f>
        <v>0</v>
      </c>
      <c r="F402" s="8" t="n">
        <f aca="false">SUMIFS('SALES Raw'!$E$6:$E$1634,'SALES Raw'!$J$6:$J$1634,$J402,'SALES Raw'!$K$6:$K$1634,"Y")*$H$4</f>
        <v>2.52631578947368</v>
      </c>
      <c r="G402" s="8" t="n">
        <f aca="false">SUMIFS('SALES Raw'!$F$6:$F$1634,'SALES Raw'!$J$6:$J$1634,$J402,'SALES Raw'!$K$6:$K$1634,"Y")*$H$4</f>
        <v>198.644210526316</v>
      </c>
      <c r="H402" s="16" t="s">
        <v>32</v>
      </c>
      <c r="I402" s="16"/>
      <c r="J402" s="16" t="n">
        <v>4408077</v>
      </c>
    </row>
    <row r="403" customFormat="false" ht="15" hidden="false" customHeight="false" outlineLevel="0" collapsed="false">
      <c r="A403" s="16" t="n">
        <f aca="false">IF(ISNUMBER($J403),$J403,"")</f>
        <v>4408078</v>
      </c>
      <c r="B403" s="16" t="str">
        <f aca="false">IFERROR(INDEX('SALES Raw'!$B$6:$B$1634,MATCH($J403,'SALES Raw'!$J$6:$J$1634,0)),$J403)</f>
        <v>59L XL</v>
      </c>
      <c r="C403" s="16" t="str">
        <f aca="false">IF(ISNUMBER($J403),IFERROR(INDEX('TRANS'!$C:$C,MATCH($J403,'TRANS'!$B:$B,0)),IFERROR(INDEX('Catalog'!$B:$B,MATCH($J403,'Catalog'!$A:$A,0)),$B403)),$B403)</f>
        <v>59L XLחגורת שבר לצד שמאל</v>
      </c>
      <c r="D403" s="8" t="n">
        <f aca="false">SUMIFS('SALES Raw'!$C$6:$C$1634,'SALES Raw'!$J$6:$J$1634,$J403,'SALES Raw'!$K$6:$K$1634,"Y")</f>
        <v>1</v>
      </c>
      <c r="E403" s="8" t="n">
        <f aca="false">SUMIFS('SALES Raw'!$D$6:$D$1634,'SALES Raw'!$J$6:$J$1634,$J403,'SALES Raw'!$K$6:$K$1634,"Y")</f>
        <v>81.3</v>
      </c>
      <c r="F403" s="8" t="n">
        <f aca="false">SUMIFS('SALES Raw'!$E$6:$E$1634,'SALES Raw'!$J$6:$J$1634,$J403,'SALES Raw'!$K$6:$K$1634,"Y")*$H$4</f>
        <v>2.52631578947368</v>
      </c>
      <c r="G403" s="8" t="n">
        <f aca="false">SUMIFS('SALES Raw'!$F$6:$F$1634,'SALES Raw'!$J$6:$J$1634,$J403,'SALES Raw'!$K$6:$K$1634,"Y")*$H$4</f>
        <v>198.644210526316</v>
      </c>
      <c r="H403" s="16" t="s">
        <v>32</v>
      </c>
      <c r="I403" s="16"/>
      <c r="J403" s="16" t="n">
        <v>4408078</v>
      </c>
    </row>
    <row r="404" customFormat="false" ht="15" hidden="false" customHeight="false" outlineLevel="0" collapsed="false">
      <c r="A404" s="16" t="n">
        <f aca="false">IF(ISNUMBER($J404),$J404,"")</f>
        <v>4408081</v>
      </c>
      <c r="B404" s="16" t="str">
        <f aca="false">IFERROR(INDEX('SALES Raw'!$B$6:$B$1634,MATCH($J404,'SALES Raw'!$J$6:$J$1634,0)),$J404)</f>
        <v>59R M</v>
      </c>
      <c r="C404" s="16" t="str">
        <f aca="false">IF(ISNUMBER($J404),IFERROR(INDEX('TRANS'!$C:$C,MATCH($J404,'TRANS'!$B:$B,0)),IFERROR(INDEX('Catalog'!$B:$B,MATCH($J404,'Catalog'!$A:$A,0)),$B404)),$B404)</f>
        <v>59R M חגורת שבר לצד ימין</v>
      </c>
      <c r="D404" s="8" t="n">
        <f aca="false">SUMIFS('SALES Raw'!$C$6:$C$1634,'SALES Raw'!$J$6:$J$1634,$J404,'SALES Raw'!$K$6:$K$1634,"Y")</f>
        <v>1</v>
      </c>
      <c r="E404" s="8" t="n">
        <f aca="false">SUMIFS('SALES Raw'!$D$6:$D$1634,'SALES Raw'!$J$6:$J$1634,$J404,'SALES Raw'!$K$6:$K$1634,"Y")</f>
        <v>81.3</v>
      </c>
      <c r="F404" s="8" t="n">
        <f aca="false">SUMIFS('SALES Raw'!$E$6:$E$1634,'SALES Raw'!$J$6:$J$1634,$J404,'SALES Raw'!$K$6:$K$1634,"Y")*$H$4</f>
        <v>2.52631578947368</v>
      </c>
      <c r="G404" s="8" t="n">
        <f aca="false">SUMIFS('SALES Raw'!$F$6:$F$1634,'SALES Raw'!$J$6:$J$1634,$J404,'SALES Raw'!$K$6:$K$1634,"Y")*$H$4</f>
        <v>198.644210526316</v>
      </c>
      <c r="H404" s="16" t="s">
        <v>32</v>
      </c>
      <c r="I404" s="16"/>
      <c r="J404" s="16" t="n">
        <v>4408081</v>
      </c>
    </row>
    <row r="405" customFormat="false" ht="15" hidden="false" customHeight="false" outlineLevel="0" collapsed="false">
      <c r="A405" s="16" t="n">
        <f aca="false">IF(ISNUMBER($J405),$J405,"")</f>
        <v>4413416</v>
      </c>
      <c r="B405" s="16" t="str">
        <f aca="false">IFERROR(INDEX('SALES Raw'!$B$6:$B$1634,MATCH($J405,'SALES Raw'!$J$6:$J$1634,0)),$J405)</f>
        <v>SC39 M</v>
      </c>
      <c r="C405" s="16" t="str">
        <f aca="false">IF(ISNUMBER($J405),IFERROR(INDEX('TRANS'!$C:$C,MATCH($J405,'TRANS'!$B:$B,0)),IFERROR(INDEX('Catalog'!$B:$B,MATCH($J405,'Catalog'!$A:$A,0)),$B405)),$B405)</f>
        <v>SC39  M מגן שוק</v>
      </c>
      <c r="D405" s="8" t="n">
        <f aca="false">SUMIFS('SALES Raw'!$C$6:$C$1634,'SALES Raw'!$J$6:$J$1634,$J405,'SALES Raw'!$K$6:$K$1634,"Y")</f>
        <v>0</v>
      </c>
      <c r="E405" s="8" t="n">
        <f aca="false">SUMIFS('SALES Raw'!$D$6:$D$1634,'SALES Raw'!$J$6:$J$1634,$J405,'SALES Raw'!$K$6:$K$1634,"Y")</f>
        <v>0</v>
      </c>
      <c r="F405" s="8" t="n">
        <f aca="false">SUMIFS('SALES Raw'!$E$6:$E$1634,'SALES Raw'!$J$6:$J$1634,$J405,'SALES Raw'!$K$6:$K$1634,"Y")*$H$4</f>
        <v>2.52631578947368</v>
      </c>
      <c r="G405" s="8" t="n">
        <f aca="false">SUMIFS('SALES Raw'!$F$6:$F$1634,'SALES Raw'!$J$6:$J$1634,$J405,'SALES Raw'!$K$6:$K$1634,"Y")*$H$4</f>
        <v>207.511578947368</v>
      </c>
      <c r="H405" s="16" t="s">
        <v>32</v>
      </c>
      <c r="I405" s="16"/>
      <c r="J405" s="16" t="n">
        <v>4413416</v>
      </c>
    </row>
    <row r="406" customFormat="false" ht="15" hidden="false" customHeight="false" outlineLevel="0" collapsed="false">
      <c r="A406" s="16" t="n">
        <f aca="false">IF(ISNUMBER($J406),$J406,"")</f>
        <v>4413415</v>
      </c>
      <c r="B406" s="16" t="str">
        <f aca="false">IFERROR(INDEX('SALES Raw'!$B$6:$B$1634,MATCH($J406,'SALES Raw'!$J$6:$J$1634,0)),$J406)</f>
        <v>SC39 S</v>
      </c>
      <c r="C406" s="16" t="str">
        <f aca="false">IF(ISNUMBER($J406),IFERROR(INDEX('TRANS'!$C:$C,MATCH($J406,'TRANS'!$B:$B,0)),IFERROR(INDEX('Catalog'!$B:$B,MATCH($J406,'Catalog'!$A:$A,0)),$B406)),$B406)</f>
        <v>SC39  S מגן שוק</v>
      </c>
      <c r="D406" s="8" t="n">
        <f aca="false">SUMIFS('SALES Raw'!$C$6:$C$1634,'SALES Raw'!$J$6:$J$1634,$J406,'SALES Raw'!$K$6:$K$1634,"Y")</f>
        <v>0</v>
      </c>
      <c r="E406" s="8" t="n">
        <f aca="false">SUMIFS('SALES Raw'!$D$6:$D$1634,'SALES Raw'!$J$6:$J$1634,$J406,'SALES Raw'!$K$6:$K$1634,"Y")</f>
        <v>0</v>
      </c>
      <c r="F406" s="8" t="n">
        <f aca="false">SUMIFS('SALES Raw'!$E$6:$E$1634,'SALES Raw'!$J$6:$J$1634,$J406,'SALES Raw'!$K$6:$K$1634,"Y")*$H$4</f>
        <v>2.52631578947368</v>
      </c>
      <c r="G406" s="8" t="n">
        <f aca="false">SUMIFS('SALES Raw'!$F$6:$F$1634,'SALES Raw'!$J$6:$J$1634,$J406,'SALES Raw'!$K$6:$K$1634,"Y")*$H$4</f>
        <v>207.511578947368</v>
      </c>
      <c r="H406" s="16" t="s">
        <v>32</v>
      </c>
      <c r="I406" s="16"/>
      <c r="J406" s="16" t="n">
        <v>4413415</v>
      </c>
    </row>
    <row r="407" customFormat="false" ht="15" hidden="false" customHeight="false" outlineLevel="0" collapsed="false">
      <c r="A407" s="16" t="n">
        <f aca="false">IF(ISNUMBER($J407),$J407,"")</f>
        <v>4413440</v>
      </c>
      <c r="B407" s="16" t="str">
        <f aca="false">IFERROR(INDEX('SALES Raw'!$B$6:$B$1634,MATCH($J407,'SALES Raw'!$J$6:$J$1634,0)),$J407)</f>
        <v>SC422 L</v>
      </c>
      <c r="C407" s="16" t="str">
        <f aca="false">IF(ISNUMBER($J407),IFERROR(INDEX('TRANS'!$C:$C,MATCH($J407,'TRANS'!$B:$B,0)),IFERROR(INDEX('Catalog'!$B:$B,MATCH($J407,'Catalog'!$A:$A,0)),$B407)),$B407)</f>
        <v>SC422  L מגן ברך</v>
      </c>
      <c r="D407" s="8" t="n">
        <f aca="false">SUMIFS('SALES Raw'!$C$6:$C$1634,'SALES Raw'!$J$6:$J$1634,$J407,'SALES Raw'!$K$6:$K$1634,"Y")</f>
        <v>0</v>
      </c>
      <c r="E407" s="8" t="n">
        <f aca="false">SUMIFS('SALES Raw'!$D$6:$D$1634,'SALES Raw'!$J$6:$J$1634,$J407,'SALES Raw'!$K$6:$K$1634,"Y")</f>
        <v>0</v>
      </c>
      <c r="F407" s="8" t="n">
        <f aca="false">SUMIFS('SALES Raw'!$E$6:$E$1634,'SALES Raw'!$J$6:$J$1634,$J407,'SALES Raw'!$K$6:$K$1634,"Y")*$H$4</f>
        <v>2.52631578947368</v>
      </c>
      <c r="G407" s="8" t="n">
        <f aca="false">SUMIFS('SALES Raw'!$F$6:$F$1634,'SALES Raw'!$J$6:$J$1634,$J407,'SALES Raw'!$K$6:$K$1634,"Y")*$H$4</f>
        <v>173.355789473684</v>
      </c>
      <c r="H407" s="16" t="s">
        <v>32</v>
      </c>
      <c r="I407" s="16"/>
      <c r="J407" s="16" t="n">
        <v>4413440</v>
      </c>
    </row>
    <row r="408" customFormat="false" ht="15" hidden="false" customHeight="false" outlineLevel="0" collapsed="false">
      <c r="A408" s="16" t="str">
        <f aca="false">IF(ISNUMBER($J408),$J408,"")</f>
        <v/>
      </c>
      <c r="B408" s="16" t="str">
        <f aca="false">IFERROR(INDEX('SALES Raw'!$B$6:$B$1634,MATCH($J408,'SALES Raw'!$J$6:$J$1634,0)),$J408)</f>
        <v>SH776 M</v>
      </c>
      <c r="C408" s="16" t="str">
        <f aca="false">IF(ISNUMBER($J408),IFERROR(INDEX('TRANS'!$C:$C,MATCH($J408,'TRANS'!$B:$B,0)),IFERROR(INDEX('Catalog'!$B:$B,MATCH($J408,'Catalog'!$A:$A,0)),$B408)),$B408)</f>
        <v>SH776 M</v>
      </c>
      <c r="D408" s="8" t="n">
        <f aca="false">SUMIFS('SALES Raw'!$C$6:$C$1634,'SALES Raw'!$J$6:$J$1634,$J408,'SALES Raw'!$K$6:$K$1634,"Y")</f>
        <v>0</v>
      </c>
      <c r="E408" s="8" t="n">
        <f aca="false">SUMIFS('SALES Raw'!$D$6:$D$1634,'SALES Raw'!$J$6:$J$1634,$J408,'SALES Raw'!$K$6:$K$1634,"Y")</f>
        <v>0</v>
      </c>
      <c r="F408" s="8" t="n">
        <f aca="false">SUMIFS('SALES Raw'!$E$6:$E$1634,'SALES Raw'!$J$6:$J$1634,$J408,'SALES Raw'!$K$6:$K$1634,"Y")*$H$4</f>
        <v>2.52631578947368</v>
      </c>
      <c r="G408" s="8" t="n">
        <f aca="false">SUMIFS('SALES Raw'!$F$6:$F$1634,'SALES Raw'!$J$6:$J$1634,$J408,'SALES Raw'!$K$6:$K$1634,"Y")*$H$4</f>
        <v>389.848421052632</v>
      </c>
      <c r="H408" s="16" t="s">
        <v>32</v>
      </c>
      <c r="I408" s="16"/>
      <c r="J408" s="16" t="s">
        <v>163</v>
      </c>
    </row>
    <row r="409" customFormat="false" ht="15" hidden="false" customHeight="false" outlineLevel="0" collapsed="false">
      <c r="A409" s="16" t="str">
        <f aca="false">IF(ISNUMBER($J409),$J409,"")</f>
        <v/>
      </c>
      <c r="B409" s="16" t="str">
        <f aca="false">IFERROR(INDEX('SALES Raw'!$B$6:$B$1634,MATCH($J409,'SALES Raw'!$J$6:$J$1634,0)),$J409)</f>
        <v>SH776 S</v>
      </c>
      <c r="C409" s="16" t="str">
        <f aca="false">IF(ISNUMBER($J409),IFERROR(INDEX('TRANS'!$C:$C,MATCH($J409,'TRANS'!$B:$B,0)),IFERROR(INDEX('Catalog'!$B:$B,MATCH($J409,'Catalog'!$A:$A,0)),$B409)),$B409)</f>
        <v>SH776 S</v>
      </c>
      <c r="D409" s="8" t="n">
        <f aca="false">SUMIFS('SALES Raw'!$C$6:$C$1634,'SALES Raw'!$J$6:$J$1634,$J409,'SALES Raw'!$K$6:$K$1634,"Y")</f>
        <v>0</v>
      </c>
      <c r="E409" s="8" t="n">
        <f aca="false">SUMIFS('SALES Raw'!$D$6:$D$1634,'SALES Raw'!$J$6:$J$1634,$J409,'SALES Raw'!$K$6:$K$1634,"Y")</f>
        <v>0</v>
      </c>
      <c r="F409" s="8" t="n">
        <f aca="false">SUMIFS('SALES Raw'!$E$6:$E$1634,'SALES Raw'!$J$6:$J$1634,$J409,'SALES Raw'!$K$6:$K$1634,"Y")*$H$4</f>
        <v>2.52631578947368</v>
      </c>
      <c r="G409" s="8" t="n">
        <f aca="false">SUMIFS('SALES Raw'!$F$6:$F$1634,'SALES Raw'!$J$6:$J$1634,$J409,'SALES Raw'!$K$6:$K$1634,"Y")*$H$4</f>
        <v>389.848421052632</v>
      </c>
      <c r="H409" s="16" t="s">
        <v>32</v>
      </c>
      <c r="I409" s="16"/>
      <c r="J409" s="16" t="s">
        <v>164</v>
      </c>
    </row>
    <row r="410" customFormat="false" ht="15" hidden="false" customHeight="false" outlineLevel="0" collapsed="false">
      <c r="A410" s="16" t="n">
        <f aca="false">IF(ISNUMBER($J410),$J410,"")</f>
        <v>4419013</v>
      </c>
      <c r="B410" s="16" t="str">
        <f aca="false">IFERROR(INDEX('SALES Raw'!$B$6:$B$1634,MATCH($J410,'SALES Raw'!$J$6:$J$1634,0)),$J410)</f>
        <v>239B-L-XL</v>
      </c>
      <c r="C410" s="16" t="str">
        <f aca="false">IF(ISNUMBER($J410),IFERROR(INDEX('TRANS'!$C:$C,MATCH($J410,'TRANS'!$B:$B,0)),IFERROR(INDEX('Catalog'!$B:$B,MATCH($J410,'Catalog'!$A:$A,0)),$B410)),$B410)</f>
        <v>239B L-XL STRAP4U</v>
      </c>
      <c r="D410" s="8" t="n">
        <f aca="false">SUMIFS('SALES Raw'!$C$6:$C$1634,'SALES Raw'!$J$6:$J$1634,$J410,'SALES Raw'!$K$6:$K$1634,"Y")</f>
        <v>24</v>
      </c>
      <c r="E410" s="8" t="n">
        <f aca="false">SUMIFS('SALES Raw'!$D$6:$D$1634,'SALES Raw'!$J$6:$J$1634,$J410,'SALES Raw'!$K$6:$K$1634,"Y")</f>
        <v>389.34</v>
      </c>
      <c r="F410" s="8" t="n">
        <f aca="false">SUMIFS('SALES Raw'!$E$6:$E$1634,'SALES Raw'!$J$6:$J$1634,$J410,'SALES Raw'!$K$6:$K$1634,"Y")*$H$4</f>
        <v>2.52631578947368</v>
      </c>
      <c r="G410" s="8" t="n">
        <f aca="false">SUMIFS('SALES Raw'!$F$6:$F$1634,'SALES Raw'!$J$6:$J$1634,$J410,'SALES Raw'!$K$6:$K$1634,"Y")*$H$4</f>
        <v>132.088421052632</v>
      </c>
      <c r="H410" s="16" t="s">
        <v>44</v>
      </c>
      <c r="I410" s="16" t="s">
        <v>35</v>
      </c>
      <c r="J410" s="16" t="n">
        <v>4419013</v>
      </c>
    </row>
    <row r="411" customFormat="false" ht="15" hidden="false" customHeight="false" outlineLevel="0" collapsed="false">
      <c r="A411" s="16" t="str">
        <f aca="false">IF(ISNUMBER($J411),$J411,"")</f>
        <v/>
      </c>
      <c r="B411" s="16" t="str">
        <f aca="false">IFERROR(INDEX('SALES Raw'!$B$6:$B$1634,MATCH($J411,'SALES Raw'!$J$6:$J$1634,0)),$J411)</f>
        <v>T33 L</v>
      </c>
      <c r="C411" s="16" t="str">
        <f aca="false">IF(ISNUMBER($J411),IFERROR(INDEX('TRANS'!$C:$C,MATCH($J411,'TRANS'!$B:$B,0)),IFERROR(INDEX('Catalog'!$B:$B,MATCH($J411,'Catalog'!$A:$A,0)),$B411)),$B411)</f>
        <v>T33 L</v>
      </c>
      <c r="D411" s="8" t="n">
        <f aca="false">SUMIFS('SALES Raw'!$C$6:$C$1634,'SALES Raw'!$J$6:$J$1634,$J411,'SALES Raw'!$K$6:$K$1634,"Y")</f>
        <v>32</v>
      </c>
      <c r="E411" s="8" t="n">
        <f aca="false">SUMIFS('SALES Raw'!$D$6:$D$1634,'SALES Raw'!$J$6:$J$1634,$J411,'SALES Raw'!$K$6:$K$1634,"Y")</f>
        <v>1895.32</v>
      </c>
      <c r="F411" s="8" t="n">
        <f aca="false">SUMIFS('SALES Raw'!$E$6:$E$1634,'SALES Raw'!$J$6:$J$1634,$J411,'SALES Raw'!$K$6:$K$1634,"Y")*$H$4</f>
        <v>2.52631578947368</v>
      </c>
      <c r="G411" s="8" t="n">
        <f aca="false">SUMIFS('SALES Raw'!$F$6:$F$1634,'SALES Raw'!$J$6:$J$1634,$J411,'SALES Raw'!$K$6:$K$1634,"Y")*$H$4</f>
        <v>133.869473684211</v>
      </c>
      <c r="H411" s="16" t="s">
        <v>41</v>
      </c>
      <c r="I411" s="16" t="s">
        <v>35</v>
      </c>
      <c r="J411" s="16" t="s">
        <v>165</v>
      </c>
    </row>
    <row r="412" customFormat="false" ht="15" hidden="false" customHeight="false" outlineLevel="0" collapsed="false">
      <c r="A412" s="16" t="n">
        <f aca="false">IF(ISNUMBER($J412),$J412,"")</f>
        <v>4413118</v>
      </c>
      <c r="B412" s="16" t="str">
        <f aca="false">IFERROR(INDEX('SALES Raw'!$B$6:$B$1634,MATCH($J412,'SALES Raw'!$J$6:$J$1634,0)),$J412)</f>
        <v>50 M</v>
      </c>
      <c r="C412" s="16" t="str">
        <f aca="false">IF(ISNUMBER($J412),IFERROR(INDEX('TRANS'!$C:$C,MATCH($J412,'TRANS'!$B:$B,0)),IFERROR(INDEX('Catalog'!$B:$B,MATCH($J412,'Catalog'!$A:$A,0)),$B412)),$B412)</f>
        <v>50 M מתלה אשכים לאחר ניתוח</v>
      </c>
      <c r="D412" s="8" t="n">
        <f aca="false">SUMIFS('SALES Raw'!$C$6:$C$1634,'SALES Raw'!$J$6:$J$1634,$J412,'SALES Raw'!$K$6:$K$1634,"Y")</f>
        <v>31</v>
      </c>
      <c r="E412" s="8" t="n">
        <f aca="false">SUMIFS('SALES Raw'!$D$6:$D$1634,'SALES Raw'!$J$6:$J$1634,$J412,'SALES Raw'!$K$6:$K$1634,"Y")</f>
        <v>1428.93</v>
      </c>
      <c r="F412" s="8" t="n">
        <f aca="false">SUMIFS('SALES Raw'!$E$6:$E$1634,'SALES Raw'!$J$6:$J$1634,$J412,'SALES Raw'!$K$6:$K$1634,"Y")*$H$4</f>
        <v>2.52631578947368</v>
      </c>
      <c r="G412" s="8" t="n">
        <f aca="false">SUMIFS('SALES Raw'!$F$6:$F$1634,'SALES Raw'!$J$6:$J$1634,$J412,'SALES Raw'!$K$6:$K$1634,"Y")*$H$4</f>
        <v>100.837894736842</v>
      </c>
      <c r="H412" s="16" t="s">
        <v>37</v>
      </c>
      <c r="I412" s="16" t="s">
        <v>40</v>
      </c>
      <c r="J412" s="16" t="n">
        <v>4413118</v>
      </c>
    </row>
    <row r="413" customFormat="false" ht="15" hidden="false" customHeight="false" outlineLevel="0" collapsed="false">
      <c r="A413" s="16" t="str">
        <f aca="false">IF(ISNUMBER($J413),$J413,"")</f>
        <v/>
      </c>
      <c r="B413" s="16" t="str">
        <f aca="false">IFERROR(INDEX('SALES Raw'!$B$6:$B$1634,MATCH($J413,'SALES Raw'!$J$6:$J$1634,0)),$J413)</f>
        <v>50 S</v>
      </c>
      <c r="C413" s="16" t="str">
        <f aca="false">IF(ISNUMBER($J413),IFERROR(INDEX('TRANS'!$C:$C,MATCH($J413,'TRANS'!$B:$B,0)),IFERROR(INDEX('Catalog'!$B:$B,MATCH($J413,'Catalog'!$A:$A,0)),$B413)),$B413)</f>
        <v>50 S</v>
      </c>
      <c r="D413" s="8" t="n">
        <f aca="false">SUMIFS('SALES Raw'!$C$6:$C$1634,'SALES Raw'!$J$6:$J$1634,$J413,'SALES Raw'!$K$6:$K$1634,"Y")</f>
        <v>5</v>
      </c>
      <c r="E413" s="8" t="n">
        <f aca="false">SUMIFS('SALES Raw'!$D$6:$D$1634,'SALES Raw'!$J$6:$J$1634,$J413,'SALES Raw'!$K$6:$K$1634,"Y")</f>
        <v>226.29</v>
      </c>
      <c r="F413" s="8" t="n">
        <f aca="false">SUMIFS('SALES Raw'!$E$6:$E$1634,'SALES Raw'!$J$6:$J$1634,$J413,'SALES Raw'!$K$6:$K$1634,"Y")*$H$4</f>
        <v>2.52631578947368</v>
      </c>
      <c r="G413" s="8" t="n">
        <f aca="false">SUMIFS('SALES Raw'!$F$6:$F$1634,'SALES Raw'!$J$6:$J$1634,$J413,'SALES Raw'!$K$6:$K$1634,"Y")*$H$4</f>
        <v>100.837894736842</v>
      </c>
      <c r="H413" s="16" t="s">
        <v>37</v>
      </c>
      <c r="I413" s="16" t="s">
        <v>43</v>
      </c>
      <c r="J413" s="16" t="s">
        <v>166</v>
      </c>
    </row>
    <row r="414" customFormat="false" ht="15" hidden="false" customHeight="false" outlineLevel="0" collapsed="false">
      <c r="A414" s="16" t="str">
        <f aca="false">IF(ISNUMBER($J414),$J414,"")</f>
        <v/>
      </c>
      <c r="B414" s="16" t="str">
        <f aca="false">IFERROR(INDEX('SALES Raw'!$B$6:$B$1634,MATCH($J414,'SALES Raw'!$J$6:$J$1634,0)),$J414)</f>
        <v>50 XXL</v>
      </c>
      <c r="C414" s="16" t="str">
        <f aca="false">IF(ISNUMBER($J414),IFERROR(INDEX('TRANS'!$C:$C,MATCH($J414,'TRANS'!$B:$B,0)),IFERROR(INDEX('Catalog'!$B:$B,MATCH($J414,'Catalog'!$A:$A,0)),$B414)),$B414)</f>
        <v>50 XXL</v>
      </c>
      <c r="D414" s="8" t="n">
        <f aca="false">SUMIFS('SALES Raw'!$C$6:$C$1634,'SALES Raw'!$J$6:$J$1634,$J414,'SALES Raw'!$K$6:$K$1634,"Y")</f>
        <v>5</v>
      </c>
      <c r="E414" s="8" t="n">
        <f aca="false">SUMIFS('SALES Raw'!$D$6:$D$1634,'SALES Raw'!$J$6:$J$1634,$J414,'SALES Raw'!$K$6:$K$1634,"Y")</f>
        <v>0.03</v>
      </c>
      <c r="F414" s="8" t="n">
        <f aca="false">SUMIFS('SALES Raw'!$E$6:$E$1634,'SALES Raw'!$J$6:$J$1634,$J414,'SALES Raw'!$K$6:$K$1634,"Y")*$H$4</f>
        <v>2.52631578947368</v>
      </c>
      <c r="G414" s="8" t="n">
        <f aca="false">SUMIFS('SALES Raw'!$F$6:$F$1634,'SALES Raw'!$J$6:$J$1634,$J414,'SALES Raw'!$K$6:$K$1634,"Y")*$H$4</f>
        <v>100.837894736842</v>
      </c>
      <c r="H414" s="16" t="s">
        <v>37</v>
      </c>
      <c r="I414" s="16" t="s">
        <v>43</v>
      </c>
      <c r="J414" s="16" t="s">
        <v>167</v>
      </c>
    </row>
    <row r="415" customFormat="false" ht="15" hidden="false" customHeight="false" outlineLevel="0" collapsed="false">
      <c r="A415" s="16" t="n">
        <f aca="false">IF(ISNUMBER($J415),$J415,"")</f>
        <v>4408070</v>
      </c>
      <c r="B415" s="16" t="str">
        <f aca="false">IFERROR(INDEX('SALES Raw'!$B$6:$B$1634,MATCH($J415,'SALES Raw'!$J$6:$J$1634,0)),$J415)</f>
        <v>59D S</v>
      </c>
      <c r="C415" s="16" t="str">
        <f aca="false">IF(ISNUMBER($J415),IFERROR(INDEX('TRANS'!$C:$C,MATCH($J415,'TRANS'!$B:$B,0)),IFERROR(INDEX('Catalog'!$B:$B,MATCH($J415,'Catalog'!$A:$A,0)),$B415)),$B415)</f>
        <v>59D S חגורת שבר דו צדדי</v>
      </c>
      <c r="D415" s="8" t="n">
        <f aca="false">SUMIFS('SALES Raw'!$C$6:$C$1634,'SALES Raw'!$J$6:$J$1634,$J415,'SALES Raw'!$K$6:$K$1634,"Y")</f>
        <v>1</v>
      </c>
      <c r="E415" s="8" t="n">
        <f aca="false">SUMIFS('SALES Raw'!$D$6:$D$1634,'SALES Raw'!$J$6:$J$1634,$J415,'SALES Raw'!$K$6:$K$1634,"Y")</f>
        <v>103.15</v>
      </c>
      <c r="F415" s="8" t="n">
        <f aca="false">SUMIFS('SALES Raw'!$E$6:$E$1634,'SALES Raw'!$J$6:$J$1634,$J415,'SALES Raw'!$K$6:$K$1634,"Y")*$H$4</f>
        <v>2.52631578947368</v>
      </c>
      <c r="G415" s="8" t="n">
        <f aca="false">SUMIFS('SALES Raw'!$F$6:$F$1634,'SALES Raw'!$J$6:$J$1634,$J415,'SALES Raw'!$K$6:$K$1634,"Y")*$H$4</f>
        <v>213.018947368421</v>
      </c>
      <c r="H415" s="16" t="s">
        <v>37</v>
      </c>
      <c r="I415" s="16" t="s">
        <v>40</v>
      </c>
      <c r="J415" s="16" t="n">
        <v>4408070</v>
      </c>
    </row>
    <row r="416" customFormat="false" ht="15" hidden="false" customHeight="false" outlineLevel="0" collapsed="false">
      <c r="A416" s="16" t="str">
        <f aca="false">IF(ISNUMBER($J416),$J416,"")</f>
        <v/>
      </c>
      <c r="B416" s="16" t="str">
        <f aca="false">IFERROR(INDEX('SALES Raw'!$B$6:$B$1634,MATCH($J416,'SALES Raw'!$J$6:$J$1634,0)),$J416)</f>
        <v>63 S</v>
      </c>
      <c r="C416" s="16" t="str">
        <f aca="false">IF(ISNUMBER($J416),IFERROR(INDEX('TRANS'!$C:$C,MATCH($J416,'TRANS'!$B:$B,0)),IFERROR(INDEX('Catalog'!$B:$B,MATCH($J416,'Catalog'!$A:$A,0)),$B416)),$B416)</f>
        <v>63 S</v>
      </c>
      <c r="D416" s="8" t="n">
        <f aca="false">SUMIFS('SALES Raw'!$C$6:$C$1634,'SALES Raw'!$J$6:$J$1634,$J416,'SALES Raw'!$K$6:$K$1634,"Y")</f>
        <v>2</v>
      </c>
      <c r="E416" s="8" t="n">
        <f aca="false">SUMIFS('SALES Raw'!$D$6:$D$1634,'SALES Raw'!$J$6:$J$1634,$J416,'SALES Raw'!$K$6:$K$1634,"Y")</f>
        <v>56.61</v>
      </c>
      <c r="F416" s="8" t="n">
        <f aca="false">SUMIFS('SALES Raw'!$E$6:$E$1634,'SALES Raw'!$J$6:$J$1634,$J416,'SALES Raw'!$K$6:$K$1634,"Y")*$H$4</f>
        <v>2.52631578947368</v>
      </c>
      <c r="G416" s="8" t="n">
        <f aca="false">SUMIFS('SALES Raw'!$F$6:$F$1634,'SALES Raw'!$J$6:$J$1634,$J416,'SALES Raw'!$K$6:$K$1634,"Y")*$H$4</f>
        <v>63.0189473684211</v>
      </c>
      <c r="H416" s="16" t="s">
        <v>37</v>
      </c>
      <c r="I416" s="16"/>
      <c r="J416" s="16" t="s">
        <v>168</v>
      </c>
    </row>
    <row r="417" customFormat="false" ht="15" hidden="false" customHeight="false" outlineLevel="0" collapsed="false">
      <c r="A417" s="16" t="n">
        <f aca="false">IF(ISNUMBER($J417),$J417,"")</f>
        <v>4413133</v>
      </c>
      <c r="B417" s="16" t="str">
        <f aca="false">IFERROR(INDEX('SALES Raw'!$B$6:$B$1634,MATCH($J417,'SALES Raw'!$J$6:$J$1634,0)),$J417)</f>
        <v>76 M</v>
      </c>
      <c r="C417" s="16" t="str">
        <f aca="false">IF(ISNUMBER($J417),IFERROR(INDEX('TRANS'!$C:$C,MATCH($J417,'TRANS'!$B:$B,0)),IFERROR(INDEX('Catalog'!$B:$B,MATCH($J417,'Catalog'!$A:$A,0)),$B417)),$B417)</f>
        <v>76 Mמיישר כתף יציב,יישור רחב</v>
      </c>
      <c r="D417" s="8" t="n">
        <f aca="false">SUMIFS('SALES Raw'!$C$6:$C$1634,'SALES Raw'!$J$6:$J$1634,$J417,'SALES Raw'!$K$6:$K$1634,"Y")</f>
        <v>3</v>
      </c>
      <c r="E417" s="8" t="n">
        <f aca="false">SUMIFS('SALES Raw'!$D$6:$D$1634,'SALES Raw'!$J$6:$J$1634,$J417,'SALES Raw'!$K$6:$K$1634,"Y")</f>
        <v>309.97</v>
      </c>
      <c r="F417" s="8" t="n">
        <f aca="false">SUMIFS('SALES Raw'!$E$6:$E$1634,'SALES Raw'!$J$6:$J$1634,$J417,'SALES Raw'!$K$6:$K$1634,"Y")*$H$4</f>
        <v>2.52631578947368</v>
      </c>
      <c r="G417" s="8" t="n">
        <f aca="false">SUMIFS('SALES Raw'!$F$6:$F$1634,'SALES Raw'!$J$6:$J$1634,$J417,'SALES Raw'!$K$6:$K$1634,"Y")*$H$4</f>
        <v>218.488421052632</v>
      </c>
      <c r="H417" s="16" t="s">
        <v>37</v>
      </c>
      <c r="I417" s="16"/>
      <c r="J417" s="16" t="n">
        <v>4413133</v>
      </c>
    </row>
    <row r="418" customFormat="false" ht="15" hidden="false" customHeight="false" outlineLevel="0" collapsed="false">
      <c r="A418" s="16" t="n">
        <f aca="false">IF(ISNUMBER($J418),$J418,"")</f>
        <v>4413131</v>
      </c>
      <c r="B418" s="16" t="str">
        <f aca="false">IFERROR(INDEX('SALES Raw'!$B$6:$B$1634,MATCH($J418,'SALES Raw'!$J$6:$J$1634,0)),$J418)</f>
        <v>76 S</v>
      </c>
      <c r="C418" s="16" t="str">
        <f aca="false">IF(ISNUMBER($J418),IFERROR(INDEX('TRANS'!$C:$C,MATCH($J418,'TRANS'!$B:$B,0)),IFERROR(INDEX('Catalog'!$B:$B,MATCH($J418,'Catalog'!$A:$A,0)),$B418)),$B418)</f>
        <v>76 Sמיישר כתף יציב יישור ג.רחב</v>
      </c>
      <c r="D418" s="8" t="n">
        <f aca="false">SUMIFS('SALES Raw'!$C$6:$C$1634,'SALES Raw'!$J$6:$J$1634,$J418,'SALES Raw'!$K$6:$K$1634,"Y")</f>
        <v>0</v>
      </c>
      <c r="E418" s="8" t="n">
        <f aca="false">SUMIFS('SALES Raw'!$D$6:$D$1634,'SALES Raw'!$J$6:$J$1634,$J418,'SALES Raw'!$K$6:$K$1634,"Y")</f>
        <v>0</v>
      </c>
      <c r="F418" s="8" t="n">
        <f aca="false">SUMIFS('SALES Raw'!$E$6:$E$1634,'SALES Raw'!$J$6:$J$1634,$J418,'SALES Raw'!$K$6:$K$1634,"Y")*$H$4</f>
        <v>2.52631578947368</v>
      </c>
      <c r="G418" s="8" t="n">
        <f aca="false">SUMIFS('SALES Raw'!$F$6:$F$1634,'SALES Raw'!$J$6:$J$1634,$J418,'SALES Raw'!$K$6:$K$1634,"Y")*$H$4</f>
        <v>218.488421052632</v>
      </c>
      <c r="H418" s="16" t="s">
        <v>37</v>
      </c>
      <c r="I418" s="16"/>
      <c r="J418" s="16" t="n">
        <v>4413131</v>
      </c>
    </row>
    <row r="419" customFormat="false" ht="15" hidden="false" customHeight="false" outlineLevel="0" collapsed="false">
      <c r="A419" s="16" t="n">
        <f aca="false">IF(ISNUMBER($J419),$J419,"")</f>
        <v>4413134</v>
      </c>
      <c r="B419" s="16" t="str">
        <f aca="false">IFERROR(INDEX('SALES Raw'!$B$6:$B$1634,MATCH($J419,'SALES Raw'!$J$6:$J$1634,0)),$J419)</f>
        <v>76 XL</v>
      </c>
      <c r="C419" s="16" t="str">
        <f aca="false">IF(ISNUMBER($J419),IFERROR(INDEX('TRANS'!$C:$C,MATCH($J419,'TRANS'!$B:$B,0)),IFERROR(INDEX('Catalog'!$B:$B,MATCH($J419,'Catalog'!$A:$A,0)),$B419)),$B419)</f>
        <v>76 XLמיישר כתף יציב יישור רחב</v>
      </c>
      <c r="D419" s="8" t="n">
        <f aca="false">SUMIFS('SALES Raw'!$C$6:$C$1634,'SALES Raw'!$J$6:$J$1634,$J419,'SALES Raw'!$K$6:$K$1634,"Y")</f>
        <v>0</v>
      </c>
      <c r="E419" s="8" t="n">
        <f aca="false">SUMIFS('SALES Raw'!$D$6:$D$1634,'SALES Raw'!$J$6:$J$1634,$J419,'SALES Raw'!$K$6:$K$1634,"Y")</f>
        <v>0</v>
      </c>
      <c r="F419" s="8" t="n">
        <f aca="false">SUMIFS('SALES Raw'!$E$6:$E$1634,'SALES Raw'!$J$6:$J$1634,$J419,'SALES Raw'!$K$6:$K$1634,"Y")*$H$4</f>
        <v>2.52631578947368</v>
      </c>
      <c r="G419" s="8" t="n">
        <f aca="false">SUMIFS('SALES Raw'!$F$6:$F$1634,'SALES Raw'!$J$6:$J$1634,$J419,'SALES Raw'!$K$6:$K$1634,"Y")*$H$4</f>
        <v>218.488421052632</v>
      </c>
      <c r="H419" s="16" t="s">
        <v>37</v>
      </c>
      <c r="I419" s="16"/>
      <c r="J419" s="16" t="n">
        <v>4413134</v>
      </c>
    </row>
    <row r="420" customFormat="false" ht="15" hidden="false" customHeight="false" outlineLevel="0" collapsed="false">
      <c r="A420" s="16" t="str">
        <f aca="false">IF(ISNUMBER($J420),$J420,"")</f>
        <v/>
      </c>
      <c r="B420" s="16" t="str">
        <f aca="false">IFERROR(INDEX('SALES Raw'!$B$6:$B$1634,MATCH($J420,'SALES Raw'!$J$6:$J$1634,0)),$J420)</f>
        <v>T03 S</v>
      </c>
      <c r="C420" s="16" t="str">
        <f aca="false">IF(ISNUMBER($J420),IFERROR(INDEX('TRANS'!$C:$C,MATCH($J420,'TRANS'!$B:$B,0)),IFERROR(INDEX('Catalog'!$B:$B,MATCH($J420,'Catalog'!$A:$A,0)),$B420)),$B420)</f>
        <v>T03 S</v>
      </c>
      <c r="D420" s="8" t="n">
        <f aca="false">SUMIFS('SALES Raw'!$C$6:$C$1634,'SALES Raw'!$J$6:$J$1634,$J420,'SALES Raw'!$K$6:$K$1634,"Y")</f>
        <v>0</v>
      </c>
      <c r="E420" s="8" t="n">
        <f aca="false">SUMIFS('SALES Raw'!$D$6:$D$1634,'SALES Raw'!$J$6:$J$1634,$J420,'SALES Raw'!$K$6:$K$1634,"Y")</f>
        <v>0</v>
      </c>
      <c r="F420" s="8" t="n">
        <f aca="false">SUMIFS('SALES Raw'!$E$6:$E$1634,'SALES Raw'!$J$6:$J$1634,$J420,'SALES Raw'!$K$6:$K$1634,"Y")*$H$4</f>
        <v>2.52631578947368</v>
      </c>
      <c r="G420" s="8" t="n">
        <f aca="false">SUMIFS('SALES Raw'!$F$6:$F$1634,'SALES Raw'!$J$6:$J$1634,$J420,'SALES Raw'!$K$6:$K$1634,"Y")*$H$4</f>
        <v>107.141052631579</v>
      </c>
      <c r="H420" s="16" t="s">
        <v>37</v>
      </c>
      <c r="I420" s="16"/>
      <c r="J420" s="16" t="s">
        <v>169</v>
      </c>
    </row>
    <row r="421" customFormat="false" ht="15" hidden="false" customHeight="false" outlineLevel="0" collapsed="false">
      <c r="A421" s="16" t="n">
        <f aca="false">IF(ISNUMBER($J421),$J421,"")</f>
        <v>4408275</v>
      </c>
      <c r="B421" s="16" t="str">
        <f aca="false">IFERROR(INDEX('SALES Raw'!$B$6:$B$1634,MATCH($J421,'SALES Raw'!$J$6:$J$1634,0)),$J421)</f>
        <v>202 0</v>
      </c>
      <c r="C421" s="16" t="str">
        <f aca="false">IF(ISNUMBER($J421),IFERROR(INDEX('TRANS'!$C:$C,MATCH($J421,'TRANS'!$B:$B,0)),IFERROR(INDEX('Catalog'!$B:$B,MATCH($J421,'Catalog'!$A:$A,0)),$B421)),$B421)</f>
        <v>202  ONE SIZE חבק יד</v>
      </c>
      <c r="D421" s="8" t="n">
        <f aca="false">SUMIFS('SALES Raw'!$C$6:$C$1634,'SALES Raw'!$J$6:$J$1634,$J421,'SALES Raw'!$K$6:$K$1634,"Y")</f>
        <v>0</v>
      </c>
      <c r="E421" s="8" t="n">
        <f aca="false">SUMIFS('SALES Raw'!$D$6:$D$1634,'SALES Raw'!$J$6:$J$1634,$J421,'SALES Raw'!$K$6:$K$1634,"Y")</f>
        <v>0</v>
      </c>
      <c r="F421" s="8" t="n">
        <f aca="false">SUMIFS('SALES Raw'!$E$6:$E$1634,'SALES Raw'!$J$6:$J$1634,$J421,'SALES Raw'!$K$6:$K$1634,"Y")*$H$4</f>
        <v>2.52631578947368</v>
      </c>
      <c r="G421" s="8" t="n">
        <f aca="false">SUMIFS('SALES Raw'!$F$6:$F$1634,'SALES Raw'!$J$6:$J$1634,$J421,'SALES Raw'!$K$6:$K$1634,"Y")*$H$4</f>
        <v>0.0757894736842105</v>
      </c>
      <c r="H421" s="16" t="s">
        <v>38</v>
      </c>
      <c r="I421" s="16" t="s">
        <v>42</v>
      </c>
      <c r="J421" s="16" t="n">
        <v>4408275</v>
      </c>
    </row>
    <row r="422" customFormat="false" ht="15" hidden="false" customHeight="false" outlineLevel="0" collapsed="false">
      <c r="A422" s="16" t="str">
        <f aca="false">IF(ISNUMBER($J422),$J422,"")</f>
        <v/>
      </c>
      <c r="B422" s="16" t="str">
        <f aca="false">IFERROR(INDEX('SALES Raw'!$B$6:$B$1634,MATCH($J422,'SALES Raw'!$J$6:$J$1634,0)),$J422)</f>
        <v>809PW-C</v>
      </c>
      <c r="C422" s="16" t="str">
        <f aca="false">IF(ISNUMBER($J422),IFERROR(INDEX('TRANS'!$C:$C,MATCH($J422,'TRANS'!$B:$B,0)),IFERROR(INDEX('Catalog'!$B:$B,MATCH($J422,'Catalog'!$A:$A,0)),$B422)),$B422)</f>
        <v>809PW-C</v>
      </c>
      <c r="D422" s="8" t="n">
        <f aca="false">SUMIFS('SALES Raw'!$C$6:$C$1634,'SALES Raw'!$J$6:$J$1634,$J422,'SALES Raw'!$K$6:$K$1634,"Y")</f>
        <v>0</v>
      </c>
      <c r="E422" s="8" t="n">
        <f aca="false">SUMIFS('SALES Raw'!$D$6:$D$1634,'SALES Raw'!$J$6:$J$1634,$J422,'SALES Raw'!$K$6:$K$1634,"Y")</f>
        <v>0</v>
      </c>
      <c r="F422" s="8" t="n">
        <f aca="false">SUMIFS('SALES Raw'!$E$6:$E$1634,'SALES Raw'!$J$6:$J$1634,$J422,'SALES Raw'!$K$6:$K$1634,"Y")*$H$4</f>
        <v>2.52631578947368</v>
      </c>
      <c r="G422" s="8" t="n">
        <f aca="false">SUMIFS('SALES Raw'!$F$6:$F$1634,'SALES Raw'!$J$6:$J$1634,$J422,'SALES Raw'!$K$6:$K$1634,"Y")*$H$4</f>
        <v>0.0757894736842105</v>
      </c>
      <c r="H422" s="16" t="s">
        <v>38</v>
      </c>
      <c r="I422" s="16" t="s">
        <v>42</v>
      </c>
      <c r="J422" s="16" t="s">
        <v>170</v>
      </c>
    </row>
    <row r="423" customFormat="false" ht="15" hidden="false" customHeight="false" outlineLevel="0" collapsed="false">
      <c r="A423" s="16" t="n">
        <f aca="false">IF(ISNUMBER($J423),$J423,"")</f>
        <v>4408073</v>
      </c>
      <c r="B423" s="16" t="str">
        <f aca="false">IFERROR(INDEX('SALES Raw'!$B$6:$B$1634,MATCH($J423,'SALES Raw'!$J$6:$J$1634,0)),$J423)</f>
        <v>59D XL</v>
      </c>
      <c r="C423" s="16" t="str">
        <f aca="false">IF(ISNUMBER($J423),IFERROR(INDEX('TRANS'!$C:$C,MATCH($J423,'TRANS'!$B:$B,0)),IFERROR(INDEX('Catalog'!$B:$B,MATCH($J423,'Catalog'!$A:$A,0)),$B423)),$B423)</f>
        <v>59D XL חגורת שבר דו צדדי</v>
      </c>
      <c r="D423" s="8" t="n">
        <f aca="false">SUMIFS('SALES Raw'!$C$6:$C$1634,'SALES Raw'!$J$6:$J$1634,$J423,'SALES Raw'!$K$6:$K$1634,"Y")</f>
        <v>3</v>
      </c>
      <c r="E423" s="8" t="n">
        <f aca="false">SUMIFS('SALES Raw'!$D$6:$D$1634,'SALES Raw'!$J$6:$J$1634,$J423,'SALES Raw'!$K$6:$K$1634,"Y")</f>
        <v>302.22</v>
      </c>
      <c r="F423" s="8" t="n">
        <f aca="false">SUMIFS('SALES Raw'!$E$6:$E$1634,'SALES Raw'!$J$6:$J$1634,$J423,'SALES Raw'!$K$6:$K$1634,"Y")*$H$4</f>
        <v>1.26315789473684</v>
      </c>
      <c r="G423" s="8" t="n">
        <f aca="false">SUMIFS('SALES Raw'!$F$6:$F$1634,'SALES Raw'!$J$6:$J$1634,$J423,'SALES Raw'!$K$6:$K$1634,"Y")*$H$4</f>
        <v>98.3494736842105</v>
      </c>
      <c r="H423" s="16" t="s">
        <v>32</v>
      </c>
      <c r="I423" s="16" t="s">
        <v>37</v>
      </c>
      <c r="J423" s="16" t="n">
        <v>4408073</v>
      </c>
    </row>
    <row r="424" customFormat="false" ht="15" hidden="false" customHeight="false" outlineLevel="0" collapsed="false">
      <c r="A424" s="16" t="n">
        <f aca="false">IF(ISNUMBER($J424),$J424,"")</f>
        <v>4413407</v>
      </c>
      <c r="B424" s="16" t="str">
        <f aca="false">IFERROR(INDEX('SALES Raw'!$B$6:$B$1634,MATCH($J424,'SALES Raw'!$J$6:$J$1634,0)),$J424)</f>
        <v>SC95 L</v>
      </c>
      <c r="C424" s="16" t="str">
        <f aca="false">IF(ISNUMBER($J424),IFERROR(INDEX('TRANS'!$C:$C,MATCH($J424,'TRANS'!$B:$B,0)),IFERROR(INDEX('Catalog'!$B:$B,MATCH($J424,'Catalog'!$A:$A,0)),$B424)),$B424)</f>
        <v>SC95 L מגן מרפק</v>
      </c>
      <c r="D424" s="8" t="n">
        <f aca="false">SUMIFS('SALES Raw'!$C$6:$C$1634,'SALES Raw'!$J$6:$J$1634,$J424,'SALES Raw'!$K$6:$K$1634,"Y")</f>
        <v>0</v>
      </c>
      <c r="E424" s="8" t="n">
        <f aca="false">SUMIFS('SALES Raw'!$D$6:$D$1634,'SALES Raw'!$J$6:$J$1634,$J424,'SALES Raw'!$K$6:$K$1634,"Y")</f>
        <v>0</v>
      </c>
      <c r="F424" s="8" t="n">
        <f aca="false">SUMIFS('SALES Raw'!$E$6:$E$1634,'SALES Raw'!$J$6:$J$1634,$J424,'SALES Raw'!$K$6:$K$1634,"Y")*$H$4</f>
        <v>1.26315789473684</v>
      </c>
      <c r="G424" s="8" t="n">
        <f aca="false">SUMIFS('SALES Raw'!$F$6:$F$1634,'SALES Raw'!$J$6:$J$1634,$J424,'SALES Raw'!$K$6:$K$1634,"Y")*$H$4</f>
        <v>0.0378947368421053</v>
      </c>
      <c r="H424" s="16" t="s">
        <v>36</v>
      </c>
      <c r="I424" s="16"/>
      <c r="J424" s="16" t="n">
        <v>4413407</v>
      </c>
    </row>
    <row r="425" customFormat="false" ht="15" hidden="false" customHeight="false" outlineLevel="0" collapsed="false">
      <c r="A425" s="16" t="str">
        <f aca="false">IF(ISNUMBER($J425),$J425,"")</f>
        <v/>
      </c>
      <c r="B425" s="16" t="str">
        <f aca="false">IFERROR(INDEX('SALES Raw'!$B$6:$B$1634,MATCH($J425,'SALES Raw'!$J$6:$J$1634,0)),$J425)</f>
        <v>364XL+ 0</v>
      </c>
      <c r="C425" s="16" t="str">
        <f aca="false">IF(ISNUMBER($J425),IFERROR(INDEX('TRANS'!$C:$C,MATCH($J425,'TRANS'!$B:$B,0)),IFERROR(INDEX('Catalog'!$B:$B,MATCH($J425,'Catalog'!$A:$A,0)),$B425)),$B425)</f>
        <v>364XL+ 0</v>
      </c>
      <c r="D425" s="8" t="n">
        <f aca="false">SUMIFS('SALES Raw'!$C$6:$C$1634,'SALES Raw'!$J$6:$J$1634,$J425,'SALES Raw'!$K$6:$K$1634,"Y")</f>
        <v>0</v>
      </c>
      <c r="E425" s="8" t="n">
        <f aca="false">SUMIFS('SALES Raw'!$D$6:$D$1634,'SALES Raw'!$J$6:$J$1634,$J425,'SALES Raw'!$K$6:$K$1634,"Y")</f>
        <v>0</v>
      </c>
      <c r="F425" s="8" t="n">
        <f aca="false">SUMIFS('SALES Raw'!$E$6:$E$1634,'SALES Raw'!$J$6:$J$1634,$J425,'SALES Raw'!$K$6:$K$1634,"Y")*$H$4</f>
        <v>1.26315789473684</v>
      </c>
      <c r="G425" s="8" t="n">
        <f aca="false">SUMIFS('SALES Raw'!$F$6:$F$1634,'SALES Raw'!$J$6:$J$1634,$J425,'SALES Raw'!$K$6:$K$1634,"Y")*$H$4</f>
        <v>0.0378947368421053</v>
      </c>
      <c r="H425" s="16" t="s">
        <v>38</v>
      </c>
      <c r="I425" s="16"/>
      <c r="J425" s="16" t="s">
        <v>171</v>
      </c>
    </row>
    <row r="426" customFormat="false" ht="15" hidden="false" customHeight="false" outlineLevel="0" collapsed="false">
      <c r="A426" s="16" t="str">
        <f aca="false">IF(ISNUMBER($J426),$J426,"")</f>
        <v/>
      </c>
      <c r="B426" s="16" t="str">
        <f aca="false">IFERROR(INDEX('SALES Raw'!$B$6:$B$1634,MATCH($J426,'SALES Raw'!$J$6:$J$1634,0)),$J426)</f>
        <v>61BL-M</v>
      </c>
      <c r="C426" s="16" t="str">
        <f aca="false">IF(ISNUMBER($J426),IFERROR(INDEX('TRANS'!$C:$C,MATCH($J426,'TRANS'!$B:$B,0)),IFERROR(INDEX('Catalog'!$B:$B,MATCH($J426,'Catalog'!$A:$A,0)),$B426)),$B426)</f>
        <v>61BL-M</v>
      </c>
      <c r="D426" s="8" t="n">
        <f aca="false">SUMIFS('SALES Raw'!$C$6:$C$1634,'SALES Raw'!$J$6:$J$1634,$J426,'SALES Raw'!$K$6:$K$1634,"Y")</f>
        <v>0</v>
      </c>
      <c r="E426" s="8" t="n">
        <f aca="false">SUMIFS('SALES Raw'!$D$6:$D$1634,'SALES Raw'!$J$6:$J$1634,$J426,'SALES Raw'!$K$6:$K$1634,"Y")</f>
        <v>0</v>
      </c>
      <c r="F426" s="8" t="n">
        <f aca="false">SUMIFS('SALES Raw'!$E$6:$E$1634,'SALES Raw'!$J$6:$J$1634,$J426,'SALES Raw'!$K$6:$K$1634,"Y")*$H$4</f>
        <v>1.26315789473684</v>
      </c>
      <c r="G426" s="8" t="n">
        <f aca="false">SUMIFS('SALES Raw'!$F$6:$F$1634,'SALES Raw'!$J$6:$J$1634,$J426,'SALES Raw'!$K$6:$K$1634,"Y")*$H$4</f>
        <v>0.0378947368421053</v>
      </c>
      <c r="H426" s="16" t="s">
        <v>41</v>
      </c>
      <c r="I426" s="16"/>
      <c r="J426" s="16" t="s">
        <v>172</v>
      </c>
    </row>
    <row r="427" customFormat="false" ht="15" hidden="false" customHeight="false" outlineLevel="0" collapsed="false">
      <c r="A427" s="16" t="str">
        <f aca="false">IF(ISNUMBER($J427),$J427,"")</f>
        <v/>
      </c>
      <c r="B427" s="16" t="str">
        <f aca="false">IFERROR(INDEX('SALES Raw'!$B$6:$B$1634,MATCH($J427,'SALES Raw'!$J$6:$J$1634,0)),$J427)</f>
        <v>SH322-6</v>
      </c>
      <c r="C427" s="16" t="str">
        <f aca="false">IF(ISNUMBER($J427),IFERROR(INDEX('TRANS'!$C:$C,MATCH($J427,'TRANS'!$B:$B,0)),IFERROR(INDEX('Catalog'!$B:$B,MATCH($J427,'Catalog'!$A:$A,0)),$B427)),$B427)</f>
        <v>SH322-6</v>
      </c>
      <c r="D427" s="8" t="n">
        <f aca="false">SUMIFS('SALES Raw'!$C$6:$C$1634,'SALES Raw'!$J$6:$J$1634,$J427,'SALES Raw'!$K$6:$K$1634,"Y")</f>
        <v>0</v>
      </c>
      <c r="E427" s="8" t="n">
        <f aca="false">SUMIFS('SALES Raw'!$D$6:$D$1634,'SALES Raw'!$J$6:$J$1634,$J427,'SALES Raw'!$K$6:$K$1634,"Y")</f>
        <v>0</v>
      </c>
      <c r="F427" s="8" t="n">
        <f aca="false">SUMIFS('SALES Raw'!$E$6:$E$1634,'SALES Raw'!$J$6:$J$1634,$J427,'SALES Raw'!$K$6:$K$1634,"Y")*$H$4</f>
        <v>1.26315789473684</v>
      </c>
      <c r="G427" s="8" t="n">
        <f aca="false">SUMIFS('SALES Raw'!$F$6:$F$1634,'SALES Raw'!$J$6:$J$1634,$J427,'SALES Raw'!$K$6:$K$1634,"Y")*$H$4</f>
        <v>0.0378947368421053</v>
      </c>
      <c r="H427" s="16" t="s">
        <v>42</v>
      </c>
      <c r="I427" s="16"/>
      <c r="J427" s="16" t="s">
        <v>173</v>
      </c>
    </row>
    <row r="428" customFormat="false" ht="15" hidden="false" customHeight="false" outlineLevel="0" collapsed="false">
      <c r="A428" s="16" t="str">
        <f aca="false">IF(ISNUMBER($J428),$J428,"")</f>
        <v/>
      </c>
      <c r="B428" s="16" t="str">
        <f aca="false">IFERROR(INDEX('SALES Raw'!$B$6:$B$1634,MATCH($J428,'SALES Raw'!$J$6:$J$1634,0)),$J428)</f>
        <v>SH423L 6</v>
      </c>
      <c r="C428" s="16" t="str">
        <f aca="false">IF(ISNUMBER($J428),IFERROR(INDEX('TRANS'!$C:$C,MATCH($J428,'TRANS'!$B:$B,0)),IFERROR(INDEX('Catalog'!$B:$B,MATCH($J428,'Catalog'!$A:$A,0)),$B428)),$B428)</f>
        <v>SH423L 6</v>
      </c>
      <c r="D428" s="8" t="n">
        <f aca="false">SUMIFS('SALES Raw'!$C$6:$C$1634,'SALES Raw'!$J$6:$J$1634,$J428,'SALES Raw'!$K$6:$K$1634,"Y")</f>
        <v>0</v>
      </c>
      <c r="E428" s="8" t="n">
        <f aca="false">SUMIFS('SALES Raw'!$D$6:$D$1634,'SALES Raw'!$J$6:$J$1634,$J428,'SALES Raw'!$K$6:$K$1634,"Y")</f>
        <v>0</v>
      </c>
      <c r="F428" s="8" t="n">
        <f aca="false">SUMIFS('SALES Raw'!$E$6:$E$1634,'SALES Raw'!$J$6:$J$1634,$J428,'SALES Raw'!$K$6:$K$1634,"Y")*$H$4</f>
        <v>1.26315789473684</v>
      </c>
      <c r="G428" s="8" t="n">
        <f aca="false">SUMIFS('SALES Raw'!$F$6:$F$1634,'SALES Raw'!$J$6:$J$1634,$J428,'SALES Raw'!$K$6:$K$1634,"Y")*$H$4</f>
        <v>0.0378947368421053</v>
      </c>
      <c r="H428" s="16" t="s">
        <v>42</v>
      </c>
      <c r="I428" s="16"/>
      <c r="J428" s="16" t="s">
        <v>174</v>
      </c>
    </row>
    <row r="429" customFormat="false" ht="15" hidden="false" customHeight="false" outlineLevel="0" collapsed="false">
      <c r="A429" s="16" t="str">
        <f aca="false">IF(ISNUMBER($J429),$J429,"")</f>
        <v/>
      </c>
      <c r="B429" s="16" t="str">
        <f aca="false">IFERROR(INDEX('SALES Raw'!$B$6:$B$1634,MATCH($J429,'SALES Raw'!$J$6:$J$1634,0)),$J429)</f>
        <v>T066B-L-XL</v>
      </c>
      <c r="C429" s="16" t="str">
        <f aca="false">IF(ISNUMBER($J429),IFERROR(INDEX('TRANS'!$C:$C,MATCH($J429,'TRANS'!$B:$B,0)),IFERROR(INDEX('Catalog'!$B:$B,MATCH($J429,'Catalog'!$A:$A,0)),$B429)),$B429)</f>
        <v>T066B-L-XL</v>
      </c>
      <c r="D429" s="8" t="n">
        <f aca="false">SUMIFS('SALES Raw'!$C$6:$C$1634,'SALES Raw'!$J$6:$J$1634,$J429,'SALES Raw'!$K$6:$K$1634,"Y")</f>
        <v>0</v>
      </c>
      <c r="E429" s="8" t="n">
        <f aca="false">SUMIFS('SALES Raw'!$D$6:$D$1634,'SALES Raw'!$J$6:$J$1634,$J429,'SALES Raw'!$K$6:$K$1634,"Y")</f>
        <v>0</v>
      </c>
      <c r="F429" s="8" t="n">
        <f aca="false">SUMIFS('SALES Raw'!$E$6:$E$1634,'SALES Raw'!$J$6:$J$1634,$J429,'SALES Raw'!$K$6:$K$1634,"Y")*$H$4</f>
        <v>1.26315789473684</v>
      </c>
      <c r="G429" s="8" t="n">
        <f aca="false">SUMIFS('SALES Raw'!$F$6:$F$1634,'SALES Raw'!$J$6:$J$1634,$J429,'SALES Raw'!$K$6:$K$1634,"Y")*$H$4</f>
        <v>0.0378947368421053</v>
      </c>
      <c r="H429" s="16" t="s">
        <v>42</v>
      </c>
      <c r="I429" s="16"/>
      <c r="J429" s="16" t="s">
        <v>175</v>
      </c>
    </row>
    <row r="430" customFormat="false" ht="15" hidden="false" customHeight="false" outlineLevel="0" collapsed="false">
      <c r="A430" s="16" t="str">
        <f aca="false">IF(ISNUMBER($J430),$J430,"")</f>
        <v/>
      </c>
      <c r="B430" s="16" t="str">
        <f aca="false">IFERROR(INDEX('SALES Raw'!$B$6:$B$1634,MATCH($J430,'SALES Raw'!$J$6:$J$1634,0)),$J430)</f>
        <v>T36B L</v>
      </c>
      <c r="C430" s="16" t="str">
        <f aca="false">IF(ISNUMBER($J430),IFERROR(INDEX('TRANS'!$C:$C,MATCH($J430,'TRANS'!$B:$B,0)),IFERROR(INDEX('Catalog'!$B:$B,MATCH($J430,'Catalog'!$A:$A,0)),$B430)),$B430)</f>
        <v>T36B L</v>
      </c>
      <c r="D430" s="8" t="n">
        <f aca="false">SUMIFS('SALES Raw'!$C$6:$C$1634,'SALES Raw'!$J$6:$J$1634,$J430,'SALES Raw'!$K$6:$K$1634,"Y")</f>
        <v>0</v>
      </c>
      <c r="E430" s="8" t="n">
        <f aca="false">SUMIFS('SALES Raw'!$D$6:$D$1634,'SALES Raw'!$J$6:$J$1634,$J430,'SALES Raw'!$K$6:$K$1634,"Y")</f>
        <v>0</v>
      </c>
      <c r="F430" s="8" t="n">
        <f aca="false">SUMIFS('SALES Raw'!$E$6:$E$1634,'SALES Raw'!$J$6:$J$1634,$J430,'SALES Raw'!$K$6:$K$1634,"Y")*$H$4</f>
        <v>1.26315789473684</v>
      </c>
      <c r="G430" s="8" t="n">
        <f aca="false">SUMIFS('SALES Raw'!$F$6:$F$1634,'SALES Raw'!$J$6:$J$1634,$J430,'SALES Raw'!$K$6:$K$1634,"Y")*$H$4</f>
        <v>0.0378947368421053</v>
      </c>
      <c r="H430" s="16" t="s">
        <v>42</v>
      </c>
      <c r="I430" s="16"/>
      <c r="J430" s="16" t="s">
        <v>176</v>
      </c>
    </row>
    <row r="431" customFormat="false" ht="15" hidden="false" customHeight="false" outlineLevel="0" collapsed="false">
      <c r="A431" s="16" t="str">
        <f aca="false">IF(ISNUMBER($J431),$J431,"")</f>
        <v/>
      </c>
      <c r="B431" s="16" t="str">
        <f aca="false">IFERROR(INDEX('SALES Raw'!$B$6:$B$1634,MATCH($J431,'SALES Raw'!$J$6:$J$1634,0)),$J431)</f>
        <v>T46B L</v>
      </c>
      <c r="C431" s="16" t="str">
        <f aca="false">IF(ISNUMBER($J431),IFERROR(INDEX('TRANS'!$C:$C,MATCH($J431,'TRANS'!$B:$B,0)),IFERROR(INDEX('Catalog'!$B:$B,MATCH($J431,'Catalog'!$A:$A,0)),$B431)),$B431)</f>
        <v>T46B L</v>
      </c>
      <c r="D431" s="8" t="n">
        <f aca="false">SUMIFS('SALES Raw'!$C$6:$C$1634,'SALES Raw'!$J$6:$J$1634,$J431,'SALES Raw'!$K$6:$K$1634,"Y")</f>
        <v>0</v>
      </c>
      <c r="E431" s="8" t="n">
        <f aca="false">SUMIFS('SALES Raw'!$D$6:$D$1634,'SALES Raw'!$J$6:$J$1634,$J431,'SALES Raw'!$K$6:$K$1634,"Y")</f>
        <v>0</v>
      </c>
      <c r="F431" s="8" t="n">
        <f aca="false">SUMIFS('SALES Raw'!$E$6:$E$1634,'SALES Raw'!$J$6:$J$1634,$J431,'SALES Raw'!$K$6:$K$1634,"Y")*$H$4</f>
        <v>1.26315789473684</v>
      </c>
      <c r="G431" s="8" t="n">
        <f aca="false">SUMIFS('SALES Raw'!$F$6:$F$1634,'SALES Raw'!$J$6:$J$1634,$J431,'SALES Raw'!$K$6:$K$1634,"Y")*$H$4</f>
        <v>0.0378947368421053</v>
      </c>
      <c r="H431" s="16" t="s">
        <v>42</v>
      </c>
      <c r="I431" s="16"/>
      <c r="J431" s="16" t="s">
        <v>177</v>
      </c>
    </row>
    <row r="432" customFormat="false" ht="15" hidden="false" customHeight="false" outlineLevel="0" collapsed="false">
      <c r="A432" s="16" t="str">
        <f aca="false">IF(ISNUMBER($J432),$J432,"")</f>
        <v/>
      </c>
      <c r="B432" s="16" t="str">
        <f aca="false">IFERROR(INDEX('SALES Raw'!$B$6:$B$1634,MATCH($J432,'SALES Raw'!$J$6:$J$1634,0)),$J432)</f>
        <v>391W-39-42</v>
      </c>
      <c r="C432" s="16" t="str">
        <f aca="false">IF(ISNUMBER($J432),IFERROR(INDEX('TRANS'!$C:$C,MATCH($J432,'TRANS'!$B:$B,0)),IFERROR(INDEX('Catalog'!$B:$B,MATCH($J432,'Catalog'!$A:$A,0)),$B432)),$B432)</f>
        <v>391W-39-42</v>
      </c>
      <c r="D432" s="8" t="n">
        <f aca="false">SUMIFS('SALES Raw'!$C$6:$C$1634,'SALES Raw'!$J$6:$J$1634,$J432,'SALES Raw'!$K$6:$K$1634,"Y")</f>
        <v>3</v>
      </c>
      <c r="E432" s="8" t="n">
        <f aca="false">SUMIFS('SALES Raw'!$D$6:$D$1634,'SALES Raw'!$J$6:$J$1634,$J432,'SALES Raw'!$K$6:$K$1634,"Y")</f>
        <v>0.11</v>
      </c>
      <c r="F432" s="8" t="n">
        <f aca="false">SUMIFS('SALES Raw'!$E$6:$E$1634,'SALES Raw'!$J$6:$J$1634,$J432,'SALES Raw'!$K$6:$K$1634,"Y")*$H$4</f>
        <v>0</v>
      </c>
      <c r="G432" s="8" t="n">
        <f aca="false">SUMIFS('SALES Raw'!$F$6:$F$1634,'SALES Raw'!$J$6:$J$1634,$J432,'SALES Raw'!$K$6:$K$1634,"Y")*$H$4</f>
        <v>0</v>
      </c>
      <c r="H432" s="16" t="s">
        <v>30</v>
      </c>
      <c r="I432" s="16" t="s">
        <v>31</v>
      </c>
      <c r="J432" s="16" t="s">
        <v>178</v>
      </c>
    </row>
    <row r="433" customFormat="false" ht="15" hidden="false" customHeight="false" outlineLevel="0" collapsed="false">
      <c r="A433" s="16" t="str">
        <f aca="false">IF(ISNUMBER($J433),$J433,"")</f>
        <v/>
      </c>
      <c r="B433" s="16" t="str">
        <f aca="false">IFERROR(INDEX('SALES Raw'!$B$6:$B$1634,MATCH($J433,'SALES Raw'!$J$6:$J$1634,0)),$J433)</f>
        <v>397-35-38</v>
      </c>
      <c r="C433" s="16" t="str">
        <f aca="false">IF(ISNUMBER($J433),IFERROR(INDEX('TRANS'!$C:$C,MATCH($J433,'TRANS'!$B:$B,0)),IFERROR(INDEX('Catalog'!$B:$B,MATCH($J433,'Catalog'!$A:$A,0)),$B433)),$B433)</f>
        <v>397-35-38</v>
      </c>
      <c r="D433" s="8" t="n">
        <f aca="false">SUMIFS('SALES Raw'!$C$6:$C$1634,'SALES Raw'!$J$6:$J$1634,$J433,'SALES Raw'!$K$6:$K$1634,"Y")</f>
        <v>560</v>
      </c>
      <c r="E433" s="8" t="n">
        <f aca="false">SUMIFS('SALES Raw'!$D$6:$D$1634,'SALES Raw'!$J$6:$J$1634,$J433,'SALES Raw'!$K$6:$K$1634,"Y")</f>
        <v>18995.74</v>
      </c>
      <c r="F433" s="8" t="n">
        <f aca="false">SUMIFS('SALES Raw'!$E$6:$E$1634,'SALES Raw'!$J$6:$J$1634,$J433,'SALES Raw'!$K$6:$K$1634,"Y")*$H$4</f>
        <v>0</v>
      </c>
      <c r="G433" s="8" t="n">
        <f aca="false">SUMIFS('SALES Raw'!$F$6:$F$1634,'SALES Raw'!$J$6:$J$1634,$J433,'SALES Raw'!$K$6:$K$1634,"Y")*$H$4</f>
        <v>0</v>
      </c>
      <c r="H433" s="16" t="s">
        <v>30</v>
      </c>
      <c r="I433" s="16" t="s">
        <v>31</v>
      </c>
      <c r="J433" s="16" t="s">
        <v>179</v>
      </c>
    </row>
    <row r="434" customFormat="false" ht="15" hidden="false" customHeight="false" outlineLevel="0" collapsed="false">
      <c r="A434" s="16" t="n">
        <f aca="false">IF(ISNUMBER($J434),$J434,"")</f>
        <v>4403029</v>
      </c>
      <c r="B434" s="16" t="str">
        <f aca="false">IFERROR(INDEX('SALES Raw'!$B$6:$B$1634,MATCH($J434,'SALES Raw'!$J$6:$J$1634,0)),$J434)</f>
        <v>397-39-42</v>
      </c>
      <c r="C434" s="16" t="str">
        <f aca="false">IF(ISNUMBER($J434),IFERROR(INDEX('TRANS'!$C:$C,MATCH($J434,'TRANS'!$B:$B,0)),IFERROR(INDEX('Catalog'!$B:$B,MATCH($J434,'Catalog'!$A:$A,0)),$B434)),$B434)</f>
        <v>397 39-42 גרבי טיסה מידה</v>
      </c>
      <c r="D434" s="8" t="n">
        <f aca="false">SUMIFS('SALES Raw'!$C$6:$C$1634,'SALES Raw'!$J$6:$J$1634,$J434,'SALES Raw'!$K$6:$K$1634,"Y")</f>
        <v>696</v>
      </c>
      <c r="E434" s="8" t="n">
        <f aca="false">SUMIFS('SALES Raw'!$D$6:$D$1634,'SALES Raw'!$J$6:$J$1634,$J434,'SALES Raw'!$K$6:$K$1634,"Y")</f>
        <v>23399.7</v>
      </c>
      <c r="F434" s="8" t="n">
        <f aca="false">SUMIFS('SALES Raw'!$E$6:$E$1634,'SALES Raw'!$J$6:$J$1634,$J434,'SALES Raw'!$K$6:$K$1634,"Y")*$H$4</f>
        <v>0</v>
      </c>
      <c r="G434" s="8" t="n">
        <f aca="false">SUMIFS('SALES Raw'!$F$6:$F$1634,'SALES Raw'!$J$6:$J$1634,$J434,'SALES Raw'!$K$6:$K$1634,"Y")*$H$4</f>
        <v>0</v>
      </c>
      <c r="H434" s="16" t="s">
        <v>30</v>
      </c>
      <c r="I434" s="16" t="s">
        <v>31</v>
      </c>
      <c r="J434" s="16" t="n">
        <v>4403029</v>
      </c>
    </row>
    <row r="435" customFormat="false" ht="15" hidden="false" customHeight="false" outlineLevel="0" collapsed="false">
      <c r="A435" s="16" t="str">
        <f aca="false">IF(ISNUMBER($J435),$J435,"")</f>
        <v/>
      </c>
      <c r="B435" s="16" t="str">
        <f aca="false">IFERROR(INDEX('SALES Raw'!$B$6:$B$1634,MATCH($J435,'SALES Raw'!$J$6:$J$1634,0)),$J435)</f>
        <v>397-43-46</v>
      </c>
      <c r="C435" s="16" t="str">
        <f aca="false">IF(ISNUMBER($J435),IFERROR(INDEX('TRANS'!$C:$C,MATCH($J435,'TRANS'!$B:$B,0)),IFERROR(INDEX('Catalog'!$B:$B,MATCH($J435,'Catalog'!$A:$A,0)),$B435)),$B435)</f>
        <v>397-43-46</v>
      </c>
      <c r="D435" s="8" t="n">
        <f aca="false">SUMIFS('SALES Raw'!$C$6:$C$1634,'SALES Raw'!$J$6:$J$1634,$J435,'SALES Raw'!$K$6:$K$1634,"Y")</f>
        <v>560</v>
      </c>
      <c r="E435" s="8" t="n">
        <f aca="false">SUMIFS('SALES Raw'!$D$6:$D$1634,'SALES Raw'!$J$6:$J$1634,$J435,'SALES Raw'!$K$6:$K$1634,"Y")</f>
        <v>18866.53</v>
      </c>
      <c r="F435" s="8" t="n">
        <f aca="false">SUMIFS('SALES Raw'!$E$6:$E$1634,'SALES Raw'!$J$6:$J$1634,$J435,'SALES Raw'!$K$6:$K$1634,"Y")*$H$4</f>
        <v>0</v>
      </c>
      <c r="G435" s="8" t="n">
        <f aca="false">SUMIFS('SALES Raw'!$F$6:$F$1634,'SALES Raw'!$J$6:$J$1634,$J435,'SALES Raw'!$K$6:$K$1634,"Y")*$H$4</f>
        <v>0</v>
      </c>
      <c r="H435" s="16" t="s">
        <v>30</v>
      </c>
      <c r="I435" s="16" t="s">
        <v>31</v>
      </c>
      <c r="J435" s="16" t="s">
        <v>180</v>
      </c>
    </row>
    <row r="436" customFormat="false" ht="15" hidden="false" customHeight="false" outlineLevel="0" collapsed="false">
      <c r="A436" s="16" t="n">
        <f aca="false">IF(ISNUMBER($J436),$J436,"")</f>
        <v>4413520</v>
      </c>
      <c r="B436" s="16" t="str">
        <f aca="false">IFERROR(INDEX('SALES Raw'!$B$6:$B$1634,MATCH($J436,'SALES Raw'!$J$6:$J$1634,0)),$J436)</f>
        <v>379MSP-35-38</v>
      </c>
      <c r="C436" s="16" t="str">
        <f aca="false">IF(ISNUMBER($J436),IFERROR(INDEX('TRANS'!$C:$C,MATCH($J436,'TRANS'!$B:$B,0)),IFERROR(INDEX('Catalog'!$B:$B,MATCH($J436,'Catalog'!$A:$A,0)),$B436)),$B436)</f>
        <v>מדרסי אפיק ג'ל מולט.ספורט35-38</v>
      </c>
      <c r="D436" s="8" t="n">
        <f aca="false">SUMIFS('SALES Raw'!$C$6:$C$1634,'SALES Raw'!$J$6:$J$1634,$J436,'SALES Raw'!$K$6:$K$1634,"Y")</f>
        <v>43</v>
      </c>
      <c r="E436" s="8" t="n">
        <f aca="false">SUMIFS('SALES Raw'!$D$6:$D$1634,'SALES Raw'!$J$6:$J$1634,$J436,'SALES Raw'!$K$6:$K$1634,"Y")</f>
        <v>1886.76</v>
      </c>
      <c r="F436" s="8" t="n">
        <f aca="false">SUMIFS('SALES Raw'!$E$6:$E$1634,'SALES Raw'!$J$6:$J$1634,$J436,'SALES Raw'!$K$6:$K$1634,"Y")*$H$4</f>
        <v>0</v>
      </c>
      <c r="G436" s="8" t="n">
        <f aca="false">SUMIFS('SALES Raw'!$F$6:$F$1634,'SALES Raw'!$J$6:$J$1634,$J436,'SALES Raw'!$K$6:$K$1634,"Y")*$H$4</f>
        <v>0</v>
      </c>
      <c r="H436" s="16" t="s">
        <v>31</v>
      </c>
      <c r="I436" s="16" t="s">
        <v>32</v>
      </c>
      <c r="J436" s="16" t="n">
        <v>4413520</v>
      </c>
    </row>
    <row r="437" customFormat="false" ht="15" hidden="false" customHeight="false" outlineLevel="0" collapsed="false">
      <c r="A437" s="16" t="str">
        <f aca="false">IF(ISNUMBER($J437),$J437,"")</f>
        <v/>
      </c>
      <c r="B437" s="16" t="str">
        <f aca="false">IFERROR(INDEX('SALES Raw'!$B$6:$B$1634,MATCH($J437,'SALES Raw'!$J$6:$J$1634,0)),$J437)</f>
        <v>78A XXL</v>
      </c>
      <c r="C437" s="16" t="str">
        <f aca="false">IF(ISNUMBER($J437),IFERROR(INDEX('TRANS'!$C:$C,MATCH($J437,'TRANS'!$B:$B,0)),IFERROR(INDEX('Catalog'!$B:$B,MATCH($J437,'Catalog'!$A:$A,0)),$B437)),$B437)</f>
        <v>78A XXL</v>
      </c>
      <c r="D437" s="8" t="n">
        <f aca="false">SUMIFS('SALES Raw'!$C$6:$C$1634,'SALES Raw'!$J$6:$J$1634,$J437,'SALES Raw'!$K$6:$K$1634,"Y")</f>
        <v>1</v>
      </c>
      <c r="E437" s="8" t="n">
        <f aca="false">SUMIFS('SALES Raw'!$D$6:$D$1634,'SALES Raw'!$J$6:$J$1634,$J437,'SALES Raw'!$K$6:$K$1634,"Y")</f>
        <v>65.35</v>
      </c>
      <c r="F437" s="8" t="n">
        <f aca="false">SUMIFS('SALES Raw'!$E$6:$E$1634,'SALES Raw'!$J$6:$J$1634,$J437,'SALES Raw'!$K$6:$K$1634,"Y")*$H$4</f>
        <v>0</v>
      </c>
      <c r="G437" s="8" t="n">
        <f aca="false">SUMIFS('SALES Raw'!$F$6:$F$1634,'SALES Raw'!$J$6:$J$1634,$J437,'SALES Raw'!$K$6:$K$1634,"Y")*$H$4</f>
        <v>0</v>
      </c>
      <c r="H437" s="16" t="s">
        <v>31</v>
      </c>
      <c r="I437" s="16"/>
      <c r="J437" s="16" t="s">
        <v>181</v>
      </c>
    </row>
    <row r="438" customFormat="false" ht="15" hidden="false" customHeight="false" outlineLevel="0" collapsed="false">
      <c r="A438" s="16" t="n">
        <f aca="false">IF(ISNUMBER($J438),$J438,"")</f>
        <v>4408050</v>
      </c>
      <c r="B438" s="16" t="str">
        <f aca="false">IFERROR(INDEX('SALES Raw'!$B$6:$B$1634,MATCH($J438,'SALES Raw'!$J$6:$J$1634,0)),$J438)</f>
        <v>20 XXL</v>
      </c>
      <c r="C438" s="16" t="str">
        <f aca="false">IF(ISNUMBER($J438),IFERROR(INDEX('TRANS'!$C:$C,MATCH($J438,'TRANS'!$B:$B,0)),IFERROR(INDEX('Catalog'!$B:$B,MATCH($J438,'Catalog'!$A:$A,0)),$B438)),$B438)</f>
        <v>20 XXL חבק יד מתכוון עם צמדן</v>
      </c>
      <c r="D438" s="8" t="n">
        <f aca="false">SUMIFS('SALES Raw'!$C$6:$C$1634,'SALES Raw'!$J$6:$J$1634,$J438,'SALES Raw'!$K$6:$K$1634,"Y")</f>
        <v>16</v>
      </c>
      <c r="E438" s="8" t="n">
        <f aca="false">SUMIFS('SALES Raw'!$D$6:$D$1634,'SALES Raw'!$J$6:$J$1634,$J438,'SALES Raw'!$K$6:$K$1634,"Y")</f>
        <v>242.33</v>
      </c>
      <c r="F438" s="8" t="n">
        <f aca="false">SUMIFS('SALES Raw'!$E$6:$E$1634,'SALES Raw'!$J$6:$J$1634,$J438,'SALES Raw'!$K$6:$K$1634,"Y")*$H$4</f>
        <v>0</v>
      </c>
      <c r="G438" s="8" t="n">
        <f aca="false">SUMIFS('SALES Raw'!$F$6:$F$1634,'SALES Raw'!$J$6:$J$1634,$J438,'SALES Raw'!$K$6:$K$1634,"Y")*$H$4</f>
        <v>0</v>
      </c>
      <c r="H438" s="16" t="s">
        <v>32</v>
      </c>
      <c r="I438" s="16" t="s">
        <v>43</v>
      </c>
      <c r="J438" s="16" t="n">
        <v>4408050</v>
      </c>
    </row>
    <row r="439" customFormat="false" ht="15" hidden="false" customHeight="false" outlineLevel="0" collapsed="false">
      <c r="A439" s="16" t="n">
        <f aca="false">IF(ISNUMBER($J439),$J439,"")</f>
        <v>4403006</v>
      </c>
      <c r="B439" s="16" t="str">
        <f aca="false">IFERROR(INDEX('SALES Raw'!$B$6:$B$1634,MATCH($J439,'SALES Raw'!$J$6:$J$1634,0)),$J439)</f>
        <v>390W-35-38</v>
      </c>
      <c r="C439" s="16" t="str">
        <f aca="false">IF(ISNUMBER($J439),IFERROR(INDEX('TRANS'!$C:$C,MATCH($J439,'TRANS'!$B:$B,0)),IFERROR(INDEX('Catalog'!$B:$B,MATCH($J439,'Catalog'!$A:$A,0)),$B439)),$B439)</f>
        <v>390W גרב כסף לסכרתיים לבן35-38</v>
      </c>
      <c r="D439" s="8" t="n">
        <f aca="false">SUMIFS('SALES Raw'!$C$6:$C$1634,'SALES Raw'!$J$6:$J$1634,$J439,'SALES Raw'!$K$6:$K$1634,"Y")</f>
        <v>20</v>
      </c>
      <c r="E439" s="8" t="n">
        <f aca="false">SUMIFS('SALES Raw'!$D$6:$D$1634,'SALES Raw'!$J$6:$J$1634,$J439,'SALES Raw'!$K$6:$K$1634,"Y")</f>
        <v>495.82</v>
      </c>
      <c r="F439" s="8" t="n">
        <f aca="false">SUMIFS('SALES Raw'!$E$6:$E$1634,'SALES Raw'!$J$6:$J$1634,$J439,'SALES Raw'!$K$6:$K$1634,"Y")*$H$4</f>
        <v>0</v>
      </c>
      <c r="G439" s="8" t="n">
        <f aca="false">SUMIFS('SALES Raw'!$F$6:$F$1634,'SALES Raw'!$J$6:$J$1634,$J439,'SALES Raw'!$K$6:$K$1634,"Y")*$H$4</f>
        <v>0</v>
      </c>
      <c r="H439" s="16" t="s">
        <v>32</v>
      </c>
      <c r="I439" s="16" t="s">
        <v>34</v>
      </c>
      <c r="J439" s="16" t="n">
        <v>4403006</v>
      </c>
    </row>
    <row r="440" customFormat="false" ht="15" hidden="false" customHeight="false" outlineLevel="0" collapsed="false">
      <c r="A440" s="16" t="n">
        <f aca="false">IF(ISNUMBER($J440),$J440,"")</f>
        <v>4403008</v>
      </c>
      <c r="B440" s="16" t="str">
        <f aca="false">IFERROR(INDEX('SALES Raw'!$B$6:$B$1634,MATCH($J440,'SALES Raw'!$J$6:$J$1634,0)),$J440)</f>
        <v>390W-43-46</v>
      </c>
      <c r="C440" s="16" t="str">
        <f aca="false">IF(ISNUMBER($J440),IFERROR(INDEX('TRANS'!$C:$C,MATCH($J440,'TRANS'!$B:$B,0)),IFERROR(INDEX('Catalog'!$B:$B,MATCH($J440,'Catalog'!$A:$A,0)),$B440)),$B440)</f>
        <v>390W גרב.כסף לסכרתיים לבן43-46</v>
      </c>
      <c r="D440" s="8" t="n">
        <f aca="false">SUMIFS('SALES Raw'!$C$6:$C$1634,'SALES Raw'!$J$6:$J$1634,$J440,'SALES Raw'!$K$6:$K$1634,"Y")</f>
        <v>10</v>
      </c>
      <c r="E440" s="8" t="n">
        <f aca="false">SUMIFS('SALES Raw'!$D$6:$D$1634,'SALES Raw'!$J$6:$J$1634,$J440,'SALES Raw'!$K$6:$K$1634,"Y")</f>
        <v>263.48</v>
      </c>
      <c r="F440" s="8" t="n">
        <f aca="false">SUMIFS('SALES Raw'!$E$6:$E$1634,'SALES Raw'!$J$6:$J$1634,$J440,'SALES Raw'!$K$6:$K$1634,"Y")*$H$4</f>
        <v>0</v>
      </c>
      <c r="G440" s="8" t="n">
        <f aca="false">SUMIFS('SALES Raw'!$F$6:$F$1634,'SALES Raw'!$J$6:$J$1634,$J440,'SALES Raw'!$K$6:$K$1634,"Y")*$H$4</f>
        <v>0</v>
      </c>
      <c r="H440" s="16" t="s">
        <v>32</v>
      </c>
      <c r="I440" s="16"/>
      <c r="J440" s="16" t="n">
        <v>4403008</v>
      </c>
    </row>
    <row r="441" customFormat="false" ht="15" hidden="false" customHeight="false" outlineLevel="0" collapsed="false">
      <c r="A441" s="16" t="str">
        <f aca="false">IF(ISNUMBER($J441),$J441,"")</f>
        <v/>
      </c>
      <c r="B441" s="16" t="str">
        <f aca="false">IFERROR(INDEX('SALES Raw'!$B$6:$B$1634,MATCH($J441,'SALES Raw'!$J$6:$J$1634,0)),$J441)</f>
        <v>391W-35-38</v>
      </c>
      <c r="C441" s="16" t="str">
        <f aca="false">IF(ISNUMBER($J441),IFERROR(INDEX('TRANS'!$C:$C,MATCH($J441,'TRANS'!$B:$B,0)),IFERROR(INDEX('Catalog'!$B:$B,MATCH($J441,'Catalog'!$A:$A,0)),$B441)),$B441)</f>
        <v>391W-35-38</v>
      </c>
      <c r="D441" s="8" t="n">
        <f aca="false">SUMIFS('SALES Raw'!$C$6:$C$1634,'SALES Raw'!$J$6:$J$1634,$J441,'SALES Raw'!$K$6:$K$1634,"Y")</f>
        <v>4</v>
      </c>
      <c r="E441" s="8" t="n">
        <f aca="false">SUMIFS('SALES Raw'!$D$6:$D$1634,'SALES Raw'!$J$6:$J$1634,$J441,'SALES Raw'!$K$6:$K$1634,"Y")</f>
        <v>0.16</v>
      </c>
      <c r="F441" s="8" t="n">
        <f aca="false">SUMIFS('SALES Raw'!$E$6:$E$1634,'SALES Raw'!$J$6:$J$1634,$J441,'SALES Raw'!$K$6:$K$1634,"Y")*$H$4</f>
        <v>0</v>
      </c>
      <c r="G441" s="8" t="n">
        <f aca="false">SUMIFS('SALES Raw'!$F$6:$F$1634,'SALES Raw'!$J$6:$J$1634,$J441,'SALES Raw'!$K$6:$K$1634,"Y")*$H$4</f>
        <v>0</v>
      </c>
      <c r="H441" s="16" t="s">
        <v>32</v>
      </c>
      <c r="I441" s="16" t="s">
        <v>34</v>
      </c>
      <c r="J441" s="16" t="s">
        <v>182</v>
      </c>
    </row>
    <row r="442" customFormat="false" ht="15" hidden="false" customHeight="false" outlineLevel="0" collapsed="false">
      <c r="A442" s="16" t="n">
        <f aca="false">IF(ISNUMBER($J442),$J442,"")</f>
        <v>4403017</v>
      </c>
      <c r="B442" s="16" t="str">
        <f aca="false">IFERROR(INDEX('SALES Raw'!$B$6:$B$1634,MATCH($J442,'SALES Raw'!$J$6:$J$1634,0)),$J442)</f>
        <v>394B-35-38</v>
      </c>
      <c r="C442" s="16" t="str">
        <f aca="false">IF(ISNUMBER($J442),IFERROR(INDEX('TRANS'!$C:$C,MATCH($J442,'TRANS'!$B:$B,0)),IFERROR(INDEX('Catalog'!$B:$B,MATCH($J442,'Catalog'!$A:$A,0)),$B442)),$B442)</f>
        <v>394B גרב.כסף לסכרתים שחור35-38</v>
      </c>
      <c r="D442" s="8" t="n">
        <f aca="false">SUMIFS('SALES Raw'!$C$6:$C$1634,'SALES Raw'!$J$6:$J$1634,$J442,'SALES Raw'!$K$6:$K$1634,"Y")</f>
        <v>10</v>
      </c>
      <c r="E442" s="8" t="n">
        <f aca="false">SUMIFS('SALES Raw'!$D$6:$D$1634,'SALES Raw'!$J$6:$J$1634,$J442,'SALES Raw'!$K$6:$K$1634,"Y")</f>
        <v>225.92</v>
      </c>
      <c r="F442" s="8" t="n">
        <f aca="false">SUMIFS('SALES Raw'!$E$6:$E$1634,'SALES Raw'!$J$6:$J$1634,$J442,'SALES Raw'!$K$6:$K$1634,"Y")*$H$4</f>
        <v>0</v>
      </c>
      <c r="G442" s="8" t="n">
        <f aca="false">SUMIFS('SALES Raw'!$F$6:$F$1634,'SALES Raw'!$J$6:$J$1634,$J442,'SALES Raw'!$K$6:$K$1634,"Y")*$H$4</f>
        <v>0</v>
      </c>
      <c r="H442" s="16" t="s">
        <v>32</v>
      </c>
      <c r="I442" s="16"/>
      <c r="J442" s="16" t="n">
        <v>4403017</v>
      </c>
    </row>
    <row r="443" customFormat="false" ht="15" hidden="false" customHeight="false" outlineLevel="0" collapsed="false">
      <c r="A443" s="16" t="n">
        <f aca="false">IF(ISNUMBER($J443),$J443,"")</f>
        <v>4403018</v>
      </c>
      <c r="B443" s="16" t="str">
        <f aca="false">IFERROR(INDEX('SALES Raw'!$B$6:$B$1634,MATCH($J443,'SALES Raw'!$J$6:$J$1634,0)),$J443)</f>
        <v>394B-39-42</v>
      </c>
      <c r="C443" s="16" t="str">
        <f aca="false">IF(ISNUMBER($J443),IFERROR(INDEX('TRANS'!$C:$C,MATCH($J443,'TRANS'!$B:$B,0)),IFERROR(INDEX('Catalog'!$B:$B,MATCH($J443,'Catalog'!$A:$A,0)),$B443)),$B443)</f>
        <v>394B גרב.כסף לסכרתים שחור39-42</v>
      </c>
      <c r="D443" s="8" t="n">
        <f aca="false">SUMIFS('SALES Raw'!$C$6:$C$1634,'SALES Raw'!$J$6:$J$1634,$J443,'SALES Raw'!$K$6:$K$1634,"Y")</f>
        <v>10</v>
      </c>
      <c r="E443" s="8" t="n">
        <f aca="false">SUMIFS('SALES Raw'!$D$6:$D$1634,'SALES Raw'!$J$6:$J$1634,$J443,'SALES Raw'!$K$6:$K$1634,"Y")</f>
        <v>225.92</v>
      </c>
      <c r="F443" s="8" t="n">
        <f aca="false">SUMIFS('SALES Raw'!$E$6:$E$1634,'SALES Raw'!$J$6:$J$1634,$J443,'SALES Raw'!$K$6:$K$1634,"Y")*$H$4</f>
        <v>0</v>
      </c>
      <c r="G443" s="8" t="n">
        <f aca="false">SUMIFS('SALES Raw'!$F$6:$F$1634,'SALES Raw'!$J$6:$J$1634,$J443,'SALES Raw'!$K$6:$K$1634,"Y")*$H$4</f>
        <v>0</v>
      </c>
      <c r="H443" s="16" t="s">
        <v>32</v>
      </c>
      <c r="I443" s="16"/>
      <c r="J443" s="16" t="n">
        <v>4403018</v>
      </c>
    </row>
    <row r="444" customFormat="false" ht="15" hidden="false" customHeight="false" outlineLevel="0" collapsed="false">
      <c r="A444" s="16" t="n">
        <f aca="false">IF(ISNUMBER($J444),$J444,"")</f>
        <v>4403019</v>
      </c>
      <c r="B444" s="16" t="str">
        <f aca="false">IFERROR(INDEX('SALES Raw'!$B$6:$B$1634,MATCH($J444,'SALES Raw'!$J$6:$J$1634,0)),$J444)</f>
        <v>394B-43-46</v>
      </c>
      <c r="C444" s="16" t="str">
        <f aca="false">IF(ISNUMBER($J444),IFERROR(INDEX('TRANS'!$C:$C,MATCH($J444,'TRANS'!$B:$B,0)),IFERROR(INDEX('Catalog'!$B:$B,MATCH($J444,'Catalog'!$A:$A,0)),$B444)),$B444)</f>
        <v>394B גרב.כסף לסכרתים שחור43-46</v>
      </c>
      <c r="D444" s="8" t="n">
        <f aca="false">SUMIFS('SALES Raw'!$C$6:$C$1634,'SALES Raw'!$J$6:$J$1634,$J444,'SALES Raw'!$K$6:$K$1634,"Y")</f>
        <v>10</v>
      </c>
      <c r="E444" s="8" t="n">
        <f aca="false">SUMIFS('SALES Raw'!$D$6:$D$1634,'SALES Raw'!$J$6:$J$1634,$J444,'SALES Raw'!$K$6:$K$1634,"Y")</f>
        <v>225.92</v>
      </c>
      <c r="F444" s="8" t="n">
        <f aca="false">SUMIFS('SALES Raw'!$E$6:$E$1634,'SALES Raw'!$J$6:$J$1634,$J444,'SALES Raw'!$K$6:$K$1634,"Y")*$H$4</f>
        <v>0</v>
      </c>
      <c r="G444" s="8" t="n">
        <f aca="false">SUMIFS('SALES Raw'!$F$6:$F$1634,'SALES Raw'!$J$6:$J$1634,$J444,'SALES Raw'!$K$6:$K$1634,"Y")*$H$4</f>
        <v>0</v>
      </c>
      <c r="H444" s="16" t="s">
        <v>32</v>
      </c>
      <c r="I444" s="16"/>
      <c r="J444" s="16" t="n">
        <v>4403019</v>
      </c>
    </row>
    <row r="445" customFormat="false" ht="15" hidden="false" customHeight="false" outlineLevel="0" collapsed="false">
      <c r="A445" s="16" t="n">
        <f aca="false">IF(ISNUMBER($J445),$J445,"")</f>
        <v>4413396</v>
      </c>
      <c r="B445" s="16" t="str">
        <f aca="false">IFERROR(INDEX('SALES Raw'!$B$6:$B$1634,MATCH($J445,'SALES Raw'!$J$6:$J$1634,0)),$J445)</f>
        <v>45EC L</v>
      </c>
      <c r="C445" s="16" t="str">
        <f aca="false">IF(ISNUMBER($J445),IFERROR(INDEX('TRANS'!$C:$C,MATCH($J445,'TRANS'!$B:$B,0)),IFERROR(INDEX('Catalog'!$B:$B,MATCH($J445,'Catalog'!$A:$A,0)),$B445)),$B445)</f>
        <v>45EC L 'מגן ברך ארוך בז</v>
      </c>
      <c r="D445" s="8" t="n">
        <f aca="false">SUMIFS('SALES Raw'!$C$6:$C$1634,'SALES Raw'!$J$6:$J$1634,$J445,'SALES Raw'!$K$6:$K$1634,"Y")</f>
        <v>9</v>
      </c>
      <c r="E445" s="8" t="n">
        <f aca="false">SUMIFS('SALES Raw'!$D$6:$D$1634,'SALES Raw'!$J$6:$J$1634,$J445,'SALES Raw'!$K$6:$K$1634,"Y")</f>
        <v>114.86</v>
      </c>
      <c r="F445" s="8" t="n">
        <f aca="false">SUMIFS('SALES Raw'!$E$6:$E$1634,'SALES Raw'!$J$6:$J$1634,$J445,'SALES Raw'!$K$6:$K$1634,"Y")*$H$4</f>
        <v>0</v>
      </c>
      <c r="G445" s="8" t="n">
        <f aca="false">SUMIFS('SALES Raw'!$F$6:$F$1634,'SALES Raw'!$J$6:$J$1634,$J445,'SALES Raw'!$K$6:$K$1634,"Y")*$H$4</f>
        <v>0</v>
      </c>
      <c r="H445" s="16" t="s">
        <v>32</v>
      </c>
      <c r="I445" s="16"/>
      <c r="J445" s="16" t="n">
        <v>4413396</v>
      </c>
    </row>
    <row r="446" customFormat="false" ht="15" hidden="false" customHeight="false" outlineLevel="0" collapsed="false">
      <c r="A446" s="16" t="str">
        <f aca="false">IF(ISNUMBER($J446),$J446,"")</f>
        <v/>
      </c>
      <c r="B446" s="16" t="str">
        <f aca="false">IFERROR(INDEX('SALES Raw'!$B$6:$B$1634,MATCH($J446,'SALES Raw'!$J$6:$J$1634,0)),$J446)</f>
        <v>67812000</v>
      </c>
      <c r="C446" s="16" t="str">
        <f aca="false">IF(ISNUMBER($J446),IFERROR(INDEX('TRANS'!$C:$C,MATCH($J446,'TRANS'!$B:$B,0)),IFERROR(INDEX('Catalog'!$B:$B,MATCH($J446,'Catalog'!$A:$A,0)),$B446)),$B446)</f>
        <v>67812000</v>
      </c>
      <c r="D446" s="8" t="n">
        <f aca="false">SUMIFS('SALES Raw'!$C$6:$C$1634,'SALES Raw'!$J$6:$J$1634,$J446,'SALES Raw'!$K$6:$K$1634,"Y")</f>
        <v>4</v>
      </c>
      <c r="E446" s="8" t="n">
        <f aca="false">SUMIFS('SALES Raw'!$D$6:$D$1634,'SALES Raw'!$J$6:$J$1634,$J446,'SALES Raw'!$K$6:$K$1634,"Y")</f>
        <v>0.16</v>
      </c>
      <c r="F446" s="8" t="n">
        <f aca="false">SUMIFS('SALES Raw'!$E$6:$E$1634,'SALES Raw'!$J$6:$J$1634,$J446,'SALES Raw'!$K$6:$K$1634,"Y")*$H$4</f>
        <v>0</v>
      </c>
      <c r="G446" s="8" t="n">
        <f aca="false">SUMIFS('SALES Raw'!$F$6:$F$1634,'SALES Raw'!$J$6:$J$1634,$J446,'SALES Raw'!$K$6:$K$1634,"Y")*$H$4</f>
        <v>0</v>
      </c>
      <c r="H446" s="16" t="s">
        <v>32</v>
      </c>
      <c r="I446" s="16"/>
      <c r="J446" s="16" t="s">
        <v>183</v>
      </c>
    </row>
    <row r="447" customFormat="false" ht="15" hidden="false" customHeight="false" outlineLevel="0" collapsed="false">
      <c r="A447" s="16" t="str">
        <f aca="false">IF(ISNUMBER($J447),$J447,"")</f>
        <v/>
      </c>
      <c r="B447" s="16" t="str">
        <f aca="false">IFERROR(INDEX('SALES Raw'!$B$6:$B$1634,MATCH($J447,'SALES Raw'!$J$6:$J$1634,0)),$J447)</f>
        <v>67813000</v>
      </c>
      <c r="C447" s="16" t="str">
        <f aca="false">IF(ISNUMBER($J447),IFERROR(INDEX('TRANS'!$C:$C,MATCH($J447,'TRANS'!$B:$B,0)),IFERROR(INDEX('Catalog'!$B:$B,MATCH($J447,'Catalog'!$A:$A,0)),$B447)),$B447)</f>
        <v>67813000</v>
      </c>
      <c r="D447" s="8" t="n">
        <f aca="false">SUMIFS('SALES Raw'!$C$6:$C$1634,'SALES Raw'!$J$6:$J$1634,$J447,'SALES Raw'!$K$6:$K$1634,"Y")</f>
        <v>6</v>
      </c>
      <c r="E447" s="8" t="n">
        <f aca="false">SUMIFS('SALES Raw'!$D$6:$D$1634,'SALES Raw'!$J$6:$J$1634,$J447,'SALES Raw'!$K$6:$K$1634,"Y")</f>
        <v>0.23</v>
      </c>
      <c r="F447" s="8" t="n">
        <f aca="false">SUMIFS('SALES Raw'!$E$6:$E$1634,'SALES Raw'!$J$6:$J$1634,$J447,'SALES Raw'!$K$6:$K$1634,"Y")*$H$4</f>
        <v>0</v>
      </c>
      <c r="G447" s="8" t="n">
        <f aca="false">SUMIFS('SALES Raw'!$F$6:$F$1634,'SALES Raw'!$J$6:$J$1634,$J447,'SALES Raw'!$K$6:$K$1634,"Y")*$H$4</f>
        <v>0</v>
      </c>
      <c r="H447" s="16" t="s">
        <v>32</v>
      </c>
      <c r="I447" s="16"/>
      <c r="J447" s="16" t="s">
        <v>184</v>
      </c>
    </row>
    <row r="448" customFormat="false" ht="15" hidden="false" customHeight="false" outlineLevel="0" collapsed="false">
      <c r="A448" s="16" t="n">
        <f aca="false">IF(ISNUMBER($J448),$J448,"")</f>
        <v>4409011</v>
      </c>
      <c r="B448" s="16" t="str">
        <f aca="false">IFERROR(INDEX('SALES Raw'!$B$6:$B$1634,MATCH($J448,'SALES Raw'!$J$6:$J$1634,0)),$J448)</f>
        <v>804AT-B</v>
      </c>
      <c r="C448" s="16" t="str">
        <f aca="false">IF(ISNUMBER($J448),IFERROR(INDEX('TRANS'!$C:$C,MATCH($J448,'TRANS'!$B:$B,0)),IFERROR(INDEX('Catalog'!$B:$B,MATCH($J448,'Catalog'!$A:$A,0)),$B448)),$B448)</f>
        <v>804AT-B      טייפ חבישה לספורט</v>
      </c>
      <c r="D448" s="8" t="n">
        <f aca="false">SUMIFS('SALES Raw'!$C$6:$C$1634,'SALES Raw'!$J$6:$J$1634,$J448,'SALES Raw'!$K$6:$K$1634,"Y")</f>
        <v>24</v>
      </c>
      <c r="E448" s="8" t="n">
        <f aca="false">SUMIFS('SALES Raw'!$D$6:$D$1634,'SALES Raw'!$J$6:$J$1634,$J448,'SALES Raw'!$K$6:$K$1634,"Y")</f>
        <v>227.95</v>
      </c>
      <c r="F448" s="8" t="n">
        <f aca="false">SUMIFS('SALES Raw'!$E$6:$E$1634,'SALES Raw'!$J$6:$J$1634,$J448,'SALES Raw'!$K$6:$K$1634,"Y")*$H$4</f>
        <v>0</v>
      </c>
      <c r="G448" s="8" t="n">
        <f aca="false">SUMIFS('SALES Raw'!$F$6:$F$1634,'SALES Raw'!$J$6:$J$1634,$J448,'SALES Raw'!$K$6:$K$1634,"Y")*$H$4</f>
        <v>0</v>
      </c>
      <c r="H448" s="16" t="s">
        <v>32</v>
      </c>
      <c r="I448" s="16"/>
      <c r="J448" s="16" t="n">
        <v>4409011</v>
      </c>
    </row>
    <row r="449" customFormat="false" ht="15" hidden="false" customHeight="false" outlineLevel="0" collapsed="false">
      <c r="A449" s="16" t="n">
        <f aca="false">IF(ISNUMBER($J449),$J449,"")</f>
        <v>4409013</v>
      </c>
      <c r="B449" s="16" t="str">
        <f aca="false">IFERROR(INDEX('SALES Raw'!$B$6:$B$1634,MATCH($J449,'SALES Raw'!$J$6:$J$1634,0)),$J449)</f>
        <v>804AT-BL</v>
      </c>
      <c r="C449" s="16" t="str">
        <f aca="false">IF(ISNUMBER($J449),IFERROR(INDEX('TRANS'!$C:$C,MATCH($J449,'TRANS'!$B:$B,0)),IFERROR(INDEX('Catalog'!$B:$B,MATCH($J449,'Catalog'!$A:$A,0)),$B449)),$B449)</f>
        <v>804AT-BL     טייפ חבישה לספורט</v>
      </c>
      <c r="D449" s="8" t="n">
        <f aca="false">SUMIFS('SALES Raw'!$C$6:$C$1634,'SALES Raw'!$J$6:$J$1634,$J449,'SALES Raw'!$K$6:$K$1634,"Y")</f>
        <v>24</v>
      </c>
      <c r="E449" s="8" t="n">
        <f aca="false">SUMIFS('SALES Raw'!$D$6:$D$1634,'SALES Raw'!$J$6:$J$1634,$J449,'SALES Raw'!$K$6:$K$1634,"Y")</f>
        <v>227.95</v>
      </c>
      <c r="F449" s="8" t="n">
        <f aca="false">SUMIFS('SALES Raw'!$E$6:$E$1634,'SALES Raw'!$J$6:$J$1634,$J449,'SALES Raw'!$K$6:$K$1634,"Y")*$H$4</f>
        <v>0</v>
      </c>
      <c r="G449" s="8" t="n">
        <f aca="false">SUMIFS('SALES Raw'!$F$6:$F$1634,'SALES Raw'!$J$6:$J$1634,$J449,'SALES Raw'!$K$6:$K$1634,"Y")*$H$4</f>
        <v>0</v>
      </c>
      <c r="H449" s="16" t="s">
        <v>32</v>
      </c>
      <c r="I449" s="16"/>
      <c r="J449" s="16" t="n">
        <v>4409013</v>
      </c>
    </row>
    <row r="450" customFormat="false" ht="15" hidden="false" customHeight="false" outlineLevel="0" collapsed="false">
      <c r="A450" s="16" t="str">
        <f aca="false">IF(ISNUMBER($J450),$J450,"")</f>
        <v/>
      </c>
      <c r="B450" s="16" t="str">
        <f aca="false">IFERROR(INDEX('SALES Raw'!$B$6:$B$1634,MATCH($J450,'SALES Raw'!$J$6:$J$1634,0)),$J450)</f>
        <v>922 S</v>
      </c>
      <c r="C450" s="16" t="str">
        <f aca="false">IF(ISNUMBER($J450),IFERROR(INDEX('TRANS'!$C:$C,MATCH($J450,'TRANS'!$B:$B,0)),IFERROR(INDEX('Catalog'!$B:$B,MATCH($J450,'Catalog'!$A:$A,0)),$B450)),$B450)</f>
        <v>922 S</v>
      </c>
      <c r="D450" s="8" t="n">
        <f aca="false">SUMIFS('SALES Raw'!$C$6:$C$1634,'SALES Raw'!$J$6:$J$1634,$J450,'SALES Raw'!$K$6:$K$1634,"Y")</f>
        <v>3</v>
      </c>
      <c r="E450" s="8" t="n">
        <f aca="false">SUMIFS('SALES Raw'!$D$6:$D$1634,'SALES Raw'!$J$6:$J$1634,$J450,'SALES Raw'!$K$6:$K$1634,"Y")</f>
        <v>213.92</v>
      </c>
      <c r="F450" s="8" t="n">
        <f aca="false">SUMIFS('SALES Raw'!$E$6:$E$1634,'SALES Raw'!$J$6:$J$1634,$J450,'SALES Raw'!$K$6:$K$1634,"Y")*$H$4</f>
        <v>0</v>
      </c>
      <c r="G450" s="8" t="n">
        <f aca="false">SUMIFS('SALES Raw'!$F$6:$F$1634,'SALES Raw'!$J$6:$J$1634,$J450,'SALES Raw'!$K$6:$K$1634,"Y")*$H$4</f>
        <v>0</v>
      </c>
      <c r="H450" s="16" t="s">
        <v>32</v>
      </c>
      <c r="I450" s="16"/>
      <c r="J450" s="16" t="s">
        <v>185</v>
      </c>
    </row>
    <row r="451" customFormat="false" ht="15" hidden="false" customHeight="false" outlineLevel="0" collapsed="false">
      <c r="A451" s="16" t="str">
        <f aca="false">IF(ISNUMBER($J451),$J451,"")</f>
        <v/>
      </c>
      <c r="B451" s="16" t="str">
        <f aca="false">IFERROR(INDEX('SALES Raw'!$B$6:$B$1634,MATCH($J451,'SALES Raw'!$J$6:$J$1634,0)),$J451)</f>
        <v>922 XXL</v>
      </c>
      <c r="C451" s="16" t="str">
        <f aca="false">IF(ISNUMBER($J451),IFERROR(INDEX('TRANS'!$C:$C,MATCH($J451,'TRANS'!$B:$B,0)),IFERROR(INDEX('Catalog'!$B:$B,MATCH($J451,'Catalog'!$A:$A,0)),$B451)),$B451)</f>
        <v>922 XXL</v>
      </c>
      <c r="D451" s="8" t="n">
        <f aca="false">SUMIFS('SALES Raw'!$C$6:$C$1634,'SALES Raw'!$J$6:$J$1634,$J451,'SALES Raw'!$K$6:$K$1634,"Y")</f>
        <v>1</v>
      </c>
      <c r="E451" s="8" t="n">
        <f aca="false">SUMIFS('SALES Raw'!$D$6:$D$1634,'SALES Raw'!$J$6:$J$1634,$J451,'SALES Raw'!$K$6:$K$1634,"Y")</f>
        <v>71.31</v>
      </c>
      <c r="F451" s="8" t="n">
        <f aca="false">SUMIFS('SALES Raw'!$E$6:$E$1634,'SALES Raw'!$J$6:$J$1634,$J451,'SALES Raw'!$K$6:$K$1634,"Y")*$H$4</f>
        <v>0</v>
      </c>
      <c r="G451" s="8" t="n">
        <f aca="false">SUMIFS('SALES Raw'!$F$6:$F$1634,'SALES Raw'!$J$6:$J$1634,$J451,'SALES Raw'!$K$6:$K$1634,"Y")*$H$4</f>
        <v>0</v>
      </c>
      <c r="H451" s="16" t="s">
        <v>32</v>
      </c>
      <c r="I451" s="16"/>
      <c r="J451" s="16" t="s">
        <v>186</v>
      </c>
    </row>
    <row r="452" customFormat="false" ht="15" hidden="false" customHeight="false" outlineLevel="0" collapsed="false">
      <c r="A452" s="16" t="n">
        <f aca="false">IF(ISNUMBER($J452),$J452,"")</f>
        <v>4408249</v>
      </c>
      <c r="B452" s="16" t="str">
        <f aca="false">IFERROR(INDEX('SALES Raw'!$B$6:$B$1634,MATCH($J452,'SALES Raw'!$J$6:$J$1634,0)),$J452)</f>
        <v>SC25 L</v>
      </c>
      <c r="C452" s="16" t="str">
        <f aca="false">IF(ISNUMBER($J452),IFERROR(INDEX('TRANS'!$C:$C,MATCH($J452,'TRANS'!$B:$B,0)),IFERROR(INDEX('Catalog'!$B:$B,MATCH($J452,'Catalog'!$A:$A,0)),$B452)),$B452)</f>
        <v>SC25  L חבק יד</v>
      </c>
      <c r="D452" s="8" t="n">
        <f aca="false">SUMIFS('SALES Raw'!$C$6:$C$1634,'SALES Raw'!$J$6:$J$1634,$J452,'SALES Raw'!$K$6:$K$1634,"Y")</f>
        <v>9</v>
      </c>
      <c r="E452" s="8" t="n">
        <f aca="false">SUMIFS('SALES Raw'!$D$6:$D$1634,'SALES Raw'!$J$6:$J$1634,$J452,'SALES Raw'!$K$6:$K$1634,"Y")</f>
        <v>369.32</v>
      </c>
      <c r="F452" s="8" t="n">
        <f aca="false">SUMIFS('SALES Raw'!$E$6:$E$1634,'SALES Raw'!$J$6:$J$1634,$J452,'SALES Raw'!$K$6:$K$1634,"Y")*$H$4</f>
        <v>0</v>
      </c>
      <c r="G452" s="8" t="n">
        <f aca="false">SUMIFS('SALES Raw'!$F$6:$F$1634,'SALES Raw'!$J$6:$J$1634,$J452,'SALES Raw'!$K$6:$K$1634,"Y")*$H$4</f>
        <v>0</v>
      </c>
      <c r="H452" s="16" t="s">
        <v>32</v>
      </c>
      <c r="I452" s="16"/>
      <c r="J452" s="16" t="n">
        <v>4408249</v>
      </c>
    </row>
    <row r="453" customFormat="false" ht="15" hidden="false" customHeight="false" outlineLevel="0" collapsed="false">
      <c r="A453" s="16" t="n">
        <f aca="false">IF(ISNUMBER($J453),$J453,"")</f>
        <v>4408248</v>
      </c>
      <c r="B453" s="16" t="str">
        <f aca="false">IFERROR(INDEX('SALES Raw'!$B$6:$B$1634,MATCH($J453,'SALES Raw'!$J$6:$J$1634,0)),$J453)</f>
        <v>SC25 M</v>
      </c>
      <c r="C453" s="16" t="str">
        <f aca="false">IF(ISNUMBER($J453),IFERROR(INDEX('TRANS'!$C:$C,MATCH($J453,'TRANS'!$B:$B,0)),IFERROR(INDEX('Catalog'!$B:$B,MATCH($J453,'Catalog'!$A:$A,0)),$B453)),$B453)</f>
        <v>SC25  M חבק יד</v>
      </c>
      <c r="D453" s="8" t="n">
        <f aca="false">SUMIFS('SALES Raw'!$C$6:$C$1634,'SALES Raw'!$J$6:$J$1634,$J453,'SALES Raw'!$K$6:$K$1634,"Y")</f>
        <v>3</v>
      </c>
      <c r="E453" s="8" t="n">
        <f aca="false">SUMIFS('SALES Raw'!$D$6:$D$1634,'SALES Raw'!$J$6:$J$1634,$J453,'SALES Raw'!$K$6:$K$1634,"Y")</f>
        <v>119.1</v>
      </c>
      <c r="F453" s="8" t="n">
        <f aca="false">SUMIFS('SALES Raw'!$E$6:$E$1634,'SALES Raw'!$J$6:$J$1634,$J453,'SALES Raw'!$K$6:$K$1634,"Y")*$H$4</f>
        <v>0</v>
      </c>
      <c r="G453" s="8" t="n">
        <f aca="false">SUMIFS('SALES Raw'!$F$6:$F$1634,'SALES Raw'!$J$6:$J$1634,$J453,'SALES Raw'!$K$6:$K$1634,"Y")*$H$4</f>
        <v>0</v>
      </c>
      <c r="H453" s="16" t="s">
        <v>32</v>
      </c>
      <c r="I453" s="16"/>
      <c r="J453" s="16" t="n">
        <v>4408248</v>
      </c>
    </row>
    <row r="454" customFormat="false" ht="15" hidden="false" customHeight="false" outlineLevel="0" collapsed="false">
      <c r="A454" s="16" t="n">
        <f aca="false">IF(ISNUMBER($J454),$J454,"")</f>
        <v>4413422</v>
      </c>
      <c r="B454" s="16" t="str">
        <f aca="false">IFERROR(INDEX('SALES Raw'!$B$6:$B$1634,MATCH($J454,'SALES Raw'!$J$6:$J$1634,0)),$J454)</f>
        <v>SC35L L</v>
      </c>
      <c r="C454" s="16" t="str">
        <f aca="false">IF(ISNUMBER($J454),IFERROR(INDEX('TRANS'!$C:$C,MATCH($J454,'TRANS'!$B:$B,0)),IFERROR(INDEX('Catalog'!$B:$B,MATCH($J454,'Catalog'!$A:$A,0)),$B454)),$B454)</f>
        <v>SC35L  L מגן קרסול שמאל</v>
      </c>
      <c r="D454" s="8" t="n">
        <f aca="false">SUMIFS('SALES Raw'!$C$6:$C$1634,'SALES Raw'!$J$6:$J$1634,$J454,'SALES Raw'!$K$6:$K$1634,"Y")</f>
        <v>3</v>
      </c>
      <c r="E454" s="8" t="n">
        <f aca="false">SUMIFS('SALES Raw'!$D$6:$D$1634,'SALES Raw'!$J$6:$J$1634,$J454,'SALES Raw'!$K$6:$K$1634,"Y")</f>
        <v>148.99</v>
      </c>
      <c r="F454" s="8" t="n">
        <f aca="false">SUMIFS('SALES Raw'!$E$6:$E$1634,'SALES Raw'!$J$6:$J$1634,$J454,'SALES Raw'!$K$6:$K$1634,"Y")*$H$4</f>
        <v>0</v>
      </c>
      <c r="G454" s="8" t="n">
        <f aca="false">SUMIFS('SALES Raw'!$F$6:$F$1634,'SALES Raw'!$J$6:$J$1634,$J454,'SALES Raw'!$K$6:$K$1634,"Y")*$H$4</f>
        <v>0</v>
      </c>
      <c r="H454" s="16" t="s">
        <v>32</v>
      </c>
      <c r="I454" s="16"/>
      <c r="J454" s="16" t="n">
        <v>4413422</v>
      </c>
    </row>
    <row r="455" customFormat="false" ht="15" hidden="false" customHeight="false" outlineLevel="0" collapsed="false">
      <c r="A455" s="16" t="n">
        <f aca="false">IF(ISNUMBER($J455),$J455,"")</f>
        <v>4413426</v>
      </c>
      <c r="B455" s="16" t="str">
        <f aca="false">IFERROR(INDEX('SALES Raw'!$B$6:$B$1634,MATCH($J455,'SALES Raw'!$J$6:$J$1634,0)),$J455)</f>
        <v>SC35R L</v>
      </c>
      <c r="C455" s="16" t="str">
        <f aca="false">IF(ISNUMBER($J455),IFERROR(INDEX('TRANS'!$C:$C,MATCH($J455,'TRANS'!$B:$B,0)),IFERROR(INDEX('Catalog'!$B:$B,MATCH($J455,'Catalog'!$A:$A,0)),$B455)),$B455)</f>
        <v>SC35R  L מגן קרסול ימין</v>
      </c>
      <c r="D455" s="8" t="n">
        <f aca="false">SUMIFS('SALES Raw'!$C$6:$C$1634,'SALES Raw'!$J$6:$J$1634,$J455,'SALES Raw'!$K$6:$K$1634,"Y")</f>
        <v>3</v>
      </c>
      <c r="E455" s="8" t="n">
        <f aca="false">SUMIFS('SALES Raw'!$D$6:$D$1634,'SALES Raw'!$J$6:$J$1634,$J455,'SALES Raw'!$K$6:$K$1634,"Y")</f>
        <v>145.32</v>
      </c>
      <c r="F455" s="8" t="n">
        <f aca="false">SUMIFS('SALES Raw'!$E$6:$E$1634,'SALES Raw'!$J$6:$J$1634,$J455,'SALES Raw'!$K$6:$K$1634,"Y")*$H$4</f>
        <v>0</v>
      </c>
      <c r="G455" s="8" t="n">
        <f aca="false">SUMIFS('SALES Raw'!$F$6:$F$1634,'SALES Raw'!$J$6:$J$1634,$J455,'SALES Raw'!$K$6:$K$1634,"Y")*$H$4</f>
        <v>0</v>
      </c>
      <c r="H455" s="16" t="s">
        <v>32</v>
      </c>
      <c r="I455" s="16"/>
      <c r="J455" s="16" t="n">
        <v>4413426</v>
      </c>
    </row>
    <row r="456" customFormat="false" ht="15" hidden="false" customHeight="false" outlineLevel="0" collapsed="false">
      <c r="A456" s="16" t="n">
        <f aca="false">IF(ISNUMBER($J456),$J456,"")</f>
        <v>4413439</v>
      </c>
      <c r="B456" s="16" t="str">
        <f aca="false">IFERROR(INDEX('SALES Raw'!$B$6:$B$1634,MATCH($J456,'SALES Raw'!$J$6:$J$1634,0)),$J456)</f>
        <v>SC422 M</v>
      </c>
      <c r="C456" s="16" t="str">
        <f aca="false">IF(ISNUMBER($J456),IFERROR(INDEX('TRANS'!$C:$C,MATCH($J456,'TRANS'!$B:$B,0)),IFERROR(INDEX('Catalog'!$B:$B,MATCH($J456,'Catalog'!$A:$A,0)),$B456)),$B456)</f>
        <v>SC422  M מגן ברך</v>
      </c>
      <c r="D456" s="8" t="n">
        <f aca="false">SUMIFS('SALES Raw'!$C$6:$C$1634,'SALES Raw'!$J$6:$J$1634,$J456,'SALES Raw'!$K$6:$K$1634,"Y")</f>
        <v>3</v>
      </c>
      <c r="E456" s="8" t="n">
        <f aca="false">SUMIFS('SALES Raw'!$D$6:$D$1634,'SALES Raw'!$J$6:$J$1634,$J456,'SALES Raw'!$K$6:$K$1634,"Y")</f>
        <v>251.56</v>
      </c>
      <c r="F456" s="8" t="n">
        <f aca="false">SUMIFS('SALES Raw'!$E$6:$E$1634,'SALES Raw'!$J$6:$J$1634,$J456,'SALES Raw'!$K$6:$K$1634,"Y")*$H$4</f>
        <v>0</v>
      </c>
      <c r="G456" s="8" t="n">
        <f aca="false">SUMIFS('SALES Raw'!$F$6:$F$1634,'SALES Raw'!$J$6:$J$1634,$J456,'SALES Raw'!$K$6:$K$1634,"Y")*$H$4</f>
        <v>0</v>
      </c>
      <c r="H456" s="16" t="s">
        <v>32</v>
      </c>
      <c r="I456" s="16"/>
      <c r="J456" s="16" t="n">
        <v>4413439</v>
      </c>
    </row>
    <row r="457" customFormat="false" ht="15" hidden="false" customHeight="false" outlineLevel="0" collapsed="false">
      <c r="A457" s="16" t="n">
        <f aca="false">IF(ISNUMBER($J457),$J457,"")</f>
        <v>4413058</v>
      </c>
      <c r="B457" s="16" t="str">
        <f aca="false">IFERROR(INDEX('SALES Raw'!$B$6:$B$1634,MATCH($J457,'SALES Raw'!$J$6:$J$1634,0)),$J457)</f>
        <v>3622S 0</v>
      </c>
      <c r="C457" s="16" t="str">
        <f aca="false">IF(ISNUMBER($J457),IFERROR(INDEX('TRANS'!$C:$C,MATCH($J457,'TRANS'!$B:$B,0)),IFERROR(INDEX('Catalog'!$B:$B,MATCH($J457,'Catalog'!$A:$A,0)),$B457)),$B457)</f>
        <v>3622S מדבקה לשחרור לחץ 2 יח</v>
      </c>
      <c r="D457" s="8" t="n">
        <f aca="false">SUMIFS('SALES Raw'!$C$6:$C$1634,'SALES Raw'!$J$6:$J$1634,$J457,'SALES Raw'!$K$6:$K$1634,"Y")</f>
        <v>30</v>
      </c>
      <c r="E457" s="8" t="n">
        <f aca="false">SUMIFS('SALES Raw'!$D$6:$D$1634,'SALES Raw'!$J$6:$J$1634,$J457,'SALES Raw'!$K$6:$K$1634,"Y")</f>
        <v>583.99</v>
      </c>
      <c r="F457" s="8" t="n">
        <f aca="false">SUMIFS('SALES Raw'!$E$6:$E$1634,'SALES Raw'!$J$6:$J$1634,$J457,'SALES Raw'!$K$6:$K$1634,"Y")*$H$4</f>
        <v>0</v>
      </c>
      <c r="G457" s="8" t="n">
        <f aca="false">SUMIFS('SALES Raw'!$F$6:$F$1634,'SALES Raw'!$J$6:$J$1634,$J457,'SALES Raw'!$K$6:$K$1634,"Y")*$H$4</f>
        <v>0</v>
      </c>
      <c r="H457" s="16" t="s">
        <v>34</v>
      </c>
      <c r="I457" s="16"/>
      <c r="J457" s="16" t="n">
        <v>4413058</v>
      </c>
    </row>
    <row r="458" customFormat="false" ht="15" hidden="false" customHeight="false" outlineLevel="0" collapsed="false">
      <c r="A458" s="16" t="n">
        <f aca="false">IF(ISNUMBER($J458),$J458,"")</f>
        <v>4408245</v>
      </c>
      <c r="B458" s="16" t="str">
        <f aca="false">IFERROR(INDEX('SALES Raw'!$B$6:$B$1634,MATCH($J458,'SALES Raw'!$J$6:$J$1634,0)),$J458)</f>
        <v>077A XXL</v>
      </c>
      <c r="C458" s="16" t="str">
        <f aca="false">IF(ISNUMBER($J458),IFERROR(INDEX('TRANS'!$C:$C,MATCH($J458,'TRANS'!$B:$B,0)),IFERROR(INDEX('Catalog'!$B:$B,MATCH($J458,'Catalog'!$A:$A,0)),$B458)),$B458)</f>
        <v>077A   XXL חגורת גב עם חיזוקים</v>
      </c>
      <c r="D458" s="8" t="n">
        <f aca="false">SUMIFS('SALES Raw'!$C$6:$C$1634,'SALES Raw'!$J$6:$J$1634,$J458,'SALES Raw'!$K$6:$K$1634,"Y")</f>
        <v>10</v>
      </c>
      <c r="E458" s="8" t="n">
        <f aca="false">SUMIFS('SALES Raw'!$D$6:$D$1634,'SALES Raw'!$J$6:$J$1634,$J458,'SALES Raw'!$K$6:$K$1634,"Y")</f>
        <v>700.18</v>
      </c>
      <c r="F458" s="8" t="n">
        <f aca="false">SUMIFS('SALES Raw'!$E$6:$E$1634,'SALES Raw'!$J$6:$J$1634,$J458,'SALES Raw'!$K$6:$K$1634,"Y")*$H$4</f>
        <v>0</v>
      </c>
      <c r="G458" s="8" t="n">
        <f aca="false">SUMIFS('SALES Raw'!$F$6:$F$1634,'SALES Raw'!$J$6:$J$1634,$J458,'SALES Raw'!$K$6:$K$1634,"Y")*$H$4</f>
        <v>0</v>
      </c>
      <c r="H458" s="16" t="s">
        <v>35</v>
      </c>
      <c r="I458" s="16"/>
      <c r="J458" s="16" t="n">
        <v>4408245</v>
      </c>
    </row>
    <row r="459" customFormat="false" ht="15" hidden="false" customHeight="false" outlineLevel="0" collapsed="false">
      <c r="A459" s="16" t="n">
        <f aca="false">IF(ISNUMBER($J459),$J459,"")</f>
        <v>4408135</v>
      </c>
      <c r="B459" s="16" t="str">
        <f aca="false">IFERROR(INDEX('SALES Raw'!$B$6:$B$1634,MATCH($J459,'SALES Raw'!$J$6:$J$1634,0)),$J459)</f>
        <v>077A-L-XL</v>
      </c>
      <c r="C459" s="16" t="str">
        <f aca="false">IF(ISNUMBER($J459),IFERROR(INDEX('TRANS'!$C:$C,MATCH($J459,'TRANS'!$B:$B,0)),IFERROR(INDEX('Catalog'!$B:$B,MATCH($J459,'Catalog'!$A:$A,0)),$B459)),$B459)</f>
        <v>077A L-XLחגורת גב</v>
      </c>
      <c r="D459" s="8" t="n">
        <f aca="false">SUMIFS('SALES Raw'!$C$6:$C$1634,'SALES Raw'!$J$6:$J$1634,$J459,'SALES Raw'!$K$6:$K$1634,"Y")</f>
        <v>30</v>
      </c>
      <c r="E459" s="8" t="n">
        <f aca="false">SUMIFS('SALES Raw'!$D$6:$D$1634,'SALES Raw'!$J$6:$J$1634,$J459,'SALES Raw'!$K$6:$K$1634,"Y")</f>
        <v>2100.53</v>
      </c>
      <c r="F459" s="8" t="n">
        <f aca="false">SUMIFS('SALES Raw'!$E$6:$E$1634,'SALES Raw'!$J$6:$J$1634,$J459,'SALES Raw'!$K$6:$K$1634,"Y")*$H$4</f>
        <v>0</v>
      </c>
      <c r="G459" s="8" t="n">
        <f aca="false">SUMIFS('SALES Raw'!$F$6:$F$1634,'SALES Raw'!$J$6:$J$1634,$J459,'SALES Raw'!$K$6:$K$1634,"Y")*$H$4</f>
        <v>0</v>
      </c>
      <c r="H459" s="16" t="s">
        <v>35</v>
      </c>
      <c r="I459" s="16"/>
      <c r="J459" s="16" t="n">
        <v>4408135</v>
      </c>
    </row>
    <row r="460" customFormat="false" ht="15" hidden="false" customHeight="false" outlineLevel="0" collapsed="false">
      <c r="A460" s="16" t="n">
        <f aca="false">IF(ISNUMBER($J460),$J460,"")</f>
        <v>4408134</v>
      </c>
      <c r="B460" s="16" t="str">
        <f aca="false">IFERROR(INDEX('SALES Raw'!$B$6:$B$1634,MATCH($J460,'SALES Raw'!$J$6:$J$1634,0)),$J460)</f>
        <v>077A-S-M</v>
      </c>
      <c r="C460" s="16" t="str">
        <f aca="false">IF(ISNUMBER($J460),IFERROR(INDEX('TRANS'!$C:$C,MATCH($J460,'TRANS'!$B:$B,0)),IFERROR(INDEX('Catalog'!$B:$B,MATCH($J460,'Catalog'!$A:$A,0)),$B460)),$B460)</f>
        <v>077A S-M חגורת גב</v>
      </c>
      <c r="D460" s="8" t="n">
        <f aca="false">SUMIFS('SALES Raw'!$C$6:$C$1634,'SALES Raw'!$J$6:$J$1634,$J460,'SALES Raw'!$K$6:$K$1634,"Y")</f>
        <v>20</v>
      </c>
      <c r="E460" s="8" t="n">
        <f aca="false">SUMIFS('SALES Raw'!$D$6:$D$1634,'SALES Raw'!$J$6:$J$1634,$J460,'SALES Raw'!$K$6:$K$1634,"Y")</f>
        <v>1400.36</v>
      </c>
      <c r="F460" s="8" t="n">
        <f aca="false">SUMIFS('SALES Raw'!$E$6:$E$1634,'SALES Raw'!$J$6:$J$1634,$J460,'SALES Raw'!$K$6:$K$1634,"Y")*$H$4</f>
        <v>0</v>
      </c>
      <c r="G460" s="8" t="n">
        <f aca="false">SUMIFS('SALES Raw'!$F$6:$F$1634,'SALES Raw'!$J$6:$J$1634,$J460,'SALES Raw'!$K$6:$K$1634,"Y")*$H$4</f>
        <v>0</v>
      </c>
      <c r="H460" s="16" t="s">
        <v>35</v>
      </c>
      <c r="I460" s="16"/>
      <c r="J460" s="16" t="n">
        <v>4408134</v>
      </c>
    </row>
    <row r="461" customFormat="false" ht="15" hidden="false" customHeight="false" outlineLevel="0" collapsed="false">
      <c r="A461" s="16" t="str">
        <f aca="false">IF(ISNUMBER($J461),$J461,"")</f>
        <v/>
      </c>
      <c r="B461" s="16" t="str">
        <f aca="false">IFERROR(INDEX('SALES Raw'!$B$6:$B$1634,MATCH($J461,'SALES Raw'!$J$6:$J$1634,0)),$J461)</f>
        <v>07UB XXL</v>
      </c>
      <c r="C461" s="16" t="str">
        <f aca="false">IF(ISNUMBER($J461),IFERROR(INDEX('TRANS'!$C:$C,MATCH($J461,'TRANS'!$B:$B,0)),IFERROR(INDEX('Catalog'!$B:$B,MATCH($J461,'Catalog'!$A:$A,0)),$B461)),$B461)</f>
        <v>07UB XXL</v>
      </c>
      <c r="D461" s="8" t="n">
        <f aca="false">SUMIFS('SALES Raw'!$C$6:$C$1634,'SALES Raw'!$J$6:$J$1634,$J461,'SALES Raw'!$K$6:$K$1634,"Y")</f>
        <v>10</v>
      </c>
      <c r="E461" s="8" t="n">
        <f aca="false">SUMIFS('SALES Raw'!$D$6:$D$1634,'SALES Raw'!$J$6:$J$1634,$J461,'SALES Raw'!$K$6:$K$1634,"Y")</f>
        <v>974.16</v>
      </c>
      <c r="F461" s="8" t="n">
        <f aca="false">SUMIFS('SALES Raw'!$E$6:$E$1634,'SALES Raw'!$J$6:$J$1634,$J461,'SALES Raw'!$K$6:$K$1634,"Y")*$H$4</f>
        <v>0</v>
      </c>
      <c r="G461" s="8" t="n">
        <f aca="false">SUMIFS('SALES Raw'!$F$6:$F$1634,'SALES Raw'!$J$6:$J$1634,$J461,'SALES Raw'!$K$6:$K$1634,"Y")*$H$4</f>
        <v>0</v>
      </c>
      <c r="H461" s="16" t="s">
        <v>35</v>
      </c>
      <c r="I461" s="16"/>
      <c r="J461" s="16" t="s">
        <v>187</v>
      </c>
    </row>
    <row r="462" customFormat="false" ht="15" hidden="false" customHeight="false" outlineLevel="0" collapsed="false">
      <c r="A462" s="16" t="str">
        <f aca="false">IF(ISNUMBER($J462),$J462,"")</f>
        <v/>
      </c>
      <c r="B462" s="16" t="str">
        <f aca="false">IFERROR(INDEX('SALES Raw'!$B$6:$B$1634,MATCH($J462,'SALES Raw'!$J$6:$J$1634,0)),$J462)</f>
        <v>07UB-L-XL</v>
      </c>
      <c r="C462" s="16" t="str">
        <f aca="false">IF(ISNUMBER($J462),IFERROR(INDEX('TRANS'!$C:$C,MATCH($J462,'TRANS'!$B:$B,0)),IFERROR(INDEX('Catalog'!$B:$B,MATCH($J462,'Catalog'!$A:$A,0)),$B462)),$B462)</f>
        <v>07UB-L-XL</v>
      </c>
      <c r="D462" s="8" t="n">
        <f aca="false">SUMIFS('SALES Raw'!$C$6:$C$1634,'SALES Raw'!$J$6:$J$1634,$J462,'SALES Raw'!$K$6:$K$1634,"Y")</f>
        <v>20</v>
      </c>
      <c r="E462" s="8" t="n">
        <f aca="false">SUMIFS('SALES Raw'!$D$6:$D$1634,'SALES Raw'!$J$6:$J$1634,$J462,'SALES Raw'!$K$6:$K$1634,"Y")</f>
        <v>1948.33</v>
      </c>
      <c r="F462" s="8" t="n">
        <f aca="false">SUMIFS('SALES Raw'!$E$6:$E$1634,'SALES Raw'!$J$6:$J$1634,$J462,'SALES Raw'!$K$6:$K$1634,"Y")*$H$4</f>
        <v>0</v>
      </c>
      <c r="G462" s="8" t="n">
        <f aca="false">SUMIFS('SALES Raw'!$F$6:$F$1634,'SALES Raw'!$J$6:$J$1634,$J462,'SALES Raw'!$K$6:$K$1634,"Y")*$H$4</f>
        <v>0</v>
      </c>
      <c r="H462" s="16" t="s">
        <v>35</v>
      </c>
      <c r="I462" s="16"/>
      <c r="J462" s="16" t="s">
        <v>188</v>
      </c>
    </row>
    <row r="463" customFormat="false" ht="15" hidden="false" customHeight="false" outlineLevel="0" collapsed="false">
      <c r="A463" s="16" t="str">
        <f aca="false">IF(ISNUMBER($J463),$J463,"")</f>
        <v/>
      </c>
      <c r="B463" s="16" t="str">
        <f aca="false">IFERROR(INDEX('SALES Raw'!$B$6:$B$1634,MATCH($J463,'SALES Raw'!$J$6:$J$1634,0)),$J463)</f>
        <v>07UB-S-M</v>
      </c>
      <c r="C463" s="16" t="str">
        <f aca="false">IF(ISNUMBER($J463),IFERROR(INDEX('TRANS'!$C:$C,MATCH($J463,'TRANS'!$B:$B,0)),IFERROR(INDEX('Catalog'!$B:$B,MATCH($J463,'Catalog'!$A:$A,0)),$B463)),$B463)</f>
        <v>07UB-S-M</v>
      </c>
      <c r="D463" s="8" t="n">
        <f aca="false">SUMIFS('SALES Raw'!$C$6:$C$1634,'SALES Raw'!$J$6:$J$1634,$J463,'SALES Raw'!$K$6:$K$1634,"Y")</f>
        <v>15</v>
      </c>
      <c r="E463" s="8" t="n">
        <f aca="false">SUMIFS('SALES Raw'!$D$6:$D$1634,'SALES Raw'!$J$6:$J$1634,$J463,'SALES Raw'!$K$6:$K$1634,"Y")</f>
        <v>1461.22</v>
      </c>
      <c r="F463" s="8" t="n">
        <f aca="false">SUMIFS('SALES Raw'!$E$6:$E$1634,'SALES Raw'!$J$6:$J$1634,$J463,'SALES Raw'!$K$6:$K$1634,"Y")*$H$4</f>
        <v>0</v>
      </c>
      <c r="G463" s="8" t="n">
        <f aca="false">SUMIFS('SALES Raw'!$F$6:$F$1634,'SALES Raw'!$J$6:$J$1634,$J463,'SALES Raw'!$K$6:$K$1634,"Y")*$H$4</f>
        <v>0</v>
      </c>
      <c r="H463" s="16" t="s">
        <v>35</v>
      </c>
      <c r="I463" s="16"/>
      <c r="J463" s="16" t="s">
        <v>189</v>
      </c>
    </row>
    <row r="464" customFormat="false" ht="15" hidden="false" customHeight="false" outlineLevel="0" collapsed="false">
      <c r="A464" s="16" t="n">
        <f aca="false">IF(ISNUMBER($J464),$J464,"")</f>
        <v>4408226</v>
      </c>
      <c r="B464" s="16" t="str">
        <f aca="false">IFERROR(INDEX('SALES Raw'!$B$6:$B$1634,MATCH($J464,'SALES Raw'!$J$6:$J$1634,0)),$J464)</f>
        <v>11UG L</v>
      </c>
      <c r="C464" s="16" t="str">
        <f aca="false">IF(ISNUMBER($J464),IFERROR(INDEX('TRANS'!$C:$C,MATCH($J464,'TRANS'!$B:$B,0)),IFERROR(INDEX('Catalog'!$B:$B,MATCH($J464,'Catalog'!$A:$A,0)),$B464)),$B464)</f>
        <v>L 11 אפורUG חגורת בטן</v>
      </c>
      <c r="D464" s="8" t="n">
        <f aca="false">SUMIFS('SALES Raw'!$C$6:$C$1634,'SALES Raw'!$J$6:$J$1634,$J464,'SALES Raw'!$K$6:$K$1634,"Y")</f>
        <v>15</v>
      </c>
      <c r="E464" s="8" t="n">
        <f aca="false">SUMIFS('SALES Raw'!$D$6:$D$1634,'SALES Raw'!$J$6:$J$1634,$J464,'SALES Raw'!$K$6:$K$1634,"Y")</f>
        <v>781.09</v>
      </c>
      <c r="F464" s="8" t="n">
        <f aca="false">SUMIFS('SALES Raw'!$E$6:$E$1634,'SALES Raw'!$J$6:$J$1634,$J464,'SALES Raw'!$K$6:$K$1634,"Y")*$H$4</f>
        <v>0</v>
      </c>
      <c r="G464" s="8" t="n">
        <f aca="false">SUMIFS('SALES Raw'!$F$6:$F$1634,'SALES Raw'!$J$6:$J$1634,$J464,'SALES Raw'!$K$6:$K$1634,"Y")*$H$4</f>
        <v>0</v>
      </c>
      <c r="H464" s="16" t="s">
        <v>35</v>
      </c>
      <c r="I464" s="16"/>
      <c r="J464" s="16" t="n">
        <v>4408226</v>
      </c>
    </row>
    <row r="465" customFormat="false" ht="15" hidden="false" customHeight="false" outlineLevel="0" collapsed="false">
      <c r="A465" s="16" t="str">
        <f aca="false">IF(ISNUMBER($J465),$J465,"")</f>
        <v/>
      </c>
      <c r="B465" s="16" t="str">
        <f aca="false">IFERROR(INDEX('SALES Raw'!$B$6:$B$1634,MATCH($J465,'SALES Raw'!$J$6:$J$1634,0)),$J465)</f>
        <v>11UG XL</v>
      </c>
      <c r="C465" s="16" t="str">
        <f aca="false">IF(ISNUMBER($J465),IFERROR(INDEX('TRANS'!$C:$C,MATCH($J465,'TRANS'!$B:$B,0)),IFERROR(INDEX('Catalog'!$B:$B,MATCH($J465,'Catalog'!$A:$A,0)),$B465)),$B465)</f>
        <v>11UG XL</v>
      </c>
      <c r="D465" s="8" t="n">
        <f aca="false">SUMIFS('SALES Raw'!$C$6:$C$1634,'SALES Raw'!$J$6:$J$1634,$J465,'SALES Raw'!$K$6:$K$1634,"Y")</f>
        <v>15</v>
      </c>
      <c r="E465" s="8" t="n">
        <f aca="false">SUMIFS('SALES Raw'!$D$6:$D$1634,'SALES Raw'!$J$6:$J$1634,$J465,'SALES Raw'!$K$6:$K$1634,"Y")</f>
        <v>781.09</v>
      </c>
      <c r="F465" s="8" t="n">
        <f aca="false">SUMIFS('SALES Raw'!$E$6:$E$1634,'SALES Raw'!$J$6:$J$1634,$J465,'SALES Raw'!$K$6:$K$1634,"Y")*$H$4</f>
        <v>0</v>
      </c>
      <c r="G465" s="8" t="n">
        <f aca="false">SUMIFS('SALES Raw'!$F$6:$F$1634,'SALES Raw'!$J$6:$J$1634,$J465,'SALES Raw'!$K$6:$K$1634,"Y")*$H$4</f>
        <v>0</v>
      </c>
      <c r="H465" s="16" t="s">
        <v>35</v>
      </c>
      <c r="I465" s="16"/>
      <c r="J465" s="16" t="s">
        <v>190</v>
      </c>
    </row>
    <row r="466" customFormat="false" ht="15" hidden="false" customHeight="false" outlineLevel="0" collapsed="false">
      <c r="A466" s="16" t="n">
        <f aca="false">IF(ISNUMBER($J466),$J466,"")</f>
        <v>4419014</v>
      </c>
      <c r="B466" s="16" t="str">
        <f aca="false">IFERROR(INDEX('SALES Raw'!$B$6:$B$1634,MATCH($J466,'SALES Raw'!$J$6:$J$1634,0)),$J466)</f>
        <v>239TR-L-XL</v>
      </c>
      <c r="C466" s="16" t="str">
        <f aca="false">IF(ISNUMBER($J466),IFERROR(INDEX('TRANS'!$C:$C,MATCH($J466,'TRANS'!$B:$B,0)),IFERROR(INDEX('Catalog'!$B:$B,MATCH($J466,'Catalog'!$A:$A,0)),$B466)),$B466)</f>
        <v>239TR L-XL STRAP4U</v>
      </c>
      <c r="D466" s="8" t="n">
        <f aca="false">SUMIFS('SALES Raw'!$C$6:$C$1634,'SALES Raw'!$J$6:$J$1634,$J466,'SALES Raw'!$K$6:$K$1634,"Y")</f>
        <v>25</v>
      </c>
      <c r="E466" s="8" t="n">
        <f aca="false">SUMIFS('SALES Raw'!$D$6:$D$1634,'SALES Raw'!$J$6:$J$1634,$J466,'SALES Raw'!$K$6:$K$1634,"Y")</f>
        <v>389.38</v>
      </c>
      <c r="F466" s="8" t="n">
        <f aca="false">SUMIFS('SALES Raw'!$E$6:$E$1634,'SALES Raw'!$J$6:$J$1634,$J466,'SALES Raw'!$K$6:$K$1634,"Y")*$H$4</f>
        <v>0</v>
      </c>
      <c r="G466" s="8" t="n">
        <f aca="false">SUMIFS('SALES Raw'!$F$6:$F$1634,'SALES Raw'!$J$6:$J$1634,$J466,'SALES Raw'!$K$6:$K$1634,"Y")*$H$4</f>
        <v>0</v>
      </c>
      <c r="H466" s="16" t="s">
        <v>35</v>
      </c>
      <c r="I466" s="16" t="s">
        <v>38</v>
      </c>
      <c r="J466" s="16" t="n">
        <v>4419014</v>
      </c>
    </row>
    <row r="467" customFormat="false" ht="15" hidden="false" customHeight="false" outlineLevel="0" collapsed="false">
      <c r="A467" s="16" t="n">
        <f aca="false">IF(ISNUMBER($J467),$J467,"")</f>
        <v>4415019</v>
      </c>
      <c r="B467" s="16" t="str">
        <f aca="false">IFERROR(INDEX('SALES Raw'!$B$6:$B$1634,MATCH($J467,'SALES Raw'!$J$6:$J$1634,0)),$J467)</f>
        <v>333 0</v>
      </c>
      <c r="C467" s="16" t="str">
        <f aca="false">IF(ISNUMBER($J467),IFERROR(INDEX('TRANS'!$C:$C,MATCH($J467,'TRANS'!$B:$B,0)),IFERROR(INDEX('Catalog'!$B:$B,MATCH($J467,'Catalog'!$A:$A,0)),$B467)),$B467)</f>
        <v>333 סד לקרסול עם כריות אויר</v>
      </c>
      <c r="D467" s="8" t="n">
        <f aca="false">SUMIFS('SALES Raw'!$C$6:$C$1634,'SALES Raw'!$J$6:$J$1634,$J467,'SALES Raw'!$K$6:$K$1634,"Y")</f>
        <v>30</v>
      </c>
      <c r="E467" s="8" t="n">
        <f aca="false">SUMIFS('SALES Raw'!$D$6:$D$1634,'SALES Raw'!$J$6:$J$1634,$J467,'SALES Raw'!$K$6:$K$1634,"Y")</f>
        <v>1746.64</v>
      </c>
      <c r="F467" s="8" t="n">
        <f aca="false">SUMIFS('SALES Raw'!$E$6:$E$1634,'SALES Raw'!$J$6:$J$1634,$J467,'SALES Raw'!$K$6:$K$1634,"Y")*$H$4</f>
        <v>0</v>
      </c>
      <c r="G467" s="8" t="n">
        <f aca="false">SUMIFS('SALES Raw'!$F$6:$F$1634,'SALES Raw'!$J$6:$J$1634,$J467,'SALES Raw'!$K$6:$K$1634,"Y")*$H$4</f>
        <v>0</v>
      </c>
      <c r="H467" s="16" t="s">
        <v>35</v>
      </c>
      <c r="I467" s="16"/>
      <c r="J467" s="16" t="n">
        <v>4415019</v>
      </c>
    </row>
    <row r="468" customFormat="false" ht="15" hidden="false" customHeight="false" outlineLevel="0" collapsed="false">
      <c r="A468" s="16" t="str">
        <f aca="false">IF(ISNUMBER($J468),$J468,"")</f>
        <v/>
      </c>
      <c r="B468" s="16" t="str">
        <f aca="false">IFERROR(INDEX('SALES Raw'!$B$6:$B$1634,MATCH($J468,'SALES Raw'!$J$6:$J$1634,0)),$J468)</f>
        <v>62 L</v>
      </c>
      <c r="C468" s="16" t="str">
        <f aca="false">IF(ISNUMBER($J468),IFERROR(INDEX('TRANS'!$C:$C,MATCH($J468,'TRANS'!$B:$B,0)),IFERROR(INDEX('Catalog'!$B:$B,MATCH($J468,'Catalog'!$A:$A,0)),$B468)),$B468)</f>
        <v>62 L</v>
      </c>
      <c r="D468" s="8" t="n">
        <f aca="false">SUMIFS('SALES Raw'!$C$6:$C$1634,'SALES Raw'!$J$6:$J$1634,$J468,'SALES Raw'!$K$6:$K$1634,"Y")</f>
        <v>7</v>
      </c>
      <c r="E468" s="8" t="n">
        <f aca="false">SUMIFS('SALES Raw'!$D$6:$D$1634,'SALES Raw'!$J$6:$J$1634,$J468,'SALES Raw'!$K$6:$K$1634,"Y")</f>
        <v>175.81</v>
      </c>
      <c r="F468" s="8" t="n">
        <f aca="false">SUMIFS('SALES Raw'!$E$6:$E$1634,'SALES Raw'!$J$6:$J$1634,$J468,'SALES Raw'!$K$6:$K$1634,"Y")*$H$4</f>
        <v>0</v>
      </c>
      <c r="G468" s="8" t="n">
        <f aca="false">SUMIFS('SALES Raw'!$F$6:$F$1634,'SALES Raw'!$J$6:$J$1634,$J468,'SALES Raw'!$K$6:$K$1634,"Y")*$H$4</f>
        <v>0</v>
      </c>
      <c r="H468" s="16" t="s">
        <v>35</v>
      </c>
      <c r="I468" s="16"/>
      <c r="J468" s="16" t="s">
        <v>191</v>
      </c>
    </row>
    <row r="469" customFormat="false" ht="15" hidden="false" customHeight="false" outlineLevel="0" collapsed="false">
      <c r="A469" s="16" t="n">
        <f aca="false">IF(ISNUMBER($J469),$J469,"")</f>
        <v>4413176</v>
      </c>
      <c r="B469" s="16" t="str">
        <f aca="false">IFERROR(INDEX('SALES Raw'!$B$6:$B$1634,MATCH($J469,'SALES Raw'!$J$6:$J$1634,0)),$J469)</f>
        <v>85+ L</v>
      </c>
      <c r="C469" s="16" t="str">
        <f aca="false">IF(ISNUMBER($J469),IFERROR(INDEX('TRANS'!$C:$C,MATCH($J469,'TRANS'!$B:$B,0)),IFERROR(INDEX('Catalog'!$B:$B,MATCH($J469,'Catalog'!$A:$A,0)),$B469)),$B469)</f>
        <v>85+ Lמתלה ליד)כיס(+רצועת חיזוק</v>
      </c>
      <c r="D469" s="8" t="n">
        <f aca="false">SUMIFS('SALES Raw'!$C$6:$C$1634,'SALES Raw'!$J$6:$J$1634,$J469,'SALES Raw'!$K$6:$K$1634,"Y")</f>
        <v>15</v>
      </c>
      <c r="E469" s="8" t="n">
        <f aca="false">SUMIFS('SALES Raw'!$D$6:$D$1634,'SALES Raw'!$J$6:$J$1634,$J469,'SALES Raw'!$K$6:$K$1634,"Y")</f>
        <v>647.85</v>
      </c>
      <c r="F469" s="8" t="n">
        <f aca="false">SUMIFS('SALES Raw'!$E$6:$E$1634,'SALES Raw'!$J$6:$J$1634,$J469,'SALES Raw'!$K$6:$K$1634,"Y")*$H$4</f>
        <v>0</v>
      </c>
      <c r="G469" s="8" t="n">
        <f aca="false">SUMIFS('SALES Raw'!$F$6:$F$1634,'SALES Raw'!$J$6:$J$1634,$J469,'SALES Raw'!$K$6:$K$1634,"Y")*$H$4</f>
        <v>0</v>
      </c>
      <c r="H469" s="16" t="s">
        <v>35</v>
      </c>
      <c r="I469" s="16"/>
      <c r="J469" s="16" t="n">
        <v>4413176</v>
      </c>
    </row>
    <row r="470" customFormat="false" ht="15" hidden="false" customHeight="false" outlineLevel="0" collapsed="false">
      <c r="A470" s="16" t="n">
        <f aca="false">IF(ISNUMBER($J470),$J470,"")</f>
        <v>4413175</v>
      </c>
      <c r="B470" s="16" t="str">
        <f aca="false">IFERROR(INDEX('SALES Raw'!$B$6:$B$1634,MATCH($J470,'SALES Raw'!$J$6:$J$1634,0)),$J470)</f>
        <v>85+ M</v>
      </c>
      <c r="C470" s="16" t="str">
        <f aca="false">IF(ISNUMBER($J470),IFERROR(INDEX('TRANS'!$C:$C,MATCH($J470,'TRANS'!$B:$B,0)),IFERROR(INDEX('Catalog'!$B:$B,MATCH($J470,'Catalog'!$A:$A,0)),$B470)),$B470)</f>
        <v>85+ Mמתלה ליד)כיס(+רצועת חיזוק</v>
      </c>
      <c r="D470" s="8" t="n">
        <f aca="false">SUMIFS('SALES Raw'!$C$6:$C$1634,'SALES Raw'!$J$6:$J$1634,$J470,'SALES Raw'!$K$6:$K$1634,"Y")</f>
        <v>15</v>
      </c>
      <c r="E470" s="8" t="n">
        <f aca="false">SUMIFS('SALES Raw'!$D$6:$D$1634,'SALES Raw'!$J$6:$J$1634,$J470,'SALES Raw'!$K$6:$K$1634,"Y")</f>
        <v>647.85</v>
      </c>
      <c r="F470" s="8" t="n">
        <f aca="false">SUMIFS('SALES Raw'!$E$6:$E$1634,'SALES Raw'!$J$6:$J$1634,$J470,'SALES Raw'!$K$6:$K$1634,"Y")*$H$4</f>
        <v>0</v>
      </c>
      <c r="G470" s="8" t="n">
        <f aca="false">SUMIFS('SALES Raw'!$F$6:$F$1634,'SALES Raw'!$J$6:$J$1634,$J470,'SALES Raw'!$K$6:$K$1634,"Y")*$H$4</f>
        <v>0</v>
      </c>
      <c r="H470" s="16" t="s">
        <v>35</v>
      </c>
      <c r="I470" s="16"/>
      <c r="J470" s="16" t="n">
        <v>4413175</v>
      </c>
    </row>
    <row r="471" customFormat="false" ht="15" hidden="false" customHeight="false" outlineLevel="0" collapsed="false">
      <c r="A471" s="16" t="n">
        <f aca="false">IF(ISNUMBER($J471),$J471,"")</f>
        <v>4413177</v>
      </c>
      <c r="B471" s="16" t="str">
        <f aca="false">IFERROR(INDEX('SALES Raw'!$B$6:$B$1634,MATCH($J471,'SALES Raw'!$J$6:$J$1634,0)),$J471)</f>
        <v>85+ XL</v>
      </c>
      <c r="C471" s="16" t="str">
        <f aca="false">IF(ISNUMBER($J471),IFERROR(INDEX('TRANS'!$C:$C,MATCH($J471,'TRANS'!$B:$B,0)),IFERROR(INDEX('Catalog'!$B:$B,MATCH($J471,'Catalog'!$A:$A,0)),$B471)),$B471)</f>
        <v>85+ XLמתלה ליד)כיס(רצועת חיזוק</v>
      </c>
      <c r="D471" s="8" t="n">
        <f aca="false">SUMIFS('SALES Raw'!$C$6:$C$1634,'SALES Raw'!$J$6:$J$1634,$J471,'SALES Raw'!$K$6:$K$1634,"Y")</f>
        <v>10</v>
      </c>
      <c r="E471" s="8" t="n">
        <f aca="false">SUMIFS('SALES Raw'!$D$6:$D$1634,'SALES Raw'!$J$6:$J$1634,$J471,'SALES Raw'!$K$6:$K$1634,"Y")</f>
        <v>431.91</v>
      </c>
      <c r="F471" s="8" t="n">
        <f aca="false">SUMIFS('SALES Raw'!$E$6:$E$1634,'SALES Raw'!$J$6:$J$1634,$J471,'SALES Raw'!$K$6:$K$1634,"Y")*$H$4</f>
        <v>0</v>
      </c>
      <c r="G471" s="8" t="n">
        <f aca="false">SUMIFS('SALES Raw'!$F$6:$F$1634,'SALES Raw'!$J$6:$J$1634,$J471,'SALES Raw'!$K$6:$K$1634,"Y")*$H$4</f>
        <v>0</v>
      </c>
      <c r="H471" s="16" t="s">
        <v>35</v>
      </c>
      <c r="I471" s="16"/>
      <c r="J471" s="16" t="n">
        <v>4413177</v>
      </c>
    </row>
    <row r="472" customFormat="false" ht="15" hidden="false" customHeight="false" outlineLevel="0" collapsed="false">
      <c r="A472" s="16" t="str">
        <f aca="false">IF(ISNUMBER($J472),$J472,"")</f>
        <v/>
      </c>
      <c r="B472" s="16" t="str">
        <f aca="false">IFERROR(INDEX('SALES Raw'!$B$6:$B$1634,MATCH($J472,'SALES Raw'!$J$6:$J$1634,0)),$J472)</f>
        <v>T33 M</v>
      </c>
      <c r="C472" s="16" t="str">
        <f aca="false">IF(ISNUMBER($J472),IFERROR(INDEX('TRANS'!$C:$C,MATCH($J472,'TRANS'!$B:$B,0)),IFERROR(INDEX('Catalog'!$B:$B,MATCH($J472,'Catalog'!$A:$A,0)),$B472)),$B472)</f>
        <v>T33 M</v>
      </c>
      <c r="D472" s="8" t="n">
        <f aca="false">SUMIFS('SALES Raw'!$C$6:$C$1634,'SALES Raw'!$J$6:$J$1634,$J472,'SALES Raw'!$K$6:$K$1634,"Y")</f>
        <v>22</v>
      </c>
      <c r="E472" s="8" t="n">
        <f aca="false">SUMIFS('SALES Raw'!$D$6:$D$1634,'SALES Raw'!$J$6:$J$1634,$J472,'SALES Raw'!$K$6:$K$1634,"Y")</f>
        <v>1304.99</v>
      </c>
      <c r="F472" s="8" t="n">
        <f aca="false">SUMIFS('SALES Raw'!$E$6:$E$1634,'SALES Raw'!$J$6:$J$1634,$J472,'SALES Raw'!$K$6:$K$1634,"Y")*$H$4</f>
        <v>0</v>
      </c>
      <c r="G472" s="8" t="n">
        <f aca="false">SUMIFS('SALES Raw'!$F$6:$F$1634,'SALES Raw'!$J$6:$J$1634,$J472,'SALES Raw'!$K$6:$K$1634,"Y")*$H$4</f>
        <v>0</v>
      </c>
      <c r="H472" s="16" t="s">
        <v>35</v>
      </c>
      <c r="I472" s="16" t="s">
        <v>41</v>
      </c>
      <c r="J472" s="16" t="s">
        <v>192</v>
      </c>
    </row>
    <row r="473" customFormat="false" ht="15" hidden="false" customHeight="false" outlineLevel="0" collapsed="false">
      <c r="A473" s="16" t="str">
        <f aca="false">IF(ISNUMBER($J473),$J473,"")</f>
        <v/>
      </c>
      <c r="B473" s="16" t="str">
        <f aca="false">IFERROR(INDEX('SALES Raw'!$B$6:$B$1634,MATCH($J473,'SALES Raw'!$J$6:$J$1634,0)),$J473)</f>
        <v>T33 S</v>
      </c>
      <c r="C473" s="16" t="str">
        <f aca="false">IF(ISNUMBER($J473),IFERROR(INDEX('TRANS'!$C:$C,MATCH($J473,'TRANS'!$B:$B,0)),IFERROR(INDEX('Catalog'!$B:$B,MATCH($J473,'Catalog'!$A:$A,0)),$B473)),$B473)</f>
        <v>T33 S</v>
      </c>
      <c r="D473" s="8" t="n">
        <f aca="false">SUMIFS('SALES Raw'!$C$6:$C$1634,'SALES Raw'!$J$6:$J$1634,$J473,'SALES Raw'!$K$6:$K$1634,"Y")</f>
        <v>10</v>
      </c>
      <c r="E473" s="8" t="n">
        <f aca="false">SUMIFS('SALES Raw'!$D$6:$D$1634,'SALES Raw'!$J$6:$J$1634,$J473,'SALES Raw'!$K$6:$K$1634,"Y")</f>
        <v>590.35</v>
      </c>
      <c r="F473" s="8" t="n">
        <f aca="false">SUMIFS('SALES Raw'!$E$6:$E$1634,'SALES Raw'!$J$6:$J$1634,$J473,'SALES Raw'!$K$6:$K$1634,"Y")*$H$4</f>
        <v>0</v>
      </c>
      <c r="G473" s="8" t="n">
        <f aca="false">SUMIFS('SALES Raw'!$F$6:$F$1634,'SALES Raw'!$J$6:$J$1634,$J473,'SALES Raw'!$K$6:$K$1634,"Y")*$H$4</f>
        <v>0</v>
      </c>
      <c r="H473" s="16" t="s">
        <v>35</v>
      </c>
      <c r="I473" s="16"/>
      <c r="J473" s="16" t="s">
        <v>193</v>
      </c>
    </row>
    <row r="474" customFormat="false" ht="15" hidden="false" customHeight="false" outlineLevel="0" collapsed="false">
      <c r="A474" s="16" t="str">
        <f aca="false">IF(ISNUMBER($J474),$J474,"")</f>
        <v/>
      </c>
      <c r="B474" s="16" t="str">
        <f aca="false">IFERROR(INDEX('SALES Raw'!$B$6:$B$1634,MATCH($J474,'SALES Raw'!$J$6:$J$1634,0)),$J474)</f>
        <v>T33 XXL</v>
      </c>
      <c r="C474" s="16" t="str">
        <f aca="false">IF(ISNUMBER($J474),IFERROR(INDEX('TRANS'!$C:$C,MATCH($J474,'TRANS'!$B:$B,0)),IFERROR(INDEX('Catalog'!$B:$B,MATCH($J474,'Catalog'!$A:$A,0)),$B474)),$B474)</f>
        <v>T33 XXL</v>
      </c>
      <c r="D474" s="8" t="n">
        <f aca="false">SUMIFS('SALES Raw'!$C$6:$C$1634,'SALES Raw'!$J$6:$J$1634,$J474,'SALES Raw'!$K$6:$K$1634,"Y")</f>
        <v>34</v>
      </c>
      <c r="E474" s="8" t="n">
        <f aca="false">SUMIFS('SALES Raw'!$D$6:$D$1634,'SALES Raw'!$J$6:$J$1634,$J474,'SALES Raw'!$K$6:$K$1634,"Y")</f>
        <v>2001.25</v>
      </c>
      <c r="F474" s="8" t="n">
        <f aca="false">SUMIFS('SALES Raw'!$E$6:$E$1634,'SALES Raw'!$J$6:$J$1634,$J474,'SALES Raw'!$K$6:$K$1634,"Y")*$H$4</f>
        <v>0</v>
      </c>
      <c r="G474" s="8" t="n">
        <f aca="false">SUMIFS('SALES Raw'!$F$6:$F$1634,'SALES Raw'!$J$6:$J$1634,$J474,'SALES Raw'!$K$6:$K$1634,"Y")*$H$4</f>
        <v>0</v>
      </c>
      <c r="H474" s="16" t="s">
        <v>35</v>
      </c>
      <c r="I474" s="16" t="s">
        <v>41</v>
      </c>
      <c r="J474" s="16" t="s">
        <v>194</v>
      </c>
    </row>
    <row r="475" customFormat="false" ht="15" hidden="false" customHeight="false" outlineLevel="0" collapsed="false">
      <c r="A475" s="16" t="n">
        <f aca="false">IF(ISNUMBER($J475),$J475,"")</f>
        <v>4408149</v>
      </c>
      <c r="B475" s="16" t="str">
        <f aca="false">IFERROR(INDEX('SALES Raw'!$B$6:$B$1634,MATCH($J475,'SALES Raw'!$J$6:$J$1634,0)),$J475)</f>
        <v>11PS XXL</v>
      </c>
      <c r="C475" s="16" t="str">
        <f aca="false">IF(ISNUMBER($J475),IFERROR(INDEX('TRANS'!$C:$C,MATCH($J475,'TRANS'!$B:$B,0)),IFERROR(INDEX('Catalog'!$B:$B,MATCH($J475,'Catalog'!$A:$A,0)),$B475)),$B475)</f>
        <v>11PS XXLחגורה למנותחי בטן</v>
      </c>
      <c r="D475" s="8" t="n">
        <f aca="false">SUMIFS('SALES Raw'!$C$6:$C$1634,'SALES Raw'!$J$6:$J$1634,$J475,'SALES Raw'!$K$6:$K$1634,"Y")</f>
        <v>12</v>
      </c>
      <c r="E475" s="8" t="n">
        <f aca="false">SUMIFS('SALES Raw'!$D$6:$D$1634,'SALES Raw'!$J$6:$J$1634,$J475,'SALES Raw'!$K$6:$K$1634,"Y")</f>
        <v>633.15</v>
      </c>
      <c r="F475" s="8" t="n">
        <f aca="false">SUMIFS('SALES Raw'!$E$6:$E$1634,'SALES Raw'!$J$6:$J$1634,$J475,'SALES Raw'!$K$6:$K$1634,"Y")*$H$4</f>
        <v>0</v>
      </c>
      <c r="G475" s="8" t="n">
        <f aca="false">SUMIFS('SALES Raw'!$F$6:$F$1634,'SALES Raw'!$J$6:$J$1634,$J475,'SALES Raw'!$K$6:$K$1634,"Y")*$H$4</f>
        <v>0</v>
      </c>
      <c r="H475" s="16" t="s">
        <v>36</v>
      </c>
      <c r="I475" s="16"/>
      <c r="J475" s="16" t="n">
        <v>4408149</v>
      </c>
    </row>
    <row r="476" customFormat="false" ht="15" hidden="false" customHeight="false" outlineLevel="0" collapsed="false">
      <c r="A476" s="16" t="str">
        <f aca="false">IF(ISNUMBER($J476),$J476,"")</f>
        <v/>
      </c>
      <c r="B476" s="16" t="str">
        <f aca="false">IFERROR(INDEX('SALES Raw'!$B$6:$B$1634,MATCH($J476,'SALES Raw'!$J$6:$J$1634,0)),$J476)</f>
        <v>15M M</v>
      </c>
      <c r="C476" s="16" t="str">
        <f aca="false">IF(ISNUMBER($J476),IFERROR(INDEX('TRANS'!$C:$C,MATCH($J476,'TRANS'!$B:$B,0)),IFERROR(INDEX('Catalog'!$B:$B,MATCH($J476,'Catalog'!$A:$A,0)),$B476)),$B476)</f>
        <v>15M M</v>
      </c>
      <c r="D476" s="8" t="n">
        <f aca="false">SUMIFS('SALES Raw'!$C$6:$C$1634,'SALES Raw'!$J$6:$J$1634,$J476,'SALES Raw'!$K$6:$K$1634,"Y")</f>
        <v>18</v>
      </c>
      <c r="E476" s="8" t="n">
        <f aca="false">SUMIFS('SALES Raw'!$D$6:$D$1634,'SALES Raw'!$J$6:$J$1634,$J476,'SALES Raw'!$K$6:$K$1634,"Y")</f>
        <v>987.68</v>
      </c>
      <c r="F476" s="8" t="n">
        <f aca="false">SUMIFS('SALES Raw'!$E$6:$E$1634,'SALES Raw'!$J$6:$J$1634,$J476,'SALES Raw'!$K$6:$K$1634,"Y")*$H$4</f>
        <v>0</v>
      </c>
      <c r="G476" s="8" t="n">
        <f aca="false">SUMIFS('SALES Raw'!$F$6:$F$1634,'SALES Raw'!$J$6:$J$1634,$J476,'SALES Raw'!$K$6:$K$1634,"Y")*$H$4</f>
        <v>0</v>
      </c>
      <c r="H476" s="16" t="s">
        <v>36</v>
      </c>
      <c r="I476" s="16" t="s">
        <v>43</v>
      </c>
      <c r="J476" s="16" t="s">
        <v>195</v>
      </c>
    </row>
    <row r="477" customFormat="false" ht="15" hidden="false" customHeight="false" outlineLevel="0" collapsed="false">
      <c r="A477" s="16" t="str">
        <f aca="false">IF(ISNUMBER($J477),$J477,"")</f>
        <v/>
      </c>
      <c r="B477" s="16" t="str">
        <f aca="false">IFERROR(INDEX('SALES Raw'!$B$6:$B$1634,MATCH($J477,'SALES Raw'!$J$6:$J$1634,0)),$J477)</f>
        <v>15W XL</v>
      </c>
      <c r="C477" s="16" t="str">
        <f aca="false">IF(ISNUMBER($J477),IFERROR(INDEX('TRANS'!$C:$C,MATCH($J477,'TRANS'!$B:$B,0)),IFERROR(INDEX('Catalog'!$B:$B,MATCH($J477,'Catalog'!$A:$A,0)),$B477)),$B477)</f>
        <v>15W XL</v>
      </c>
      <c r="D477" s="8" t="n">
        <f aca="false">SUMIFS('SALES Raw'!$C$6:$C$1634,'SALES Raw'!$J$6:$J$1634,$J477,'SALES Raw'!$K$6:$K$1634,"Y")</f>
        <v>23</v>
      </c>
      <c r="E477" s="8" t="n">
        <f aca="false">SUMIFS('SALES Raw'!$D$6:$D$1634,'SALES Raw'!$J$6:$J$1634,$J477,'SALES Raw'!$K$6:$K$1634,"Y")</f>
        <v>1081.88</v>
      </c>
      <c r="F477" s="8" t="n">
        <f aca="false">SUMIFS('SALES Raw'!$E$6:$E$1634,'SALES Raw'!$J$6:$J$1634,$J477,'SALES Raw'!$K$6:$K$1634,"Y")*$H$4</f>
        <v>0</v>
      </c>
      <c r="G477" s="8" t="n">
        <f aca="false">SUMIFS('SALES Raw'!$F$6:$F$1634,'SALES Raw'!$J$6:$J$1634,$J477,'SALES Raw'!$K$6:$K$1634,"Y")*$H$4</f>
        <v>0</v>
      </c>
      <c r="H477" s="16" t="s">
        <v>36</v>
      </c>
      <c r="I477" s="16" t="s">
        <v>43</v>
      </c>
      <c r="J477" s="16" t="s">
        <v>196</v>
      </c>
    </row>
    <row r="478" customFormat="false" ht="15" hidden="false" customHeight="false" outlineLevel="0" collapsed="false">
      <c r="A478" s="16" t="str">
        <f aca="false">IF(ISNUMBER($J478),$J478,"")</f>
        <v/>
      </c>
      <c r="B478" s="16" t="str">
        <f aca="false">IFERROR(INDEX('SALES Raw'!$B$6:$B$1634,MATCH($J478,'SALES Raw'!$J$6:$J$1634,0)),$J478)</f>
        <v>15W XS</v>
      </c>
      <c r="C478" s="16" t="str">
        <f aca="false">IF(ISNUMBER($J478),IFERROR(INDEX('TRANS'!$C:$C,MATCH($J478,'TRANS'!$B:$B,0)),IFERROR(INDEX('Catalog'!$B:$B,MATCH($J478,'Catalog'!$A:$A,0)),$B478)),$B478)</f>
        <v>15W XS</v>
      </c>
      <c r="D478" s="8" t="n">
        <f aca="false">SUMIFS('SALES Raw'!$C$6:$C$1634,'SALES Raw'!$J$6:$J$1634,$J478,'SALES Raw'!$K$6:$K$1634,"Y")</f>
        <v>6</v>
      </c>
      <c r="E478" s="8" t="n">
        <f aca="false">SUMIFS('SALES Raw'!$D$6:$D$1634,'SALES Raw'!$J$6:$J$1634,$J478,'SALES Raw'!$K$6:$K$1634,"Y")</f>
        <v>276.59</v>
      </c>
      <c r="F478" s="8" t="n">
        <f aca="false">SUMIFS('SALES Raw'!$E$6:$E$1634,'SALES Raw'!$J$6:$J$1634,$J478,'SALES Raw'!$K$6:$K$1634,"Y")*$H$4</f>
        <v>0</v>
      </c>
      <c r="G478" s="8" t="n">
        <f aca="false">SUMIFS('SALES Raw'!$F$6:$F$1634,'SALES Raw'!$J$6:$J$1634,$J478,'SALES Raw'!$K$6:$K$1634,"Y")*$H$4</f>
        <v>0</v>
      </c>
      <c r="H478" s="16" t="s">
        <v>36</v>
      </c>
      <c r="I478" s="16"/>
      <c r="J478" s="16" t="s">
        <v>197</v>
      </c>
    </row>
    <row r="479" customFormat="false" ht="15" hidden="false" customHeight="false" outlineLevel="0" collapsed="false">
      <c r="A479" s="16" t="str">
        <f aca="false">IF(ISNUMBER($J479),$J479,"")</f>
        <v/>
      </c>
      <c r="B479" s="16" t="str">
        <f aca="false">IFERROR(INDEX('SALES Raw'!$B$6:$B$1634,MATCH($J479,'SALES Raw'!$J$6:$J$1634,0)),$J479)</f>
        <v>15W XXL</v>
      </c>
      <c r="C479" s="16" t="str">
        <f aca="false">IF(ISNUMBER($J479),IFERROR(INDEX('TRANS'!$C:$C,MATCH($J479,'TRANS'!$B:$B,0)),IFERROR(INDEX('Catalog'!$B:$B,MATCH($J479,'Catalog'!$A:$A,0)),$B479)),$B479)</f>
        <v>15W XXL</v>
      </c>
      <c r="D479" s="8" t="n">
        <f aca="false">SUMIFS('SALES Raw'!$C$6:$C$1634,'SALES Raw'!$J$6:$J$1634,$J479,'SALES Raw'!$K$6:$K$1634,"Y")</f>
        <v>22</v>
      </c>
      <c r="E479" s="8" t="n">
        <f aca="false">SUMIFS('SALES Raw'!$D$6:$D$1634,'SALES Raw'!$J$6:$J$1634,$J479,'SALES Raw'!$K$6:$K$1634,"Y")</f>
        <v>1099.8</v>
      </c>
      <c r="F479" s="8" t="n">
        <f aca="false">SUMIFS('SALES Raw'!$E$6:$E$1634,'SALES Raw'!$J$6:$J$1634,$J479,'SALES Raw'!$K$6:$K$1634,"Y")*$H$4</f>
        <v>0</v>
      </c>
      <c r="G479" s="8" t="n">
        <f aca="false">SUMIFS('SALES Raw'!$F$6:$F$1634,'SALES Raw'!$J$6:$J$1634,$J479,'SALES Raw'!$K$6:$K$1634,"Y")*$H$4</f>
        <v>0</v>
      </c>
      <c r="H479" s="16" t="s">
        <v>36</v>
      </c>
      <c r="I479" s="16" t="s">
        <v>43</v>
      </c>
      <c r="J479" s="16" t="s">
        <v>198</v>
      </c>
    </row>
    <row r="480" customFormat="false" ht="15" hidden="false" customHeight="false" outlineLevel="0" collapsed="false">
      <c r="A480" s="16" t="str">
        <f aca="false">IF(ISNUMBER($J480),$J480,"")</f>
        <v/>
      </c>
      <c r="B480" s="16" t="str">
        <f aca="false">IFERROR(INDEX('SALES Raw'!$B$6:$B$1634,MATCH($J480,'SALES Raw'!$J$6:$J$1634,0)),$J480)</f>
        <v>422N L</v>
      </c>
      <c r="C480" s="16" t="str">
        <f aca="false">IF(ISNUMBER($J480),IFERROR(INDEX('TRANS'!$C:$C,MATCH($J480,'TRANS'!$B:$B,0)),IFERROR(INDEX('Catalog'!$B:$B,MATCH($J480,'Catalog'!$A:$A,0)),$B480)),$B480)</f>
        <v>422N L</v>
      </c>
      <c r="D480" s="8" t="n">
        <f aca="false">SUMIFS('SALES Raw'!$C$6:$C$1634,'SALES Raw'!$J$6:$J$1634,$J480,'SALES Raw'!$K$6:$K$1634,"Y")</f>
        <v>24</v>
      </c>
      <c r="E480" s="8" t="n">
        <f aca="false">SUMIFS('SALES Raw'!$D$6:$D$1634,'SALES Raw'!$J$6:$J$1634,$J480,'SALES Raw'!$K$6:$K$1634,"Y")</f>
        <v>1767.01</v>
      </c>
      <c r="F480" s="8" t="n">
        <f aca="false">SUMIFS('SALES Raw'!$E$6:$E$1634,'SALES Raw'!$J$6:$J$1634,$J480,'SALES Raw'!$K$6:$K$1634,"Y")*$H$4</f>
        <v>0</v>
      </c>
      <c r="G480" s="8" t="n">
        <f aca="false">SUMIFS('SALES Raw'!$F$6:$F$1634,'SALES Raw'!$J$6:$J$1634,$J480,'SALES Raw'!$K$6:$K$1634,"Y")*$H$4</f>
        <v>0</v>
      </c>
      <c r="H480" s="16" t="s">
        <v>36</v>
      </c>
      <c r="I480" s="16"/>
      <c r="J480" s="16" t="s">
        <v>199</v>
      </c>
    </row>
    <row r="481" customFormat="false" ht="15" hidden="false" customHeight="false" outlineLevel="0" collapsed="false">
      <c r="A481" s="16" t="str">
        <f aca="false">IF(ISNUMBER($J481),$J481,"")</f>
        <v/>
      </c>
      <c r="B481" s="16" t="str">
        <f aca="false">IFERROR(INDEX('SALES Raw'!$B$6:$B$1634,MATCH($J481,'SALES Raw'!$J$6:$J$1634,0)),$J481)</f>
        <v>422N M</v>
      </c>
      <c r="C481" s="16" t="str">
        <f aca="false">IF(ISNUMBER($J481),IFERROR(INDEX('TRANS'!$C:$C,MATCH($J481,'TRANS'!$B:$B,0)),IFERROR(INDEX('Catalog'!$B:$B,MATCH($J481,'Catalog'!$A:$A,0)),$B481)),$B481)</f>
        <v>422N M</v>
      </c>
      <c r="D481" s="8" t="n">
        <f aca="false">SUMIFS('SALES Raw'!$C$6:$C$1634,'SALES Raw'!$J$6:$J$1634,$J481,'SALES Raw'!$K$6:$K$1634,"Y")</f>
        <v>24</v>
      </c>
      <c r="E481" s="8" t="n">
        <f aca="false">SUMIFS('SALES Raw'!$D$6:$D$1634,'SALES Raw'!$J$6:$J$1634,$J481,'SALES Raw'!$K$6:$K$1634,"Y")</f>
        <v>1840.52</v>
      </c>
      <c r="F481" s="8" t="n">
        <f aca="false">SUMIFS('SALES Raw'!$E$6:$E$1634,'SALES Raw'!$J$6:$J$1634,$J481,'SALES Raw'!$K$6:$K$1634,"Y")*$H$4</f>
        <v>0</v>
      </c>
      <c r="G481" s="8" t="n">
        <f aca="false">SUMIFS('SALES Raw'!$F$6:$F$1634,'SALES Raw'!$J$6:$J$1634,$J481,'SALES Raw'!$K$6:$K$1634,"Y")*$H$4</f>
        <v>0</v>
      </c>
      <c r="H481" s="16" t="s">
        <v>36</v>
      </c>
      <c r="I481" s="16"/>
      <c r="J481" s="16" t="s">
        <v>200</v>
      </c>
    </row>
    <row r="482" customFormat="false" ht="15" hidden="false" customHeight="false" outlineLevel="0" collapsed="false">
      <c r="A482" s="16" t="str">
        <f aca="false">IF(ISNUMBER($J482),$J482,"")</f>
        <v/>
      </c>
      <c r="B482" s="16" t="str">
        <f aca="false">IFERROR(INDEX('SALES Raw'!$B$6:$B$1634,MATCH($J482,'SALES Raw'!$J$6:$J$1634,0)),$J482)</f>
        <v>422N XL</v>
      </c>
      <c r="C482" s="16" t="str">
        <f aca="false">IF(ISNUMBER($J482),IFERROR(INDEX('TRANS'!$C:$C,MATCH($J482,'TRANS'!$B:$B,0)),IFERROR(INDEX('Catalog'!$B:$B,MATCH($J482,'Catalog'!$A:$A,0)),$B482)),$B482)</f>
        <v>422N XL</v>
      </c>
      <c r="D482" s="8" t="n">
        <f aca="false">SUMIFS('SALES Raw'!$C$6:$C$1634,'SALES Raw'!$J$6:$J$1634,$J482,'SALES Raw'!$K$6:$K$1634,"Y")</f>
        <v>24</v>
      </c>
      <c r="E482" s="8" t="n">
        <f aca="false">SUMIFS('SALES Raw'!$D$6:$D$1634,'SALES Raw'!$J$6:$J$1634,$J482,'SALES Raw'!$K$6:$K$1634,"Y")</f>
        <v>1767.01</v>
      </c>
      <c r="F482" s="8" t="n">
        <f aca="false">SUMIFS('SALES Raw'!$E$6:$E$1634,'SALES Raw'!$J$6:$J$1634,$J482,'SALES Raw'!$K$6:$K$1634,"Y")*$H$4</f>
        <v>0</v>
      </c>
      <c r="G482" s="8" t="n">
        <f aca="false">SUMIFS('SALES Raw'!$F$6:$F$1634,'SALES Raw'!$J$6:$J$1634,$J482,'SALES Raw'!$K$6:$K$1634,"Y")*$H$4</f>
        <v>0</v>
      </c>
      <c r="H482" s="16" t="s">
        <v>36</v>
      </c>
      <c r="I482" s="16"/>
      <c r="J482" s="16" t="s">
        <v>201</v>
      </c>
    </row>
    <row r="483" customFormat="false" ht="15" hidden="false" customHeight="false" outlineLevel="0" collapsed="false">
      <c r="A483" s="16" t="str">
        <f aca="false">IF(ISNUMBER($J483),$J483,"")</f>
        <v/>
      </c>
      <c r="B483" s="16" t="str">
        <f aca="false">IFERROR(INDEX('SALES Raw'!$B$6:$B$1634,MATCH($J483,'SALES Raw'!$J$6:$J$1634,0)),$J483)</f>
        <v>422N+ XL</v>
      </c>
      <c r="C483" s="16" t="str">
        <f aca="false">IF(ISNUMBER($J483),IFERROR(INDEX('TRANS'!$C:$C,MATCH($J483,'TRANS'!$B:$B,0)),IFERROR(INDEX('Catalog'!$B:$B,MATCH($J483,'Catalog'!$A:$A,0)),$B483)),$B483)</f>
        <v>422N+ XL</v>
      </c>
      <c r="D483" s="8" t="n">
        <f aca="false">SUMIFS('SALES Raw'!$C$6:$C$1634,'SALES Raw'!$J$6:$J$1634,$J483,'SALES Raw'!$K$6:$K$1634,"Y")</f>
        <v>24</v>
      </c>
      <c r="E483" s="8" t="n">
        <f aca="false">SUMIFS('SALES Raw'!$D$6:$D$1634,'SALES Raw'!$J$6:$J$1634,$J483,'SALES Raw'!$K$6:$K$1634,"Y")</f>
        <v>2317.29</v>
      </c>
      <c r="F483" s="8" t="n">
        <f aca="false">SUMIFS('SALES Raw'!$E$6:$E$1634,'SALES Raw'!$J$6:$J$1634,$J483,'SALES Raw'!$K$6:$K$1634,"Y")*$H$4</f>
        <v>0</v>
      </c>
      <c r="G483" s="8" t="n">
        <f aca="false">SUMIFS('SALES Raw'!$F$6:$F$1634,'SALES Raw'!$J$6:$J$1634,$J483,'SALES Raw'!$K$6:$K$1634,"Y")*$H$4</f>
        <v>0</v>
      </c>
      <c r="H483" s="16" t="s">
        <v>36</v>
      </c>
      <c r="I483" s="16"/>
      <c r="J483" s="16" t="s">
        <v>202</v>
      </c>
    </row>
    <row r="484" customFormat="false" ht="15" hidden="false" customHeight="false" outlineLevel="0" collapsed="false">
      <c r="A484" s="16" t="str">
        <f aca="false">IF(ISNUMBER($J484),$J484,"")</f>
        <v/>
      </c>
      <c r="B484" s="16" t="str">
        <f aca="false">IFERROR(INDEX('SALES Raw'!$B$6:$B$1634,MATCH($J484,'SALES Raw'!$J$6:$J$1634,0)),$J484)</f>
        <v>60 XS</v>
      </c>
      <c r="C484" s="16" t="str">
        <f aca="false">IF(ISNUMBER($J484),IFERROR(INDEX('TRANS'!$C:$C,MATCH($J484,'TRANS'!$B:$B,0)),IFERROR(INDEX('Catalog'!$B:$B,MATCH($J484,'Catalog'!$A:$A,0)),$B484)),$B484)</f>
        <v>60 XS</v>
      </c>
      <c r="D484" s="8" t="n">
        <f aca="false">SUMIFS('SALES Raw'!$C$6:$C$1634,'SALES Raw'!$J$6:$J$1634,$J484,'SALES Raw'!$K$6:$K$1634,"Y")</f>
        <v>17</v>
      </c>
      <c r="E484" s="8" t="n">
        <f aca="false">SUMIFS('SALES Raw'!$D$6:$D$1634,'SALES Raw'!$J$6:$J$1634,$J484,'SALES Raw'!$K$6:$K$1634,"Y")</f>
        <v>286.15</v>
      </c>
      <c r="F484" s="8" t="n">
        <f aca="false">SUMIFS('SALES Raw'!$E$6:$E$1634,'SALES Raw'!$J$6:$J$1634,$J484,'SALES Raw'!$K$6:$K$1634,"Y")*$H$4</f>
        <v>0</v>
      </c>
      <c r="G484" s="8" t="n">
        <f aca="false">SUMIFS('SALES Raw'!$F$6:$F$1634,'SALES Raw'!$J$6:$J$1634,$J484,'SALES Raw'!$K$6:$K$1634,"Y")*$H$4</f>
        <v>0</v>
      </c>
      <c r="H484" s="16" t="s">
        <v>36</v>
      </c>
      <c r="I484" s="16" t="s">
        <v>43</v>
      </c>
      <c r="J484" s="16" t="s">
        <v>203</v>
      </c>
    </row>
    <row r="485" customFormat="false" ht="15" hidden="false" customHeight="false" outlineLevel="0" collapsed="false">
      <c r="A485" s="16" t="str">
        <f aca="false">IF(ISNUMBER($J485),$J485,"")</f>
        <v/>
      </c>
      <c r="B485" s="16" t="str">
        <f aca="false">IFERROR(INDEX('SALES Raw'!$B$6:$B$1634,MATCH($J485,'SALES Raw'!$J$6:$J$1634,0)),$J485)</f>
        <v>62FC L</v>
      </c>
      <c r="C485" s="16" t="str">
        <f aca="false">IF(ISNUMBER($J485),IFERROR(INDEX('TRANS'!$C:$C,MATCH($J485,'TRANS'!$B:$B,0)),IFERROR(INDEX('Catalog'!$B:$B,MATCH($J485,'Catalog'!$A:$A,0)),$B485)),$B485)</f>
        <v>62FC L</v>
      </c>
      <c r="D485" s="8" t="n">
        <f aca="false">SUMIFS('SALES Raw'!$C$6:$C$1634,'SALES Raw'!$J$6:$J$1634,$J485,'SALES Raw'!$K$6:$K$1634,"Y")</f>
        <v>60</v>
      </c>
      <c r="E485" s="8" t="n">
        <f aca="false">SUMIFS('SALES Raw'!$D$6:$D$1634,'SALES Raw'!$J$6:$J$1634,$J485,'SALES Raw'!$K$6:$K$1634,"Y")</f>
        <v>1477.77</v>
      </c>
      <c r="F485" s="8" t="n">
        <f aca="false">SUMIFS('SALES Raw'!$E$6:$E$1634,'SALES Raw'!$J$6:$J$1634,$J485,'SALES Raw'!$K$6:$K$1634,"Y")*$H$4</f>
        <v>0</v>
      </c>
      <c r="G485" s="8" t="n">
        <f aca="false">SUMIFS('SALES Raw'!$F$6:$F$1634,'SALES Raw'!$J$6:$J$1634,$J485,'SALES Raw'!$K$6:$K$1634,"Y")*$H$4</f>
        <v>0</v>
      </c>
      <c r="H485" s="16" t="s">
        <v>36</v>
      </c>
      <c r="I485" s="16"/>
      <c r="J485" s="16" t="s">
        <v>204</v>
      </c>
    </row>
    <row r="486" customFormat="false" ht="15" hidden="false" customHeight="false" outlineLevel="0" collapsed="false">
      <c r="A486" s="16" t="str">
        <f aca="false">IF(ISNUMBER($J486),$J486,"")</f>
        <v/>
      </c>
      <c r="B486" s="16" t="str">
        <f aca="false">IFERROR(INDEX('SALES Raw'!$B$6:$B$1634,MATCH($J486,'SALES Raw'!$J$6:$J$1634,0)),$J486)</f>
        <v>62FC M</v>
      </c>
      <c r="C486" s="16" t="str">
        <f aca="false">IF(ISNUMBER($J486),IFERROR(INDEX('TRANS'!$C:$C,MATCH($J486,'TRANS'!$B:$B,0)),IFERROR(INDEX('Catalog'!$B:$B,MATCH($J486,'Catalog'!$A:$A,0)),$B486)),$B486)</f>
        <v>62FC M</v>
      </c>
      <c r="D486" s="8" t="n">
        <f aca="false">SUMIFS('SALES Raw'!$C$6:$C$1634,'SALES Raw'!$J$6:$J$1634,$J486,'SALES Raw'!$K$6:$K$1634,"Y")</f>
        <v>96</v>
      </c>
      <c r="E486" s="8" t="n">
        <f aca="false">SUMIFS('SALES Raw'!$D$6:$D$1634,'SALES Raw'!$J$6:$J$1634,$J486,'SALES Raw'!$K$6:$K$1634,"Y")</f>
        <v>2423.08</v>
      </c>
      <c r="F486" s="8" t="n">
        <f aca="false">SUMIFS('SALES Raw'!$E$6:$E$1634,'SALES Raw'!$J$6:$J$1634,$J486,'SALES Raw'!$K$6:$K$1634,"Y")*$H$4</f>
        <v>0</v>
      </c>
      <c r="G486" s="8" t="n">
        <f aca="false">SUMIFS('SALES Raw'!$F$6:$F$1634,'SALES Raw'!$J$6:$J$1634,$J486,'SALES Raw'!$K$6:$K$1634,"Y")*$H$4</f>
        <v>0</v>
      </c>
      <c r="H486" s="16" t="s">
        <v>36</v>
      </c>
      <c r="I486" s="16"/>
      <c r="J486" s="16" t="s">
        <v>205</v>
      </c>
    </row>
    <row r="487" customFormat="false" ht="15" hidden="false" customHeight="false" outlineLevel="0" collapsed="false">
      <c r="A487" s="16" t="str">
        <f aca="false">IF(ISNUMBER($J487),$J487,"")</f>
        <v/>
      </c>
      <c r="B487" s="16" t="str">
        <f aca="false">IFERROR(INDEX('SALES Raw'!$B$6:$B$1634,MATCH($J487,'SALES Raw'!$J$6:$J$1634,0)),$J487)</f>
        <v>62FC XL</v>
      </c>
      <c r="C487" s="16" t="str">
        <f aca="false">IF(ISNUMBER($J487),IFERROR(INDEX('TRANS'!$C:$C,MATCH($J487,'TRANS'!$B:$B,0)),IFERROR(INDEX('Catalog'!$B:$B,MATCH($J487,'Catalog'!$A:$A,0)),$B487)),$B487)</f>
        <v>62FC XL</v>
      </c>
      <c r="D487" s="8" t="n">
        <f aca="false">SUMIFS('SALES Raw'!$C$6:$C$1634,'SALES Raw'!$J$6:$J$1634,$J487,'SALES Raw'!$K$6:$K$1634,"Y")</f>
        <v>12</v>
      </c>
      <c r="E487" s="8" t="n">
        <f aca="false">SUMIFS('SALES Raw'!$D$6:$D$1634,'SALES Raw'!$J$6:$J$1634,$J487,'SALES Raw'!$K$6:$K$1634,"Y")</f>
        <v>293.7</v>
      </c>
      <c r="F487" s="8" t="n">
        <f aca="false">SUMIFS('SALES Raw'!$E$6:$E$1634,'SALES Raw'!$J$6:$J$1634,$J487,'SALES Raw'!$K$6:$K$1634,"Y")*$H$4</f>
        <v>0</v>
      </c>
      <c r="G487" s="8" t="n">
        <f aca="false">SUMIFS('SALES Raw'!$F$6:$F$1634,'SALES Raw'!$J$6:$J$1634,$J487,'SALES Raw'!$K$6:$K$1634,"Y")*$H$4</f>
        <v>0</v>
      </c>
      <c r="H487" s="16" t="s">
        <v>36</v>
      </c>
      <c r="I487" s="16"/>
      <c r="J487" s="16" t="s">
        <v>206</v>
      </c>
    </row>
    <row r="488" customFormat="false" ht="15" hidden="false" customHeight="false" outlineLevel="0" collapsed="false">
      <c r="A488" s="16" t="str">
        <f aca="false">IF(ISNUMBER($J488),$J488,"")</f>
        <v/>
      </c>
      <c r="B488" s="16" t="str">
        <f aca="false">IFERROR(INDEX('SALES Raw'!$B$6:$B$1634,MATCH($J488,'SALES Raw'!$J$6:$J$1634,0)),$J488)</f>
        <v>T43V XS</v>
      </c>
      <c r="C488" s="16" t="str">
        <f aca="false">IF(ISNUMBER($J488),IFERROR(INDEX('TRANS'!$C:$C,MATCH($J488,'TRANS'!$B:$B,0)),IFERROR(INDEX('Catalog'!$B:$B,MATCH($J488,'Catalog'!$A:$A,0)),$B488)),$B488)</f>
        <v>T43V XS</v>
      </c>
      <c r="D488" s="8" t="n">
        <f aca="false">SUMIFS('SALES Raw'!$C$6:$C$1634,'SALES Raw'!$J$6:$J$1634,$J488,'SALES Raw'!$K$6:$K$1634,"Y")</f>
        <v>12</v>
      </c>
      <c r="E488" s="8" t="n">
        <f aca="false">SUMIFS('SALES Raw'!$D$6:$D$1634,'SALES Raw'!$J$6:$J$1634,$J488,'SALES Raw'!$K$6:$K$1634,"Y")</f>
        <v>1547.32</v>
      </c>
      <c r="F488" s="8" t="n">
        <f aca="false">SUMIFS('SALES Raw'!$E$6:$E$1634,'SALES Raw'!$J$6:$J$1634,$J488,'SALES Raw'!$K$6:$K$1634,"Y")*$H$4</f>
        <v>0</v>
      </c>
      <c r="G488" s="8" t="n">
        <f aca="false">SUMIFS('SALES Raw'!$F$6:$F$1634,'SALES Raw'!$J$6:$J$1634,$J488,'SALES Raw'!$K$6:$K$1634,"Y")*$H$4</f>
        <v>0</v>
      </c>
      <c r="H488" s="16" t="s">
        <v>36</v>
      </c>
      <c r="I488" s="16"/>
      <c r="J488" s="16" t="s">
        <v>207</v>
      </c>
    </row>
    <row r="489" customFormat="false" ht="15" hidden="false" customHeight="false" outlineLevel="0" collapsed="false">
      <c r="A489" s="16" t="str">
        <f aca="false">IF(ISNUMBER($J489),$J489,"")</f>
        <v/>
      </c>
      <c r="B489" s="16" t="str">
        <f aca="false">IFERROR(INDEX('SALES Raw'!$B$6:$B$1634,MATCH($J489,'SALES Raw'!$J$6:$J$1634,0)),$J489)</f>
        <v>T95 L</v>
      </c>
      <c r="C489" s="16" t="str">
        <f aca="false">IF(ISNUMBER($J489),IFERROR(INDEX('TRANS'!$C:$C,MATCH($J489,'TRANS'!$B:$B,0)),IFERROR(INDEX('Catalog'!$B:$B,MATCH($J489,'Catalog'!$A:$A,0)),$B489)),$B489)</f>
        <v>T95 L</v>
      </c>
      <c r="D489" s="8" t="n">
        <f aca="false">SUMIFS('SALES Raw'!$C$6:$C$1634,'SALES Raw'!$J$6:$J$1634,$J489,'SALES Raw'!$K$6:$K$1634,"Y")</f>
        <v>1</v>
      </c>
      <c r="E489" s="8" t="n">
        <f aca="false">SUMIFS('SALES Raw'!$D$6:$D$1634,'SALES Raw'!$J$6:$J$1634,$J489,'SALES Raw'!$K$6:$K$1634,"Y")</f>
        <v>0.04</v>
      </c>
      <c r="F489" s="8" t="n">
        <f aca="false">SUMIFS('SALES Raw'!$E$6:$E$1634,'SALES Raw'!$J$6:$J$1634,$J489,'SALES Raw'!$K$6:$K$1634,"Y")*$H$4</f>
        <v>0</v>
      </c>
      <c r="G489" s="8" t="n">
        <f aca="false">SUMIFS('SALES Raw'!$F$6:$F$1634,'SALES Raw'!$J$6:$J$1634,$J489,'SALES Raw'!$K$6:$K$1634,"Y")*$H$4</f>
        <v>0</v>
      </c>
      <c r="H489" s="16" t="s">
        <v>36</v>
      </c>
      <c r="I489" s="16"/>
      <c r="J489" s="16" t="s">
        <v>208</v>
      </c>
    </row>
    <row r="490" customFormat="false" ht="15" hidden="false" customHeight="false" outlineLevel="0" collapsed="false">
      <c r="A490" s="16" t="str">
        <f aca="false">IF(ISNUMBER($J490),$J490,"")</f>
        <v/>
      </c>
      <c r="B490" s="16" t="str">
        <f aca="false">IFERROR(INDEX('SALES Raw'!$B$6:$B$1634,MATCH($J490,'SALES Raw'!$J$6:$J$1634,0)),$J490)</f>
        <v>T95 M</v>
      </c>
      <c r="C490" s="16" t="str">
        <f aca="false">IF(ISNUMBER($J490),IFERROR(INDEX('TRANS'!$C:$C,MATCH($J490,'TRANS'!$B:$B,0)),IFERROR(INDEX('Catalog'!$B:$B,MATCH($J490,'Catalog'!$A:$A,0)),$B490)),$B490)</f>
        <v>T95 M</v>
      </c>
      <c r="D490" s="8" t="n">
        <f aca="false">SUMIFS('SALES Raw'!$C$6:$C$1634,'SALES Raw'!$J$6:$J$1634,$J490,'SALES Raw'!$K$6:$K$1634,"Y")</f>
        <v>6</v>
      </c>
      <c r="E490" s="8" t="n">
        <f aca="false">SUMIFS('SALES Raw'!$D$6:$D$1634,'SALES Raw'!$J$6:$J$1634,$J490,'SALES Raw'!$K$6:$K$1634,"Y")</f>
        <v>239.63</v>
      </c>
      <c r="F490" s="8" t="n">
        <f aca="false">SUMIFS('SALES Raw'!$E$6:$E$1634,'SALES Raw'!$J$6:$J$1634,$J490,'SALES Raw'!$K$6:$K$1634,"Y")*$H$4</f>
        <v>0</v>
      </c>
      <c r="G490" s="8" t="n">
        <f aca="false">SUMIFS('SALES Raw'!$F$6:$F$1634,'SALES Raw'!$J$6:$J$1634,$J490,'SALES Raw'!$K$6:$K$1634,"Y")*$H$4</f>
        <v>0</v>
      </c>
      <c r="H490" s="16" t="s">
        <v>36</v>
      </c>
      <c r="I490" s="16"/>
      <c r="J490" s="16" t="s">
        <v>209</v>
      </c>
    </row>
    <row r="491" customFormat="false" ht="15" hidden="false" customHeight="false" outlineLevel="0" collapsed="false">
      <c r="A491" s="16" t="n">
        <f aca="false">IF(ISNUMBER($J491),$J491,"")</f>
        <v>4413210</v>
      </c>
      <c r="B491" s="16" t="str">
        <f aca="false">IFERROR(INDEX('SALES Raw'!$B$6:$B$1634,MATCH($J491,'SALES Raw'!$J$6:$J$1634,0)),$J491)</f>
        <v>T95 S</v>
      </c>
      <c r="C491" s="16" t="str">
        <f aca="false">IF(ISNUMBER($J491),IFERROR(INDEX('TRANS'!$C:$C,MATCH($J491,'TRANS'!$B:$B,0)),IFERROR(INDEX('Catalog'!$B:$B,MATCH($J491,'Catalog'!$A:$A,0)),$B491)),$B491)</f>
        <v>T95 S מגן מרפק רגיל</v>
      </c>
      <c r="D491" s="8" t="n">
        <f aca="false">SUMIFS('SALES Raw'!$C$6:$C$1634,'SALES Raw'!$J$6:$J$1634,$J491,'SALES Raw'!$K$6:$K$1634,"Y")</f>
        <v>5</v>
      </c>
      <c r="E491" s="8" t="n">
        <f aca="false">SUMIFS('SALES Raw'!$D$6:$D$1634,'SALES Raw'!$J$6:$J$1634,$J491,'SALES Raw'!$K$6:$K$1634,"Y")</f>
        <v>239.59</v>
      </c>
      <c r="F491" s="8" t="n">
        <f aca="false">SUMIFS('SALES Raw'!$E$6:$E$1634,'SALES Raw'!$J$6:$J$1634,$J491,'SALES Raw'!$K$6:$K$1634,"Y")*$H$4</f>
        <v>0</v>
      </c>
      <c r="G491" s="8" t="n">
        <f aca="false">SUMIFS('SALES Raw'!$F$6:$F$1634,'SALES Raw'!$J$6:$J$1634,$J491,'SALES Raw'!$K$6:$K$1634,"Y")*$H$4</f>
        <v>0</v>
      </c>
      <c r="H491" s="16" t="s">
        <v>36</v>
      </c>
      <c r="I491" s="16"/>
      <c r="J491" s="16" t="n">
        <v>4413210</v>
      </c>
    </row>
    <row r="492" customFormat="false" ht="15" hidden="false" customHeight="false" outlineLevel="0" collapsed="false">
      <c r="A492" s="16" t="n">
        <f aca="false">IF(ISNUMBER($J492),$J492,"")</f>
        <v>4408027</v>
      </c>
      <c r="B492" s="16" t="str">
        <f aca="false">IFERROR(INDEX('SALES Raw'!$B$6:$B$1634,MATCH($J492,'SALES Raw'!$J$6:$J$1634,0)),$J492)</f>
        <v>10 L</v>
      </c>
      <c r="C492" s="16" t="str">
        <f aca="false">IF(ISNUMBER($J492),IFERROR(INDEX('TRANS'!$C:$C,MATCH($J492,'TRANS'!$B:$B,0)),IFERROR(INDEX('Catalog'!$B:$B,MATCH($J492,'Catalog'!$A:$A,0)),$B492)),$B492)</f>
        <v>10 L """"חגורת גב """"לומבו</v>
      </c>
      <c r="D492" s="8" t="n">
        <f aca="false">SUMIFS('SALES Raw'!$C$6:$C$1634,'SALES Raw'!$J$6:$J$1634,$J492,'SALES Raw'!$K$6:$K$1634,"Y")</f>
        <v>16</v>
      </c>
      <c r="E492" s="8" t="n">
        <f aca="false">SUMIFS('SALES Raw'!$D$6:$D$1634,'SALES Raw'!$J$6:$J$1634,$J492,'SALES Raw'!$K$6:$K$1634,"Y")</f>
        <v>1196.33</v>
      </c>
      <c r="F492" s="8" t="n">
        <f aca="false">SUMIFS('SALES Raw'!$E$6:$E$1634,'SALES Raw'!$J$6:$J$1634,$J492,'SALES Raw'!$K$6:$K$1634,"Y")*$H$4</f>
        <v>0</v>
      </c>
      <c r="G492" s="8" t="n">
        <f aca="false">SUMIFS('SALES Raw'!$F$6:$F$1634,'SALES Raw'!$J$6:$J$1634,$J492,'SALES Raw'!$K$6:$K$1634,"Y")*$H$4</f>
        <v>0</v>
      </c>
      <c r="H492" s="16" t="s">
        <v>37</v>
      </c>
      <c r="I492" s="16" t="s">
        <v>38</v>
      </c>
      <c r="J492" s="16" t="n">
        <v>4408027</v>
      </c>
    </row>
    <row r="493" customFormat="false" ht="15" hidden="false" customHeight="false" outlineLevel="0" collapsed="false">
      <c r="A493" s="16" t="str">
        <f aca="false">IF(ISNUMBER($J493),$J493,"")</f>
        <v/>
      </c>
      <c r="B493" s="16" t="str">
        <f aca="false">IFERROR(INDEX('SALES Raw'!$B$6:$B$1634,MATCH($J493,'SALES Raw'!$J$6:$J$1634,0)),$J493)</f>
        <v>30 L</v>
      </c>
      <c r="C493" s="16" t="str">
        <f aca="false">IF(ISNUMBER($J493),IFERROR(INDEX('TRANS'!$C:$C,MATCH($J493,'TRANS'!$B:$B,0)),IFERROR(INDEX('Catalog'!$B:$B,MATCH($J493,'Catalog'!$A:$A,0)),$B493)),$B493)</f>
        <v>30 L</v>
      </c>
      <c r="D493" s="8" t="n">
        <f aca="false">SUMIFS('SALES Raw'!$C$6:$C$1634,'SALES Raw'!$J$6:$J$1634,$J493,'SALES Raw'!$K$6:$K$1634,"Y")</f>
        <v>25</v>
      </c>
      <c r="E493" s="8" t="n">
        <f aca="false">SUMIFS('SALES Raw'!$D$6:$D$1634,'SALES Raw'!$J$6:$J$1634,$J493,'SALES Raw'!$K$6:$K$1634,"Y")</f>
        <v>800.12</v>
      </c>
      <c r="F493" s="8" t="n">
        <f aca="false">SUMIFS('SALES Raw'!$E$6:$E$1634,'SALES Raw'!$J$6:$J$1634,$J493,'SALES Raw'!$K$6:$K$1634,"Y")*$H$4</f>
        <v>0</v>
      </c>
      <c r="G493" s="8" t="n">
        <f aca="false">SUMIFS('SALES Raw'!$F$6:$F$1634,'SALES Raw'!$J$6:$J$1634,$J493,'SALES Raw'!$K$6:$K$1634,"Y")*$H$4</f>
        <v>0</v>
      </c>
      <c r="H493" s="16" t="s">
        <v>37</v>
      </c>
      <c r="I493" s="16" t="s">
        <v>38</v>
      </c>
      <c r="J493" s="16" t="s">
        <v>210</v>
      </c>
    </row>
    <row r="494" customFormat="false" ht="15" hidden="false" customHeight="false" outlineLevel="0" collapsed="false">
      <c r="A494" s="16" t="str">
        <f aca="false">IF(ISNUMBER($J494),$J494,"")</f>
        <v/>
      </c>
      <c r="B494" s="16" t="str">
        <f aca="false">IFERROR(INDEX('SALES Raw'!$B$6:$B$1634,MATCH($J494,'SALES Raw'!$J$6:$J$1634,0)),$J494)</f>
        <v>30 M</v>
      </c>
      <c r="C494" s="16" t="str">
        <f aca="false">IF(ISNUMBER($J494),IFERROR(INDEX('TRANS'!$C:$C,MATCH($J494,'TRANS'!$B:$B,0)),IFERROR(INDEX('Catalog'!$B:$B,MATCH($J494,'Catalog'!$A:$A,0)),$B494)),$B494)</f>
        <v>30 M</v>
      </c>
      <c r="D494" s="8" t="n">
        <f aca="false">SUMIFS('SALES Raw'!$C$6:$C$1634,'SALES Raw'!$J$6:$J$1634,$J494,'SALES Raw'!$K$6:$K$1634,"Y")</f>
        <v>25</v>
      </c>
      <c r="E494" s="8" t="n">
        <f aca="false">SUMIFS('SALES Raw'!$D$6:$D$1634,'SALES Raw'!$J$6:$J$1634,$J494,'SALES Raw'!$K$6:$K$1634,"Y")</f>
        <v>800.12</v>
      </c>
      <c r="F494" s="8" t="n">
        <f aca="false">SUMIFS('SALES Raw'!$E$6:$E$1634,'SALES Raw'!$J$6:$J$1634,$J494,'SALES Raw'!$K$6:$K$1634,"Y")*$H$4</f>
        <v>0</v>
      </c>
      <c r="G494" s="8" t="n">
        <f aca="false">SUMIFS('SALES Raw'!$F$6:$F$1634,'SALES Raw'!$J$6:$J$1634,$J494,'SALES Raw'!$K$6:$K$1634,"Y")*$H$4</f>
        <v>0</v>
      </c>
      <c r="H494" s="16" t="s">
        <v>37</v>
      </c>
      <c r="I494" s="16" t="s">
        <v>38</v>
      </c>
      <c r="J494" s="16" t="s">
        <v>211</v>
      </c>
    </row>
    <row r="495" customFormat="false" ht="15" hidden="false" customHeight="false" outlineLevel="0" collapsed="false">
      <c r="A495" s="16" t="n">
        <f aca="false">IF(ISNUMBER($J495),$J495,"")</f>
        <v>4420036</v>
      </c>
      <c r="B495" s="16" t="str">
        <f aca="false">IFERROR(INDEX('SALES Raw'!$B$6:$B$1634,MATCH($J495,'SALES Raw'!$J$6:$J$1634,0)),$J495)</f>
        <v>301CM-41-45</v>
      </c>
      <c r="C495" s="16" t="str">
        <f aca="false">IF(ISNUMBER($J495),IFERROR(INDEX('TRANS'!$C:$C,MATCH($J495,'TRANS'!$B:$B,0)),IFERROR(INDEX('Catalog'!$B:$B,MATCH($J495,'Catalog'!$A:$A,0)),$B495)),$B495)</f>
        <v>301CM 41-45 'רפידת ג'ל בז</v>
      </c>
      <c r="D495" s="8" t="n">
        <f aca="false">SUMIFS('SALES Raw'!$C$6:$C$1634,'SALES Raw'!$J$6:$J$1634,$J495,'SALES Raw'!$K$6:$K$1634,"Y")</f>
        <v>46</v>
      </c>
      <c r="E495" s="8" t="n">
        <f aca="false">SUMIFS('SALES Raw'!$D$6:$D$1634,'SALES Raw'!$J$6:$J$1634,$J495,'SALES Raw'!$K$6:$K$1634,"Y")</f>
        <v>1382.35</v>
      </c>
      <c r="F495" s="8" t="n">
        <f aca="false">SUMIFS('SALES Raw'!$E$6:$E$1634,'SALES Raw'!$J$6:$J$1634,$J495,'SALES Raw'!$K$6:$K$1634,"Y")*$H$4</f>
        <v>0</v>
      </c>
      <c r="G495" s="8" t="n">
        <f aca="false">SUMIFS('SALES Raw'!$F$6:$F$1634,'SALES Raw'!$J$6:$J$1634,$J495,'SALES Raw'!$K$6:$K$1634,"Y")*$H$4</f>
        <v>0</v>
      </c>
      <c r="H495" s="16" t="s">
        <v>37</v>
      </c>
      <c r="I495" s="16" t="s">
        <v>42</v>
      </c>
      <c r="J495" s="16" t="n">
        <v>4420036</v>
      </c>
    </row>
    <row r="496" customFormat="false" ht="15" hidden="false" customHeight="false" outlineLevel="0" collapsed="false">
      <c r="A496" s="16" t="n">
        <f aca="false">IF(ISNUMBER($J496),$J496,"")</f>
        <v>4420037</v>
      </c>
      <c r="B496" s="16" t="str">
        <f aca="false">IFERROR(INDEX('SALES Raw'!$B$6:$B$1634,MATCH($J496,'SALES Raw'!$J$6:$J$1634,0)),$J496)</f>
        <v>301JW-36-40</v>
      </c>
      <c r="C496" s="16" t="str">
        <f aca="false">IF(ISNUMBER($J496),IFERROR(INDEX('TRANS'!$C:$C,MATCH($J496,'TRANS'!$B:$B,0)),IFERROR(INDEX('Catalog'!$B:$B,MATCH($J496,'Catalog'!$A:$A,0)),$B496)),$B496)</f>
        <v>301JW רפידת ג'ל כחול36-40</v>
      </c>
      <c r="D496" s="8" t="n">
        <f aca="false">SUMIFS('SALES Raw'!$C$6:$C$1634,'SALES Raw'!$J$6:$J$1634,$J496,'SALES Raw'!$K$6:$K$1634,"Y")</f>
        <v>30</v>
      </c>
      <c r="E496" s="8" t="n">
        <f aca="false">SUMIFS('SALES Raw'!$D$6:$D$1634,'SALES Raw'!$J$6:$J$1634,$J496,'SALES Raw'!$K$6:$K$1634,"Y")</f>
        <v>917.06</v>
      </c>
      <c r="F496" s="8" t="n">
        <f aca="false">SUMIFS('SALES Raw'!$E$6:$E$1634,'SALES Raw'!$J$6:$J$1634,$J496,'SALES Raw'!$K$6:$K$1634,"Y")*$H$4</f>
        <v>0</v>
      </c>
      <c r="G496" s="8" t="n">
        <f aca="false">SUMIFS('SALES Raw'!$F$6:$F$1634,'SALES Raw'!$J$6:$J$1634,$J496,'SALES Raw'!$K$6:$K$1634,"Y")*$H$4</f>
        <v>0</v>
      </c>
      <c r="H496" s="16" t="s">
        <v>37</v>
      </c>
      <c r="I496" s="16"/>
      <c r="J496" s="16" t="n">
        <v>4420037</v>
      </c>
    </row>
    <row r="497" customFormat="false" ht="15" hidden="false" customHeight="false" outlineLevel="0" collapsed="false">
      <c r="A497" s="16" t="n">
        <f aca="false">IF(ISNUMBER($J497),$J497,"")</f>
        <v>4413072</v>
      </c>
      <c r="B497" s="16" t="str">
        <f aca="false">IFERROR(INDEX('SALES Raw'!$B$6:$B$1634,MATCH($J497,'SALES Raw'!$J$6:$J$1634,0)),$J497)</f>
        <v>41 L</v>
      </c>
      <c r="C497" s="16" t="str">
        <f aca="false">IF(ISNUMBER($J497),IFERROR(INDEX('TRANS'!$C:$C,MATCH($J497,'TRANS'!$B:$B,0)),IFERROR(INDEX('Catalog'!$B:$B,MATCH($J497,'Catalog'!$A:$A,0)),$B497)),$B497)</f>
        <v>41 Lמ.ברך מוצלב+ספירלות בצדדים</v>
      </c>
      <c r="D497" s="8" t="n">
        <f aca="false">SUMIFS('SALES Raw'!$C$6:$C$1634,'SALES Raw'!$J$6:$J$1634,$J497,'SALES Raw'!$K$6:$K$1634,"Y")</f>
        <v>36</v>
      </c>
      <c r="E497" s="8" t="n">
        <f aca="false">SUMIFS('SALES Raw'!$D$6:$D$1634,'SALES Raw'!$J$6:$J$1634,$J497,'SALES Raw'!$K$6:$K$1634,"Y")</f>
        <v>1878.84</v>
      </c>
      <c r="F497" s="8" t="n">
        <f aca="false">SUMIFS('SALES Raw'!$E$6:$E$1634,'SALES Raw'!$J$6:$J$1634,$J497,'SALES Raw'!$K$6:$K$1634,"Y")*$H$4</f>
        <v>0</v>
      </c>
      <c r="G497" s="8" t="n">
        <f aca="false">SUMIFS('SALES Raw'!$F$6:$F$1634,'SALES Raw'!$J$6:$J$1634,$J497,'SALES Raw'!$K$6:$K$1634,"Y")*$H$4</f>
        <v>0</v>
      </c>
      <c r="H497" s="16" t="s">
        <v>37</v>
      </c>
      <c r="I497" s="16" t="s">
        <v>42</v>
      </c>
      <c r="J497" s="16" t="n">
        <v>4413072</v>
      </c>
    </row>
    <row r="498" customFormat="false" ht="15" hidden="false" customHeight="false" outlineLevel="0" collapsed="false">
      <c r="A498" s="16" t="n">
        <f aca="false">IF(ISNUMBER($J498),$J498,"")</f>
        <v>4413073</v>
      </c>
      <c r="B498" s="16" t="str">
        <f aca="false">IFERROR(INDEX('SALES Raw'!$B$6:$B$1634,MATCH($J498,'SALES Raw'!$J$6:$J$1634,0)),$J498)</f>
        <v>41 M</v>
      </c>
      <c r="C498" s="16" t="str">
        <f aca="false">IF(ISNUMBER($J498),IFERROR(INDEX('TRANS'!$C:$C,MATCH($J498,'TRANS'!$B:$B,0)),IFERROR(INDEX('Catalog'!$B:$B,MATCH($J498,'Catalog'!$A:$A,0)),$B498)),$B498)</f>
        <v>41 Mמ.ברך מוצלב+ספירלות בצדדים</v>
      </c>
      <c r="D498" s="8" t="n">
        <f aca="false">SUMIFS('SALES Raw'!$C$6:$C$1634,'SALES Raw'!$J$6:$J$1634,$J498,'SALES Raw'!$K$6:$K$1634,"Y")</f>
        <v>30</v>
      </c>
      <c r="E498" s="8" t="n">
        <f aca="false">SUMIFS('SALES Raw'!$D$6:$D$1634,'SALES Raw'!$J$6:$J$1634,$J498,'SALES Raw'!$K$6:$K$1634,"Y")</f>
        <v>1573.72</v>
      </c>
      <c r="F498" s="8" t="n">
        <f aca="false">SUMIFS('SALES Raw'!$E$6:$E$1634,'SALES Raw'!$J$6:$J$1634,$J498,'SALES Raw'!$K$6:$K$1634,"Y")*$H$4</f>
        <v>0</v>
      </c>
      <c r="G498" s="8" t="n">
        <f aca="false">SUMIFS('SALES Raw'!$F$6:$F$1634,'SALES Raw'!$J$6:$J$1634,$J498,'SALES Raw'!$K$6:$K$1634,"Y")*$H$4</f>
        <v>0</v>
      </c>
      <c r="H498" s="16" t="s">
        <v>37</v>
      </c>
      <c r="I498" s="16"/>
      <c r="J498" s="16" t="n">
        <v>4413073</v>
      </c>
    </row>
    <row r="499" customFormat="false" ht="15" hidden="false" customHeight="false" outlineLevel="0" collapsed="false">
      <c r="A499" s="16" t="n">
        <f aca="false">IF(ISNUMBER($J499),$J499,"")</f>
        <v>4413071</v>
      </c>
      <c r="B499" s="16" t="str">
        <f aca="false">IFERROR(INDEX('SALES Raw'!$B$6:$B$1634,MATCH($J499,'SALES Raw'!$J$6:$J$1634,0)),$J499)</f>
        <v>41 S</v>
      </c>
      <c r="C499" s="16" t="str">
        <f aca="false">IF(ISNUMBER($J499),IFERROR(INDEX('TRANS'!$C:$C,MATCH($J499,'TRANS'!$B:$B,0)),IFERROR(INDEX('Catalog'!$B:$B,MATCH($J499,'Catalog'!$A:$A,0)),$B499)),$B499)</f>
        <v>41 Sמ.ברך מוצלב+ספירלות בצדדים</v>
      </c>
      <c r="D499" s="8" t="n">
        <f aca="false">SUMIFS('SALES Raw'!$C$6:$C$1634,'SALES Raw'!$J$6:$J$1634,$J499,'SALES Raw'!$K$6:$K$1634,"Y")</f>
        <v>10</v>
      </c>
      <c r="E499" s="8" t="n">
        <f aca="false">SUMIFS('SALES Raw'!$D$6:$D$1634,'SALES Raw'!$J$6:$J$1634,$J499,'SALES Raw'!$K$6:$K$1634,"Y")</f>
        <v>524.57</v>
      </c>
      <c r="F499" s="8" t="n">
        <f aca="false">SUMIFS('SALES Raw'!$E$6:$E$1634,'SALES Raw'!$J$6:$J$1634,$J499,'SALES Raw'!$K$6:$K$1634,"Y")*$H$4</f>
        <v>0</v>
      </c>
      <c r="G499" s="8" t="n">
        <f aca="false">SUMIFS('SALES Raw'!$F$6:$F$1634,'SALES Raw'!$J$6:$J$1634,$J499,'SALES Raw'!$K$6:$K$1634,"Y")*$H$4</f>
        <v>0</v>
      </c>
      <c r="H499" s="16" t="s">
        <v>37</v>
      </c>
      <c r="I499" s="16"/>
      <c r="J499" s="16" t="n">
        <v>4413071</v>
      </c>
    </row>
    <row r="500" customFormat="false" ht="15" hidden="false" customHeight="false" outlineLevel="0" collapsed="false">
      <c r="A500" s="16" t="n">
        <f aca="false">IF(ISNUMBER($J500),$J500,"")</f>
        <v>4413074</v>
      </c>
      <c r="B500" s="16" t="str">
        <f aca="false">IFERROR(INDEX('SALES Raw'!$B$6:$B$1634,MATCH($J500,'SALES Raw'!$J$6:$J$1634,0)),$J500)</f>
        <v>41 XL</v>
      </c>
      <c r="C500" s="16" t="str">
        <f aca="false">IF(ISNUMBER($J500),IFERROR(INDEX('TRANS'!$C:$C,MATCH($J500,'TRANS'!$B:$B,0)),IFERROR(INDEX('Catalog'!$B:$B,MATCH($J500,'Catalog'!$A:$A,0)),$B500)),$B500)</f>
        <v>41  XL.מ.ברך מוצלב+ספירלות בצד</v>
      </c>
      <c r="D500" s="8" t="n">
        <f aca="false">SUMIFS('SALES Raw'!$C$6:$C$1634,'SALES Raw'!$J$6:$J$1634,$J500,'SALES Raw'!$K$6:$K$1634,"Y")</f>
        <v>31</v>
      </c>
      <c r="E500" s="8" t="n">
        <f aca="false">SUMIFS('SALES Raw'!$D$6:$D$1634,'SALES Raw'!$J$6:$J$1634,$J500,'SALES Raw'!$K$6:$K$1634,"Y")</f>
        <v>1616.55</v>
      </c>
      <c r="F500" s="8" t="n">
        <f aca="false">SUMIFS('SALES Raw'!$E$6:$E$1634,'SALES Raw'!$J$6:$J$1634,$J500,'SALES Raw'!$K$6:$K$1634,"Y")*$H$4</f>
        <v>0</v>
      </c>
      <c r="G500" s="8" t="n">
        <f aca="false">SUMIFS('SALES Raw'!$F$6:$F$1634,'SALES Raw'!$J$6:$J$1634,$J500,'SALES Raw'!$K$6:$K$1634,"Y")*$H$4</f>
        <v>0</v>
      </c>
      <c r="H500" s="16" t="s">
        <v>37</v>
      </c>
      <c r="I500" s="16" t="s">
        <v>42</v>
      </c>
      <c r="J500" s="16" t="n">
        <v>4413074</v>
      </c>
    </row>
    <row r="501" customFormat="false" ht="15" hidden="false" customHeight="false" outlineLevel="0" collapsed="false">
      <c r="A501" s="16" t="str">
        <f aca="false">IF(ISNUMBER($J501),$J501,"")</f>
        <v/>
      </c>
      <c r="B501" s="16" t="str">
        <f aca="false">IFERROR(INDEX('SALES Raw'!$B$6:$B$1634,MATCH($J501,'SALES Raw'!$J$6:$J$1634,0)),$J501)</f>
        <v>41 XXL</v>
      </c>
      <c r="C501" s="16" t="str">
        <f aca="false">IF(ISNUMBER($J501),IFERROR(INDEX('TRANS'!$C:$C,MATCH($J501,'TRANS'!$B:$B,0)),IFERROR(INDEX('Catalog'!$B:$B,MATCH($J501,'Catalog'!$A:$A,0)),$B501)),$B501)</f>
        <v>41 XXL</v>
      </c>
      <c r="D501" s="8" t="n">
        <f aca="false">SUMIFS('SALES Raw'!$C$6:$C$1634,'SALES Raw'!$J$6:$J$1634,$J501,'SALES Raw'!$K$6:$K$1634,"Y")</f>
        <v>15</v>
      </c>
      <c r="E501" s="8" t="n">
        <f aca="false">SUMIFS('SALES Raw'!$D$6:$D$1634,'SALES Raw'!$J$6:$J$1634,$J501,'SALES Raw'!$K$6:$K$1634,"Y")</f>
        <v>786.86</v>
      </c>
      <c r="F501" s="8" t="n">
        <f aca="false">SUMIFS('SALES Raw'!$E$6:$E$1634,'SALES Raw'!$J$6:$J$1634,$J501,'SALES Raw'!$K$6:$K$1634,"Y")*$H$4</f>
        <v>0</v>
      </c>
      <c r="G501" s="8" t="n">
        <f aca="false">SUMIFS('SALES Raw'!$F$6:$F$1634,'SALES Raw'!$J$6:$J$1634,$J501,'SALES Raw'!$K$6:$K$1634,"Y")*$H$4</f>
        <v>0</v>
      </c>
      <c r="H501" s="16" t="s">
        <v>37</v>
      </c>
      <c r="I501" s="16"/>
      <c r="J501" s="16" t="s">
        <v>212</v>
      </c>
    </row>
    <row r="502" customFormat="false" ht="15" hidden="false" customHeight="false" outlineLevel="0" collapsed="false">
      <c r="A502" s="16" t="str">
        <f aca="false">IF(ISNUMBER($J502),$J502,"")</f>
        <v/>
      </c>
      <c r="B502" s="16" t="str">
        <f aca="false">IFERROR(INDEX('SALES Raw'!$B$6:$B$1634,MATCH($J502,'SALES Raw'!$J$6:$J$1634,0)),$J502)</f>
        <v>60B XS</v>
      </c>
      <c r="C502" s="16" t="str">
        <f aca="false">IF(ISNUMBER($J502),IFERROR(INDEX('TRANS'!$C:$C,MATCH($J502,'TRANS'!$B:$B,0)),IFERROR(INDEX('Catalog'!$B:$B,MATCH($J502,'Catalog'!$A:$A,0)),$B502)),$B502)</f>
        <v>60B XS</v>
      </c>
      <c r="D502" s="8" t="n">
        <f aca="false">SUMIFS('SALES Raw'!$C$6:$C$1634,'SALES Raw'!$J$6:$J$1634,$J502,'SALES Raw'!$K$6:$K$1634,"Y")</f>
        <v>10</v>
      </c>
      <c r="E502" s="8" t="n">
        <f aca="false">SUMIFS('SALES Raw'!$D$6:$D$1634,'SALES Raw'!$J$6:$J$1634,$J502,'SALES Raw'!$K$6:$K$1634,"Y")</f>
        <v>283.04</v>
      </c>
      <c r="F502" s="8" t="n">
        <f aca="false">SUMIFS('SALES Raw'!$E$6:$E$1634,'SALES Raw'!$J$6:$J$1634,$J502,'SALES Raw'!$K$6:$K$1634,"Y")*$H$4</f>
        <v>0</v>
      </c>
      <c r="G502" s="8" t="n">
        <f aca="false">SUMIFS('SALES Raw'!$F$6:$F$1634,'SALES Raw'!$J$6:$J$1634,$J502,'SALES Raw'!$K$6:$K$1634,"Y")*$H$4</f>
        <v>0</v>
      </c>
      <c r="H502" s="16" t="s">
        <v>37</v>
      </c>
      <c r="I502" s="16"/>
      <c r="J502" s="16" t="s">
        <v>213</v>
      </c>
    </row>
    <row r="503" customFormat="false" ht="15" hidden="false" customHeight="false" outlineLevel="0" collapsed="false">
      <c r="A503" s="16" t="str">
        <f aca="false">IF(ISNUMBER($J503),$J503,"")</f>
        <v/>
      </c>
      <c r="B503" s="16" t="str">
        <f aca="false">IFERROR(INDEX('SALES Raw'!$B$6:$B$1634,MATCH($J503,'SALES Raw'!$J$6:$J$1634,0)),$J503)</f>
        <v>78A L</v>
      </c>
      <c r="C503" s="16" t="str">
        <f aca="false">IF(ISNUMBER($J503),IFERROR(INDEX('TRANS'!$C:$C,MATCH($J503,'TRANS'!$B:$B,0)),IFERROR(INDEX('Catalog'!$B:$B,MATCH($J503,'Catalog'!$A:$A,0)),$B503)),$B503)</f>
        <v>78A L</v>
      </c>
      <c r="D503" s="8" t="n">
        <f aca="false">SUMIFS('SALES Raw'!$C$6:$C$1634,'SALES Raw'!$J$6:$J$1634,$J503,'SALES Raw'!$K$6:$K$1634,"Y")</f>
        <v>4</v>
      </c>
      <c r="E503" s="8" t="n">
        <f aca="false">SUMIFS('SALES Raw'!$D$6:$D$1634,'SALES Raw'!$J$6:$J$1634,$J503,'SALES Raw'!$K$6:$K$1634,"Y")</f>
        <v>273.41</v>
      </c>
      <c r="F503" s="8" t="n">
        <f aca="false">SUMIFS('SALES Raw'!$E$6:$E$1634,'SALES Raw'!$J$6:$J$1634,$J503,'SALES Raw'!$K$6:$K$1634,"Y")*$H$4</f>
        <v>0</v>
      </c>
      <c r="G503" s="8" t="n">
        <f aca="false">SUMIFS('SALES Raw'!$F$6:$F$1634,'SALES Raw'!$J$6:$J$1634,$J503,'SALES Raw'!$K$6:$K$1634,"Y")*$H$4</f>
        <v>0</v>
      </c>
      <c r="H503" s="16" t="s">
        <v>37</v>
      </c>
      <c r="I503" s="16"/>
      <c r="J503" s="16" t="s">
        <v>214</v>
      </c>
    </row>
    <row r="504" customFormat="false" ht="15" hidden="false" customHeight="false" outlineLevel="0" collapsed="false">
      <c r="A504" s="16" t="str">
        <f aca="false">IF(ISNUMBER($J504),$J504,"")</f>
        <v/>
      </c>
      <c r="B504" s="16" t="str">
        <f aca="false">IFERROR(INDEX('SALES Raw'!$B$6:$B$1634,MATCH($J504,'SALES Raw'!$J$6:$J$1634,0)),$J504)</f>
        <v>78A M</v>
      </c>
      <c r="C504" s="16" t="str">
        <f aca="false">IF(ISNUMBER($J504),IFERROR(INDEX('TRANS'!$C:$C,MATCH($J504,'TRANS'!$B:$B,0)),IFERROR(INDEX('Catalog'!$B:$B,MATCH($J504,'Catalog'!$A:$A,0)),$B504)),$B504)</f>
        <v>78A M</v>
      </c>
      <c r="D504" s="8" t="n">
        <f aca="false">SUMIFS('SALES Raw'!$C$6:$C$1634,'SALES Raw'!$J$6:$J$1634,$J504,'SALES Raw'!$K$6:$K$1634,"Y")</f>
        <v>6</v>
      </c>
      <c r="E504" s="8" t="n">
        <f aca="false">SUMIFS('SALES Raw'!$D$6:$D$1634,'SALES Raw'!$J$6:$J$1634,$J504,'SALES Raw'!$K$6:$K$1634,"Y")</f>
        <v>410.12</v>
      </c>
      <c r="F504" s="8" t="n">
        <f aca="false">SUMIFS('SALES Raw'!$E$6:$E$1634,'SALES Raw'!$J$6:$J$1634,$J504,'SALES Raw'!$K$6:$K$1634,"Y")*$H$4</f>
        <v>0</v>
      </c>
      <c r="G504" s="8" t="n">
        <f aca="false">SUMIFS('SALES Raw'!$F$6:$F$1634,'SALES Raw'!$J$6:$J$1634,$J504,'SALES Raw'!$K$6:$K$1634,"Y")*$H$4</f>
        <v>0</v>
      </c>
      <c r="H504" s="16" t="s">
        <v>37</v>
      </c>
      <c r="I504" s="16"/>
      <c r="J504" s="16" t="s">
        <v>215</v>
      </c>
    </row>
    <row r="505" customFormat="false" ht="15" hidden="false" customHeight="false" outlineLevel="0" collapsed="false">
      <c r="A505" s="16" t="str">
        <f aca="false">IF(ISNUMBER($J505),$J505,"")</f>
        <v/>
      </c>
      <c r="B505" s="16" t="str">
        <f aca="false">IFERROR(INDEX('SALES Raw'!$B$6:$B$1634,MATCH($J505,'SALES Raw'!$J$6:$J$1634,0)),$J505)</f>
        <v>10 S</v>
      </c>
      <c r="C505" s="16" t="str">
        <f aca="false">IF(ISNUMBER($J505),IFERROR(INDEX('TRANS'!$C:$C,MATCH($J505,'TRANS'!$B:$B,0)),IFERROR(INDEX('Catalog'!$B:$B,MATCH($J505,'Catalog'!$A:$A,0)),$B505)),$B505)</f>
        <v>10 S</v>
      </c>
      <c r="D505" s="8" t="n">
        <f aca="false">SUMIFS('SALES Raw'!$C$6:$C$1634,'SALES Raw'!$J$6:$J$1634,$J505,'SALES Raw'!$K$6:$K$1634,"Y")</f>
        <v>7</v>
      </c>
      <c r="E505" s="8" t="n">
        <f aca="false">SUMIFS('SALES Raw'!$D$6:$D$1634,'SALES Raw'!$J$6:$J$1634,$J505,'SALES Raw'!$K$6:$K$1634,"Y")</f>
        <v>531.43</v>
      </c>
      <c r="F505" s="8" t="n">
        <f aca="false">SUMIFS('SALES Raw'!$E$6:$E$1634,'SALES Raw'!$J$6:$J$1634,$J505,'SALES Raw'!$K$6:$K$1634,"Y")*$H$4</f>
        <v>0</v>
      </c>
      <c r="G505" s="8" t="n">
        <f aca="false">SUMIFS('SALES Raw'!$F$6:$F$1634,'SALES Raw'!$J$6:$J$1634,$J505,'SALES Raw'!$K$6:$K$1634,"Y")*$H$4</f>
        <v>0</v>
      </c>
      <c r="H505" s="16" t="s">
        <v>38</v>
      </c>
      <c r="I505" s="16" t="s">
        <v>43</v>
      </c>
      <c r="J505" s="16" t="s">
        <v>216</v>
      </c>
    </row>
    <row r="506" customFormat="false" ht="15" hidden="false" customHeight="false" outlineLevel="0" collapsed="false">
      <c r="A506" s="16" t="str">
        <f aca="false">IF(ISNUMBER($J506),$J506,"")</f>
        <v/>
      </c>
      <c r="B506" s="16" t="str">
        <f aca="false">IFERROR(INDEX('SALES Raw'!$B$6:$B$1634,MATCH($J506,'SALES Raw'!$J$6:$J$1634,0)),$J506)</f>
        <v>392B-39-42</v>
      </c>
      <c r="C506" s="16" t="str">
        <f aca="false">IF(ISNUMBER($J506),IFERROR(INDEX('TRANS'!$C:$C,MATCH($J506,'TRANS'!$B:$B,0)),IFERROR(INDEX('Catalog'!$B:$B,MATCH($J506,'Catalog'!$A:$A,0)),$B506)),$B506)</f>
        <v>392B-39-42</v>
      </c>
      <c r="D506" s="8" t="n">
        <f aca="false">SUMIFS('SALES Raw'!$C$6:$C$1634,'SALES Raw'!$J$6:$J$1634,$J506,'SALES Raw'!$K$6:$K$1634,"Y")</f>
        <v>10</v>
      </c>
      <c r="E506" s="8" t="n">
        <f aca="false">SUMIFS('SALES Raw'!$D$6:$D$1634,'SALES Raw'!$J$6:$J$1634,$J506,'SALES Raw'!$K$6:$K$1634,"Y")</f>
        <v>194.88</v>
      </c>
      <c r="F506" s="8" t="n">
        <f aca="false">SUMIFS('SALES Raw'!$E$6:$E$1634,'SALES Raw'!$J$6:$J$1634,$J506,'SALES Raw'!$K$6:$K$1634,"Y")*$H$4</f>
        <v>0</v>
      </c>
      <c r="G506" s="8" t="n">
        <f aca="false">SUMIFS('SALES Raw'!$F$6:$F$1634,'SALES Raw'!$J$6:$J$1634,$J506,'SALES Raw'!$K$6:$K$1634,"Y")*$H$4</f>
        <v>0</v>
      </c>
      <c r="H506" s="16" t="s">
        <v>38</v>
      </c>
      <c r="I506" s="16"/>
      <c r="J506" s="16" t="s">
        <v>217</v>
      </c>
    </row>
    <row r="507" customFormat="false" ht="15" hidden="false" customHeight="false" outlineLevel="0" collapsed="false">
      <c r="A507" s="16" t="str">
        <f aca="false">IF(ISNUMBER($J507),$J507,"")</f>
        <v/>
      </c>
      <c r="B507" s="16" t="str">
        <f aca="false">IFERROR(INDEX('SALES Raw'!$B$6:$B$1634,MATCH($J507,'SALES Raw'!$J$6:$J$1634,0)),$J507)</f>
        <v>392B-43-46</v>
      </c>
      <c r="C507" s="16" t="str">
        <f aca="false">IF(ISNUMBER($J507),IFERROR(INDEX('TRANS'!$C:$C,MATCH($J507,'TRANS'!$B:$B,0)),IFERROR(INDEX('Catalog'!$B:$B,MATCH($J507,'Catalog'!$A:$A,0)),$B507)),$B507)</f>
        <v>392B-43-46</v>
      </c>
      <c r="D507" s="8" t="n">
        <f aca="false">SUMIFS('SALES Raw'!$C$6:$C$1634,'SALES Raw'!$J$6:$J$1634,$J507,'SALES Raw'!$K$6:$K$1634,"Y")</f>
        <v>20</v>
      </c>
      <c r="E507" s="8" t="n">
        <f aca="false">SUMIFS('SALES Raw'!$D$6:$D$1634,'SALES Raw'!$J$6:$J$1634,$J507,'SALES Raw'!$K$6:$K$1634,"Y")</f>
        <v>389.75</v>
      </c>
      <c r="F507" s="8" t="n">
        <f aca="false">SUMIFS('SALES Raw'!$E$6:$E$1634,'SALES Raw'!$J$6:$J$1634,$J507,'SALES Raw'!$K$6:$K$1634,"Y")*$H$4</f>
        <v>0</v>
      </c>
      <c r="G507" s="8" t="n">
        <f aca="false">SUMIFS('SALES Raw'!$F$6:$F$1634,'SALES Raw'!$J$6:$J$1634,$J507,'SALES Raw'!$K$6:$K$1634,"Y")*$H$4</f>
        <v>0</v>
      </c>
      <c r="H507" s="16" t="s">
        <v>38</v>
      </c>
      <c r="I507" s="16"/>
      <c r="J507" s="16" t="s">
        <v>218</v>
      </c>
    </row>
    <row r="508" customFormat="false" ht="15" hidden="false" customHeight="false" outlineLevel="0" collapsed="false">
      <c r="A508" s="16" t="str">
        <f aca="false">IF(ISNUMBER($J508),$J508,"")</f>
        <v/>
      </c>
      <c r="B508" s="16" t="str">
        <f aca="false">IFERROR(INDEX('SALES Raw'!$B$6:$B$1634,MATCH($J508,'SALES Raw'!$J$6:$J$1634,0)),$J508)</f>
        <v>55 S</v>
      </c>
      <c r="C508" s="16" t="str">
        <f aca="false">IF(ISNUMBER($J508),IFERROR(INDEX('TRANS'!$C:$C,MATCH($J508,'TRANS'!$B:$B,0)),IFERROR(INDEX('Catalog'!$B:$B,MATCH($J508,'Catalog'!$A:$A,0)),$B508)),$B508)</f>
        <v>55 S</v>
      </c>
      <c r="D508" s="8" t="n">
        <f aca="false">SUMIFS('SALES Raw'!$C$6:$C$1634,'SALES Raw'!$J$6:$J$1634,$J508,'SALES Raw'!$K$6:$K$1634,"Y")</f>
        <v>6</v>
      </c>
      <c r="E508" s="8" t="n">
        <f aca="false">SUMIFS('SALES Raw'!$D$6:$D$1634,'SALES Raw'!$J$6:$J$1634,$J508,'SALES Raw'!$K$6:$K$1634,"Y")</f>
        <v>183.73</v>
      </c>
      <c r="F508" s="8" t="n">
        <f aca="false">SUMIFS('SALES Raw'!$E$6:$E$1634,'SALES Raw'!$J$6:$J$1634,$J508,'SALES Raw'!$K$6:$K$1634,"Y")*$H$4</f>
        <v>0</v>
      </c>
      <c r="G508" s="8" t="n">
        <f aca="false">SUMIFS('SALES Raw'!$F$6:$F$1634,'SALES Raw'!$J$6:$J$1634,$J508,'SALES Raw'!$K$6:$K$1634,"Y")*$H$4</f>
        <v>0</v>
      </c>
      <c r="H508" s="16" t="s">
        <v>38</v>
      </c>
      <c r="I508" s="16"/>
      <c r="J508" s="16" t="s">
        <v>219</v>
      </c>
    </row>
    <row r="509" customFormat="false" ht="15" hidden="false" customHeight="false" outlineLevel="0" collapsed="false">
      <c r="A509" s="16" t="str">
        <f aca="false">IF(ISNUMBER($J509),$J509,"")</f>
        <v/>
      </c>
      <c r="B509" s="16" t="str">
        <f aca="false">IFERROR(INDEX('SALES Raw'!$B$6:$B$1634,MATCH($J509,'SALES Raw'!$J$6:$J$1634,0)),$J509)</f>
        <v>61 XL</v>
      </c>
      <c r="C509" s="16" t="str">
        <f aca="false">IF(ISNUMBER($J509),IFERROR(INDEX('TRANS'!$C:$C,MATCH($J509,'TRANS'!$B:$B,0)),IFERROR(INDEX('Catalog'!$B:$B,MATCH($J509,'Catalog'!$A:$A,0)),$B509)),$B509)</f>
        <v>61 XL</v>
      </c>
      <c r="D509" s="8" t="n">
        <f aca="false">SUMIFS('SALES Raw'!$C$6:$C$1634,'SALES Raw'!$J$6:$J$1634,$J509,'SALES Raw'!$K$6:$K$1634,"Y")</f>
        <v>26</v>
      </c>
      <c r="E509" s="8" t="n">
        <f aca="false">SUMIFS('SALES Raw'!$D$6:$D$1634,'SALES Raw'!$J$6:$J$1634,$J509,'SALES Raw'!$K$6:$K$1634,"Y")</f>
        <v>448.85</v>
      </c>
      <c r="F509" s="8" t="n">
        <f aca="false">SUMIFS('SALES Raw'!$E$6:$E$1634,'SALES Raw'!$J$6:$J$1634,$J509,'SALES Raw'!$K$6:$K$1634,"Y")*$H$4</f>
        <v>0</v>
      </c>
      <c r="G509" s="8" t="n">
        <f aca="false">SUMIFS('SALES Raw'!$F$6:$F$1634,'SALES Raw'!$J$6:$J$1634,$J509,'SALES Raw'!$K$6:$K$1634,"Y")*$H$4</f>
        <v>0</v>
      </c>
      <c r="H509" s="16" t="s">
        <v>38</v>
      </c>
      <c r="I509" s="16" t="s">
        <v>41</v>
      </c>
      <c r="J509" s="16" t="s">
        <v>220</v>
      </c>
    </row>
    <row r="510" customFormat="false" ht="15" hidden="false" customHeight="false" outlineLevel="0" collapsed="false">
      <c r="A510" s="16" t="str">
        <f aca="false">IF(ISNUMBER($J510),$J510,"")</f>
        <v/>
      </c>
      <c r="B510" s="16" t="str">
        <f aca="false">IFERROR(INDEX('SALES Raw'!$B$6:$B$1634,MATCH($J510,'SALES Raw'!$J$6:$J$1634,0)),$J510)</f>
        <v>67 0</v>
      </c>
      <c r="C510" s="16" t="str">
        <f aca="false">IF(ISNUMBER($J510),IFERROR(INDEX('TRANS'!$C:$C,MATCH($J510,'TRANS'!$B:$B,0)),IFERROR(INDEX('Catalog'!$B:$B,MATCH($J510,'Catalog'!$A:$A,0)),$B510)),$B510)</f>
        <v>67 0</v>
      </c>
      <c r="D510" s="8" t="n">
        <f aca="false">SUMIFS('SALES Raw'!$C$6:$C$1634,'SALES Raw'!$J$6:$J$1634,$J510,'SALES Raw'!$K$6:$K$1634,"Y")</f>
        <v>173</v>
      </c>
      <c r="E510" s="8" t="n">
        <f aca="false">SUMIFS('SALES Raw'!$D$6:$D$1634,'SALES Raw'!$J$6:$J$1634,$J510,'SALES Raw'!$K$6:$K$1634,"Y")</f>
        <v>17689.92</v>
      </c>
      <c r="F510" s="8" t="n">
        <f aca="false">SUMIFS('SALES Raw'!$E$6:$E$1634,'SALES Raw'!$J$6:$J$1634,$J510,'SALES Raw'!$K$6:$K$1634,"Y")*$H$4</f>
        <v>0</v>
      </c>
      <c r="G510" s="8" t="n">
        <f aca="false">SUMIFS('SALES Raw'!$F$6:$F$1634,'SALES Raw'!$J$6:$J$1634,$J510,'SALES Raw'!$K$6:$K$1634,"Y")*$H$4</f>
        <v>0</v>
      </c>
      <c r="H510" s="16" t="s">
        <v>38</v>
      </c>
      <c r="I510" s="16" t="s">
        <v>43</v>
      </c>
      <c r="J510" s="16" t="s">
        <v>221</v>
      </c>
    </row>
    <row r="511" customFormat="false" ht="15" hidden="false" customHeight="false" outlineLevel="0" collapsed="false">
      <c r="A511" s="16" t="str">
        <f aca="false">IF(ISNUMBER($J511),$J511,"")</f>
        <v/>
      </c>
      <c r="B511" s="16" t="str">
        <f aca="false">IFERROR(INDEX('SALES Raw'!$B$6:$B$1634,MATCH($J511,'SALES Raw'!$J$6:$J$1634,0)),$J511)</f>
        <v>67800020</v>
      </c>
      <c r="C511" s="16" t="str">
        <f aca="false">IF(ISNUMBER($J511),IFERROR(INDEX('TRANS'!$C:$C,MATCH($J511,'TRANS'!$B:$B,0)),IFERROR(INDEX('Catalog'!$B:$B,MATCH($J511,'Catalog'!$A:$A,0)),$B511)),$B511)</f>
        <v>67800020</v>
      </c>
      <c r="D511" s="8" t="n">
        <f aca="false">SUMIFS('SALES Raw'!$C$6:$C$1634,'SALES Raw'!$J$6:$J$1634,$J511,'SALES Raw'!$K$6:$K$1634,"Y")</f>
        <v>16</v>
      </c>
      <c r="E511" s="8" t="n">
        <f aca="false">SUMIFS('SALES Raw'!$D$6:$D$1634,'SALES Raw'!$J$6:$J$1634,$J511,'SALES Raw'!$K$6:$K$1634,"Y")</f>
        <v>0.57</v>
      </c>
      <c r="F511" s="8" t="n">
        <f aca="false">SUMIFS('SALES Raw'!$E$6:$E$1634,'SALES Raw'!$J$6:$J$1634,$J511,'SALES Raw'!$K$6:$K$1634,"Y")*$H$4</f>
        <v>0</v>
      </c>
      <c r="G511" s="8" t="n">
        <f aca="false">SUMIFS('SALES Raw'!$F$6:$F$1634,'SALES Raw'!$J$6:$J$1634,$J511,'SALES Raw'!$K$6:$K$1634,"Y")*$H$4</f>
        <v>0</v>
      </c>
      <c r="H511" s="16" t="s">
        <v>38</v>
      </c>
      <c r="I511" s="16"/>
      <c r="J511" s="16" t="s">
        <v>222</v>
      </c>
    </row>
    <row r="512" customFormat="false" ht="15" hidden="false" customHeight="false" outlineLevel="0" collapsed="false">
      <c r="A512" s="16" t="str">
        <f aca="false">IF(ISNUMBER($J512),$J512,"")</f>
        <v/>
      </c>
      <c r="B512" s="16" t="str">
        <f aca="false">IFERROR(INDEX('SALES Raw'!$B$6:$B$1634,MATCH($J512,'SALES Raw'!$J$6:$J$1634,0)),$J512)</f>
        <v>391B-35-38</v>
      </c>
      <c r="C512" s="16" t="str">
        <f aca="false">IF(ISNUMBER($J512),IFERROR(INDEX('TRANS'!$C:$C,MATCH($J512,'TRANS'!$B:$B,0)),IFERROR(INDEX('Catalog'!$B:$B,MATCH($J512,'Catalog'!$A:$A,0)),$B512)),$B512)</f>
        <v>391B-35-38</v>
      </c>
      <c r="D512" s="8" t="n">
        <f aca="false">SUMIFS('SALES Raw'!$C$6:$C$1634,'SALES Raw'!$J$6:$J$1634,$J512,'SALES Raw'!$K$6:$K$1634,"Y")</f>
        <v>1</v>
      </c>
      <c r="E512" s="8" t="n">
        <f aca="false">SUMIFS('SALES Raw'!$D$6:$D$1634,'SALES Raw'!$J$6:$J$1634,$J512,'SALES Raw'!$K$6:$K$1634,"Y")</f>
        <v>0.04</v>
      </c>
      <c r="F512" s="8" t="n">
        <f aca="false">SUMIFS('SALES Raw'!$E$6:$E$1634,'SALES Raw'!$J$6:$J$1634,$J512,'SALES Raw'!$K$6:$K$1634,"Y")*$H$4</f>
        <v>0</v>
      </c>
      <c r="G512" s="8" t="n">
        <f aca="false">SUMIFS('SALES Raw'!$F$6:$F$1634,'SALES Raw'!$J$6:$J$1634,$J512,'SALES Raw'!$K$6:$K$1634,"Y")*$H$4</f>
        <v>0</v>
      </c>
      <c r="H512" s="16" t="s">
        <v>40</v>
      </c>
      <c r="I512" s="16"/>
      <c r="J512" s="16" t="s">
        <v>223</v>
      </c>
    </row>
    <row r="513" customFormat="false" ht="15" hidden="false" customHeight="false" outlineLevel="0" collapsed="false">
      <c r="A513" s="16" t="str">
        <f aca="false">IF(ISNUMBER($J513),$J513,"")</f>
        <v/>
      </c>
      <c r="B513" s="16" t="str">
        <f aca="false">IFERROR(INDEX('SALES Raw'!$B$6:$B$1634,MATCH($J513,'SALES Raw'!$J$6:$J$1634,0)),$J513)</f>
        <v>395W-35-38</v>
      </c>
      <c r="C513" s="16" t="str">
        <f aca="false">IF(ISNUMBER($J513),IFERROR(INDEX('TRANS'!$C:$C,MATCH($J513,'TRANS'!$B:$B,0)),IFERROR(INDEX('Catalog'!$B:$B,MATCH($J513,'Catalog'!$A:$A,0)),$B513)),$B513)</f>
        <v>395W-35-38</v>
      </c>
      <c r="D513" s="8" t="n">
        <f aca="false">SUMIFS('SALES Raw'!$C$6:$C$1634,'SALES Raw'!$J$6:$J$1634,$J513,'SALES Raw'!$K$6:$K$1634,"Y")</f>
        <v>1</v>
      </c>
      <c r="E513" s="8" t="n">
        <f aca="false">SUMIFS('SALES Raw'!$D$6:$D$1634,'SALES Raw'!$J$6:$J$1634,$J513,'SALES Raw'!$K$6:$K$1634,"Y")</f>
        <v>0.04</v>
      </c>
      <c r="F513" s="8" t="n">
        <f aca="false">SUMIFS('SALES Raw'!$E$6:$E$1634,'SALES Raw'!$J$6:$J$1634,$J513,'SALES Raw'!$K$6:$K$1634,"Y")*$H$4</f>
        <v>0</v>
      </c>
      <c r="G513" s="8" t="n">
        <f aca="false">SUMIFS('SALES Raw'!$F$6:$F$1634,'SALES Raw'!$J$6:$J$1634,$J513,'SALES Raw'!$K$6:$K$1634,"Y")*$H$4</f>
        <v>0</v>
      </c>
      <c r="H513" s="16" t="s">
        <v>40</v>
      </c>
      <c r="I513" s="16"/>
      <c r="J513" s="16" t="s">
        <v>224</v>
      </c>
    </row>
    <row r="514" customFormat="false" ht="15" hidden="false" customHeight="false" outlineLevel="0" collapsed="false">
      <c r="A514" s="16" t="n">
        <f aca="false">IF(ISNUMBER($J514),$J514,"")</f>
        <v>4413184</v>
      </c>
      <c r="B514" s="16" t="str">
        <f aca="false">IFERROR(INDEX('SALES Raw'!$B$6:$B$1634,MATCH($J514,'SALES Raw'!$J$6:$J$1634,0)),$J514)</f>
        <v>T45 L</v>
      </c>
      <c r="C514" s="16" t="str">
        <f aca="false">IF(ISNUMBER($J514),IFERROR(INDEX('TRANS'!$C:$C,MATCH($J514,'TRANS'!$B:$B,0)),IFERROR(INDEX('Catalog'!$B:$B,MATCH($J514,'Catalog'!$A:$A,0)),$B514)),$B514)</f>
        <v>T 45 L מגן ברך רגיל</v>
      </c>
      <c r="D514" s="8" t="n">
        <f aca="false">SUMIFS('SALES Raw'!$C$6:$C$1634,'SALES Raw'!$J$6:$J$1634,$J514,'SALES Raw'!$K$6:$K$1634,"Y")</f>
        <v>55</v>
      </c>
      <c r="E514" s="8" t="n">
        <f aca="false">SUMIFS('SALES Raw'!$D$6:$D$1634,'SALES Raw'!$J$6:$J$1634,$J514,'SALES Raw'!$K$6:$K$1634,"Y")</f>
        <v>2642.49</v>
      </c>
      <c r="F514" s="8" t="n">
        <f aca="false">SUMIFS('SALES Raw'!$E$6:$E$1634,'SALES Raw'!$J$6:$J$1634,$J514,'SALES Raw'!$K$6:$K$1634,"Y")*$H$4</f>
        <v>0</v>
      </c>
      <c r="G514" s="8" t="n">
        <f aca="false">SUMIFS('SALES Raw'!$F$6:$F$1634,'SALES Raw'!$J$6:$J$1634,$J514,'SALES Raw'!$K$6:$K$1634,"Y")*$H$4</f>
        <v>0</v>
      </c>
      <c r="H514" s="16" t="s">
        <v>40</v>
      </c>
      <c r="I514" s="16"/>
      <c r="J514" s="16" t="n">
        <v>4413184</v>
      </c>
    </row>
    <row r="515" customFormat="false" ht="15" hidden="false" customHeight="false" outlineLevel="0" collapsed="false">
      <c r="A515" s="16" t="n">
        <f aca="false">IF(ISNUMBER($J515),$J515,"")</f>
        <v>4413183</v>
      </c>
      <c r="B515" s="16" t="str">
        <f aca="false">IFERROR(INDEX('SALES Raw'!$B$6:$B$1634,MATCH($J515,'SALES Raw'!$J$6:$J$1634,0)),$J515)</f>
        <v>T45 M</v>
      </c>
      <c r="C515" s="16" t="str">
        <f aca="false">IF(ISNUMBER($J515),IFERROR(INDEX('TRANS'!$C:$C,MATCH($J515,'TRANS'!$B:$B,0)),IFERROR(INDEX('Catalog'!$B:$B,MATCH($J515,'Catalog'!$A:$A,0)),$B515)),$B515)</f>
        <v>T 45 M מגן ברך רגיל</v>
      </c>
      <c r="D515" s="8" t="n">
        <f aca="false">SUMIFS('SALES Raw'!$C$6:$C$1634,'SALES Raw'!$J$6:$J$1634,$J515,'SALES Raw'!$K$6:$K$1634,"Y")</f>
        <v>50</v>
      </c>
      <c r="E515" s="8" t="n">
        <f aca="false">SUMIFS('SALES Raw'!$D$6:$D$1634,'SALES Raw'!$J$6:$J$1634,$J515,'SALES Raw'!$K$6:$K$1634,"Y")</f>
        <v>2404.15</v>
      </c>
      <c r="F515" s="8" t="n">
        <f aca="false">SUMIFS('SALES Raw'!$E$6:$E$1634,'SALES Raw'!$J$6:$J$1634,$J515,'SALES Raw'!$K$6:$K$1634,"Y")*$H$4</f>
        <v>0</v>
      </c>
      <c r="G515" s="8" t="n">
        <f aca="false">SUMIFS('SALES Raw'!$F$6:$F$1634,'SALES Raw'!$J$6:$J$1634,$J515,'SALES Raw'!$K$6:$K$1634,"Y")*$H$4</f>
        <v>0</v>
      </c>
      <c r="H515" s="16" t="s">
        <v>40</v>
      </c>
      <c r="I515" s="16"/>
      <c r="J515" s="16" t="n">
        <v>4413183</v>
      </c>
    </row>
    <row r="516" customFormat="false" ht="15" hidden="false" customHeight="false" outlineLevel="0" collapsed="false">
      <c r="A516" s="16" t="n">
        <f aca="false">IF(ISNUMBER($J516),$J516,"")</f>
        <v>4413182</v>
      </c>
      <c r="B516" s="16" t="str">
        <f aca="false">IFERROR(INDEX('SALES Raw'!$B$6:$B$1634,MATCH($J516,'SALES Raw'!$J$6:$J$1634,0)),$J516)</f>
        <v>T45 S</v>
      </c>
      <c r="C516" s="16" t="str">
        <f aca="false">IF(ISNUMBER($J516),IFERROR(INDEX('TRANS'!$C:$C,MATCH($J516,'TRANS'!$B:$B,0)),IFERROR(INDEX('Catalog'!$B:$B,MATCH($J516,'Catalog'!$A:$A,0)),$B516)),$B516)</f>
        <v>T45 S מגן ברך רגיל</v>
      </c>
      <c r="D516" s="8" t="n">
        <f aca="false">SUMIFS('SALES Raw'!$C$6:$C$1634,'SALES Raw'!$J$6:$J$1634,$J516,'SALES Raw'!$K$6:$K$1634,"Y")</f>
        <v>20</v>
      </c>
      <c r="E516" s="8" t="n">
        <f aca="false">SUMIFS('SALES Raw'!$D$6:$D$1634,'SALES Raw'!$J$6:$J$1634,$J516,'SALES Raw'!$K$6:$K$1634,"Y")</f>
        <v>960.28</v>
      </c>
      <c r="F516" s="8" t="n">
        <f aca="false">SUMIFS('SALES Raw'!$E$6:$E$1634,'SALES Raw'!$J$6:$J$1634,$J516,'SALES Raw'!$K$6:$K$1634,"Y")*$H$4</f>
        <v>0</v>
      </c>
      <c r="G516" s="8" t="n">
        <f aca="false">SUMIFS('SALES Raw'!$F$6:$F$1634,'SALES Raw'!$J$6:$J$1634,$J516,'SALES Raw'!$K$6:$K$1634,"Y")*$H$4</f>
        <v>0</v>
      </c>
      <c r="H516" s="16" t="s">
        <v>40</v>
      </c>
      <c r="I516" s="16"/>
      <c r="J516" s="16" t="n">
        <v>4413182</v>
      </c>
    </row>
    <row r="517" customFormat="false" ht="15" hidden="false" customHeight="false" outlineLevel="0" collapsed="false">
      <c r="A517" s="16" t="n">
        <f aca="false">IF(ISNUMBER($J517),$J517,"")</f>
        <v>4413185</v>
      </c>
      <c r="B517" s="16" t="str">
        <f aca="false">IFERROR(INDEX('SALES Raw'!$B$6:$B$1634,MATCH($J517,'SALES Raw'!$J$6:$J$1634,0)),$J517)</f>
        <v>T45 XL</v>
      </c>
      <c r="C517" s="16" t="str">
        <f aca="false">IF(ISNUMBER($J517),IFERROR(INDEX('TRANS'!$C:$C,MATCH($J517,'TRANS'!$B:$B,0)),IFERROR(INDEX('Catalog'!$B:$B,MATCH($J517,'Catalog'!$A:$A,0)),$B517)),$B517)</f>
        <v>T 45XL מגן ברך רגיל</v>
      </c>
      <c r="D517" s="8" t="n">
        <f aca="false">SUMIFS('SALES Raw'!$C$6:$C$1634,'SALES Raw'!$J$6:$J$1634,$J517,'SALES Raw'!$K$6:$K$1634,"Y")</f>
        <v>30</v>
      </c>
      <c r="E517" s="8" t="n">
        <f aca="false">SUMIFS('SALES Raw'!$D$6:$D$1634,'SALES Raw'!$J$6:$J$1634,$J517,'SALES Raw'!$K$6:$K$1634,"Y")</f>
        <v>1436.96</v>
      </c>
      <c r="F517" s="8" t="n">
        <f aca="false">SUMIFS('SALES Raw'!$E$6:$E$1634,'SALES Raw'!$J$6:$J$1634,$J517,'SALES Raw'!$K$6:$K$1634,"Y")*$H$4</f>
        <v>0</v>
      </c>
      <c r="G517" s="8" t="n">
        <f aca="false">SUMIFS('SALES Raw'!$F$6:$F$1634,'SALES Raw'!$J$6:$J$1634,$J517,'SALES Raw'!$K$6:$K$1634,"Y")*$H$4</f>
        <v>0</v>
      </c>
      <c r="H517" s="16" t="s">
        <v>40</v>
      </c>
      <c r="I517" s="16"/>
      <c r="J517" s="16" t="n">
        <v>4413185</v>
      </c>
    </row>
    <row r="518" customFormat="false" ht="15" hidden="false" customHeight="false" outlineLevel="0" collapsed="false">
      <c r="A518" s="16" t="str">
        <f aca="false">IF(ISNUMBER($J518),$J518,"")</f>
        <v/>
      </c>
      <c r="B518" s="16" t="str">
        <f aca="false">IFERROR(INDEX('SALES Raw'!$B$6:$B$1634,MATCH($J518,'SALES Raw'!$J$6:$J$1634,0)),$J518)</f>
        <v>T45C L</v>
      </c>
      <c r="C518" s="16" t="str">
        <f aca="false">IF(ISNUMBER($J518),IFERROR(INDEX('TRANS'!$C:$C,MATCH($J518,'TRANS'!$B:$B,0)),IFERROR(INDEX('Catalog'!$B:$B,MATCH($J518,'Catalog'!$A:$A,0)),$B518)),$B518)</f>
        <v>T45C L</v>
      </c>
      <c r="D518" s="8" t="n">
        <f aca="false">SUMIFS('SALES Raw'!$C$6:$C$1634,'SALES Raw'!$J$6:$J$1634,$J518,'SALES Raw'!$K$6:$K$1634,"Y")</f>
        <v>60</v>
      </c>
      <c r="E518" s="8" t="n">
        <f aca="false">SUMIFS('SALES Raw'!$D$6:$D$1634,'SALES Raw'!$J$6:$J$1634,$J518,'SALES Raw'!$K$6:$K$1634,"Y")</f>
        <v>2875.95</v>
      </c>
      <c r="F518" s="8" t="n">
        <f aca="false">SUMIFS('SALES Raw'!$E$6:$E$1634,'SALES Raw'!$J$6:$J$1634,$J518,'SALES Raw'!$K$6:$K$1634,"Y")*$H$4</f>
        <v>0</v>
      </c>
      <c r="G518" s="8" t="n">
        <f aca="false">SUMIFS('SALES Raw'!$F$6:$F$1634,'SALES Raw'!$J$6:$J$1634,$J518,'SALES Raw'!$K$6:$K$1634,"Y")*$H$4</f>
        <v>0</v>
      </c>
      <c r="H518" s="16" t="s">
        <v>40</v>
      </c>
      <c r="I518" s="16"/>
      <c r="J518" s="16" t="s">
        <v>225</v>
      </c>
    </row>
    <row r="519" customFormat="false" ht="15" hidden="false" customHeight="false" outlineLevel="0" collapsed="false">
      <c r="A519" s="16" t="str">
        <f aca="false">IF(ISNUMBER($J519),$J519,"")</f>
        <v/>
      </c>
      <c r="B519" s="16" t="str">
        <f aca="false">IFERROR(INDEX('SALES Raw'!$B$6:$B$1634,MATCH($J519,'SALES Raw'!$J$6:$J$1634,0)),$J519)</f>
        <v>T45C M</v>
      </c>
      <c r="C519" s="16" t="str">
        <f aca="false">IF(ISNUMBER($J519),IFERROR(INDEX('TRANS'!$C:$C,MATCH($J519,'TRANS'!$B:$B,0)),IFERROR(INDEX('Catalog'!$B:$B,MATCH($J519,'Catalog'!$A:$A,0)),$B519)),$B519)</f>
        <v>T45C M</v>
      </c>
      <c r="D519" s="8" t="n">
        <f aca="false">SUMIFS('SALES Raw'!$C$6:$C$1634,'SALES Raw'!$J$6:$J$1634,$J519,'SALES Raw'!$K$6:$K$1634,"Y")</f>
        <v>60</v>
      </c>
      <c r="E519" s="8" t="n">
        <f aca="false">SUMIFS('SALES Raw'!$D$6:$D$1634,'SALES Raw'!$J$6:$J$1634,$J519,'SALES Raw'!$K$6:$K$1634,"Y")</f>
        <v>2875.95</v>
      </c>
      <c r="F519" s="8" t="n">
        <f aca="false">SUMIFS('SALES Raw'!$E$6:$E$1634,'SALES Raw'!$J$6:$J$1634,$J519,'SALES Raw'!$K$6:$K$1634,"Y")*$H$4</f>
        <v>0</v>
      </c>
      <c r="G519" s="8" t="n">
        <f aca="false">SUMIFS('SALES Raw'!$F$6:$F$1634,'SALES Raw'!$J$6:$J$1634,$J519,'SALES Raw'!$K$6:$K$1634,"Y")*$H$4</f>
        <v>0</v>
      </c>
      <c r="H519" s="16" t="s">
        <v>40</v>
      </c>
      <c r="I519" s="16"/>
      <c r="J519" s="16" t="s">
        <v>226</v>
      </c>
    </row>
    <row r="520" customFormat="false" ht="15" hidden="false" customHeight="false" outlineLevel="0" collapsed="false">
      <c r="A520" s="16" t="str">
        <f aca="false">IF(ISNUMBER($J520),$J520,"")</f>
        <v/>
      </c>
      <c r="B520" s="16" t="str">
        <f aca="false">IFERROR(INDEX('SALES Raw'!$B$6:$B$1634,MATCH($J520,'SALES Raw'!$J$6:$J$1634,0)),$J520)</f>
        <v>T45C S</v>
      </c>
      <c r="C520" s="16" t="str">
        <f aca="false">IF(ISNUMBER($J520),IFERROR(INDEX('TRANS'!$C:$C,MATCH($J520,'TRANS'!$B:$B,0)),IFERROR(INDEX('Catalog'!$B:$B,MATCH($J520,'Catalog'!$A:$A,0)),$B520)),$B520)</f>
        <v>T45C S</v>
      </c>
      <c r="D520" s="8" t="n">
        <f aca="false">SUMIFS('SALES Raw'!$C$6:$C$1634,'SALES Raw'!$J$6:$J$1634,$J520,'SALES Raw'!$K$6:$K$1634,"Y")</f>
        <v>35</v>
      </c>
      <c r="E520" s="8" t="n">
        <f aca="false">SUMIFS('SALES Raw'!$D$6:$D$1634,'SALES Raw'!$J$6:$J$1634,$J520,'SALES Raw'!$K$6:$K$1634,"Y")</f>
        <v>1677.64</v>
      </c>
      <c r="F520" s="8" t="n">
        <f aca="false">SUMIFS('SALES Raw'!$E$6:$E$1634,'SALES Raw'!$J$6:$J$1634,$J520,'SALES Raw'!$K$6:$K$1634,"Y")*$H$4</f>
        <v>0</v>
      </c>
      <c r="G520" s="8" t="n">
        <f aca="false">SUMIFS('SALES Raw'!$F$6:$F$1634,'SALES Raw'!$J$6:$J$1634,$J520,'SALES Raw'!$K$6:$K$1634,"Y")*$H$4</f>
        <v>0</v>
      </c>
      <c r="H520" s="16" t="s">
        <v>40</v>
      </c>
      <c r="I520" s="16"/>
      <c r="J520" s="16" t="s">
        <v>227</v>
      </c>
    </row>
    <row r="521" customFormat="false" ht="15" hidden="false" customHeight="false" outlineLevel="0" collapsed="false">
      <c r="A521" s="16" t="str">
        <f aca="false">IF(ISNUMBER($J521),$J521,"")</f>
        <v/>
      </c>
      <c r="B521" s="16" t="str">
        <f aca="false">IFERROR(INDEX('SALES Raw'!$B$6:$B$1634,MATCH($J521,'SALES Raw'!$J$6:$J$1634,0)),$J521)</f>
        <v>T45C XL</v>
      </c>
      <c r="C521" s="16" t="str">
        <f aca="false">IF(ISNUMBER($J521),IFERROR(INDEX('TRANS'!$C:$C,MATCH($J521,'TRANS'!$B:$B,0)),IFERROR(INDEX('Catalog'!$B:$B,MATCH($J521,'Catalog'!$A:$A,0)),$B521)),$B521)</f>
        <v>T45C XL</v>
      </c>
      <c r="D521" s="8" t="n">
        <f aca="false">SUMIFS('SALES Raw'!$C$6:$C$1634,'SALES Raw'!$J$6:$J$1634,$J521,'SALES Raw'!$K$6:$K$1634,"Y")</f>
        <v>45</v>
      </c>
      <c r="E521" s="8" t="n">
        <f aca="false">SUMIFS('SALES Raw'!$D$6:$D$1634,'SALES Raw'!$J$6:$J$1634,$J521,'SALES Raw'!$K$6:$K$1634,"Y")</f>
        <v>2156.97</v>
      </c>
      <c r="F521" s="8" t="n">
        <f aca="false">SUMIFS('SALES Raw'!$E$6:$E$1634,'SALES Raw'!$J$6:$J$1634,$J521,'SALES Raw'!$K$6:$K$1634,"Y")*$H$4</f>
        <v>0</v>
      </c>
      <c r="G521" s="8" t="n">
        <f aca="false">SUMIFS('SALES Raw'!$F$6:$F$1634,'SALES Raw'!$J$6:$J$1634,$J521,'SALES Raw'!$K$6:$K$1634,"Y")*$H$4</f>
        <v>0</v>
      </c>
      <c r="H521" s="16" t="s">
        <v>40</v>
      </c>
      <c r="I521" s="16"/>
      <c r="J521" s="16" t="s">
        <v>228</v>
      </c>
    </row>
    <row r="522" customFormat="false" ht="15" hidden="false" customHeight="false" outlineLevel="0" collapsed="false">
      <c r="A522" s="16" t="n">
        <f aca="false">IF(ISNUMBER($J522),$J522,"")</f>
        <v>4408272</v>
      </c>
      <c r="B522" s="16" t="str">
        <f aca="false">IFERROR(INDEX('SALES Raw'!$B$6:$B$1634,MATCH($J522,'SALES Raw'!$J$6:$J$1634,0)),$J522)</f>
        <v>70N S</v>
      </c>
      <c r="C522" s="16" t="str">
        <f aca="false">IF(ISNUMBER($J522),IFERROR(INDEX('TRANS'!$C:$C,MATCH($J522,'TRANS'!$B:$B,0)),IFERROR(INDEX('Catalog'!$B:$B,MATCH($J522,'Catalog'!$A:$A,0)),$B522)),$B522)</f>
        <v>70N S חגורת פאבליק</v>
      </c>
      <c r="D522" s="8" t="n">
        <f aca="false">SUMIFS('SALES Raw'!$C$6:$C$1634,'SALES Raw'!$J$6:$J$1634,$J522,'SALES Raw'!$K$6:$K$1634,"Y")</f>
        <v>202</v>
      </c>
      <c r="E522" s="8" t="n">
        <f aca="false">SUMIFS('SALES Raw'!$D$6:$D$1634,'SALES Raw'!$J$6:$J$1634,$J522,'SALES Raw'!$K$6:$K$1634,"Y")</f>
        <v>32720.75</v>
      </c>
      <c r="F522" s="8" t="n">
        <f aca="false">SUMIFS('SALES Raw'!$E$6:$E$1634,'SALES Raw'!$J$6:$J$1634,$J522,'SALES Raw'!$K$6:$K$1634,"Y")*$H$4</f>
        <v>0</v>
      </c>
      <c r="G522" s="8" t="n">
        <f aca="false">SUMIFS('SALES Raw'!$F$6:$F$1634,'SALES Raw'!$J$6:$J$1634,$J522,'SALES Raw'!$K$6:$K$1634,"Y")*$H$4</f>
        <v>0</v>
      </c>
      <c r="H522" s="16" t="s">
        <v>41</v>
      </c>
      <c r="I522" s="16" t="s">
        <v>43</v>
      </c>
      <c r="J522" s="16" t="n">
        <v>4408272</v>
      </c>
    </row>
    <row r="523" customFormat="false" ht="15" hidden="false" customHeight="false" outlineLevel="0" collapsed="false">
      <c r="A523" s="16" t="n">
        <f aca="false">IF(ISNUMBER($J523),$J523,"")</f>
        <v>4408271</v>
      </c>
      <c r="B523" s="16" t="str">
        <f aca="false">IFERROR(INDEX('SALES Raw'!$B$6:$B$1634,MATCH($J523,'SALES Raw'!$J$6:$J$1634,0)),$J523)</f>
        <v>70N XS</v>
      </c>
      <c r="C523" s="16" t="str">
        <f aca="false">IF(ISNUMBER($J523),IFERROR(INDEX('TRANS'!$C:$C,MATCH($J523,'TRANS'!$B:$B,0)),IFERROR(INDEX('Catalog'!$B:$B,MATCH($J523,'Catalog'!$A:$A,0)),$B523)),$B523)</f>
        <v>70N XS חגורת פאבליק</v>
      </c>
      <c r="D523" s="8" t="n">
        <f aca="false">SUMIFS('SALES Raw'!$C$6:$C$1634,'SALES Raw'!$J$6:$J$1634,$J523,'SALES Raw'!$K$6:$K$1634,"Y")</f>
        <v>223</v>
      </c>
      <c r="E523" s="8" t="n">
        <f aca="false">SUMIFS('SALES Raw'!$D$6:$D$1634,'SALES Raw'!$J$6:$J$1634,$J523,'SALES Raw'!$K$6:$K$1634,"Y")</f>
        <v>35853.69</v>
      </c>
      <c r="F523" s="8" t="n">
        <f aca="false">SUMIFS('SALES Raw'!$E$6:$E$1634,'SALES Raw'!$J$6:$J$1634,$J523,'SALES Raw'!$K$6:$K$1634,"Y")*$H$4</f>
        <v>0</v>
      </c>
      <c r="G523" s="8" t="n">
        <f aca="false">SUMIFS('SALES Raw'!$F$6:$F$1634,'SALES Raw'!$J$6:$J$1634,$J523,'SALES Raw'!$K$6:$K$1634,"Y")*$H$4</f>
        <v>0</v>
      </c>
      <c r="H523" s="16" t="s">
        <v>41</v>
      </c>
      <c r="I523" s="16" t="s">
        <v>43</v>
      </c>
      <c r="J523" s="16" t="n">
        <v>4408271</v>
      </c>
    </row>
    <row r="524" customFormat="false" ht="15" hidden="false" customHeight="false" outlineLevel="0" collapsed="false">
      <c r="A524" s="16" t="str">
        <f aca="false">IF(ISNUMBER($J524),$J524,"")</f>
        <v/>
      </c>
      <c r="B524" s="16" t="str">
        <f aca="false">IFERROR(INDEX('SALES Raw'!$B$6:$B$1634,MATCH($J524,'SALES Raw'!$J$6:$J$1634,0)),$J524)</f>
        <v>T45X L</v>
      </c>
      <c r="C524" s="16" t="str">
        <f aca="false">IF(ISNUMBER($J524),IFERROR(INDEX('TRANS'!$C:$C,MATCH($J524,'TRANS'!$B:$B,0)),IFERROR(INDEX('Catalog'!$B:$B,MATCH($J524,'Catalog'!$A:$A,0)),$B524)),$B524)</f>
        <v>T45X L</v>
      </c>
      <c r="D524" s="8" t="n">
        <f aca="false">SUMIFS('SALES Raw'!$C$6:$C$1634,'SALES Raw'!$J$6:$J$1634,$J524,'SALES Raw'!$K$6:$K$1634,"Y")</f>
        <v>2</v>
      </c>
      <c r="E524" s="8" t="n">
        <f aca="false">SUMIFS('SALES Raw'!$D$6:$D$1634,'SALES Raw'!$J$6:$J$1634,$J524,'SALES Raw'!$K$6:$K$1634,"Y")</f>
        <v>92.26</v>
      </c>
      <c r="F524" s="8" t="n">
        <f aca="false">SUMIFS('SALES Raw'!$E$6:$E$1634,'SALES Raw'!$J$6:$J$1634,$J524,'SALES Raw'!$K$6:$K$1634,"Y")*$H$4</f>
        <v>0</v>
      </c>
      <c r="G524" s="8" t="n">
        <f aca="false">SUMIFS('SALES Raw'!$F$6:$F$1634,'SALES Raw'!$J$6:$J$1634,$J524,'SALES Raw'!$K$6:$K$1634,"Y")*$H$4</f>
        <v>0</v>
      </c>
      <c r="H524" s="16" t="s">
        <v>41</v>
      </c>
      <c r="I524" s="16"/>
      <c r="J524" s="16" t="s">
        <v>229</v>
      </c>
    </row>
    <row r="525" customFormat="false" ht="15" hidden="false" customHeight="false" outlineLevel="0" collapsed="false">
      <c r="A525" s="16" t="n">
        <f aca="false">IF(ISNUMBER($J525),$J525,"")</f>
        <v>4413224</v>
      </c>
      <c r="B525" s="16" t="str">
        <f aca="false">IFERROR(INDEX('SALES Raw'!$B$6:$B$1634,MATCH($J525,'SALES Raw'!$J$6:$J$1634,0)),$J525)</f>
        <v>T45X XL</v>
      </c>
      <c r="C525" s="16" t="str">
        <f aca="false">IF(ISNUMBER($J525),IFERROR(INDEX('TRANS'!$C:$C,MATCH($J525,'TRANS'!$B:$B,0)),IFERROR(INDEX('Catalog'!$B:$B,MATCH($J525,'Catalog'!$A:$A,0)),$B525)),$B525)</f>
        <v>T45X XL מגן ברך רגיל</v>
      </c>
      <c r="D525" s="8" t="n">
        <f aca="false">SUMIFS('SALES Raw'!$C$6:$C$1634,'SALES Raw'!$J$6:$J$1634,$J525,'SALES Raw'!$K$6:$K$1634,"Y")</f>
        <v>1</v>
      </c>
      <c r="E525" s="8" t="n">
        <f aca="false">SUMIFS('SALES Raw'!$D$6:$D$1634,'SALES Raw'!$J$6:$J$1634,$J525,'SALES Raw'!$K$6:$K$1634,"Y")</f>
        <v>46.13</v>
      </c>
      <c r="F525" s="8" t="n">
        <f aca="false">SUMIFS('SALES Raw'!$E$6:$E$1634,'SALES Raw'!$J$6:$J$1634,$J525,'SALES Raw'!$K$6:$K$1634,"Y")*$H$4</f>
        <v>0</v>
      </c>
      <c r="G525" s="8" t="n">
        <f aca="false">SUMIFS('SALES Raw'!$F$6:$F$1634,'SALES Raw'!$J$6:$J$1634,$J525,'SALES Raw'!$K$6:$K$1634,"Y")*$H$4</f>
        <v>0</v>
      </c>
      <c r="H525" s="16" t="s">
        <v>41</v>
      </c>
      <c r="I525" s="16"/>
      <c r="J525" s="16" t="n">
        <v>4413224</v>
      </c>
    </row>
    <row r="526" customFormat="false" ht="15" hidden="false" customHeight="false" outlineLevel="0" collapsed="false">
      <c r="A526" s="16" t="n">
        <f aca="false">IF(ISNUMBER($J526),$J526,"")</f>
        <v>4415013</v>
      </c>
      <c r="B526" s="16" t="str">
        <f aca="false">IFERROR(INDEX('SALES Raw'!$B$6:$B$1634,MATCH($J526,'SALES Raw'!$J$6:$J$1634,0)),$J526)</f>
        <v>32 XL</v>
      </c>
      <c r="C526" s="16" t="str">
        <f aca="false">IF(ISNUMBER($J526),IFERROR(INDEX('TRANS'!$C:$C,MATCH($J526,'TRANS'!$B:$B,0)),IFERROR(INDEX('Catalog'!$B:$B,MATCH($J526,'Catalog'!$A:$A,0)),$B526)),$B526)</f>
        <v>32 XL סד קרסול+מוטות אלומיניום</v>
      </c>
      <c r="D526" s="8" t="n">
        <f aca="false">SUMIFS('SALES Raw'!$C$6:$C$1634,'SALES Raw'!$J$6:$J$1634,$J526,'SALES Raw'!$K$6:$K$1634,"Y")</f>
        <v>25</v>
      </c>
      <c r="E526" s="8" t="n">
        <f aca="false">SUMIFS('SALES Raw'!$D$6:$D$1634,'SALES Raw'!$J$6:$J$1634,$J526,'SALES Raw'!$K$6:$K$1634,"Y")</f>
        <v>1802.01</v>
      </c>
      <c r="F526" s="8" t="n">
        <f aca="false">SUMIFS('SALES Raw'!$E$6:$E$1634,'SALES Raw'!$J$6:$J$1634,$J526,'SALES Raw'!$K$6:$K$1634,"Y")*$H$4</f>
        <v>0</v>
      </c>
      <c r="G526" s="8" t="n">
        <f aca="false">SUMIFS('SALES Raw'!$F$6:$F$1634,'SALES Raw'!$J$6:$J$1634,$J526,'SALES Raw'!$K$6:$K$1634,"Y")*$H$4</f>
        <v>0</v>
      </c>
      <c r="H526" s="16" t="s">
        <v>42</v>
      </c>
      <c r="I526" s="16"/>
      <c r="J526" s="16" t="n">
        <v>4415013</v>
      </c>
    </row>
    <row r="527" customFormat="false" ht="15" hidden="false" customHeight="false" outlineLevel="0" collapsed="false">
      <c r="A527" s="16" t="str">
        <f aca="false">IF(ISNUMBER($J527),$J527,"")</f>
        <v/>
      </c>
      <c r="B527" s="16" t="str">
        <f aca="false">IFERROR(INDEX('SALES Raw'!$B$6:$B$1634,MATCH($J527,'SALES Raw'!$J$6:$J$1634,0)),$J527)</f>
        <v>32 XXL</v>
      </c>
      <c r="C527" s="16" t="str">
        <f aca="false">IF(ISNUMBER($J527),IFERROR(INDEX('TRANS'!$C:$C,MATCH($J527,'TRANS'!$B:$B,0)),IFERROR(INDEX('Catalog'!$B:$B,MATCH($J527,'Catalog'!$A:$A,0)),$B527)),$B527)</f>
        <v>32 XXL</v>
      </c>
      <c r="D527" s="8" t="n">
        <f aca="false">SUMIFS('SALES Raw'!$C$6:$C$1634,'SALES Raw'!$J$6:$J$1634,$J527,'SALES Raw'!$K$6:$K$1634,"Y")</f>
        <v>22</v>
      </c>
      <c r="E527" s="8" t="n">
        <f aca="false">SUMIFS('SALES Raw'!$D$6:$D$1634,'SALES Raw'!$J$6:$J$1634,$J527,'SALES Raw'!$K$6:$K$1634,"Y")</f>
        <v>1683.08</v>
      </c>
      <c r="F527" s="8" t="n">
        <f aca="false">SUMIFS('SALES Raw'!$E$6:$E$1634,'SALES Raw'!$J$6:$J$1634,$J527,'SALES Raw'!$K$6:$K$1634,"Y")*$H$4</f>
        <v>0</v>
      </c>
      <c r="G527" s="8" t="n">
        <f aca="false">SUMIFS('SALES Raw'!$F$6:$F$1634,'SALES Raw'!$J$6:$J$1634,$J527,'SALES Raw'!$K$6:$K$1634,"Y")*$H$4</f>
        <v>0</v>
      </c>
      <c r="H527" s="16" t="s">
        <v>42</v>
      </c>
      <c r="I527" s="16"/>
      <c r="J527" s="16" t="s">
        <v>230</v>
      </c>
    </row>
    <row r="528" customFormat="false" ht="15" hidden="false" customHeight="false" outlineLevel="0" collapsed="false">
      <c r="A528" s="16" t="str">
        <f aca="false">IF(ISNUMBER($J528),$J528,"")</f>
        <v/>
      </c>
      <c r="B528" s="16" t="str">
        <f aca="false">IFERROR(INDEX('SALES Raw'!$B$6:$B$1634,MATCH($J528,'SALES Raw'!$J$6:$J$1634,0)),$J528)</f>
        <v>59DB L</v>
      </c>
      <c r="C528" s="16" t="str">
        <f aca="false">IF(ISNUMBER($J528),IFERROR(INDEX('TRANS'!$C:$C,MATCH($J528,'TRANS'!$B:$B,0)),IFERROR(INDEX('Catalog'!$B:$B,MATCH($J528,'Catalog'!$A:$A,0)),$B528)),$B528)</f>
        <v>59DB L</v>
      </c>
      <c r="D528" s="8" t="n">
        <f aca="false">SUMIFS('SALES Raw'!$C$6:$C$1634,'SALES Raw'!$J$6:$J$1634,$J528,'SALES Raw'!$K$6:$K$1634,"Y")</f>
        <v>5</v>
      </c>
      <c r="E528" s="8" t="n">
        <f aca="false">SUMIFS('SALES Raw'!$D$6:$D$1634,'SALES Raw'!$J$6:$J$1634,$J528,'SALES Raw'!$K$6:$K$1634,"Y")</f>
        <v>445.48</v>
      </c>
      <c r="F528" s="8" t="n">
        <f aca="false">SUMIFS('SALES Raw'!$E$6:$E$1634,'SALES Raw'!$J$6:$J$1634,$J528,'SALES Raw'!$K$6:$K$1634,"Y")*$H$4</f>
        <v>0</v>
      </c>
      <c r="G528" s="8" t="n">
        <f aca="false">SUMIFS('SALES Raw'!$F$6:$F$1634,'SALES Raw'!$J$6:$J$1634,$J528,'SALES Raw'!$K$6:$K$1634,"Y")*$H$4</f>
        <v>0</v>
      </c>
      <c r="H528" s="16" t="s">
        <v>42</v>
      </c>
      <c r="I528" s="16"/>
      <c r="J528" s="16" t="s">
        <v>231</v>
      </c>
    </row>
    <row r="529" customFormat="false" ht="15" hidden="false" customHeight="false" outlineLevel="0" collapsed="false">
      <c r="A529" s="16" t="str">
        <f aca="false">IF(ISNUMBER($J529),$J529,"")</f>
        <v/>
      </c>
      <c r="B529" s="16" t="str">
        <f aca="false">IFERROR(INDEX('SALES Raw'!$B$6:$B$1634,MATCH($J529,'SALES Raw'!$J$6:$J$1634,0)),$J529)</f>
        <v>59DB M</v>
      </c>
      <c r="C529" s="16" t="str">
        <f aca="false">IF(ISNUMBER($J529),IFERROR(INDEX('TRANS'!$C:$C,MATCH($J529,'TRANS'!$B:$B,0)),IFERROR(INDEX('Catalog'!$B:$B,MATCH($J529,'Catalog'!$A:$A,0)),$B529)),$B529)</f>
        <v>59DB M</v>
      </c>
      <c r="D529" s="8" t="n">
        <f aca="false">SUMIFS('SALES Raw'!$C$6:$C$1634,'SALES Raw'!$J$6:$J$1634,$J529,'SALES Raw'!$K$6:$K$1634,"Y")</f>
        <v>5</v>
      </c>
      <c r="E529" s="8" t="n">
        <f aca="false">SUMIFS('SALES Raw'!$D$6:$D$1634,'SALES Raw'!$J$6:$J$1634,$J529,'SALES Raw'!$K$6:$K$1634,"Y")</f>
        <v>445.48</v>
      </c>
      <c r="F529" s="8" t="n">
        <f aca="false">SUMIFS('SALES Raw'!$E$6:$E$1634,'SALES Raw'!$J$6:$J$1634,$J529,'SALES Raw'!$K$6:$K$1634,"Y")*$H$4</f>
        <v>0</v>
      </c>
      <c r="G529" s="8" t="n">
        <f aca="false">SUMIFS('SALES Raw'!$F$6:$F$1634,'SALES Raw'!$J$6:$J$1634,$J529,'SALES Raw'!$K$6:$K$1634,"Y")*$H$4</f>
        <v>0</v>
      </c>
      <c r="H529" s="16" t="s">
        <v>42</v>
      </c>
      <c r="I529" s="16"/>
      <c r="J529" s="16" t="s">
        <v>232</v>
      </c>
    </row>
    <row r="530" customFormat="false" ht="15" hidden="false" customHeight="false" outlineLevel="0" collapsed="false">
      <c r="A530" s="16" t="str">
        <f aca="false">IF(ISNUMBER($J530),$J530,"")</f>
        <v/>
      </c>
      <c r="B530" s="16" t="str">
        <f aca="false">IFERROR(INDEX('SALES Raw'!$B$6:$B$1634,MATCH($J530,'SALES Raw'!$J$6:$J$1634,0)),$J530)</f>
        <v>59DB S</v>
      </c>
      <c r="C530" s="16" t="str">
        <f aca="false">IF(ISNUMBER($J530),IFERROR(INDEX('TRANS'!$C:$C,MATCH($J530,'TRANS'!$B:$B,0)),IFERROR(INDEX('Catalog'!$B:$B,MATCH($J530,'Catalog'!$A:$A,0)),$B530)),$B530)</f>
        <v>59DB S</v>
      </c>
      <c r="D530" s="8" t="n">
        <f aca="false">SUMIFS('SALES Raw'!$C$6:$C$1634,'SALES Raw'!$J$6:$J$1634,$J530,'SALES Raw'!$K$6:$K$1634,"Y")</f>
        <v>5</v>
      </c>
      <c r="E530" s="8" t="n">
        <f aca="false">SUMIFS('SALES Raw'!$D$6:$D$1634,'SALES Raw'!$J$6:$J$1634,$J530,'SALES Raw'!$K$6:$K$1634,"Y")</f>
        <v>445.48</v>
      </c>
      <c r="F530" s="8" t="n">
        <f aca="false">SUMIFS('SALES Raw'!$E$6:$E$1634,'SALES Raw'!$J$6:$J$1634,$J530,'SALES Raw'!$K$6:$K$1634,"Y")*$H$4</f>
        <v>0</v>
      </c>
      <c r="G530" s="8" t="n">
        <f aca="false">SUMIFS('SALES Raw'!$F$6:$F$1634,'SALES Raw'!$J$6:$J$1634,$J530,'SALES Raw'!$K$6:$K$1634,"Y")*$H$4</f>
        <v>0</v>
      </c>
      <c r="H530" s="16" t="s">
        <v>42</v>
      </c>
      <c r="I530" s="16"/>
      <c r="J530" s="16" t="s">
        <v>233</v>
      </c>
    </row>
    <row r="531" customFormat="false" ht="15" hidden="false" customHeight="false" outlineLevel="0" collapsed="false">
      <c r="A531" s="16" t="str">
        <f aca="false">IF(ISNUMBER($J531),$J531,"")</f>
        <v/>
      </c>
      <c r="B531" s="16" t="str">
        <f aca="false">IFERROR(INDEX('SALES Raw'!$B$6:$B$1634,MATCH($J531,'SALES Raw'!$J$6:$J$1634,0)),$J531)</f>
        <v>59DB XL</v>
      </c>
      <c r="C531" s="16" t="str">
        <f aca="false">IF(ISNUMBER($J531),IFERROR(INDEX('TRANS'!$C:$C,MATCH($J531,'TRANS'!$B:$B,0)),IFERROR(INDEX('Catalog'!$B:$B,MATCH($J531,'Catalog'!$A:$A,0)),$B531)),$B531)</f>
        <v>59DB XL</v>
      </c>
      <c r="D531" s="8" t="n">
        <f aca="false">SUMIFS('SALES Raw'!$C$6:$C$1634,'SALES Raw'!$J$6:$J$1634,$J531,'SALES Raw'!$K$6:$K$1634,"Y")</f>
        <v>5</v>
      </c>
      <c r="E531" s="8" t="n">
        <f aca="false">SUMIFS('SALES Raw'!$D$6:$D$1634,'SALES Raw'!$J$6:$J$1634,$J531,'SALES Raw'!$K$6:$K$1634,"Y")</f>
        <v>445.48</v>
      </c>
      <c r="F531" s="8" t="n">
        <f aca="false">SUMIFS('SALES Raw'!$E$6:$E$1634,'SALES Raw'!$J$6:$J$1634,$J531,'SALES Raw'!$K$6:$K$1634,"Y")*$H$4</f>
        <v>0</v>
      </c>
      <c r="G531" s="8" t="n">
        <f aca="false">SUMIFS('SALES Raw'!$F$6:$F$1634,'SALES Raw'!$J$6:$J$1634,$J531,'SALES Raw'!$K$6:$K$1634,"Y")*$H$4</f>
        <v>0</v>
      </c>
      <c r="H531" s="16" t="s">
        <v>42</v>
      </c>
      <c r="I531" s="16"/>
      <c r="J531" s="16" t="s">
        <v>234</v>
      </c>
    </row>
    <row r="532" customFormat="false" ht="15" hidden="false" customHeight="false" outlineLevel="0" collapsed="false">
      <c r="A532" s="16" t="str">
        <f aca="false">IF(ISNUMBER($J532),$J532,"")</f>
        <v/>
      </c>
      <c r="B532" s="16" t="str">
        <f aca="false">IFERROR(INDEX('SALES Raw'!$B$6:$B$1634,MATCH($J532,'SALES Raw'!$J$6:$J$1634,0)),$J532)</f>
        <v>59DB XXL</v>
      </c>
      <c r="C532" s="16" t="str">
        <f aca="false">IF(ISNUMBER($J532),IFERROR(INDEX('TRANS'!$C:$C,MATCH($J532,'TRANS'!$B:$B,0)),IFERROR(INDEX('Catalog'!$B:$B,MATCH($J532,'Catalog'!$A:$A,0)),$B532)),$B532)</f>
        <v>59DB XXL</v>
      </c>
      <c r="D532" s="8" t="n">
        <f aca="false">SUMIFS('SALES Raw'!$C$6:$C$1634,'SALES Raw'!$J$6:$J$1634,$J532,'SALES Raw'!$K$6:$K$1634,"Y")</f>
        <v>5</v>
      </c>
      <c r="E532" s="8" t="n">
        <f aca="false">SUMIFS('SALES Raw'!$D$6:$D$1634,'SALES Raw'!$J$6:$J$1634,$J532,'SALES Raw'!$K$6:$K$1634,"Y")</f>
        <v>445.48</v>
      </c>
      <c r="F532" s="8" t="n">
        <f aca="false">SUMIFS('SALES Raw'!$E$6:$E$1634,'SALES Raw'!$J$6:$J$1634,$J532,'SALES Raw'!$K$6:$K$1634,"Y")*$H$4</f>
        <v>0</v>
      </c>
      <c r="G532" s="8" t="n">
        <f aca="false">SUMIFS('SALES Raw'!$F$6:$F$1634,'SALES Raw'!$J$6:$J$1634,$J532,'SALES Raw'!$K$6:$K$1634,"Y")*$H$4</f>
        <v>0</v>
      </c>
      <c r="H532" s="16" t="s">
        <v>42</v>
      </c>
      <c r="I532" s="16"/>
      <c r="J532" s="16" t="s">
        <v>235</v>
      </c>
    </row>
    <row r="533" customFormat="false" ht="15" hidden="false" customHeight="false" outlineLevel="0" collapsed="false">
      <c r="A533" s="16" t="str">
        <f aca="false">IF(ISNUMBER($J533),$J533,"")</f>
        <v/>
      </c>
      <c r="B533" s="16" t="str">
        <f aca="false">IFERROR(INDEX('SALES Raw'!$B$6:$B$1634,MATCH($J533,'SALES Raw'!$J$6:$J$1634,0)),$J533)</f>
        <v>59LB S</v>
      </c>
      <c r="C533" s="16" t="str">
        <f aca="false">IF(ISNUMBER($J533),IFERROR(INDEX('TRANS'!$C:$C,MATCH($J533,'TRANS'!$B:$B,0)),IFERROR(INDEX('Catalog'!$B:$B,MATCH($J533,'Catalog'!$A:$A,0)),$B533)),$B533)</f>
        <v>59LB S</v>
      </c>
      <c r="D533" s="8" t="n">
        <f aca="false">SUMIFS('SALES Raw'!$C$6:$C$1634,'SALES Raw'!$J$6:$J$1634,$J533,'SALES Raw'!$K$6:$K$1634,"Y")</f>
        <v>5</v>
      </c>
      <c r="E533" s="8" t="n">
        <f aca="false">SUMIFS('SALES Raw'!$D$6:$D$1634,'SALES Raw'!$J$6:$J$1634,$J533,'SALES Raw'!$K$6:$K$1634,"Y")</f>
        <v>405.71</v>
      </c>
      <c r="F533" s="8" t="n">
        <f aca="false">SUMIFS('SALES Raw'!$E$6:$E$1634,'SALES Raw'!$J$6:$J$1634,$J533,'SALES Raw'!$K$6:$K$1634,"Y")*$H$4</f>
        <v>0</v>
      </c>
      <c r="G533" s="8" t="n">
        <f aca="false">SUMIFS('SALES Raw'!$F$6:$F$1634,'SALES Raw'!$J$6:$J$1634,$J533,'SALES Raw'!$K$6:$K$1634,"Y")*$H$4</f>
        <v>0</v>
      </c>
      <c r="H533" s="16" t="s">
        <v>42</v>
      </c>
      <c r="I533" s="16"/>
      <c r="J533" s="16" t="s">
        <v>236</v>
      </c>
    </row>
    <row r="534" customFormat="false" ht="15" hidden="false" customHeight="false" outlineLevel="0" collapsed="false">
      <c r="A534" s="16" t="str">
        <f aca="false">IF(ISNUMBER($J534),$J534,"")</f>
        <v/>
      </c>
      <c r="B534" s="16" t="str">
        <f aca="false">IFERROR(INDEX('SALES Raw'!$B$6:$B$1634,MATCH($J534,'SALES Raw'!$J$6:$J$1634,0)),$J534)</f>
        <v>59LB XL</v>
      </c>
      <c r="C534" s="16" t="str">
        <f aca="false">IF(ISNUMBER($J534),IFERROR(INDEX('TRANS'!$C:$C,MATCH($J534,'TRANS'!$B:$B,0)),IFERROR(INDEX('Catalog'!$B:$B,MATCH($J534,'Catalog'!$A:$A,0)),$B534)),$B534)</f>
        <v>59LB XL</v>
      </c>
      <c r="D534" s="8" t="n">
        <f aca="false">SUMIFS('SALES Raw'!$C$6:$C$1634,'SALES Raw'!$J$6:$J$1634,$J534,'SALES Raw'!$K$6:$K$1634,"Y")</f>
        <v>5</v>
      </c>
      <c r="E534" s="8" t="n">
        <f aca="false">SUMIFS('SALES Raw'!$D$6:$D$1634,'SALES Raw'!$J$6:$J$1634,$J534,'SALES Raw'!$K$6:$K$1634,"Y")</f>
        <v>405.71</v>
      </c>
      <c r="F534" s="8" t="n">
        <f aca="false">SUMIFS('SALES Raw'!$E$6:$E$1634,'SALES Raw'!$J$6:$J$1634,$J534,'SALES Raw'!$K$6:$K$1634,"Y")*$H$4</f>
        <v>0</v>
      </c>
      <c r="G534" s="8" t="n">
        <f aca="false">SUMIFS('SALES Raw'!$F$6:$F$1634,'SALES Raw'!$J$6:$J$1634,$J534,'SALES Raw'!$K$6:$K$1634,"Y")*$H$4</f>
        <v>0</v>
      </c>
      <c r="H534" s="16" t="s">
        <v>42</v>
      </c>
      <c r="I534" s="16"/>
      <c r="J534" s="16" t="s">
        <v>237</v>
      </c>
    </row>
    <row r="535" customFormat="false" ht="15" hidden="false" customHeight="false" outlineLevel="0" collapsed="false">
      <c r="A535" s="16" t="str">
        <f aca="false">IF(ISNUMBER($J535),$J535,"")</f>
        <v/>
      </c>
      <c r="B535" s="16" t="str">
        <f aca="false">IFERROR(INDEX('SALES Raw'!$B$6:$B$1634,MATCH($J535,'SALES Raw'!$J$6:$J$1634,0)),$J535)</f>
        <v>59LB XXL</v>
      </c>
      <c r="C535" s="16" t="str">
        <f aca="false">IF(ISNUMBER($J535),IFERROR(INDEX('TRANS'!$C:$C,MATCH($J535,'TRANS'!$B:$B,0)),IFERROR(INDEX('Catalog'!$B:$B,MATCH($J535,'Catalog'!$A:$A,0)),$B535)),$B535)</f>
        <v>59LB XXL</v>
      </c>
      <c r="D535" s="8" t="n">
        <f aca="false">SUMIFS('SALES Raw'!$C$6:$C$1634,'SALES Raw'!$J$6:$J$1634,$J535,'SALES Raw'!$K$6:$K$1634,"Y")</f>
        <v>5</v>
      </c>
      <c r="E535" s="8" t="n">
        <f aca="false">SUMIFS('SALES Raw'!$D$6:$D$1634,'SALES Raw'!$J$6:$J$1634,$J535,'SALES Raw'!$K$6:$K$1634,"Y")</f>
        <v>405.71</v>
      </c>
      <c r="F535" s="8" t="n">
        <f aca="false">SUMIFS('SALES Raw'!$E$6:$E$1634,'SALES Raw'!$J$6:$J$1634,$J535,'SALES Raw'!$K$6:$K$1634,"Y")*$H$4</f>
        <v>0</v>
      </c>
      <c r="G535" s="8" t="n">
        <f aca="false">SUMIFS('SALES Raw'!$F$6:$F$1634,'SALES Raw'!$J$6:$J$1634,$J535,'SALES Raw'!$K$6:$K$1634,"Y")*$H$4</f>
        <v>0</v>
      </c>
      <c r="H535" s="16" t="s">
        <v>42</v>
      </c>
      <c r="I535" s="16"/>
      <c r="J535" s="16" t="s">
        <v>238</v>
      </c>
    </row>
    <row r="536" customFormat="false" ht="15" hidden="false" customHeight="false" outlineLevel="0" collapsed="false">
      <c r="A536" s="16" t="str">
        <f aca="false">IF(ISNUMBER($J536),$J536,"")</f>
        <v/>
      </c>
      <c r="B536" s="16" t="str">
        <f aca="false">IFERROR(INDEX('SALES Raw'!$B$6:$B$1634,MATCH($J536,'SALES Raw'!$J$6:$J$1634,0)),$J536)</f>
        <v>59RB S</v>
      </c>
      <c r="C536" s="16" t="str">
        <f aca="false">IF(ISNUMBER($J536),IFERROR(INDEX('TRANS'!$C:$C,MATCH($J536,'TRANS'!$B:$B,0)),IFERROR(INDEX('Catalog'!$B:$B,MATCH($J536,'Catalog'!$A:$A,0)),$B536)),$B536)</f>
        <v>59RB S</v>
      </c>
      <c r="D536" s="8" t="n">
        <f aca="false">SUMIFS('SALES Raw'!$C$6:$C$1634,'SALES Raw'!$J$6:$J$1634,$J536,'SALES Raw'!$K$6:$K$1634,"Y")</f>
        <v>5</v>
      </c>
      <c r="E536" s="8" t="n">
        <f aca="false">SUMIFS('SALES Raw'!$D$6:$D$1634,'SALES Raw'!$J$6:$J$1634,$J536,'SALES Raw'!$K$6:$K$1634,"Y")</f>
        <v>405.71</v>
      </c>
      <c r="F536" s="8" t="n">
        <f aca="false">SUMIFS('SALES Raw'!$E$6:$E$1634,'SALES Raw'!$J$6:$J$1634,$J536,'SALES Raw'!$K$6:$K$1634,"Y")*$H$4</f>
        <v>0</v>
      </c>
      <c r="G536" s="8" t="n">
        <f aca="false">SUMIFS('SALES Raw'!$F$6:$F$1634,'SALES Raw'!$J$6:$J$1634,$J536,'SALES Raw'!$K$6:$K$1634,"Y")*$H$4</f>
        <v>0</v>
      </c>
      <c r="H536" s="16" t="s">
        <v>42</v>
      </c>
      <c r="I536" s="16"/>
      <c r="J536" s="16" t="s">
        <v>239</v>
      </c>
    </row>
    <row r="537" customFormat="false" ht="15" hidden="false" customHeight="false" outlineLevel="0" collapsed="false">
      <c r="A537" s="16" t="str">
        <f aca="false">IF(ISNUMBER($J537),$J537,"")</f>
        <v/>
      </c>
      <c r="B537" s="16" t="str">
        <f aca="false">IFERROR(INDEX('SALES Raw'!$B$6:$B$1634,MATCH($J537,'SALES Raw'!$J$6:$J$1634,0)),$J537)</f>
        <v>59RB XL</v>
      </c>
      <c r="C537" s="16" t="str">
        <f aca="false">IF(ISNUMBER($J537),IFERROR(INDEX('TRANS'!$C:$C,MATCH($J537,'TRANS'!$B:$B,0)),IFERROR(INDEX('Catalog'!$B:$B,MATCH($J537,'Catalog'!$A:$A,0)),$B537)),$B537)</f>
        <v>59RB XL</v>
      </c>
      <c r="D537" s="8" t="n">
        <f aca="false">SUMIFS('SALES Raw'!$C$6:$C$1634,'SALES Raw'!$J$6:$J$1634,$J537,'SALES Raw'!$K$6:$K$1634,"Y")</f>
        <v>5</v>
      </c>
      <c r="E537" s="8" t="n">
        <f aca="false">SUMIFS('SALES Raw'!$D$6:$D$1634,'SALES Raw'!$J$6:$J$1634,$J537,'SALES Raw'!$K$6:$K$1634,"Y")</f>
        <v>405.71</v>
      </c>
      <c r="F537" s="8" t="n">
        <f aca="false">SUMIFS('SALES Raw'!$E$6:$E$1634,'SALES Raw'!$J$6:$J$1634,$J537,'SALES Raw'!$K$6:$K$1634,"Y")*$H$4</f>
        <v>0</v>
      </c>
      <c r="G537" s="8" t="n">
        <f aca="false">SUMIFS('SALES Raw'!$F$6:$F$1634,'SALES Raw'!$J$6:$J$1634,$J537,'SALES Raw'!$K$6:$K$1634,"Y")*$H$4</f>
        <v>0</v>
      </c>
      <c r="H537" s="16" t="s">
        <v>42</v>
      </c>
      <c r="I537" s="16"/>
      <c r="J537" s="16" t="s">
        <v>240</v>
      </c>
    </row>
    <row r="538" customFormat="false" ht="15" hidden="false" customHeight="false" outlineLevel="0" collapsed="false">
      <c r="A538" s="16" t="str">
        <f aca="false">IF(ISNUMBER($J538),$J538,"")</f>
        <v/>
      </c>
      <c r="B538" s="16" t="str">
        <f aca="false">IFERROR(INDEX('SALES Raw'!$B$6:$B$1634,MATCH($J538,'SALES Raw'!$J$6:$J$1634,0)),$J538)</f>
        <v>59RB XXL</v>
      </c>
      <c r="C538" s="16" t="str">
        <f aca="false">IF(ISNUMBER($J538),IFERROR(INDEX('TRANS'!$C:$C,MATCH($J538,'TRANS'!$B:$B,0)),IFERROR(INDEX('Catalog'!$B:$B,MATCH($J538,'Catalog'!$A:$A,0)),$B538)),$B538)</f>
        <v>59RB XXL</v>
      </c>
      <c r="D538" s="8" t="n">
        <f aca="false">SUMIFS('SALES Raw'!$C$6:$C$1634,'SALES Raw'!$J$6:$J$1634,$J538,'SALES Raw'!$K$6:$K$1634,"Y")</f>
        <v>5</v>
      </c>
      <c r="E538" s="8" t="n">
        <f aca="false">SUMIFS('SALES Raw'!$D$6:$D$1634,'SALES Raw'!$J$6:$J$1634,$J538,'SALES Raw'!$K$6:$K$1634,"Y")</f>
        <v>405.71</v>
      </c>
      <c r="F538" s="8" t="n">
        <f aca="false">SUMIFS('SALES Raw'!$E$6:$E$1634,'SALES Raw'!$J$6:$J$1634,$J538,'SALES Raw'!$K$6:$K$1634,"Y")*$H$4</f>
        <v>0</v>
      </c>
      <c r="G538" s="8" t="n">
        <f aca="false">SUMIFS('SALES Raw'!$F$6:$F$1634,'SALES Raw'!$J$6:$J$1634,$J538,'SALES Raw'!$K$6:$K$1634,"Y")*$H$4</f>
        <v>0</v>
      </c>
      <c r="H538" s="16" t="s">
        <v>42</v>
      </c>
      <c r="I538" s="16"/>
      <c r="J538" s="16" t="s">
        <v>241</v>
      </c>
    </row>
    <row r="539" customFormat="false" ht="15" hidden="false" customHeight="false" outlineLevel="0" collapsed="false">
      <c r="A539" s="16" t="n">
        <f aca="false">IF(ISNUMBER($J539),$J539,"")</f>
        <v>4413129</v>
      </c>
      <c r="B539" s="16" t="str">
        <f aca="false">IFERROR(INDEX('SALES Raw'!$B$6:$B$1634,MATCH($J539,'SALES Raw'!$J$6:$J$1634,0)),$J539)</f>
        <v>75 XL</v>
      </c>
      <c r="C539" s="16" t="str">
        <f aca="false">IF(ISNUMBER($J539),IFERROR(INDEX('TRANS'!$C:$C,MATCH($J539,'TRANS'!$B:$B,0)),IFERROR(INDEX('Catalog'!$B:$B,MATCH($J539,'Catalog'!$A:$A,0)),$B539)),$B539)</f>
        <v>75 XLמיישר כתף יציב יישור ג.צר</v>
      </c>
      <c r="D539" s="8" t="n">
        <f aca="false">SUMIFS('SALES Raw'!$C$6:$C$1634,'SALES Raw'!$J$6:$J$1634,$J539,'SALES Raw'!$K$6:$K$1634,"Y")</f>
        <v>6</v>
      </c>
      <c r="E539" s="8" t="n">
        <f aca="false">SUMIFS('SALES Raw'!$D$6:$D$1634,'SALES Raw'!$J$6:$J$1634,$J539,'SALES Raw'!$K$6:$K$1634,"Y")</f>
        <v>412.53</v>
      </c>
      <c r="F539" s="8" t="n">
        <f aca="false">SUMIFS('SALES Raw'!$E$6:$E$1634,'SALES Raw'!$J$6:$J$1634,$J539,'SALES Raw'!$K$6:$K$1634,"Y")*$H$4</f>
        <v>0</v>
      </c>
      <c r="G539" s="8" t="n">
        <f aca="false">SUMIFS('SALES Raw'!$F$6:$F$1634,'SALES Raw'!$J$6:$J$1634,$J539,'SALES Raw'!$K$6:$K$1634,"Y")*$H$4</f>
        <v>0</v>
      </c>
      <c r="H539" s="16" t="s">
        <v>42</v>
      </c>
      <c r="I539" s="16"/>
      <c r="J539" s="16" t="n">
        <v>4413129</v>
      </c>
    </row>
    <row r="540" customFormat="false" ht="15" hidden="false" customHeight="false" outlineLevel="0" collapsed="false">
      <c r="A540" s="16" t="n">
        <f aca="false">IF(ISNUMBER($J540),$J540,"")</f>
        <v>4413330</v>
      </c>
      <c r="B540" s="16" t="str">
        <f aca="false">IFERROR(INDEX('SALES Raw'!$B$6:$B$1634,MATCH($J540,'SALES Raw'!$J$6:$J$1634,0)),$J540)</f>
        <v>AC49 0</v>
      </c>
      <c r="C540" s="16" t="str">
        <f aca="false">IF(ISNUMBER($J540),IFERROR(INDEX('TRANS'!$C:$C,MATCH($J540,'TRANS'!$B:$B,0)),IFERROR(INDEX('Catalog'!$B:$B,MATCH($J540,'Catalog'!$A:$A,0)),$B540)),$B540)</f>
        <v>AC49 מגן ירך</v>
      </c>
      <c r="D540" s="8" t="n">
        <f aca="false">SUMIFS('SALES Raw'!$C$6:$C$1634,'SALES Raw'!$J$6:$J$1634,$J540,'SALES Raw'!$K$6:$K$1634,"Y")</f>
        <v>12</v>
      </c>
      <c r="E540" s="8" t="n">
        <f aca="false">SUMIFS('SALES Raw'!$D$6:$D$1634,'SALES Raw'!$J$6:$J$1634,$J540,'SALES Raw'!$K$6:$K$1634,"Y")</f>
        <v>391.77</v>
      </c>
      <c r="F540" s="8" t="n">
        <f aca="false">SUMIFS('SALES Raw'!$E$6:$E$1634,'SALES Raw'!$J$6:$J$1634,$J540,'SALES Raw'!$K$6:$K$1634,"Y")*$H$4</f>
        <v>0</v>
      </c>
      <c r="G540" s="8" t="n">
        <f aca="false">SUMIFS('SALES Raw'!$F$6:$F$1634,'SALES Raw'!$J$6:$J$1634,$J540,'SALES Raw'!$K$6:$K$1634,"Y")*$H$4</f>
        <v>0</v>
      </c>
      <c r="H540" s="16" t="s">
        <v>42</v>
      </c>
      <c r="I540" s="16"/>
      <c r="J540" s="16" t="n">
        <v>4413330</v>
      </c>
    </row>
    <row r="541" customFormat="false" ht="15" hidden="false" customHeight="false" outlineLevel="0" collapsed="false">
      <c r="A541" s="16" t="str">
        <f aca="false">IF(ISNUMBER($J541),$J541,"")</f>
        <v/>
      </c>
      <c r="B541" s="16" t="str">
        <f aca="false">IFERROR(INDEX('SALES Raw'!$B$6:$B$1634,MATCH($J541,'SALES Raw'!$J$6:$J$1634,0)),$J541)</f>
        <v>ST10 0</v>
      </c>
      <c r="C541" s="16" t="str">
        <f aca="false">IF(ISNUMBER($J541),IFERROR(INDEX('TRANS'!$C:$C,MATCH($J541,'TRANS'!$B:$B,0)),IFERROR(INDEX('Catalog'!$B:$B,MATCH($J541,'Catalog'!$A:$A,0)),$B541)),$B541)</f>
        <v>ST10 0</v>
      </c>
      <c r="D541" s="8" t="n">
        <f aca="false">SUMIFS('SALES Raw'!$C$6:$C$1634,'SALES Raw'!$J$6:$J$1634,$J541,'SALES Raw'!$K$6:$K$1634,"Y")</f>
        <v>30</v>
      </c>
      <c r="E541" s="8" t="n">
        <f aca="false">SUMIFS('SALES Raw'!$D$6:$D$1634,'SALES Raw'!$J$6:$J$1634,$J541,'SALES Raw'!$K$6:$K$1634,"Y")</f>
        <v>1557.91</v>
      </c>
      <c r="F541" s="8" t="n">
        <f aca="false">SUMIFS('SALES Raw'!$E$6:$E$1634,'SALES Raw'!$J$6:$J$1634,$J541,'SALES Raw'!$K$6:$K$1634,"Y")*$H$4</f>
        <v>0</v>
      </c>
      <c r="G541" s="8" t="n">
        <f aca="false">SUMIFS('SALES Raw'!$F$6:$F$1634,'SALES Raw'!$J$6:$J$1634,$J541,'SALES Raw'!$K$6:$K$1634,"Y")*$H$4</f>
        <v>0</v>
      </c>
      <c r="H541" s="16" t="s">
        <v>42</v>
      </c>
      <c r="I541" s="16"/>
      <c r="J541" s="16" t="s">
        <v>242</v>
      </c>
    </row>
    <row r="542" customFormat="false" ht="15" hidden="false" customHeight="false" outlineLevel="0" collapsed="false">
      <c r="A542" s="16" t="str">
        <f aca="false">IF(ISNUMBER($J542),$J542,"")</f>
        <v/>
      </c>
      <c r="B542" s="16" t="str">
        <f aca="false">IFERROR(INDEX('SALES Raw'!$B$6:$B$1634,MATCH($J542,'SALES Raw'!$J$6:$J$1634,0)),$J542)</f>
        <v>T402 L</v>
      </c>
      <c r="C542" s="16" t="str">
        <f aca="false">IF(ISNUMBER($J542),IFERROR(INDEX('TRANS'!$C:$C,MATCH($J542,'TRANS'!$B:$B,0)),IFERROR(INDEX('Catalog'!$B:$B,MATCH($J542,'Catalog'!$A:$A,0)),$B542)),$B542)</f>
        <v>T402 L</v>
      </c>
      <c r="D542" s="8" t="n">
        <f aca="false">SUMIFS('SALES Raw'!$C$6:$C$1634,'SALES Raw'!$J$6:$J$1634,$J542,'SALES Raw'!$K$6:$K$1634,"Y")</f>
        <v>5</v>
      </c>
      <c r="E542" s="8" t="n">
        <f aca="false">SUMIFS('SALES Raw'!$D$6:$D$1634,'SALES Raw'!$J$6:$J$1634,$J542,'SALES Raw'!$K$6:$K$1634,"Y")</f>
        <v>218.76</v>
      </c>
      <c r="F542" s="8" t="n">
        <f aca="false">SUMIFS('SALES Raw'!$E$6:$E$1634,'SALES Raw'!$J$6:$J$1634,$J542,'SALES Raw'!$K$6:$K$1634,"Y")*$H$4</f>
        <v>0</v>
      </c>
      <c r="G542" s="8" t="n">
        <f aca="false">SUMIFS('SALES Raw'!$F$6:$F$1634,'SALES Raw'!$J$6:$J$1634,$J542,'SALES Raw'!$K$6:$K$1634,"Y")*$H$4</f>
        <v>0</v>
      </c>
      <c r="H542" s="16" t="s">
        <v>42</v>
      </c>
      <c r="I542" s="16"/>
      <c r="J542" s="16" t="s">
        <v>243</v>
      </c>
    </row>
    <row r="543" customFormat="false" ht="15" hidden="false" customHeight="false" outlineLevel="0" collapsed="false">
      <c r="A543" s="16" t="str">
        <f aca="false">IF(ISNUMBER($J543),$J543,"")</f>
        <v/>
      </c>
      <c r="B543" s="16" t="str">
        <f aca="false">IFERROR(INDEX('SALES Raw'!$B$6:$B$1634,MATCH($J543,'SALES Raw'!$J$6:$J$1634,0)),$J543)</f>
        <v>T402 M</v>
      </c>
      <c r="C543" s="16" t="str">
        <f aca="false">IF(ISNUMBER($J543),IFERROR(INDEX('TRANS'!$C:$C,MATCH($J543,'TRANS'!$B:$B,0)),IFERROR(INDEX('Catalog'!$B:$B,MATCH($J543,'Catalog'!$A:$A,0)),$B543)),$B543)</f>
        <v>T402 M</v>
      </c>
      <c r="D543" s="8" t="n">
        <f aca="false">SUMIFS('SALES Raw'!$C$6:$C$1634,'SALES Raw'!$J$6:$J$1634,$J543,'SALES Raw'!$K$6:$K$1634,"Y")</f>
        <v>5</v>
      </c>
      <c r="E543" s="8" t="n">
        <f aca="false">SUMIFS('SALES Raw'!$D$6:$D$1634,'SALES Raw'!$J$6:$J$1634,$J543,'SALES Raw'!$K$6:$K$1634,"Y")</f>
        <v>218.76</v>
      </c>
      <c r="F543" s="8" t="n">
        <f aca="false">SUMIFS('SALES Raw'!$E$6:$E$1634,'SALES Raw'!$J$6:$J$1634,$J543,'SALES Raw'!$K$6:$K$1634,"Y")*$H$4</f>
        <v>0</v>
      </c>
      <c r="G543" s="8" t="n">
        <f aca="false">SUMIFS('SALES Raw'!$F$6:$F$1634,'SALES Raw'!$J$6:$J$1634,$J543,'SALES Raw'!$K$6:$K$1634,"Y")*$H$4</f>
        <v>0</v>
      </c>
      <c r="H543" s="16" t="s">
        <v>42</v>
      </c>
      <c r="I543" s="16"/>
      <c r="J543" s="16" t="s">
        <v>244</v>
      </c>
    </row>
    <row r="544" customFormat="false" ht="15" hidden="false" customHeight="false" outlineLevel="0" collapsed="false">
      <c r="A544" s="16" t="str">
        <f aca="false">IF(ISNUMBER($J544),$J544,"")</f>
        <v/>
      </c>
      <c r="B544" s="16" t="str">
        <f aca="false">IFERROR(INDEX('SALES Raw'!$B$6:$B$1634,MATCH($J544,'SALES Raw'!$J$6:$J$1634,0)),$J544)</f>
        <v>T402 S</v>
      </c>
      <c r="C544" s="16" t="str">
        <f aca="false">IF(ISNUMBER($J544),IFERROR(INDEX('TRANS'!$C:$C,MATCH($J544,'TRANS'!$B:$B,0)),IFERROR(INDEX('Catalog'!$B:$B,MATCH($J544,'Catalog'!$A:$A,0)),$B544)),$B544)</f>
        <v>T402 S</v>
      </c>
      <c r="D544" s="8" t="n">
        <f aca="false">SUMIFS('SALES Raw'!$C$6:$C$1634,'SALES Raw'!$J$6:$J$1634,$J544,'SALES Raw'!$K$6:$K$1634,"Y")</f>
        <v>5</v>
      </c>
      <c r="E544" s="8" t="n">
        <f aca="false">SUMIFS('SALES Raw'!$D$6:$D$1634,'SALES Raw'!$J$6:$J$1634,$J544,'SALES Raw'!$K$6:$K$1634,"Y")</f>
        <v>218.76</v>
      </c>
      <c r="F544" s="8" t="n">
        <f aca="false">SUMIFS('SALES Raw'!$E$6:$E$1634,'SALES Raw'!$J$6:$J$1634,$J544,'SALES Raw'!$K$6:$K$1634,"Y")*$H$4</f>
        <v>0</v>
      </c>
      <c r="G544" s="8" t="n">
        <f aca="false">SUMIFS('SALES Raw'!$F$6:$F$1634,'SALES Raw'!$J$6:$J$1634,$J544,'SALES Raw'!$K$6:$K$1634,"Y")*$H$4</f>
        <v>0</v>
      </c>
      <c r="H544" s="16" t="s">
        <v>42</v>
      </c>
      <c r="I544" s="16"/>
      <c r="J544" s="16" t="s">
        <v>245</v>
      </c>
    </row>
    <row r="545" customFormat="false" ht="15" hidden="false" customHeight="false" outlineLevel="0" collapsed="false">
      <c r="A545" s="16" t="str">
        <f aca="false">IF(ISNUMBER($J545),$J545,"")</f>
        <v/>
      </c>
      <c r="B545" s="16" t="str">
        <f aca="false">IFERROR(INDEX('SALES Raw'!$B$6:$B$1634,MATCH($J545,'SALES Raw'!$J$6:$J$1634,0)),$J545)</f>
        <v>07AE L</v>
      </c>
      <c r="C545" s="16" t="str">
        <f aca="false">IF(ISNUMBER($J545),IFERROR(INDEX('TRANS'!$C:$C,MATCH($J545,'TRANS'!$B:$B,0)),IFERROR(INDEX('Catalog'!$B:$B,MATCH($J545,'Catalog'!$A:$A,0)),$B545)),$B545)</f>
        <v>07AE L</v>
      </c>
      <c r="D545" s="8" t="n">
        <f aca="false">SUMIFS('SALES Raw'!$C$6:$C$1634,'SALES Raw'!$J$6:$J$1634,$J545,'SALES Raw'!$K$6:$K$1634,"Y")</f>
        <v>10</v>
      </c>
      <c r="E545" s="8" t="n">
        <f aca="false">SUMIFS('SALES Raw'!$D$6:$D$1634,'SALES Raw'!$J$6:$J$1634,$J545,'SALES Raw'!$K$6:$K$1634,"Y")</f>
        <v>1756.68</v>
      </c>
      <c r="F545" s="8" t="n">
        <f aca="false">SUMIFS('SALES Raw'!$E$6:$E$1634,'SALES Raw'!$J$6:$J$1634,$J545,'SALES Raw'!$K$6:$K$1634,"Y")*$H$4</f>
        <v>0</v>
      </c>
      <c r="G545" s="8" t="n">
        <f aca="false">SUMIFS('SALES Raw'!$F$6:$F$1634,'SALES Raw'!$J$6:$J$1634,$J545,'SALES Raw'!$K$6:$K$1634,"Y")*$H$4</f>
        <v>0</v>
      </c>
      <c r="H545" s="16" t="s">
        <v>43</v>
      </c>
      <c r="I545" s="16"/>
      <c r="J545" s="16" t="s">
        <v>246</v>
      </c>
    </row>
    <row r="546" customFormat="false" ht="15" hidden="false" customHeight="false" outlineLevel="0" collapsed="false">
      <c r="A546" s="16" t="str">
        <f aca="false">IF(ISNUMBER($J546),$J546,"")</f>
        <v/>
      </c>
      <c r="B546" s="16" t="str">
        <f aca="false">IFERROR(INDEX('SALES Raw'!$B$6:$B$1634,MATCH($J546,'SALES Raw'!$J$6:$J$1634,0)),$J546)</f>
        <v>07AE M</v>
      </c>
      <c r="C546" s="16" t="str">
        <f aca="false">IF(ISNUMBER($J546),IFERROR(INDEX('TRANS'!$C:$C,MATCH($J546,'TRANS'!$B:$B,0)),IFERROR(INDEX('Catalog'!$B:$B,MATCH($J546,'Catalog'!$A:$A,0)),$B546)),$B546)</f>
        <v>07AE M</v>
      </c>
      <c r="D546" s="8" t="n">
        <f aca="false">SUMIFS('SALES Raw'!$C$6:$C$1634,'SALES Raw'!$J$6:$J$1634,$J546,'SALES Raw'!$K$6:$K$1634,"Y")</f>
        <v>20</v>
      </c>
      <c r="E546" s="8" t="n">
        <f aca="false">SUMIFS('SALES Raw'!$D$6:$D$1634,'SALES Raw'!$J$6:$J$1634,$J546,'SALES Raw'!$K$6:$K$1634,"Y")</f>
        <v>3513.36</v>
      </c>
      <c r="F546" s="8" t="n">
        <f aca="false">SUMIFS('SALES Raw'!$E$6:$E$1634,'SALES Raw'!$J$6:$J$1634,$J546,'SALES Raw'!$K$6:$K$1634,"Y")*$H$4</f>
        <v>0</v>
      </c>
      <c r="G546" s="8" t="n">
        <f aca="false">SUMIFS('SALES Raw'!$F$6:$F$1634,'SALES Raw'!$J$6:$J$1634,$J546,'SALES Raw'!$K$6:$K$1634,"Y")*$H$4</f>
        <v>0</v>
      </c>
      <c r="H546" s="16" t="s">
        <v>43</v>
      </c>
      <c r="I546" s="16"/>
      <c r="J546" s="16" t="s">
        <v>247</v>
      </c>
    </row>
    <row r="547" customFormat="false" ht="15" hidden="false" customHeight="false" outlineLevel="0" collapsed="false">
      <c r="A547" s="16" t="str">
        <f aca="false">IF(ISNUMBER($J547),$J547,"")</f>
        <v/>
      </c>
      <c r="B547" s="16" t="str">
        <f aca="false">IFERROR(INDEX('SALES Raw'!$B$6:$B$1634,MATCH($J547,'SALES Raw'!$J$6:$J$1634,0)),$J547)</f>
        <v>07AE S</v>
      </c>
      <c r="C547" s="16" t="str">
        <f aca="false">IF(ISNUMBER($J547),IFERROR(INDEX('TRANS'!$C:$C,MATCH($J547,'TRANS'!$B:$B,0)),IFERROR(INDEX('Catalog'!$B:$B,MATCH($J547,'Catalog'!$A:$A,0)),$B547)),$B547)</f>
        <v>07AE S</v>
      </c>
      <c r="D547" s="8" t="n">
        <f aca="false">SUMIFS('SALES Raw'!$C$6:$C$1634,'SALES Raw'!$J$6:$J$1634,$J547,'SALES Raw'!$K$6:$K$1634,"Y")</f>
        <v>5</v>
      </c>
      <c r="E547" s="8" t="n">
        <f aca="false">SUMIFS('SALES Raw'!$D$6:$D$1634,'SALES Raw'!$J$6:$J$1634,$J547,'SALES Raw'!$K$6:$K$1634,"Y")</f>
        <v>878.34</v>
      </c>
      <c r="F547" s="8" t="n">
        <f aca="false">SUMIFS('SALES Raw'!$E$6:$E$1634,'SALES Raw'!$J$6:$J$1634,$J547,'SALES Raw'!$K$6:$K$1634,"Y")*$H$4</f>
        <v>0</v>
      </c>
      <c r="G547" s="8" t="n">
        <f aca="false">SUMIFS('SALES Raw'!$F$6:$F$1634,'SALES Raw'!$J$6:$J$1634,$J547,'SALES Raw'!$K$6:$K$1634,"Y")*$H$4</f>
        <v>0</v>
      </c>
      <c r="H547" s="16" t="s">
        <v>43</v>
      </c>
      <c r="I547" s="16"/>
      <c r="J547" s="16" t="s">
        <v>248</v>
      </c>
    </row>
    <row r="548" customFormat="false" ht="15" hidden="false" customHeight="false" outlineLevel="0" collapsed="false">
      <c r="A548" s="16" t="str">
        <f aca="false">IF(ISNUMBER($J548),$J548,"")</f>
        <v/>
      </c>
      <c r="B548" s="16" t="str">
        <f aca="false">IFERROR(INDEX('SALES Raw'!$B$6:$B$1634,MATCH($J548,'SALES Raw'!$J$6:$J$1634,0)),$J548)</f>
        <v>07AE XL</v>
      </c>
      <c r="C548" s="16" t="str">
        <f aca="false">IF(ISNUMBER($J548),IFERROR(INDEX('TRANS'!$C:$C,MATCH($J548,'TRANS'!$B:$B,0)),IFERROR(INDEX('Catalog'!$B:$B,MATCH($J548,'Catalog'!$A:$A,0)),$B548)),$B548)</f>
        <v>07AE XL</v>
      </c>
      <c r="D548" s="8" t="n">
        <f aca="false">SUMIFS('SALES Raw'!$C$6:$C$1634,'SALES Raw'!$J$6:$J$1634,$J548,'SALES Raw'!$K$6:$K$1634,"Y")</f>
        <v>5</v>
      </c>
      <c r="E548" s="8" t="n">
        <f aca="false">SUMIFS('SALES Raw'!$D$6:$D$1634,'SALES Raw'!$J$6:$J$1634,$J548,'SALES Raw'!$K$6:$K$1634,"Y")</f>
        <v>0.03</v>
      </c>
      <c r="F548" s="8" t="n">
        <f aca="false">SUMIFS('SALES Raw'!$E$6:$E$1634,'SALES Raw'!$J$6:$J$1634,$J548,'SALES Raw'!$K$6:$K$1634,"Y")*$H$4</f>
        <v>0</v>
      </c>
      <c r="G548" s="8" t="n">
        <f aca="false">SUMIFS('SALES Raw'!$F$6:$F$1634,'SALES Raw'!$J$6:$J$1634,$J548,'SALES Raw'!$K$6:$K$1634,"Y")*$H$4</f>
        <v>0</v>
      </c>
      <c r="H548" s="16" t="s">
        <v>43</v>
      </c>
      <c r="I548" s="16"/>
      <c r="J548" s="16" t="s">
        <v>249</v>
      </c>
    </row>
    <row r="549" customFormat="false" ht="15" hidden="false" customHeight="false" outlineLevel="0" collapsed="false">
      <c r="A549" s="16" t="str">
        <f aca="false">IF(ISNUMBER($J549),$J549,"")</f>
        <v/>
      </c>
      <c r="B549" s="16" t="str">
        <f aca="false">IFERROR(INDEX('SALES Raw'!$B$6:$B$1634,MATCH($J549,'SALES Raw'!$J$6:$J$1634,0)),$J549)</f>
        <v>07AE XXL</v>
      </c>
      <c r="C549" s="16" t="str">
        <f aca="false">IF(ISNUMBER($J549),IFERROR(INDEX('TRANS'!$C:$C,MATCH($J549,'TRANS'!$B:$B,0)),IFERROR(INDEX('Catalog'!$B:$B,MATCH($J549,'Catalog'!$A:$A,0)),$B549)),$B549)</f>
        <v>07AE XXL</v>
      </c>
      <c r="D549" s="8" t="n">
        <f aca="false">SUMIFS('SALES Raw'!$C$6:$C$1634,'SALES Raw'!$J$6:$J$1634,$J549,'SALES Raw'!$K$6:$K$1634,"Y")</f>
        <v>10</v>
      </c>
      <c r="E549" s="8" t="n">
        <f aca="false">SUMIFS('SALES Raw'!$D$6:$D$1634,'SALES Raw'!$J$6:$J$1634,$J549,'SALES Raw'!$K$6:$K$1634,"Y")</f>
        <v>1756.68</v>
      </c>
      <c r="F549" s="8" t="n">
        <f aca="false">SUMIFS('SALES Raw'!$E$6:$E$1634,'SALES Raw'!$J$6:$J$1634,$J549,'SALES Raw'!$K$6:$K$1634,"Y")*$H$4</f>
        <v>0</v>
      </c>
      <c r="G549" s="8" t="n">
        <f aca="false">SUMIFS('SALES Raw'!$F$6:$F$1634,'SALES Raw'!$J$6:$J$1634,$J549,'SALES Raw'!$K$6:$K$1634,"Y")*$H$4</f>
        <v>0</v>
      </c>
      <c r="H549" s="16" t="s">
        <v>43</v>
      </c>
      <c r="I549" s="16"/>
      <c r="J549" s="16" t="s">
        <v>250</v>
      </c>
    </row>
    <row r="550" customFormat="false" ht="15" hidden="false" customHeight="false" outlineLevel="0" collapsed="false">
      <c r="A550" s="16" t="str">
        <f aca="false">IF(ISNUMBER($J550),$J550,"")</f>
        <v/>
      </c>
      <c r="B550" s="16" t="str">
        <f aca="false">IFERROR(INDEX('SALES Raw'!$B$6:$B$1634,MATCH($J550,'SALES Raw'!$J$6:$J$1634,0)),$J550)</f>
        <v>10 XS</v>
      </c>
      <c r="C550" s="16" t="str">
        <f aca="false">IF(ISNUMBER($J550),IFERROR(INDEX('TRANS'!$C:$C,MATCH($J550,'TRANS'!$B:$B,0)),IFERROR(INDEX('Catalog'!$B:$B,MATCH($J550,'Catalog'!$A:$A,0)),$B550)),$B550)</f>
        <v>10 XS</v>
      </c>
      <c r="D550" s="8" t="n">
        <f aca="false">SUMIFS('SALES Raw'!$C$6:$C$1634,'SALES Raw'!$J$6:$J$1634,$J550,'SALES Raw'!$K$6:$K$1634,"Y")</f>
        <v>5</v>
      </c>
      <c r="E550" s="8" t="n">
        <f aca="false">SUMIFS('SALES Raw'!$D$6:$D$1634,'SALES Raw'!$J$6:$J$1634,$J550,'SALES Raw'!$K$6:$K$1634,"Y")</f>
        <v>399.72</v>
      </c>
      <c r="F550" s="8" t="n">
        <f aca="false">SUMIFS('SALES Raw'!$E$6:$E$1634,'SALES Raw'!$J$6:$J$1634,$J550,'SALES Raw'!$K$6:$K$1634,"Y")*$H$4</f>
        <v>0</v>
      </c>
      <c r="G550" s="8" t="n">
        <f aca="false">SUMIFS('SALES Raw'!$F$6:$F$1634,'SALES Raw'!$J$6:$J$1634,$J550,'SALES Raw'!$K$6:$K$1634,"Y")*$H$4</f>
        <v>0</v>
      </c>
      <c r="H550" s="16" t="s">
        <v>43</v>
      </c>
      <c r="I550" s="16"/>
      <c r="J550" s="16" t="s">
        <v>251</v>
      </c>
    </row>
    <row r="551" customFormat="false" ht="15" hidden="false" customHeight="false" outlineLevel="0" collapsed="false">
      <c r="A551" s="16" t="str">
        <f aca="false">IF(ISNUMBER($J551),$J551,"")</f>
        <v/>
      </c>
      <c r="B551" s="16" t="str">
        <f aca="false">IFERROR(INDEX('SALES Raw'!$B$6:$B$1634,MATCH($J551,'SALES Raw'!$J$6:$J$1634,0)),$J551)</f>
        <v>1000FC</v>
      </c>
      <c r="C551" s="16" t="str">
        <f aca="false">IF(ISNUMBER($J551),IFERROR(INDEX('TRANS'!$C:$C,MATCH($J551,'TRANS'!$B:$B,0)),IFERROR(INDEX('Catalog'!$B:$B,MATCH($J551,'Catalog'!$A:$A,0)),$B551)),$B551)</f>
        <v>1000FC</v>
      </c>
      <c r="D551" s="8" t="n">
        <f aca="false">SUMIFS('SALES Raw'!$C$6:$C$1634,'SALES Raw'!$J$6:$J$1634,$J551,'SALES Raw'!$K$6:$K$1634,"Y")</f>
        <v>5</v>
      </c>
      <c r="E551" s="8" t="n">
        <f aca="false">SUMIFS('SALES Raw'!$D$6:$D$1634,'SALES Raw'!$J$6:$J$1634,$J551,'SALES Raw'!$K$6:$K$1634,"Y")</f>
        <v>0.18</v>
      </c>
      <c r="F551" s="8" t="n">
        <f aca="false">SUMIFS('SALES Raw'!$E$6:$E$1634,'SALES Raw'!$J$6:$J$1634,$J551,'SALES Raw'!$K$6:$K$1634,"Y")*$H$4</f>
        <v>0</v>
      </c>
      <c r="G551" s="8" t="n">
        <f aca="false">SUMIFS('SALES Raw'!$F$6:$F$1634,'SALES Raw'!$J$6:$J$1634,$J551,'SALES Raw'!$K$6:$K$1634,"Y")*$H$4</f>
        <v>0</v>
      </c>
      <c r="H551" s="16" t="s">
        <v>43</v>
      </c>
      <c r="I551" s="16"/>
      <c r="J551" s="16" t="s">
        <v>252</v>
      </c>
    </row>
    <row r="552" customFormat="false" ht="15" hidden="false" customHeight="false" outlineLevel="0" collapsed="false">
      <c r="A552" s="16" t="str">
        <f aca="false">IF(ISNUMBER($J552),$J552,"")</f>
        <v/>
      </c>
      <c r="B552" s="16" t="str">
        <f aca="false">IFERROR(INDEX('SALES Raw'!$B$6:$B$1634,MATCH($J552,'SALES Raw'!$J$6:$J$1634,0)),$J552)</f>
        <v>15M S</v>
      </c>
      <c r="C552" s="16" t="str">
        <f aca="false">IF(ISNUMBER($J552),IFERROR(INDEX('TRANS'!$C:$C,MATCH($J552,'TRANS'!$B:$B,0)),IFERROR(INDEX('Catalog'!$B:$B,MATCH($J552,'Catalog'!$A:$A,0)),$B552)),$B552)</f>
        <v>15M S</v>
      </c>
      <c r="D552" s="8" t="n">
        <f aca="false">SUMIFS('SALES Raw'!$C$6:$C$1634,'SALES Raw'!$J$6:$J$1634,$J552,'SALES Raw'!$K$6:$K$1634,"Y")</f>
        <v>5</v>
      </c>
      <c r="E552" s="8" t="n">
        <f aca="false">SUMIFS('SALES Raw'!$D$6:$D$1634,'SALES Raw'!$J$6:$J$1634,$J552,'SALES Raw'!$K$6:$K$1634,"Y")</f>
        <v>212.06</v>
      </c>
      <c r="F552" s="8" t="n">
        <f aca="false">SUMIFS('SALES Raw'!$E$6:$E$1634,'SALES Raw'!$J$6:$J$1634,$J552,'SALES Raw'!$K$6:$K$1634,"Y")*$H$4</f>
        <v>0</v>
      </c>
      <c r="G552" s="8" t="n">
        <f aca="false">SUMIFS('SALES Raw'!$F$6:$F$1634,'SALES Raw'!$J$6:$J$1634,$J552,'SALES Raw'!$K$6:$K$1634,"Y")*$H$4</f>
        <v>0</v>
      </c>
      <c r="H552" s="16" t="s">
        <v>43</v>
      </c>
      <c r="I552" s="16"/>
      <c r="J552" s="16" t="s">
        <v>253</v>
      </c>
    </row>
    <row r="553" customFormat="false" ht="15" hidden="false" customHeight="false" outlineLevel="0" collapsed="false">
      <c r="A553" s="16" t="str">
        <f aca="false">IF(ISNUMBER($J553),$J553,"")</f>
        <v/>
      </c>
      <c r="B553" s="16" t="str">
        <f aca="false">IFERROR(INDEX('SALES Raw'!$B$6:$B$1634,MATCH($J553,'SALES Raw'!$J$6:$J$1634,0)),$J553)</f>
        <v>15M XXL</v>
      </c>
      <c r="C553" s="16" t="str">
        <f aca="false">IF(ISNUMBER($J553),IFERROR(INDEX('TRANS'!$C:$C,MATCH($J553,'TRANS'!$B:$B,0)),IFERROR(INDEX('Catalog'!$B:$B,MATCH($J553,'Catalog'!$A:$A,0)),$B553)),$B553)</f>
        <v>15M XXL</v>
      </c>
      <c r="D553" s="8" t="n">
        <f aca="false">SUMIFS('SALES Raw'!$C$6:$C$1634,'SALES Raw'!$J$6:$J$1634,$J553,'SALES Raw'!$K$6:$K$1634,"Y")</f>
        <v>12</v>
      </c>
      <c r="E553" s="8" t="n">
        <f aca="false">SUMIFS('SALES Raw'!$D$6:$D$1634,'SALES Raw'!$J$6:$J$1634,$J553,'SALES Raw'!$K$6:$K$1634,"Y")</f>
        <v>530.1</v>
      </c>
      <c r="F553" s="8" t="n">
        <f aca="false">SUMIFS('SALES Raw'!$E$6:$E$1634,'SALES Raw'!$J$6:$J$1634,$J553,'SALES Raw'!$K$6:$K$1634,"Y")*$H$4</f>
        <v>0</v>
      </c>
      <c r="G553" s="8" t="n">
        <f aca="false">SUMIFS('SALES Raw'!$F$6:$F$1634,'SALES Raw'!$J$6:$J$1634,$J553,'SALES Raw'!$K$6:$K$1634,"Y")*$H$4</f>
        <v>0</v>
      </c>
      <c r="H553" s="16" t="s">
        <v>43</v>
      </c>
      <c r="I553" s="16"/>
      <c r="J553" s="16" t="s">
        <v>254</v>
      </c>
    </row>
    <row r="554" customFormat="false" ht="15" hidden="false" customHeight="false" outlineLevel="0" collapsed="false">
      <c r="A554" s="16" t="n">
        <f aca="false">IF(ISNUMBER($J554),$J554,"")</f>
        <v>4413303</v>
      </c>
      <c r="B554" s="16" t="str">
        <f aca="false">IFERROR(INDEX('SALES Raw'!$B$6:$B$1634,MATCH($J554,'SALES Raw'!$J$6:$J$1634,0)),$J554)</f>
        <v>34+ XXL</v>
      </c>
      <c r="C554" s="16" t="str">
        <f aca="false">IF(ISNUMBER($J554),IFERROR(INDEX('TRANS'!$C:$C,MATCH($J554,'TRANS'!$B:$B,0)),IFERROR(INDEX('Catalog'!$B:$B,MATCH($J554,'Catalog'!$A:$A,0)),$B554)),$B554)</f>
        <v>34+XXL מ.קרסול+עכב סגור+רצועות</v>
      </c>
      <c r="D554" s="8" t="n">
        <f aca="false">SUMIFS('SALES Raw'!$C$6:$C$1634,'SALES Raw'!$J$6:$J$1634,$J554,'SALES Raw'!$K$6:$K$1634,"Y")</f>
        <v>5</v>
      </c>
      <c r="E554" s="8" t="n">
        <f aca="false">SUMIFS('SALES Raw'!$D$6:$D$1634,'SALES Raw'!$J$6:$J$1634,$J554,'SALES Raw'!$K$6:$K$1634,"Y")</f>
        <v>161.97</v>
      </c>
      <c r="F554" s="8" t="n">
        <f aca="false">SUMIFS('SALES Raw'!$E$6:$E$1634,'SALES Raw'!$J$6:$J$1634,$J554,'SALES Raw'!$K$6:$K$1634,"Y")*$H$4</f>
        <v>0</v>
      </c>
      <c r="G554" s="8" t="n">
        <f aca="false">SUMIFS('SALES Raw'!$F$6:$F$1634,'SALES Raw'!$J$6:$J$1634,$J554,'SALES Raw'!$K$6:$K$1634,"Y")*$H$4</f>
        <v>0</v>
      </c>
      <c r="H554" s="16" t="s">
        <v>43</v>
      </c>
      <c r="I554" s="16"/>
      <c r="J554" s="16" t="n">
        <v>4413303</v>
      </c>
    </row>
    <row r="555" customFormat="false" ht="15" hidden="false" customHeight="false" outlineLevel="0" collapsed="false">
      <c r="A555" s="16" t="n">
        <f aca="false">IF(ISNUMBER($J555),$J555,"")</f>
        <v>4418003</v>
      </c>
      <c r="B555" s="16" t="str">
        <f aca="false">IFERROR(INDEX('SALES Raw'!$B$6:$B$1634,MATCH($J555,'SALES Raw'!$J$6:$J$1634,0)),$J555)</f>
        <v>60 XL</v>
      </c>
      <c r="C555" s="16" t="str">
        <f aca="false">IF(ISNUMBER($J555),IFERROR(INDEX('TRANS'!$C:$C,MATCH($J555,'TRANS'!$B:$B,0)),IFERROR(INDEX('Catalog'!$B:$B,MATCH($J555,'Catalog'!$A:$A,0)),$B555)),$B555)</f>
        <v>60 XL צוארון ספוגי</v>
      </c>
      <c r="D555" s="8" t="n">
        <f aca="false">SUMIFS('SALES Raw'!$C$6:$C$1634,'SALES Raw'!$J$6:$J$1634,$J555,'SALES Raw'!$K$6:$K$1634,"Y")</f>
        <v>10</v>
      </c>
      <c r="E555" s="8" t="n">
        <f aca="false">SUMIFS('SALES Raw'!$D$6:$D$1634,'SALES Raw'!$J$6:$J$1634,$J555,'SALES Raw'!$K$6:$K$1634,"Y")</f>
        <v>277.12</v>
      </c>
      <c r="F555" s="8" t="n">
        <f aca="false">SUMIFS('SALES Raw'!$E$6:$E$1634,'SALES Raw'!$J$6:$J$1634,$J555,'SALES Raw'!$K$6:$K$1634,"Y")*$H$4</f>
        <v>0</v>
      </c>
      <c r="G555" s="8" t="n">
        <f aca="false">SUMIFS('SALES Raw'!$F$6:$F$1634,'SALES Raw'!$J$6:$J$1634,$J555,'SALES Raw'!$K$6:$K$1634,"Y")*$H$4</f>
        <v>0</v>
      </c>
      <c r="H555" s="16" t="s">
        <v>43</v>
      </c>
      <c r="I555" s="16"/>
      <c r="J555" s="16" t="n">
        <v>4418003</v>
      </c>
    </row>
    <row r="556" customFormat="false" ht="15" hidden="false" customHeight="false" outlineLevel="0" collapsed="false">
      <c r="A556" s="16" t="str">
        <f aca="false">IF(ISNUMBER($J556),$J556,"")</f>
        <v/>
      </c>
      <c r="B556" s="16" t="str">
        <f aca="false">IFERROR(INDEX('SALES Raw'!$B$6:$B$1634,MATCH($J556,'SALES Raw'!$J$6:$J$1634,0)),$J556)</f>
        <v>60 XXL</v>
      </c>
      <c r="C556" s="16" t="str">
        <f aca="false">IF(ISNUMBER($J556),IFERROR(INDEX('TRANS'!$C:$C,MATCH($J556,'TRANS'!$B:$B,0)),IFERROR(INDEX('Catalog'!$B:$B,MATCH($J556,'Catalog'!$A:$A,0)),$B556)),$B556)</f>
        <v>60 XXL</v>
      </c>
      <c r="D556" s="8" t="n">
        <f aca="false">SUMIFS('SALES Raw'!$C$6:$C$1634,'SALES Raw'!$J$6:$J$1634,$J556,'SALES Raw'!$K$6:$K$1634,"Y")</f>
        <v>5</v>
      </c>
      <c r="E556" s="8" t="n">
        <f aca="false">SUMIFS('SALES Raw'!$D$6:$D$1634,'SALES Raw'!$J$6:$J$1634,$J556,'SALES Raw'!$K$6:$K$1634,"Y")</f>
        <v>138.57</v>
      </c>
      <c r="F556" s="8" t="n">
        <f aca="false">SUMIFS('SALES Raw'!$E$6:$E$1634,'SALES Raw'!$J$6:$J$1634,$J556,'SALES Raw'!$K$6:$K$1634,"Y")*$H$4</f>
        <v>0</v>
      </c>
      <c r="G556" s="8" t="n">
        <f aca="false">SUMIFS('SALES Raw'!$F$6:$F$1634,'SALES Raw'!$J$6:$J$1634,$J556,'SALES Raw'!$K$6:$K$1634,"Y")*$H$4</f>
        <v>0</v>
      </c>
      <c r="H556" s="16" t="s">
        <v>43</v>
      </c>
      <c r="I556" s="16"/>
      <c r="J556" s="16" t="s">
        <v>255</v>
      </c>
    </row>
    <row r="557" customFormat="false" ht="15" hidden="false" customHeight="false" outlineLevel="0" collapsed="false">
      <c r="A557" s="16" t="str">
        <f aca="false">IF(ISNUMBER($J557),$J557,"")</f>
        <v/>
      </c>
      <c r="B557" s="16" t="str">
        <f aca="false">IFERROR(INDEX('SALES Raw'!$B$6:$B$1634,MATCH($J557,'SALES Raw'!$J$6:$J$1634,0)),$J557)</f>
        <v>70 XS</v>
      </c>
      <c r="C557" s="16" t="str">
        <f aca="false">IF(ISNUMBER($J557),IFERROR(INDEX('TRANS'!$C:$C,MATCH($J557,'TRANS'!$B:$B,0)),IFERROR(INDEX('Catalog'!$B:$B,MATCH($J557,'Catalog'!$A:$A,0)),$B557)),$B557)</f>
        <v>70 XS</v>
      </c>
      <c r="D557" s="8" t="n">
        <f aca="false">SUMIFS('SALES Raw'!$C$6:$C$1634,'SALES Raw'!$J$6:$J$1634,$J557,'SALES Raw'!$K$6:$K$1634,"Y")</f>
        <v>1</v>
      </c>
      <c r="E557" s="8" t="n">
        <f aca="false">SUMIFS('SALES Raw'!$D$6:$D$1634,'SALES Raw'!$J$6:$J$1634,$J557,'SALES Raw'!$K$6:$K$1634,"Y")</f>
        <v>0.04</v>
      </c>
      <c r="F557" s="8" t="n">
        <f aca="false">SUMIFS('SALES Raw'!$E$6:$E$1634,'SALES Raw'!$J$6:$J$1634,$J557,'SALES Raw'!$K$6:$K$1634,"Y")*$H$4</f>
        <v>0</v>
      </c>
      <c r="G557" s="8" t="n">
        <f aca="false">SUMIFS('SALES Raw'!$F$6:$F$1634,'SALES Raw'!$J$6:$J$1634,$J557,'SALES Raw'!$K$6:$K$1634,"Y")*$H$4</f>
        <v>0</v>
      </c>
      <c r="H557" s="16" t="s">
        <v>43</v>
      </c>
      <c r="I557" s="16"/>
      <c r="J557" s="16" t="s">
        <v>256</v>
      </c>
    </row>
    <row r="558" customFormat="false" ht="15" hidden="false" customHeight="false" outlineLevel="0" collapsed="false">
      <c r="A558" s="16" t="n">
        <f aca="false">IF(ISNUMBER($J558),$J558,"")</f>
        <v>4408274</v>
      </c>
      <c r="B558" s="16" t="str">
        <f aca="false">IFERROR(INDEX('SALES Raw'!$B$6:$B$1634,MATCH($J558,'SALES Raw'!$J$6:$J$1634,0)),$J558)</f>
        <v>70N L</v>
      </c>
      <c r="C558" s="16" t="str">
        <f aca="false">IF(ISNUMBER($J558),IFERROR(INDEX('TRANS'!$C:$C,MATCH($J558,'TRANS'!$B:$B,0)),IFERROR(INDEX('Catalog'!$B:$B,MATCH($J558,'Catalog'!$A:$A,0)),$B558)),$B558)</f>
        <v>70N L חגורת פאבליק</v>
      </c>
      <c r="D558" s="8" t="n">
        <f aca="false">SUMIFS('SALES Raw'!$C$6:$C$1634,'SALES Raw'!$J$6:$J$1634,$J558,'SALES Raw'!$K$6:$K$1634,"Y")</f>
        <v>50</v>
      </c>
      <c r="E558" s="8" t="n">
        <f aca="false">SUMIFS('SALES Raw'!$D$6:$D$1634,'SALES Raw'!$J$6:$J$1634,$J558,'SALES Raw'!$K$6:$K$1634,"Y")</f>
        <v>0.03</v>
      </c>
      <c r="F558" s="8" t="n">
        <f aca="false">SUMIFS('SALES Raw'!$E$6:$E$1634,'SALES Raw'!$J$6:$J$1634,$J558,'SALES Raw'!$K$6:$K$1634,"Y")*$H$4</f>
        <v>0</v>
      </c>
      <c r="G558" s="8" t="n">
        <f aca="false">SUMIFS('SALES Raw'!$F$6:$F$1634,'SALES Raw'!$J$6:$J$1634,$J558,'SALES Raw'!$K$6:$K$1634,"Y")*$H$4</f>
        <v>0</v>
      </c>
      <c r="H558" s="16" t="s">
        <v>43</v>
      </c>
      <c r="I558" s="16"/>
      <c r="J558" s="16" t="n">
        <v>4408274</v>
      </c>
    </row>
    <row r="559" customFormat="false" ht="15" hidden="false" customHeight="false" outlineLevel="0" collapsed="false">
      <c r="A559" s="16" t="n">
        <f aca="false">IF(ISNUMBER($J559),$J559,"")</f>
        <v>4408273</v>
      </c>
      <c r="B559" s="16" t="str">
        <f aca="false">IFERROR(INDEX('SALES Raw'!$B$6:$B$1634,MATCH($J559,'SALES Raw'!$J$6:$J$1634,0)),$J559)</f>
        <v>70N M</v>
      </c>
      <c r="C559" s="16" t="str">
        <f aca="false">IF(ISNUMBER($J559),IFERROR(INDEX('TRANS'!$C:$C,MATCH($J559,'TRANS'!$B:$B,0)),IFERROR(INDEX('Catalog'!$B:$B,MATCH($J559,'Catalog'!$A:$A,0)),$B559)),$B559)</f>
        <v>70N M חגורת פאבליק</v>
      </c>
      <c r="D559" s="8" t="n">
        <f aca="false">SUMIFS('SALES Raw'!$C$6:$C$1634,'SALES Raw'!$J$6:$J$1634,$J559,'SALES Raw'!$K$6:$K$1634,"Y")</f>
        <v>100</v>
      </c>
      <c r="E559" s="8" t="n">
        <f aca="false">SUMIFS('SALES Raw'!$D$6:$D$1634,'SALES Raw'!$J$6:$J$1634,$J559,'SALES Raw'!$K$6:$K$1634,"Y")</f>
        <v>16212.21</v>
      </c>
      <c r="F559" s="8" t="n">
        <f aca="false">SUMIFS('SALES Raw'!$E$6:$E$1634,'SALES Raw'!$J$6:$J$1634,$J559,'SALES Raw'!$K$6:$K$1634,"Y")*$H$4</f>
        <v>0</v>
      </c>
      <c r="G559" s="8" t="n">
        <f aca="false">SUMIFS('SALES Raw'!$F$6:$F$1634,'SALES Raw'!$J$6:$J$1634,$J559,'SALES Raw'!$K$6:$K$1634,"Y")*$H$4</f>
        <v>0</v>
      </c>
      <c r="H559" s="16" t="s">
        <v>43</v>
      </c>
      <c r="I559" s="16"/>
      <c r="J559" s="16" t="n">
        <v>4408273</v>
      </c>
    </row>
    <row r="560" customFormat="false" ht="15" hidden="false" customHeight="false" outlineLevel="0" collapsed="false">
      <c r="A560" s="16" t="n">
        <f aca="false">IF(ISNUMBER($J560),$J560,"")</f>
        <v>4413143</v>
      </c>
      <c r="B560" s="16" t="str">
        <f aca="false">IFERROR(INDEX('SALES Raw'!$B$6:$B$1634,MATCH($J560,'SALES Raw'!$J$6:$J$1634,0)),$J560)</f>
        <v>95 XS</v>
      </c>
      <c r="C560" s="16" t="str">
        <f aca="false">IF(ISNUMBER($J560),IFERROR(INDEX('TRANS'!$C:$C,MATCH($J560,'TRANS'!$B:$B,0)),IFERROR(INDEX('Catalog'!$B:$B,MATCH($J560,'Catalog'!$A:$A,0)),$B560)),$B560)</f>
        <v>95 XS מגן מרפק רגיל לבן</v>
      </c>
      <c r="D560" s="8" t="n">
        <f aca="false">SUMIFS('SALES Raw'!$C$6:$C$1634,'SALES Raw'!$J$6:$J$1634,$J560,'SALES Raw'!$K$6:$K$1634,"Y")</f>
        <v>20</v>
      </c>
      <c r="E560" s="8" t="n">
        <f aca="false">SUMIFS('SALES Raw'!$D$6:$D$1634,'SALES Raw'!$J$6:$J$1634,$J560,'SALES Raw'!$K$6:$K$1634,"Y")</f>
        <v>205.48</v>
      </c>
      <c r="F560" s="8" t="n">
        <f aca="false">SUMIFS('SALES Raw'!$E$6:$E$1634,'SALES Raw'!$J$6:$J$1634,$J560,'SALES Raw'!$K$6:$K$1634,"Y")*$H$4</f>
        <v>0</v>
      </c>
      <c r="G560" s="8" t="n">
        <f aca="false">SUMIFS('SALES Raw'!$F$6:$F$1634,'SALES Raw'!$J$6:$J$1634,$J560,'SALES Raw'!$K$6:$K$1634,"Y")*$H$4</f>
        <v>0</v>
      </c>
      <c r="H560" s="16" t="s">
        <v>44</v>
      </c>
      <c r="I560" s="16"/>
      <c r="J560" s="16" t="n">
        <v>4413143</v>
      </c>
    </row>
    <row r="561" customFormat="false" ht="15" hidden="false" customHeight="false" outlineLevel="0" collapsed="false">
      <c r="A561" s="16" t="str">
        <f aca="false">IF(ISNUMBER($J561),$J561,"")</f>
        <v/>
      </c>
      <c r="B561" s="16" t="str">
        <f aca="false">IFERROR(INDEX('SALES Raw'!$B$6:$B$1634,MATCH($J561,'SALES Raw'!$J$6:$J$1634,0)),$J561)</f>
        <v>הנחות לקוחות</v>
      </c>
      <c r="C561" s="16" t="str">
        <f aca="false">IF(ISNUMBER($J561),IFERROR(INDEX('TRANS'!$C:$C,MATCH($J561,'TRANS'!$B:$B,0)),IFERROR(INDEX('Catalog'!$B:$B,MATCH($J561,'Catalog'!$A:$A,0)),$B561)),$B561)</f>
        <v>הנחות לקוחות</v>
      </c>
      <c r="D561" s="8" t="n">
        <f aca="false">SUMIFS('SALES Raw'!$C$6:$C$1634,'SALES Raw'!$J$6:$J$1634,$J561,'SALES Raw'!$K$6:$K$1634,"Y")</f>
        <v>0</v>
      </c>
      <c r="E561" s="8" t="n">
        <f aca="false">SUMIFS('SALES Raw'!$D$6:$D$1634,'SALES Raw'!$J$6:$J$1634,$J561,'SALES Raw'!$K$6:$K$1634,"Y")</f>
        <v>0</v>
      </c>
      <c r="F561" s="8" t="n">
        <f aca="false">SUMIFS('SALES Raw'!$E$6:$E$1634,'SALES Raw'!$J$6:$J$1634,$J561,'SALES Raw'!$K$6:$K$1634,"Y")*$H$4</f>
        <v>-1.26315789473684</v>
      </c>
      <c r="G561" s="8" t="n">
        <f aca="false">SUMIFS('SALES Raw'!$F$6:$F$1634,'SALES Raw'!$J$6:$J$1634,$J561,'SALES Raw'!$K$6:$K$1634,"Y")*$H$4</f>
        <v>-28809.5368421053</v>
      </c>
      <c r="H561" s="16" t="s">
        <v>42</v>
      </c>
      <c r="I561" s="16"/>
      <c r="J561" s="16" t="s">
        <v>257</v>
      </c>
    </row>
    <row r="562" customFormat="false" ht="15" hidden="false" customHeight="false" outlineLevel="0" collapsed="false">
      <c r="A562" s="16" t="n">
        <f aca="false">IF(ISNUMBER($J562),$J562,"")</f>
        <v>4422035</v>
      </c>
      <c r="B562" s="16" t="str">
        <f aca="false">IFERROR(INDEX('SALES Raw'!$B$6:$B$1634,MATCH($J562,'SALES Raw'!$J$6:$J$1634,0)),$J562)</f>
        <v>FC333 0</v>
      </c>
      <c r="C562" s="16" t="str">
        <f aca="false">IF(ISNUMBER($J562),IFERROR(INDEX('TRANS'!$C:$C,MATCH($J562,'TRANS'!$B:$B,0)),IFERROR(INDEX('Catalog'!$B:$B,MATCH($J562,'Catalog'!$A:$A,0)),$B562)),$B562)</f>
        <v>FCתרסיס דאודורנט אנטיבק.נעל333</v>
      </c>
      <c r="D562" s="8" t="n">
        <f aca="false">SUMIFS('SALES Raw'!$C$6:$C$1634,'SALES Raw'!$J$6:$J$1634,$J562,'SALES Raw'!$K$6:$K$1634,"Y")</f>
        <v>31</v>
      </c>
      <c r="E562" s="8" t="n">
        <f aca="false">SUMIFS('SALES Raw'!$D$6:$D$1634,'SALES Raw'!$J$6:$J$1634,$J562,'SALES Raw'!$K$6:$K$1634,"Y")</f>
        <v>281.64</v>
      </c>
      <c r="F562" s="8" t="n">
        <f aca="false">SUMIFS('SALES Raw'!$E$6:$E$1634,'SALES Raw'!$J$6:$J$1634,$J562,'SALES Raw'!$K$6:$K$1634,"Y")*$H$4</f>
        <v>-37.8947368421053</v>
      </c>
      <c r="G562" s="8" t="n">
        <f aca="false">SUMIFS('SALES Raw'!$F$6:$F$1634,'SALES Raw'!$J$6:$J$1634,$J562,'SALES Raw'!$K$6:$K$1634,"Y")*$H$4</f>
        <v>-352.244210526316</v>
      </c>
      <c r="H562" s="16" t="s">
        <v>42</v>
      </c>
      <c r="I562" s="16"/>
      <c r="J562" s="16" t="n">
        <v>4422035</v>
      </c>
    </row>
    <row r="563" customFormat="false" ht="15" hidden="false" customHeight="false" outlineLevel="0" collapsed="false">
      <c r="A563" s="16" t="n">
        <f aca="false">IF(ISNUMBER($J563),$J563,"")</f>
        <v>4422036</v>
      </c>
      <c r="B563" s="16" t="str">
        <f aca="false">IFERROR(INDEX('SALES Raw'!$B$6:$B$1634,MATCH($J563,'SALES Raw'!$J$6:$J$1634,0)),$J563)</f>
        <v>FC334 0</v>
      </c>
      <c r="C563" s="16" t="str">
        <f aca="false">IF(ISNUMBER($J563),IFERROR(INDEX('TRANS'!$C:$C,MATCH($J563,'TRANS'!$B:$B,0)),IFERROR(INDEX('Catalog'!$B:$B,MATCH($J563,'Catalog'!$A:$A,0)),$B563)),$B563)</f>
        <v>FC334  תרסיס דאודורנט לכף הרגל</v>
      </c>
      <c r="D563" s="8" t="n">
        <f aca="false">SUMIFS('SALES Raw'!$C$6:$C$1634,'SALES Raw'!$J$6:$J$1634,$J563,'SALES Raw'!$K$6:$K$1634,"Y")</f>
        <v>30</v>
      </c>
      <c r="E563" s="8" t="n">
        <f aca="false">SUMIFS('SALES Raw'!$D$6:$D$1634,'SALES Raw'!$J$6:$J$1634,$J563,'SALES Raw'!$K$6:$K$1634,"Y")</f>
        <v>310.25</v>
      </c>
      <c r="F563" s="8" t="n">
        <f aca="false">SUMIFS('SALES Raw'!$E$6:$E$1634,'SALES Raw'!$J$6:$J$1634,$J563,'SALES Raw'!$K$6:$K$1634,"Y")*$H$4</f>
        <v>-37.8947368421053</v>
      </c>
      <c r="G563" s="8" t="n">
        <f aca="false">SUMIFS('SALES Raw'!$F$6:$F$1634,'SALES Raw'!$J$6:$J$1634,$J563,'SALES Raw'!$K$6:$K$1634,"Y")*$H$4</f>
        <v>-388.067368421053</v>
      </c>
      <c r="H563" s="16" t="s">
        <v>42</v>
      </c>
      <c r="I563" s="16"/>
      <c r="J563" s="16" t="n">
        <v>4422036</v>
      </c>
    </row>
  </sheetData>
  <mergeCells count="1">
    <mergeCell ref="A3:J3"/>
  </mergeCells>
  <conditionalFormatting sqref="A7:J563">
    <cfRule type="expression" priority="2" aboveAverage="0" equalAverage="0" bottom="0" percent="0" rank="0" text="" dxfId="0">
      <formula>AND(OR(ROUND($D7,2)&lt;&gt;0,ROUND($E7,2)&lt;&gt;0),ROUND($F7,2)=0,ROUND($G7,2)=0)</formula>
    </cfRule>
    <cfRule type="expression" priority="3" aboveAverage="0" equalAverage="0" bottom="0" percent="0" rank="0" text="" dxfId="1">
      <formula>AND(ROUND($D7,2)=0,ROUND($E7,2)=0,OR(ROUND($F7,2)&lt;&gt;0,ROUND($G7,2)&lt;&gt;0))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2"/>
  </cols>
  <sheetData>
    <row r="1" customFormat="false" ht="16.15" hidden="false" customHeight="false" outlineLevel="0" collapsed="false">
      <c r="A1" s="11" t="s">
        <v>8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32.8" hidden="false" customHeight="true" outlineLevel="0" collapsed="false">
      <c r="A3" s="5" t="s">
        <v>258</v>
      </c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12" t="s">
        <v>47</v>
      </c>
      <c r="G4" s="13" t="s">
        <v>48</v>
      </c>
      <c r="H4" s="14" t="n">
        <f aca="false">12/9.5</f>
        <v>1.26315789473684</v>
      </c>
    </row>
    <row r="6" customFormat="false" ht="15" hidden="false" customHeight="false" outlineLevel="0" collapsed="false">
      <c r="A6" s="15" t="s">
        <v>49</v>
      </c>
      <c r="B6" s="15" t="s">
        <v>50</v>
      </c>
      <c r="C6" s="15" t="s">
        <v>51</v>
      </c>
      <c r="D6" s="15" t="s">
        <v>52</v>
      </c>
      <c r="E6" s="15" t="s">
        <v>53</v>
      </c>
      <c r="F6" s="15" t="s">
        <v>54</v>
      </c>
      <c r="G6" s="15" t="s">
        <v>55</v>
      </c>
      <c r="H6" s="15" t="s">
        <v>259</v>
      </c>
    </row>
    <row r="7" customFormat="false" ht="15" hidden="false" customHeight="false" outlineLevel="0" collapsed="false">
      <c r="A7" s="16" t="n">
        <f aca="false">'SALES Raw'!G551</f>
        <v>4414000</v>
      </c>
      <c r="B7" s="16" t="str">
        <f aca="false">'SALES Raw'!B551</f>
        <v>FC342 0</v>
      </c>
      <c r="C7" s="16" t="str">
        <f aca="false">'SALES Raw'!H551</f>
        <v>FC342-נוזל לציפורן חודרנית</v>
      </c>
      <c r="D7" s="8" t="n">
        <f aca="false">'SALES Raw'!C551</f>
        <v>16341</v>
      </c>
      <c r="E7" s="8" t="n">
        <f aca="false">'SALES Raw'!D551</f>
        <v>1097384.48</v>
      </c>
      <c r="F7" s="8" t="n">
        <f aca="false">'SALES Raw'!E551*$H$4</f>
        <v>14886.3157894737</v>
      </c>
      <c r="G7" s="8" t="n">
        <f aca="false">'SALES Raw'!F551*$H$4</f>
        <v>891741.802105263</v>
      </c>
      <c r="H7" s="16" t="str">
        <f aca="false">'SALES Raw'!A551</f>
        <v>301 - Amazon</v>
      </c>
    </row>
    <row r="8" customFormat="false" ht="15" hidden="false" customHeight="false" outlineLevel="0" collapsed="false">
      <c r="A8" s="16" t="str">
        <f aca="false">'SALES Raw'!G543</f>
        <v/>
      </c>
      <c r="B8" s="16" t="str">
        <f aca="false">'SALES Raw'!B543</f>
        <v>EC-59RB M</v>
      </c>
      <c r="C8" s="16" t="str">
        <f aca="false">'SALES Raw'!H543</f>
        <v>EC-59RB M</v>
      </c>
      <c r="D8" s="8" t="n">
        <f aca="false">'SALES Raw'!C543</f>
        <v>769</v>
      </c>
      <c r="E8" s="8" t="n">
        <f aca="false">'SALES Raw'!D543</f>
        <v>135894.77</v>
      </c>
      <c r="F8" s="8" t="n">
        <f aca="false">'SALES Raw'!E543*$H$4</f>
        <v>1447.57894736842</v>
      </c>
      <c r="G8" s="8" t="n">
        <f aca="false">'SALES Raw'!F543*$H$4</f>
        <v>232248.997894737</v>
      </c>
      <c r="H8" s="16" t="str">
        <f aca="false">'SALES Raw'!A543</f>
        <v>301 - Amazon</v>
      </c>
    </row>
    <row r="9" customFormat="false" ht="15" hidden="false" customHeight="false" outlineLevel="0" collapsed="false">
      <c r="A9" s="16" t="str">
        <f aca="false">'SALES Raw'!G552</f>
        <v/>
      </c>
      <c r="B9" s="16" t="str">
        <f aca="false">'SALES Raw'!B552</f>
        <v>FC3422 0</v>
      </c>
      <c r="C9" s="16" t="str">
        <f aca="false">'SALES Raw'!H552</f>
        <v>FC3422 0</v>
      </c>
      <c r="D9" s="8" t="n">
        <f aca="false">'SALES Raw'!C552</f>
        <v>1355</v>
      </c>
      <c r="E9" s="8" t="n">
        <f aca="false">'SALES Raw'!D552</f>
        <v>109768.29</v>
      </c>
      <c r="F9" s="8" t="n">
        <f aca="false">'SALES Raw'!E552*$H$4</f>
        <v>947.368421052632</v>
      </c>
      <c r="G9" s="8" t="n">
        <f aca="false">'SALES Raw'!F552*$H$4</f>
        <v>71485.3010526316</v>
      </c>
      <c r="H9" s="16" t="str">
        <f aca="false">'SALES Raw'!A552</f>
        <v>301 - Amazon</v>
      </c>
    </row>
    <row r="10" customFormat="false" ht="15" hidden="false" customHeight="false" outlineLevel="0" collapsed="false">
      <c r="A10" s="16" t="str">
        <f aca="false">'SALES Raw'!G553</f>
        <v/>
      </c>
      <c r="B10" s="16" t="str">
        <f aca="false">'SALES Raw'!B553</f>
        <v>FC342K 0</v>
      </c>
      <c r="C10" s="16" t="str">
        <f aca="false">'SALES Raw'!H553</f>
        <v>FC342K 0</v>
      </c>
      <c r="D10" s="8" t="n">
        <f aca="false">'SALES Raw'!C553</f>
        <v>1189</v>
      </c>
      <c r="E10" s="8" t="n">
        <f aca="false">'SALES Raw'!D553</f>
        <v>85731.85</v>
      </c>
      <c r="F10" s="8" t="n">
        <f aca="false">'SALES Raw'!E553*$H$4</f>
        <v>600</v>
      </c>
      <c r="G10" s="8" t="n">
        <f aca="false">'SALES Raw'!F553*$H$4</f>
        <v>41214.4926315789</v>
      </c>
      <c r="H10" s="16" t="str">
        <f aca="false">'SALES Raw'!A553</f>
        <v>301 - Amazon</v>
      </c>
    </row>
    <row r="11" customFormat="false" ht="15" hidden="false" customHeight="false" outlineLevel="0" collapsed="false">
      <c r="A11" s="16" t="str">
        <f aca="false">'SALES Raw'!G538</f>
        <v/>
      </c>
      <c r="B11" s="16" t="str">
        <f aca="false">'SALES Raw'!B538</f>
        <v>EC-59LB M</v>
      </c>
      <c r="C11" s="16" t="str">
        <f aca="false">'SALES Raw'!H538</f>
        <v>EC-59LB M</v>
      </c>
      <c r="D11" s="8" t="n">
        <f aca="false">'SALES Raw'!C538</f>
        <v>324</v>
      </c>
      <c r="E11" s="8" t="n">
        <f aca="false">'SALES Raw'!D538</f>
        <v>58442.65</v>
      </c>
      <c r="F11" s="8" t="n">
        <f aca="false">'SALES Raw'!E538*$H$4</f>
        <v>442.105263157895</v>
      </c>
      <c r="G11" s="8" t="n">
        <f aca="false">'SALES Raw'!F538*$H$4</f>
        <v>70977.7136842105</v>
      </c>
      <c r="H11" s="16" t="str">
        <f aca="false">'SALES Raw'!A538</f>
        <v>301 - Amazon</v>
      </c>
    </row>
    <row r="12" customFormat="false" ht="15" hidden="false" customHeight="false" outlineLevel="0" collapsed="false">
      <c r="A12" s="16" t="str">
        <f aca="false">'SALES Raw'!G528</f>
        <v/>
      </c>
      <c r="B12" s="16" t="str">
        <f aca="false">'SALES Raw'!B528</f>
        <v>EC-59R M</v>
      </c>
      <c r="C12" s="16" t="str">
        <f aca="false">'SALES Raw'!H528</f>
        <v>EC-59R M</v>
      </c>
      <c r="D12" s="8" t="n">
        <f aca="false">'SALES Raw'!C528</f>
        <v>1141</v>
      </c>
      <c r="E12" s="8" t="n">
        <f aca="false">'SALES Raw'!D528</f>
        <v>191075.16</v>
      </c>
      <c r="F12" s="8" t="n">
        <f aca="false">'SALES Raw'!E528*$H$4</f>
        <v>433.263157894737</v>
      </c>
      <c r="G12" s="8" t="n">
        <f aca="false">'SALES Raw'!F528*$H$4</f>
        <v>69735.5368421053</v>
      </c>
      <c r="H12" s="16" t="str">
        <f aca="false">'SALES Raw'!A528</f>
        <v>301 - Amazon</v>
      </c>
    </row>
    <row r="13" customFormat="false" ht="15" hidden="false" customHeight="false" outlineLevel="0" collapsed="false">
      <c r="A13" s="16" t="str">
        <f aca="false">'SALES Raw'!G544</f>
        <v/>
      </c>
      <c r="B13" s="16" t="str">
        <f aca="false">'SALES Raw'!B544</f>
        <v>EC-59RB S</v>
      </c>
      <c r="C13" s="16" t="str">
        <f aca="false">'SALES Raw'!H544</f>
        <v>EC-59RB S</v>
      </c>
      <c r="D13" s="8" t="n">
        <f aca="false">'SALES Raw'!C544</f>
        <v>384</v>
      </c>
      <c r="E13" s="8" t="n">
        <f aca="false">'SALES Raw'!D544</f>
        <v>68602.16</v>
      </c>
      <c r="F13" s="8" t="n">
        <f aca="false">'SALES Raw'!E544*$H$4</f>
        <v>411.789473684211</v>
      </c>
      <c r="G13" s="8" t="n">
        <f aca="false">'SALES Raw'!F544*$H$4</f>
        <v>65201.4694736842</v>
      </c>
      <c r="H13" s="16" t="str">
        <f aca="false">'SALES Raw'!A544</f>
        <v>301 - Amazon</v>
      </c>
    </row>
    <row r="14" customFormat="false" ht="15" hidden="false" customHeight="false" outlineLevel="0" collapsed="false">
      <c r="A14" s="16" t="str">
        <f aca="false">'SALES Raw'!G524</f>
        <v/>
      </c>
      <c r="B14" s="16" t="str">
        <f aca="false">'SALES Raw'!B524</f>
        <v>EC-59L M</v>
      </c>
      <c r="C14" s="16" t="str">
        <f aca="false">'SALES Raw'!H524</f>
        <v>EC-59L M</v>
      </c>
      <c r="D14" s="8" t="n">
        <f aca="false">'SALES Raw'!C524</f>
        <v>670</v>
      </c>
      <c r="E14" s="8" t="n">
        <f aca="false">'SALES Raw'!D524</f>
        <v>119782.01</v>
      </c>
      <c r="F14" s="8" t="n">
        <f aca="false">'SALES Raw'!E524*$H$4</f>
        <v>395.368421052632</v>
      </c>
      <c r="G14" s="8" t="n">
        <f aca="false">'SALES Raw'!F524*$H$4</f>
        <v>63066.3284210526</v>
      </c>
      <c r="H14" s="16" t="str">
        <f aca="false">'SALES Raw'!A524</f>
        <v>301 - Amazon</v>
      </c>
    </row>
    <row r="15" customFormat="false" ht="15" hidden="false" customHeight="false" outlineLevel="0" collapsed="false">
      <c r="A15" s="16" t="str">
        <f aca="false">'SALES Raw'!G542</f>
        <v/>
      </c>
      <c r="B15" s="16" t="str">
        <f aca="false">'SALES Raw'!B542</f>
        <v>EC-59RB L</v>
      </c>
      <c r="C15" s="16" t="str">
        <f aca="false">'SALES Raw'!H542</f>
        <v>EC-59RB L</v>
      </c>
      <c r="D15" s="8" t="n">
        <f aca="false">'SALES Raw'!C542</f>
        <v>268</v>
      </c>
      <c r="E15" s="8" t="n">
        <f aca="false">'SALES Raw'!D542</f>
        <v>47354.81</v>
      </c>
      <c r="F15" s="8" t="n">
        <f aca="false">'SALES Raw'!E542*$H$4</f>
        <v>256.421052631579</v>
      </c>
      <c r="G15" s="8" t="n">
        <f aca="false">'SALES Raw'!F542*$H$4</f>
        <v>41671.0989473684</v>
      </c>
      <c r="H15" s="16" t="str">
        <f aca="false">'SALES Raw'!A542</f>
        <v>301 - Amazon</v>
      </c>
    </row>
    <row r="16" customFormat="false" ht="15" hidden="false" customHeight="false" outlineLevel="0" collapsed="false">
      <c r="A16" s="16" t="n">
        <f aca="false">'SALES Raw'!G499</f>
        <v>4415029</v>
      </c>
      <c r="B16" s="16" t="str">
        <f aca="false">'SALES Raw'!B499</f>
        <v>237 0</v>
      </c>
      <c r="C16" s="16" t="str">
        <f aca="false">'SALES Raw'!H499</f>
        <v>סד קיבוע לאצבע הדק</v>
      </c>
      <c r="D16" s="8" t="n">
        <f aca="false">'SALES Raw'!C499</f>
        <v>12</v>
      </c>
      <c r="E16" s="8" t="n">
        <f aca="false">'SALES Raw'!D499</f>
        <v>705.87</v>
      </c>
      <c r="F16" s="8" t="n">
        <f aca="false">'SALES Raw'!E499*$H$4</f>
        <v>246.315789473684</v>
      </c>
      <c r="G16" s="8" t="n">
        <f aca="false">'SALES Raw'!F499*$H$4</f>
        <v>11803.2631578947</v>
      </c>
      <c r="H16" s="16" t="str">
        <f aca="false">'SALES Raw'!A499</f>
        <v>301 - Amazon</v>
      </c>
    </row>
    <row r="17" customFormat="false" ht="15" hidden="false" customHeight="false" outlineLevel="0" collapsed="false">
      <c r="A17" s="16" t="str">
        <f aca="false">'SALES Raw'!G529</f>
        <v/>
      </c>
      <c r="B17" s="16" t="str">
        <f aca="false">'SALES Raw'!B529</f>
        <v>EC-59R S</v>
      </c>
      <c r="C17" s="16" t="str">
        <f aca="false">'SALES Raw'!H529</f>
        <v>EC-59R S</v>
      </c>
      <c r="D17" s="8" t="n">
        <f aca="false">'SALES Raw'!C529</f>
        <v>502</v>
      </c>
      <c r="E17" s="8" t="n">
        <f aca="false">'SALES Raw'!D529</f>
        <v>92438.48</v>
      </c>
      <c r="F17" s="8" t="n">
        <f aca="false">'SALES Raw'!E529*$H$4</f>
        <v>238.736842105263</v>
      </c>
      <c r="G17" s="8" t="n">
        <f aca="false">'SALES Raw'!F529*$H$4</f>
        <v>38432.4505263158</v>
      </c>
      <c r="H17" s="16" t="str">
        <f aca="false">'SALES Raw'!A529</f>
        <v>301 - Amazon</v>
      </c>
    </row>
    <row r="18" customFormat="false" ht="15" hidden="false" customHeight="false" outlineLevel="0" collapsed="false">
      <c r="A18" s="16" t="str">
        <f aca="false">'SALES Raw'!G539</f>
        <v/>
      </c>
      <c r="B18" s="16" t="str">
        <f aca="false">'SALES Raw'!B539</f>
        <v>EC-59LB S</v>
      </c>
      <c r="C18" s="16" t="str">
        <f aca="false">'SALES Raw'!H539</f>
        <v>EC-59LB S</v>
      </c>
      <c r="D18" s="8" t="n">
        <f aca="false">'SALES Raw'!C539</f>
        <v>243</v>
      </c>
      <c r="E18" s="8" t="n">
        <f aca="false">'SALES Raw'!D539</f>
        <v>43557.14</v>
      </c>
      <c r="F18" s="8" t="n">
        <f aca="false">'SALES Raw'!E539*$H$4</f>
        <v>233.684210526316</v>
      </c>
      <c r="G18" s="8" t="n">
        <f aca="false">'SALES Raw'!F539*$H$4</f>
        <v>37462.7621052632</v>
      </c>
      <c r="H18" s="16" t="str">
        <f aca="false">'SALES Raw'!A539</f>
        <v>301 - Amazon</v>
      </c>
    </row>
    <row r="19" customFormat="false" ht="15" hidden="false" customHeight="false" outlineLevel="0" collapsed="false">
      <c r="A19" s="16" t="str">
        <f aca="false">'SALES Raw'!G494</f>
        <v/>
      </c>
      <c r="B19" s="16" t="str">
        <f aca="false">'SALES Raw'!B494</f>
        <v>EC-11STOB XXL</v>
      </c>
      <c r="C19" s="16" t="str">
        <f aca="false">'SALES Raw'!H494</f>
        <v>EC-11STOB XXL</v>
      </c>
      <c r="D19" s="8" t="n">
        <f aca="false">'SALES Raw'!C494</f>
        <v>86</v>
      </c>
      <c r="E19" s="8" t="n">
        <f aca="false">'SALES Raw'!D494</f>
        <v>10105.03</v>
      </c>
      <c r="F19" s="8" t="n">
        <f aca="false">'SALES Raw'!E494*$H$4</f>
        <v>190.736842105263</v>
      </c>
      <c r="G19" s="8" t="n">
        <f aca="false">'SALES Raw'!F494*$H$4</f>
        <v>23874.24</v>
      </c>
      <c r="H19" s="16" t="str">
        <f aca="false">'SALES Raw'!A494</f>
        <v>301 - Amazon</v>
      </c>
    </row>
    <row r="20" customFormat="false" ht="15" hidden="false" customHeight="false" outlineLevel="0" collapsed="false">
      <c r="A20" s="16" t="str">
        <f aca="false">'SALES Raw'!G533</f>
        <v/>
      </c>
      <c r="B20" s="16" t="str">
        <f aca="false">'SALES Raw'!B533</f>
        <v>EC-59DB M</v>
      </c>
      <c r="C20" s="16" t="str">
        <f aca="false">'SALES Raw'!H533</f>
        <v>EC-59DB M</v>
      </c>
      <c r="D20" s="8" t="n">
        <f aca="false">'SALES Raw'!C533</f>
        <v>125</v>
      </c>
      <c r="E20" s="8" t="n">
        <f aca="false">'SALES Raw'!D533</f>
        <v>23137.22</v>
      </c>
      <c r="F20" s="8" t="n">
        <f aca="false">'SALES Raw'!E533*$H$4</f>
        <v>190.736842105263</v>
      </c>
      <c r="G20" s="8" t="n">
        <f aca="false">'SALES Raw'!F533*$H$4</f>
        <v>31900.4463157895</v>
      </c>
      <c r="H20" s="16" t="str">
        <f aca="false">'SALES Raw'!A533</f>
        <v>301 - Amazon</v>
      </c>
    </row>
    <row r="21" customFormat="false" ht="15" hidden="false" customHeight="false" outlineLevel="0" collapsed="false">
      <c r="A21" s="16" t="str">
        <f aca="false">'SALES Raw'!G519</f>
        <v/>
      </c>
      <c r="B21" s="16" t="str">
        <f aca="false">'SALES Raw'!B519</f>
        <v>EC-59D M</v>
      </c>
      <c r="C21" s="16" t="str">
        <f aca="false">'SALES Raw'!H519</f>
        <v>EC-59D M</v>
      </c>
      <c r="D21" s="8" t="n">
        <f aca="false">'SALES Raw'!C519</f>
        <v>346</v>
      </c>
      <c r="E21" s="8" t="n">
        <f aca="false">'SALES Raw'!D519</f>
        <v>66008.37</v>
      </c>
      <c r="F21" s="8" t="n">
        <f aca="false">'SALES Raw'!E519*$H$4</f>
        <v>185.684210526316</v>
      </c>
      <c r="G21" s="8" t="n">
        <f aca="false">'SALES Raw'!F519*$H$4</f>
        <v>31333.5915789474</v>
      </c>
      <c r="H21" s="16" t="str">
        <f aca="false">'SALES Raw'!A519</f>
        <v>301 - Amazon</v>
      </c>
    </row>
    <row r="22" customFormat="false" ht="15" hidden="false" customHeight="false" outlineLevel="0" collapsed="false">
      <c r="A22" s="16" t="str">
        <f aca="false">'SALES Raw'!G493</f>
        <v/>
      </c>
      <c r="B22" s="16" t="str">
        <f aca="false">'SALES Raw'!B493</f>
        <v>EC-11STOB XL</v>
      </c>
      <c r="C22" s="16" t="str">
        <f aca="false">'SALES Raw'!H493</f>
        <v>EC-11STOB XL</v>
      </c>
      <c r="D22" s="8" t="n">
        <f aca="false">'SALES Raw'!C493</f>
        <v>86</v>
      </c>
      <c r="E22" s="8" t="n">
        <f aca="false">'SALES Raw'!D493</f>
        <v>11577.1</v>
      </c>
      <c r="F22" s="8" t="n">
        <f aca="false">'SALES Raw'!E493*$H$4</f>
        <v>178.105263157895</v>
      </c>
      <c r="G22" s="8" t="n">
        <f aca="false">'SALES Raw'!F493*$H$4</f>
        <v>23441.3810526316</v>
      </c>
      <c r="H22" s="16" t="str">
        <f aca="false">'SALES Raw'!A493</f>
        <v>301 - Amazon</v>
      </c>
    </row>
    <row r="23" customFormat="false" ht="15" hidden="false" customHeight="false" outlineLevel="0" collapsed="false">
      <c r="A23" s="16" t="str">
        <f aca="false">'SALES Raw'!G527</f>
        <v/>
      </c>
      <c r="B23" s="16" t="str">
        <f aca="false">'SALES Raw'!B527</f>
        <v>EC-59R L</v>
      </c>
      <c r="C23" s="16" t="str">
        <f aca="false">'SALES Raw'!H527</f>
        <v>EC-59R L</v>
      </c>
      <c r="D23" s="8" t="n">
        <f aca="false">'SALES Raw'!C527</f>
        <v>403</v>
      </c>
      <c r="E23" s="8" t="n">
        <f aca="false">'SALES Raw'!D527</f>
        <v>73333.84</v>
      </c>
      <c r="F23" s="8" t="n">
        <f aca="false">'SALES Raw'!E527*$H$4</f>
        <v>178.105263157895</v>
      </c>
      <c r="G23" s="8" t="n">
        <f aca="false">'SALES Raw'!F527*$H$4</f>
        <v>28441.3894736842</v>
      </c>
      <c r="H23" s="16" t="str">
        <f aca="false">'SALES Raw'!A527</f>
        <v>301 - Amazon</v>
      </c>
    </row>
    <row r="24" customFormat="false" ht="15" hidden="false" customHeight="false" outlineLevel="0" collapsed="false">
      <c r="A24" s="16" t="n">
        <f aca="false">'SALES Raw'!G510</f>
        <v>4421000</v>
      </c>
      <c r="B24" s="16" t="str">
        <f aca="false">'SALES Raw'!B510</f>
        <v>3655 0</v>
      </c>
      <c r="C24" s="16" t="str">
        <f aca="false">'SALES Raw'!H510</f>
        <v>3655 שרוול מסיליקון לאצבע</v>
      </c>
      <c r="D24" s="8" t="n">
        <f aca="false">'SALES Raw'!C510</f>
        <v>28</v>
      </c>
      <c r="E24" s="8" t="n">
        <f aca="false">'SALES Raw'!D510</f>
        <v>1182.08</v>
      </c>
      <c r="F24" s="8" t="n">
        <f aca="false">'SALES Raw'!E510*$H$4</f>
        <v>170.526315789474</v>
      </c>
      <c r="G24" s="8" t="n">
        <f aca="false">'SALES Raw'!F510*$H$4</f>
        <v>6808.66105263158</v>
      </c>
      <c r="H24" s="16" t="str">
        <f aca="false">'SALES Raw'!A510</f>
        <v>301 - Amazon</v>
      </c>
    </row>
    <row r="25" customFormat="false" ht="15" hidden="false" customHeight="false" outlineLevel="0" collapsed="false">
      <c r="A25" s="16" t="str">
        <f aca="false">'SALES Raw'!G490</f>
        <v/>
      </c>
      <c r="B25" s="16" t="str">
        <f aca="false">'SALES Raw'!B490</f>
        <v>EC-11STOB L</v>
      </c>
      <c r="C25" s="16" t="str">
        <f aca="false">'SALES Raw'!H490</f>
        <v>EC-11STOB L</v>
      </c>
      <c r="D25" s="8" t="n">
        <f aca="false">'SALES Raw'!C490</f>
        <v>91</v>
      </c>
      <c r="E25" s="8" t="n">
        <f aca="false">'SALES Raw'!D490</f>
        <v>12484.46</v>
      </c>
      <c r="F25" s="8" t="n">
        <f aca="false">'SALES Raw'!E490*$H$4</f>
        <v>159.157894736842</v>
      </c>
      <c r="G25" s="8" t="n">
        <f aca="false">'SALES Raw'!F490*$H$4</f>
        <v>20754.9221052632</v>
      </c>
      <c r="H25" s="16" t="str">
        <f aca="false">'SALES Raw'!A490</f>
        <v>301 - Amazon</v>
      </c>
    </row>
    <row r="26" customFormat="false" ht="15" hidden="false" customHeight="false" outlineLevel="0" collapsed="false">
      <c r="A26" s="16" t="str">
        <f aca="false">'SALES Raw'!G525</f>
        <v/>
      </c>
      <c r="B26" s="16" t="str">
        <f aca="false">'SALES Raw'!B525</f>
        <v>EC-59L S</v>
      </c>
      <c r="C26" s="16" t="str">
        <f aca="false">'SALES Raw'!H525</f>
        <v>EC-59L S</v>
      </c>
      <c r="D26" s="8" t="n">
        <f aca="false">'SALES Raw'!C525</f>
        <v>222</v>
      </c>
      <c r="E26" s="8" t="n">
        <f aca="false">'SALES Raw'!D525</f>
        <v>40212.55</v>
      </c>
      <c r="F26" s="8" t="n">
        <f aca="false">'SALES Raw'!E525*$H$4</f>
        <v>151.578947368421</v>
      </c>
      <c r="G26" s="8" t="n">
        <f aca="false">'SALES Raw'!F525*$H$4</f>
        <v>24526.7873684211</v>
      </c>
      <c r="H26" s="16" t="str">
        <f aca="false">'SALES Raw'!A525</f>
        <v>301 - Amazon</v>
      </c>
    </row>
    <row r="27" customFormat="false" ht="15" hidden="false" customHeight="false" outlineLevel="0" collapsed="false">
      <c r="A27" s="16" t="str">
        <f aca="false">'SALES Raw'!G537</f>
        <v/>
      </c>
      <c r="B27" s="16" t="str">
        <f aca="false">'SALES Raw'!B537</f>
        <v>EC-59LB L</v>
      </c>
      <c r="C27" s="16" t="str">
        <f aca="false">'SALES Raw'!H537</f>
        <v>EC-59LB L</v>
      </c>
      <c r="D27" s="8" t="n">
        <f aca="false">'SALES Raw'!C537</f>
        <v>128</v>
      </c>
      <c r="E27" s="8" t="n">
        <f aca="false">'SALES Raw'!D537</f>
        <v>22838.32</v>
      </c>
      <c r="F27" s="8" t="n">
        <f aca="false">'SALES Raw'!E537*$H$4</f>
        <v>145.263157894737</v>
      </c>
      <c r="G27" s="8" t="n">
        <f aca="false">'SALES Raw'!F537*$H$4</f>
        <v>23300.9810526316</v>
      </c>
      <c r="H27" s="16" t="str">
        <f aca="false">'SALES Raw'!A537</f>
        <v>301 - Amazon</v>
      </c>
    </row>
    <row r="28" customFormat="false" ht="15" hidden="false" customHeight="false" outlineLevel="0" collapsed="false">
      <c r="A28" s="16" t="str">
        <f aca="false">'SALES Raw'!G523</f>
        <v/>
      </c>
      <c r="B28" s="16" t="str">
        <f aca="false">'SALES Raw'!B523</f>
        <v>EC-59L L</v>
      </c>
      <c r="C28" s="16" t="str">
        <f aca="false">'SALES Raw'!H523</f>
        <v>EC-59L L</v>
      </c>
      <c r="D28" s="8" t="n">
        <f aca="false">'SALES Raw'!C523</f>
        <v>225</v>
      </c>
      <c r="E28" s="8" t="n">
        <f aca="false">'SALES Raw'!D523</f>
        <v>41045.21</v>
      </c>
      <c r="F28" s="8" t="n">
        <f aca="false">'SALES Raw'!E523*$H$4</f>
        <v>144</v>
      </c>
      <c r="G28" s="8" t="n">
        <f aca="false">'SALES Raw'!F523*$H$4</f>
        <v>23521.2378947368</v>
      </c>
      <c r="H28" s="16" t="str">
        <f aca="false">'SALES Raw'!A523</f>
        <v>301 - Amazon</v>
      </c>
    </row>
    <row r="29" customFormat="false" ht="15" hidden="false" customHeight="false" outlineLevel="0" collapsed="false">
      <c r="A29" s="16" t="str">
        <f aca="false">'SALES Raw'!G485</f>
        <v/>
      </c>
      <c r="B29" s="16" t="str">
        <f aca="false">'SALES Raw'!B485</f>
        <v>EC-11STO L</v>
      </c>
      <c r="C29" s="16" t="str">
        <f aca="false">'SALES Raw'!H485</f>
        <v>EC-11STO L</v>
      </c>
      <c r="D29" s="8" t="n">
        <f aca="false">'SALES Raw'!C485</f>
        <v>177</v>
      </c>
      <c r="E29" s="8" t="n">
        <f aca="false">'SALES Raw'!D485</f>
        <v>24684.59</v>
      </c>
      <c r="F29" s="8" t="n">
        <f aca="false">'SALES Raw'!E485*$H$4</f>
        <v>137.684210526316</v>
      </c>
      <c r="G29" s="8" t="n">
        <f aca="false">'SALES Raw'!F485*$H$4</f>
        <v>18322.8252631579</v>
      </c>
      <c r="H29" s="16" t="str">
        <f aca="false">'SALES Raw'!A485</f>
        <v>301 - Amazon</v>
      </c>
    </row>
    <row r="30" customFormat="false" ht="15" hidden="false" customHeight="false" outlineLevel="0" collapsed="false">
      <c r="A30" s="16" t="str">
        <f aca="false">'SALES Raw'!G520</f>
        <v/>
      </c>
      <c r="B30" s="16" t="str">
        <f aca="false">'SALES Raw'!B520</f>
        <v>EC-59D S</v>
      </c>
      <c r="C30" s="16" t="str">
        <f aca="false">'SALES Raw'!H520</f>
        <v>EC-59D S</v>
      </c>
      <c r="D30" s="8" t="n">
        <f aca="false">'SALES Raw'!C520</f>
        <v>175</v>
      </c>
      <c r="E30" s="8" t="n">
        <f aca="false">'SALES Raw'!D520</f>
        <v>33651.11</v>
      </c>
      <c r="F30" s="8" t="n">
        <f aca="false">'SALES Raw'!E520*$H$4</f>
        <v>113.684210526316</v>
      </c>
      <c r="G30" s="8" t="n">
        <f aca="false">'SALES Raw'!F520*$H$4</f>
        <v>20181.4610526316</v>
      </c>
      <c r="H30" s="16" t="str">
        <f aca="false">'SALES Raw'!A520</f>
        <v>301 - Amazon</v>
      </c>
    </row>
    <row r="31" customFormat="false" ht="15" hidden="false" customHeight="false" outlineLevel="0" collapsed="false">
      <c r="A31" s="16" t="str">
        <f aca="false">'SALES Raw'!G534</f>
        <v/>
      </c>
      <c r="B31" s="16" t="str">
        <f aca="false">'SALES Raw'!B534</f>
        <v>EC-59DB S</v>
      </c>
      <c r="C31" s="16" t="str">
        <f aca="false">'SALES Raw'!H534</f>
        <v>EC-59DB S</v>
      </c>
      <c r="D31" s="8" t="n">
        <f aca="false">'SALES Raw'!C534</f>
        <v>49</v>
      </c>
      <c r="E31" s="8" t="n">
        <f aca="false">'SALES Raw'!D534</f>
        <v>9171.45</v>
      </c>
      <c r="F31" s="8" t="n">
        <f aca="false">'SALES Raw'!E534*$H$4</f>
        <v>106.105263157895</v>
      </c>
      <c r="G31" s="8" t="n">
        <f aca="false">'SALES Raw'!F534*$H$4</f>
        <v>17979.1578947368</v>
      </c>
      <c r="H31" s="16" t="str">
        <f aca="false">'SALES Raw'!A534</f>
        <v>301 - Amazon</v>
      </c>
    </row>
    <row r="32" customFormat="false" ht="15" hidden="false" customHeight="false" outlineLevel="0" collapsed="false">
      <c r="A32" s="16" t="str">
        <f aca="false">'SALES Raw'!G486</f>
        <v/>
      </c>
      <c r="B32" s="16" t="str">
        <f aca="false">'SALES Raw'!B486</f>
        <v>EC-11STO M</v>
      </c>
      <c r="C32" s="16" t="str">
        <f aca="false">'SALES Raw'!H486</f>
        <v>EC-11STO M</v>
      </c>
      <c r="D32" s="8" t="n">
        <f aca="false">'SALES Raw'!C486</f>
        <v>125</v>
      </c>
      <c r="E32" s="8" t="n">
        <f aca="false">'SALES Raw'!D486</f>
        <v>16991.76</v>
      </c>
      <c r="F32" s="8" t="n">
        <f aca="false">'SALES Raw'!E486*$H$4</f>
        <v>97.2631578947368</v>
      </c>
      <c r="G32" s="8" t="n">
        <f aca="false">'SALES Raw'!F486*$H$4</f>
        <v>12988.2189473684</v>
      </c>
      <c r="H32" s="16" t="str">
        <f aca="false">'SALES Raw'!A486</f>
        <v>301 - Amazon</v>
      </c>
    </row>
    <row r="33" customFormat="false" ht="15" hidden="false" customHeight="false" outlineLevel="0" collapsed="false">
      <c r="A33" s="16" t="str">
        <f aca="false">'SALES Raw'!G491</f>
        <v/>
      </c>
      <c r="B33" s="16" t="str">
        <f aca="false">'SALES Raw'!B491</f>
        <v>EC-11STOB M</v>
      </c>
      <c r="C33" s="16" t="str">
        <f aca="false">'SALES Raw'!H491</f>
        <v>EC-11STOB M</v>
      </c>
      <c r="D33" s="8" t="n">
        <f aca="false">'SALES Raw'!C491</f>
        <v>16</v>
      </c>
      <c r="E33" s="8" t="n">
        <f aca="false">'SALES Raw'!D491</f>
        <v>2183.52</v>
      </c>
      <c r="F33" s="8" t="n">
        <f aca="false">'SALES Raw'!E491*$H$4</f>
        <v>97.2631578947368</v>
      </c>
      <c r="G33" s="8" t="n">
        <f aca="false">'SALES Raw'!F491*$H$4</f>
        <v>11556.3789473684</v>
      </c>
      <c r="H33" s="16" t="str">
        <f aca="false">'SALES Raw'!A491</f>
        <v>301 - Amazon</v>
      </c>
    </row>
    <row r="34" customFormat="false" ht="15" hidden="false" customHeight="false" outlineLevel="0" collapsed="false">
      <c r="A34" s="16" t="str">
        <f aca="false">'SALES Raw'!G518</f>
        <v/>
      </c>
      <c r="B34" s="16" t="str">
        <f aca="false">'SALES Raw'!B518</f>
        <v>EC-59D L</v>
      </c>
      <c r="C34" s="16" t="str">
        <f aca="false">'SALES Raw'!H518</f>
        <v>EC-59D L</v>
      </c>
      <c r="D34" s="8" t="n">
        <f aca="false">'SALES Raw'!C518</f>
        <v>125</v>
      </c>
      <c r="E34" s="8" t="n">
        <f aca="false">'SALES Raw'!D518</f>
        <v>23867.72</v>
      </c>
      <c r="F34" s="8" t="n">
        <f aca="false">'SALES Raw'!E518*$H$4</f>
        <v>96</v>
      </c>
      <c r="G34" s="8" t="n">
        <f aca="false">'SALES Raw'!F518*$H$4</f>
        <v>16136.1347368421</v>
      </c>
      <c r="H34" s="16" t="str">
        <f aca="false">'SALES Raw'!A518</f>
        <v>301 - Amazon</v>
      </c>
    </row>
    <row r="35" customFormat="false" ht="15" hidden="false" customHeight="false" outlineLevel="0" collapsed="false">
      <c r="A35" s="16" t="n">
        <f aca="false">'SALES Raw'!G508</f>
        <v>4413059</v>
      </c>
      <c r="B35" s="16" t="str">
        <f aca="false">'SALES Raw'!B508</f>
        <v>364-S-L</v>
      </c>
      <c r="C35" s="16" t="str">
        <f aca="false">'SALES Raw'!H508</f>
        <v>364S Lמפר.אצבע סיליק. ליבל.זוג</v>
      </c>
      <c r="D35" s="8" t="n">
        <f aca="false">'SALES Raw'!C508</f>
        <v>33</v>
      </c>
      <c r="E35" s="8" t="n">
        <f aca="false">'SALES Raw'!D508</f>
        <v>1082.62</v>
      </c>
      <c r="F35" s="8" t="n">
        <f aca="false">'SALES Raw'!E508*$H$4</f>
        <v>92.2105263157895</v>
      </c>
      <c r="G35" s="8" t="n">
        <f aca="false">'SALES Raw'!F508*$H$4</f>
        <v>2789.0652631579</v>
      </c>
      <c r="H35" s="16" t="str">
        <f aca="false">'SALES Raw'!A508</f>
        <v>301 - Amazon</v>
      </c>
    </row>
    <row r="36" customFormat="false" ht="15" hidden="false" customHeight="false" outlineLevel="0" collapsed="false">
      <c r="A36" s="16" t="str">
        <f aca="false">'SALES Raw'!G483</f>
        <v/>
      </c>
      <c r="B36" s="16" t="str">
        <f aca="false">'SALES Raw'!B483</f>
        <v>EC-11NOR XL</v>
      </c>
      <c r="C36" s="16" t="str">
        <f aca="false">'SALES Raw'!H483</f>
        <v>EC-11NOR XL</v>
      </c>
      <c r="D36" s="8" t="n">
        <f aca="false">'SALES Raw'!C483</f>
        <v>191</v>
      </c>
      <c r="E36" s="8" t="n">
        <f aca="false">'SALES Raw'!D483</f>
        <v>26070.58</v>
      </c>
      <c r="F36" s="8" t="n">
        <f aca="false">'SALES Raw'!E483*$H$4</f>
        <v>82.1052631578947</v>
      </c>
      <c r="G36" s="8" t="n">
        <f aca="false">'SALES Raw'!F483*$H$4</f>
        <v>10279.5157894737</v>
      </c>
      <c r="H36" s="16" t="str">
        <f aca="false">'SALES Raw'!A483</f>
        <v>301 - Amazon</v>
      </c>
    </row>
    <row r="37" customFormat="false" ht="15" hidden="false" customHeight="false" outlineLevel="0" collapsed="false">
      <c r="A37" s="16" t="str">
        <f aca="false">'SALES Raw'!G489</f>
        <v/>
      </c>
      <c r="B37" s="16" t="str">
        <f aca="false">'SALES Raw'!B489</f>
        <v>EC-11STO XXL</v>
      </c>
      <c r="C37" s="16" t="str">
        <f aca="false">'SALES Raw'!H489</f>
        <v>EC-11STO XXL</v>
      </c>
      <c r="D37" s="8" t="n">
        <f aca="false">'SALES Raw'!C489</f>
        <v>224</v>
      </c>
      <c r="E37" s="8" t="n">
        <f aca="false">'SALES Raw'!D489</f>
        <v>30949.19</v>
      </c>
      <c r="F37" s="8" t="n">
        <f aca="false">'SALES Raw'!E489*$H$4</f>
        <v>77.0526315789474</v>
      </c>
      <c r="G37" s="8" t="n">
        <f aca="false">'SALES Raw'!F489*$H$4</f>
        <v>10383.3347368421</v>
      </c>
      <c r="H37" s="16" t="str">
        <f aca="false">'SALES Raw'!A489</f>
        <v>301 - Amazon</v>
      </c>
    </row>
    <row r="38" customFormat="false" ht="15" hidden="false" customHeight="false" outlineLevel="0" collapsed="false">
      <c r="A38" s="16" t="str">
        <f aca="false">'SALES Raw'!G532</f>
        <v/>
      </c>
      <c r="B38" s="16" t="str">
        <f aca="false">'SALES Raw'!B532</f>
        <v>EC-59DB L</v>
      </c>
      <c r="C38" s="16" t="str">
        <f aca="false">'SALES Raw'!H532</f>
        <v>EC-59DB L</v>
      </c>
      <c r="D38" s="8" t="n">
        <f aca="false">'SALES Raw'!C532</f>
        <v>60</v>
      </c>
      <c r="E38" s="8" t="n">
        <f aca="false">'SALES Raw'!D532</f>
        <v>11413.11</v>
      </c>
      <c r="F38" s="8" t="n">
        <f aca="false">'SALES Raw'!E532*$H$4</f>
        <v>73.2631578947368</v>
      </c>
      <c r="G38" s="8" t="n">
        <f aca="false">'SALES Raw'!F532*$H$4</f>
        <v>12205.0231578947</v>
      </c>
      <c r="H38" s="16" t="str">
        <f aca="false">'SALES Raw'!A532</f>
        <v>301 - Amazon</v>
      </c>
    </row>
    <row r="39" customFormat="false" ht="15" hidden="false" customHeight="false" outlineLevel="0" collapsed="false">
      <c r="A39" s="16" t="str">
        <f aca="false">'SALES Raw'!G488</f>
        <v/>
      </c>
      <c r="B39" s="16" t="str">
        <f aca="false">'SALES Raw'!B488</f>
        <v>EC-11STO XL</v>
      </c>
      <c r="C39" s="16" t="str">
        <f aca="false">'SALES Raw'!H488</f>
        <v>EC-11STO XL</v>
      </c>
      <c r="D39" s="8" t="n">
        <f aca="false">'SALES Raw'!C488</f>
        <v>195</v>
      </c>
      <c r="E39" s="8" t="n">
        <f aca="false">'SALES Raw'!D488</f>
        <v>27208.51</v>
      </c>
      <c r="F39" s="8" t="n">
        <f aca="false">'SALES Raw'!E488*$H$4</f>
        <v>66.9473684210526</v>
      </c>
      <c r="G39" s="8" t="n">
        <f aca="false">'SALES Raw'!F488*$H$4</f>
        <v>9125.76</v>
      </c>
      <c r="H39" s="16" t="str">
        <f aca="false">'SALES Raw'!A488</f>
        <v>301 - Amazon</v>
      </c>
    </row>
    <row r="40" customFormat="false" ht="15" hidden="false" customHeight="false" outlineLevel="0" collapsed="false">
      <c r="A40" s="16" t="n">
        <f aca="false">'SALES Raw'!G514</f>
        <v>4413452</v>
      </c>
      <c r="B40" s="16" t="str">
        <f aca="false">'SALES Raw'!B514</f>
        <v>386 0</v>
      </c>
      <c r="C40" s="16" t="str">
        <f aca="false">'SALES Raw'!H514</f>
        <v>386  מיישר בוניון-האלוקס ולגוס</v>
      </c>
      <c r="D40" s="8" t="n">
        <f aca="false">'SALES Raw'!C514</f>
        <v>51</v>
      </c>
      <c r="E40" s="8" t="n">
        <f aca="false">'SALES Raw'!D514</f>
        <v>4500.68</v>
      </c>
      <c r="F40" s="8" t="n">
        <f aca="false">'SALES Raw'!E514*$H$4</f>
        <v>61.8947368421053</v>
      </c>
      <c r="G40" s="8" t="n">
        <f aca="false">'SALES Raw'!F514*$H$4</f>
        <v>4031.00210526316</v>
      </c>
      <c r="H40" s="16" t="str">
        <f aca="false">'SALES Raw'!A514</f>
        <v>301 - Amazon</v>
      </c>
    </row>
    <row r="41" customFormat="false" ht="15" hidden="false" customHeight="false" outlineLevel="0" collapsed="false">
      <c r="A41" s="16" t="n">
        <f aca="false">'SALES Raw'!G507</f>
        <v>4421007</v>
      </c>
      <c r="B41" s="16" t="str">
        <f aca="false">'SALES Raw'!B507</f>
        <v>350 0</v>
      </c>
      <c r="C41" s="16" t="str">
        <f aca="false">'SALES Raw'!H507</f>
        <v>שרוול לגבס קצר רגל</v>
      </c>
      <c r="D41" s="8" t="n">
        <f aca="false">'SALES Raw'!C507</f>
        <v>12</v>
      </c>
      <c r="E41" s="8" t="n">
        <f aca="false">'SALES Raw'!D507</f>
        <v>859.76</v>
      </c>
      <c r="F41" s="8" t="n">
        <f aca="false">'SALES Raw'!E507*$H$4</f>
        <v>36.6315789473684</v>
      </c>
      <c r="G41" s="8" t="n">
        <f aca="false">'SALES Raw'!F507*$H$4</f>
        <v>2828.16</v>
      </c>
      <c r="H41" s="16" t="str">
        <f aca="false">'SALES Raw'!A507</f>
        <v>301 - Amazon</v>
      </c>
    </row>
    <row r="42" customFormat="false" ht="15" hidden="false" customHeight="false" outlineLevel="0" collapsed="false">
      <c r="A42" s="16" t="str">
        <f aca="false">'SALES Raw'!G554</f>
        <v/>
      </c>
      <c r="B42" s="16" t="str">
        <f aca="false">'SALES Raw'!B554</f>
        <v>TC342 0</v>
      </c>
      <c r="C42" s="16" t="str">
        <f aca="false">'SALES Raw'!H554</f>
        <v>TC342 0</v>
      </c>
      <c r="D42" s="8" t="n">
        <f aca="false">'SALES Raw'!C554</f>
        <v>0</v>
      </c>
      <c r="E42" s="8" t="n">
        <f aca="false">'SALES Raw'!D554</f>
        <v>0</v>
      </c>
      <c r="F42" s="8" t="n">
        <f aca="false">'SALES Raw'!E554*$H$4</f>
        <v>32.8421052631579</v>
      </c>
      <c r="G42" s="8" t="n">
        <f aca="false">'SALES Raw'!F554*$H$4</f>
        <v>2744.75368421053</v>
      </c>
      <c r="H42" s="16" t="str">
        <f aca="false">'SALES Raw'!A554</f>
        <v>301 - Amazon</v>
      </c>
    </row>
    <row r="43" customFormat="false" ht="15" hidden="false" customHeight="false" outlineLevel="0" collapsed="false">
      <c r="A43" s="16" t="str">
        <f aca="false">'SALES Raw'!G487</f>
        <v/>
      </c>
      <c r="B43" s="16" t="str">
        <f aca="false">'SALES Raw'!B487</f>
        <v>EC-11STO S</v>
      </c>
      <c r="C43" s="16" t="str">
        <f aca="false">'SALES Raw'!H487</f>
        <v>EC-11STO S</v>
      </c>
      <c r="D43" s="8" t="n">
        <f aca="false">'SALES Raw'!C487</f>
        <v>27</v>
      </c>
      <c r="E43" s="8" t="n">
        <f aca="false">'SALES Raw'!D487</f>
        <v>3576.51</v>
      </c>
      <c r="F43" s="8" t="n">
        <f aca="false">'SALES Raw'!E487*$H$4</f>
        <v>30.3157894736842</v>
      </c>
      <c r="G43" s="8" t="n">
        <f aca="false">'SALES Raw'!F487*$H$4</f>
        <v>3947.70947368421</v>
      </c>
      <c r="H43" s="16" t="str">
        <f aca="false">'SALES Raw'!A487</f>
        <v>301 - Amazon</v>
      </c>
    </row>
    <row r="44" customFormat="false" ht="15" hidden="false" customHeight="false" outlineLevel="0" collapsed="false">
      <c r="A44" s="16" t="str">
        <f aca="false">'SALES Raw'!G535</f>
        <v/>
      </c>
      <c r="B44" s="16" t="str">
        <f aca="false">'SALES Raw'!B535</f>
        <v>EC-59DB XL</v>
      </c>
      <c r="C44" s="16" t="str">
        <f aca="false">'SALES Raw'!H535</f>
        <v>EC-59DB XL</v>
      </c>
      <c r="D44" s="8" t="n">
        <f aca="false">'SALES Raw'!C535</f>
        <v>7</v>
      </c>
      <c r="E44" s="8" t="n">
        <f aca="false">'SALES Raw'!D535</f>
        <v>1289.35</v>
      </c>
      <c r="F44" s="8" t="n">
        <f aca="false">'SALES Raw'!E535*$H$4</f>
        <v>27.7894736842105</v>
      </c>
      <c r="G44" s="8" t="n">
        <f aca="false">'SALES Raw'!F535*$H$4</f>
        <v>4704.30315789474</v>
      </c>
      <c r="H44" s="16" t="str">
        <f aca="false">'SALES Raw'!A535</f>
        <v>301 - Amazon</v>
      </c>
    </row>
    <row r="45" customFormat="false" ht="15" hidden="false" customHeight="false" outlineLevel="0" collapsed="false">
      <c r="A45" s="16" t="n">
        <f aca="false">'SALES Raw'!G548</f>
        <v>4408208</v>
      </c>
      <c r="B45" s="16" t="str">
        <f aca="false">'SALES Raw'!B548</f>
        <v>AC91 0</v>
      </c>
      <c r="C45" s="16" t="str">
        <f aca="false">'SALES Raw'!H548</f>
        <v>AC91 חבק טניס</v>
      </c>
      <c r="D45" s="8" t="n">
        <f aca="false">'SALES Raw'!C548</f>
        <v>3</v>
      </c>
      <c r="E45" s="8" t="n">
        <f aca="false">'SALES Raw'!D548</f>
        <v>219.63</v>
      </c>
      <c r="F45" s="8" t="n">
        <f aca="false">'SALES Raw'!E548*$H$4</f>
        <v>27.7894736842105</v>
      </c>
      <c r="G45" s="8" t="n">
        <f aca="false">'SALES Raw'!F548*$H$4</f>
        <v>1712.76631578947</v>
      </c>
      <c r="H45" s="16" t="str">
        <f aca="false">'SALES Raw'!A548</f>
        <v>301 - Amazon</v>
      </c>
    </row>
    <row r="46" customFormat="false" ht="15" hidden="false" customHeight="false" outlineLevel="0" collapsed="false">
      <c r="A46" s="16" t="str">
        <f aca="false">'SALES Raw'!G492</f>
        <v/>
      </c>
      <c r="B46" s="16" t="str">
        <f aca="false">'SALES Raw'!B492</f>
        <v>EC-11STOB S</v>
      </c>
      <c r="C46" s="16" t="str">
        <f aca="false">'SALES Raw'!H492</f>
        <v>EC-11STOB S</v>
      </c>
      <c r="D46" s="8" t="n">
        <f aca="false">'SALES Raw'!C492</f>
        <v>1</v>
      </c>
      <c r="E46" s="8" t="n">
        <f aca="false">'SALES Raw'!D492</f>
        <v>137.01</v>
      </c>
      <c r="F46" s="8" t="n">
        <f aca="false">'SALES Raw'!E492*$H$4</f>
        <v>25.2631578947368</v>
      </c>
      <c r="G46" s="8" t="n">
        <f aca="false">'SALES Raw'!F492*$H$4</f>
        <v>3227.52</v>
      </c>
      <c r="H46" s="16" t="str">
        <f aca="false">'SALES Raw'!A492</f>
        <v>301 - Amazon</v>
      </c>
    </row>
    <row r="47" customFormat="false" ht="15" hidden="false" customHeight="false" outlineLevel="0" collapsed="false">
      <c r="A47" s="16" t="n">
        <f aca="false">'SALES Raw'!G506</f>
        <v>4415297</v>
      </c>
      <c r="B47" s="16" t="str">
        <f aca="false">'SALES Raw'!B506</f>
        <v>313 0</v>
      </c>
      <c r="C47" s="16" t="str">
        <f aca="false">'SALES Raw'!H506</f>
        <v>313 סט פלסטרים נגד שפשופים</v>
      </c>
      <c r="D47" s="8" t="n">
        <f aca="false">'SALES Raw'!C506</f>
        <v>6</v>
      </c>
      <c r="E47" s="8" t="n">
        <f aca="false">'SALES Raw'!D506</f>
        <v>339.07</v>
      </c>
      <c r="F47" s="8" t="n">
        <f aca="false">'SALES Raw'!E506*$H$4</f>
        <v>24</v>
      </c>
      <c r="G47" s="8" t="n">
        <f aca="false">'SALES Raw'!F506*$H$4</f>
        <v>724.825263157895</v>
      </c>
      <c r="H47" s="16" t="str">
        <f aca="false">'SALES Raw'!A506</f>
        <v>301 - Amazon</v>
      </c>
    </row>
    <row r="48" customFormat="false" ht="15" hidden="false" customHeight="false" outlineLevel="0" collapsed="false">
      <c r="A48" s="16" t="n">
        <f aca="false">'SALES Raw'!G509</f>
        <v>4413060</v>
      </c>
      <c r="B48" s="16" t="str">
        <f aca="false">'SALES Raw'!B509</f>
        <v>364 XL</v>
      </c>
      <c r="C48" s="16" t="str">
        <f aca="false">'SALES Raw'!H509</f>
        <v>364 XLמפריד אצבע סיליקון ליבלת</v>
      </c>
      <c r="D48" s="8" t="n">
        <f aca="false">'SALES Raw'!C509</f>
        <v>10</v>
      </c>
      <c r="E48" s="8" t="n">
        <f aca="false">'SALES Raw'!D509</f>
        <v>447.58</v>
      </c>
      <c r="F48" s="8" t="n">
        <f aca="false">'SALES Raw'!E509*$H$4</f>
        <v>24</v>
      </c>
      <c r="G48" s="8" t="n">
        <f aca="false">'SALES Raw'!F509*$H$4</f>
        <v>1058.85473684211</v>
      </c>
      <c r="H48" s="16" t="str">
        <f aca="false">'SALES Raw'!A509</f>
        <v>301 - Amazon</v>
      </c>
    </row>
    <row r="49" customFormat="false" ht="15" hidden="false" customHeight="false" outlineLevel="0" collapsed="false">
      <c r="A49" s="16" t="str">
        <f aca="false">'SALES Raw'!G536</f>
        <v/>
      </c>
      <c r="B49" s="16" t="str">
        <f aca="false">'SALES Raw'!B536</f>
        <v>EC-59DB XXL</v>
      </c>
      <c r="C49" s="16" t="str">
        <f aca="false">'SALES Raw'!H536</f>
        <v>EC-59DB XXL</v>
      </c>
      <c r="D49" s="8" t="n">
        <f aca="false">'SALES Raw'!C536</f>
        <v>11</v>
      </c>
      <c r="E49" s="8" t="n">
        <f aca="false">'SALES Raw'!D536</f>
        <v>1984.08</v>
      </c>
      <c r="F49" s="8" t="n">
        <f aca="false">'SALES Raw'!E536*$H$4</f>
        <v>21.4736842105263</v>
      </c>
      <c r="G49" s="8" t="n">
        <f aca="false">'SALES Raw'!F536*$H$4</f>
        <v>3600.97263157895</v>
      </c>
      <c r="H49" s="16" t="str">
        <f aca="false">'SALES Raw'!A536</f>
        <v>301 - Amazon</v>
      </c>
    </row>
    <row r="50" customFormat="false" ht="15" hidden="false" customHeight="false" outlineLevel="0" collapsed="false">
      <c r="A50" s="16" t="str">
        <f aca="false">'SALES Raw'!G546</f>
        <v/>
      </c>
      <c r="B50" s="16" t="str">
        <f aca="false">'SALES Raw'!B546</f>
        <v>EC-59RB XXL</v>
      </c>
      <c r="C50" s="16" t="str">
        <f aca="false">'SALES Raw'!H546</f>
        <v>EC-59RB XXL</v>
      </c>
      <c r="D50" s="8" t="n">
        <f aca="false">'SALES Raw'!C546</f>
        <v>15</v>
      </c>
      <c r="E50" s="8" t="n">
        <f aca="false">'SALES Raw'!D546</f>
        <v>2644.47</v>
      </c>
      <c r="F50" s="8" t="n">
        <f aca="false">'SALES Raw'!E546*$H$4</f>
        <v>18.9473684210526</v>
      </c>
      <c r="G50" s="8" t="n">
        <f aca="false">'SALES Raw'!F546*$H$4</f>
        <v>2861.96210526316</v>
      </c>
      <c r="H50" s="16" t="str">
        <f aca="false">'SALES Raw'!A546</f>
        <v>301 - Amazon</v>
      </c>
    </row>
    <row r="51" customFormat="false" ht="15" hidden="false" customHeight="false" outlineLevel="0" collapsed="false">
      <c r="A51" s="16" t="str">
        <f aca="false">'SALES Raw'!G540</f>
        <v/>
      </c>
      <c r="B51" s="16" t="str">
        <f aca="false">'SALES Raw'!B540</f>
        <v>EC-59LB XL</v>
      </c>
      <c r="C51" s="16" t="str">
        <f aca="false">'SALES Raw'!H540</f>
        <v>EC-59LB XL</v>
      </c>
      <c r="D51" s="8" t="n">
        <f aca="false">'SALES Raw'!C540</f>
        <v>21</v>
      </c>
      <c r="E51" s="8" t="n">
        <f aca="false">'SALES Raw'!D540</f>
        <v>3503.89</v>
      </c>
      <c r="F51" s="8" t="n">
        <f aca="false">'SALES Raw'!E540*$H$4</f>
        <v>17.6842105263158</v>
      </c>
      <c r="G51" s="8" t="n">
        <f aca="false">'SALES Raw'!F540*$H$4</f>
        <v>2975.63368421053</v>
      </c>
      <c r="H51" s="16" t="str">
        <f aca="false">'SALES Raw'!A540</f>
        <v>301 - Amazon</v>
      </c>
    </row>
    <row r="52" customFormat="false" ht="15" hidden="false" customHeight="false" outlineLevel="0" collapsed="false">
      <c r="A52" s="16" t="str">
        <f aca="false">'SALES Raw'!G541</f>
        <v/>
      </c>
      <c r="B52" s="16" t="str">
        <f aca="false">'SALES Raw'!B541</f>
        <v>EC-59LB XXL</v>
      </c>
      <c r="C52" s="16" t="str">
        <f aca="false">'SALES Raw'!H541</f>
        <v>EC-59LB XXL</v>
      </c>
      <c r="D52" s="8" t="n">
        <f aca="false">'SALES Raw'!C541</f>
        <v>7</v>
      </c>
      <c r="E52" s="8" t="n">
        <f aca="false">'SALES Raw'!D541</f>
        <v>1230.79</v>
      </c>
      <c r="F52" s="8" t="n">
        <f aca="false">'SALES Raw'!E541*$H$4</f>
        <v>16.4210526315789</v>
      </c>
      <c r="G52" s="8" t="n">
        <f aca="false">'SALES Raw'!F541*$H$4</f>
        <v>2694.01263157895</v>
      </c>
      <c r="H52" s="16" t="str">
        <f aca="false">'SALES Raw'!A541</f>
        <v>301 - Amazon</v>
      </c>
    </row>
    <row r="53" customFormat="false" ht="15" hidden="false" customHeight="false" outlineLevel="0" collapsed="false">
      <c r="A53" s="16" t="n">
        <f aca="false">'SALES Raw'!G503</f>
        <v>4416003</v>
      </c>
      <c r="B53" s="16" t="str">
        <f aca="false">'SALES Raw'!B503</f>
        <v>308 L</v>
      </c>
      <c r="C53" s="16" t="str">
        <f aca="false">'SALES Raw'!H503</f>
        <v>308 Lעקבים סיליקון כחול לדורבן</v>
      </c>
      <c r="D53" s="8" t="n">
        <f aca="false">'SALES Raw'!C503</f>
        <v>7</v>
      </c>
      <c r="E53" s="8" t="n">
        <f aca="false">'SALES Raw'!D503</f>
        <v>783.88</v>
      </c>
      <c r="F53" s="8" t="n">
        <f aca="false">'SALES Raw'!E503*$H$4</f>
        <v>15.1578947368421</v>
      </c>
      <c r="G53" s="8" t="n">
        <f aca="false">'SALES Raw'!F503*$H$4</f>
        <v>1601.16631578947</v>
      </c>
      <c r="H53" s="16" t="str">
        <f aca="false">'SALES Raw'!A503</f>
        <v>301 - Amazon</v>
      </c>
    </row>
    <row r="54" customFormat="false" ht="15" hidden="false" customHeight="false" outlineLevel="0" collapsed="false">
      <c r="A54" s="16" t="str">
        <f aca="false">'SALES Raw'!G526</f>
        <v/>
      </c>
      <c r="B54" s="16" t="str">
        <f aca="false">'SALES Raw'!B526</f>
        <v>EC-59L XL</v>
      </c>
      <c r="C54" s="16" t="str">
        <f aca="false">'SALES Raw'!H526</f>
        <v>EC-59L XL</v>
      </c>
      <c r="D54" s="8" t="n">
        <f aca="false">'SALES Raw'!C526</f>
        <v>37</v>
      </c>
      <c r="E54" s="8" t="n">
        <f aca="false">'SALES Raw'!D526</f>
        <v>6684.46</v>
      </c>
      <c r="F54" s="8" t="n">
        <f aca="false">'SALES Raw'!E526*$H$4</f>
        <v>13.8947368421053</v>
      </c>
      <c r="G54" s="8" t="n">
        <f aca="false">'SALES Raw'!F526*$H$4</f>
        <v>2190.22736842105</v>
      </c>
      <c r="H54" s="16" t="str">
        <f aca="false">'SALES Raw'!A526</f>
        <v>301 - Amazon</v>
      </c>
    </row>
    <row r="55" customFormat="false" ht="15" hidden="false" customHeight="false" outlineLevel="0" collapsed="false">
      <c r="A55" s="16" t="n">
        <f aca="false">'SALES Raw'!G511</f>
        <v>4413370</v>
      </c>
      <c r="B55" s="16" t="str">
        <f aca="false">'SALES Raw'!B511</f>
        <v>3674 0</v>
      </c>
      <c r="C55" s="16" t="str">
        <f aca="false">'SALES Raw'!H511</f>
        <v>3674 0 מ.בוניון+מפריד אצבע</v>
      </c>
      <c r="D55" s="8" t="n">
        <f aca="false">'SALES Raw'!C511</f>
        <v>16</v>
      </c>
      <c r="E55" s="8" t="n">
        <f aca="false">'SALES Raw'!D511</f>
        <v>1067.96</v>
      </c>
      <c r="F55" s="8" t="n">
        <f aca="false">'SALES Raw'!E511*$H$4</f>
        <v>12.6315789473684</v>
      </c>
      <c r="G55" s="8" t="n">
        <f aca="false">'SALES Raw'!F511*$H$4</f>
        <v>654.176842105263</v>
      </c>
      <c r="H55" s="16" t="str">
        <f aca="false">'SALES Raw'!A511</f>
        <v>301 - Amazon</v>
      </c>
    </row>
    <row r="56" customFormat="false" ht="15" hidden="false" customHeight="false" outlineLevel="0" collapsed="false">
      <c r="A56" s="16" t="n">
        <f aca="false">'SALES Raw'!G505</f>
        <v>4413033</v>
      </c>
      <c r="B56" s="16" t="str">
        <f aca="false">'SALES Raw'!B505</f>
        <v>311 0</v>
      </c>
      <c r="C56" s="16" t="str">
        <f aca="false">'SALES Raw'!H505</f>
        <v>311'מדב.ג'ל למניעת שפשוף 5 יח</v>
      </c>
      <c r="D56" s="8" t="n">
        <f aca="false">'SALES Raw'!C505</f>
        <v>1</v>
      </c>
      <c r="E56" s="8" t="n">
        <f aca="false">'SALES Raw'!D505</f>
        <v>32.6</v>
      </c>
      <c r="F56" s="8" t="n">
        <f aca="false">'SALES Raw'!E505*$H$4</f>
        <v>10.1052631578947</v>
      </c>
      <c r="G56" s="8" t="n">
        <f aca="false">'SALES Raw'!F505*$H$4</f>
        <v>240.669473684211</v>
      </c>
      <c r="H56" s="16" t="str">
        <f aca="false">'SALES Raw'!A505</f>
        <v>301 - Amazon</v>
      </c>
    </row>
    <row r="57" customFormat="false" ht="15" hidden="false" customHeight="false" outlineLevel="0" collapsed="false">
      <c r="A57" s="16" t="n">
        <f aca="false">'SALES Raw'!G512</f>
        <v>4413371</v>
      </c>
      <c r="B57" s="16" t="str">
        <f aca="false">'SALES Raw'!B512</f>
        <v>3675 0</v>
      </c>
      <c r="C57" s="16" t="str">
        <f aca="false">'SALES Raw'!H512</f>
        <v>3675    מגן זרת מסיליקון</v>
      </c>
      <c r="D57" s="8" t="n">
        <f aca="false">'SALES Raw'!C512</f>
        <v>46</v>
      </c>
      <c r="E57" s="8" t="n">
        <f aca="false">'SALES Raw'!D512</f>
        <v>2442.27</v>
      </c>
      <c r="F57" s="8" t="n">
        <f aca="false">'SALES Raw'!E512*$H$4</f>
        <v>10.1052631578947</v>
      </c>
      <c r="G57" s="8" t="n">
        <f aca="false">'SALES Raw'!F512*$H$4</f>
        <v>456.682105263158</v>
      </c>
      <c r="H57" s="16" t="str">
        <f aca="false">'SALES Raw'!A512</f>
        <v>301 - Amazon</v>
      </c>
    </row>
    <row r="58" customFormat="false" ht="15" hidden="false" customHeight="false" outlineLevel="0" collapsed="false">
      <c r="A58" s="16" t="n">
        <f aca="false">'SALES Raw'!G502</f>
        <v>4413372</v>
      </c>
      <c r="B58" s="16" t="str">
        <f aca="false">'SALES Raw'!B502</f>
        <v>302W 0</v>
      </c>
      <c r="C58" s="16" t="str">
        <f aca="false">'SALES Raw'!H502</f>
        <v>302 W מדרס לאישה</v>
      </c>
      <c r="D58" s="8" t="n">
        <f aca="false">'SALES Raw'!C502</f>
        <v>2</v>
      </c>
      <c r="E58" s="8" t="n">
        <f aca="false">'SALES Raw'!D502</f>
        <v>191.34</v>
      </c>
      <c r="F58" s="8" t="n">
        <f aca="false">'SALES Raw'!E502*$H$4</f>
        <v>8.84210526315789</v>
      </c>
      <c r="G58" s="8" t="n">
        <f aca="false">'SALES Raw'!F502*$H$4</f>
        <v>816.138947368421</v>
      </c>
      <c r="H58" s="16" t="str">
        <f aca="false">'SALES Raw'!A502</f>
        <v>301 - Amazon</v>
      </c>
    </row>
    <row r="59" customFormat="false" ht="15" hidden="false" customHeight="false" outlineLevel="0" collapsed="false">
      <c r="A59" s="16" t="str">
        <f aca="false">'SALES Raw'!G530</f>
        <v/>
      </c>
      <c r="B59" s="16" t="str">
        <f aca="false">'SALES Raw'!B530</f>
        <v>EC-59R XL</v>
      </c>
      <c r="C59" s="16" t="str">
        <f aca="false">'SALES Raw'!H530</f>
        <v>EC-59R XL</v>
      </c>
      <c r="D59" s="8" t="n">
        <f aca="false">'SALES Raw'!C530</f>
        <v>54</v>
      </c>
      <c r="E59" s="8" t="n">
        <f aca="false">'SALES Raw'!D530</f>
        <v>8550.82</v>
      </c>
      <c r="F59" s="8" t="n">
        <f aca="false">'SALES Raw'!E530*$H$4</f>
        <v>8.84210526315789</v>
      </c>
      <c r="G59" s="8" t="n">
        <f aca="false">'SALES Raw'!F530*$H$4</f>
        <v>1395.96631578947</v>
      </c>
      <c r="H59" s="16" t="str">
        <f aca="false">'SALES Raw'!A530</f>
        <v>301 - Amazon</v>
      </c>
    </row>
    <row r="60" customFormat="false" ht="15" hidden="false" customHeight="false" outlineLevel="0" collapsed="false">
      <c r="A60" s="16" t="str">
        <f aca="false">'SALES Raw'!G549</f>
        <v/>
      </c>
      <c r="B60" s="16" t="str">
        <f aca="false">'SALES Raw'!B549</f>
        <v>AC95</v>
      </c>
      <c r="C60" s="16" t="str">
        <f aca="false">'SALES Raw'!H549</f>
        <v>AC95</v>
      </c>
      <c r="D60" s="8" t="n">
        <f aca="false">'SALES Raw'!C549</f>
        <v>0</v>
      </c>
      <c r="E60" s="8" t="n">
        <f aca="false">'SALES Raw'!D549</f>
        <v>0</v>
      </c>
      <c r="F60" s="8" t="n">
        <f aca="false">'SALES Raw'!E549*$H$4</f>
        <v>8.84210526315789</v>
      </c>
      <c r="G60" s="8" t="n">
        <f aca="false">'SALES Raw'!F549*$H$4</f>
        <v>397.376842105263</v>
      </c>
      <c r="H60" s="16" t="str">
        <f aca="false">'SALES Raw'!A549</f>
        <v>301 - Amazon</v>
      </c>
    </row>
    <row r="61" customFormat="false" ht="15" hidden="false" customHeight="false" outlineLevel="0" collapsed="false">
      <c r="A61" s="16" t="n">
        <f aca="false">'SALES Raw'!G517</f>
        <v>4403043</v>
      </c>
      <c r="B61" s="16" t="str">
        <f aca="false">'SALES Raw'!B517</f>
        <v>397A-43-46</v>
      </c>
      <c r="C61" s="16" t="str">
        <f aca="false">'SALES Raw'!H517</f>
        <v>397A-גרבי טיסה אנטי בקטרי43-46</v>
      </c>
      <c r="D61" s="8" t="n">
        <f aca="false">'SALES Raw'!C517</f>
        <v>0</v>
      </c>
      <c r="E61" s="8" t="n">
        <f aca="false">'SALES Raw'!D517</f>
        <v>0</v>
      </c>
      <c r="F61" s="8" t="n">
        <f aca="false">'SALES Raw'!E517*$H$4</f>
        <v>6.31578947368421</v>
      </c>
      <c r="G61" s="8" t="n">
        <f aca="false">'SALES Raw'!F517*$H$4</f>
        <v>360.846315789474</v>
      </c>
      <c r="H61" s="16" t="str">
        <f aca="false">'SALES Raw'!A517</f>
        <v>301 - Amazon</v>
      </c>
    </row>
    <row r="62" customFormat="false" ht="15" hidden="false" customHeight="false" outlineLevel="0" collapsed="false">
      <c r="A62" s="16" t="str">
        <f aca="false">'SALES Raw'!G522</f>
        <v/>
      </c>
      <c r="B62" s="16" t="str">
        <f aca="false">'SALES Raw'!B522</f>
        <v>EC-59D XXL</v>
      </c>
      <c r="C62" s="16" t="str">
        <f aca="false">'SALES Raw'!H522</f>
        <v>EC-59D XXL</v>
      </c>
      <c r="D62" s="8" t="n">
        <f aca="false">'SALES Raw'!C522</f>
        <v>12</v>
      </c>
      <c r="E62" s="8" t="n">
        <f aca="false">'SALES Raw'!D522</f>
        <v>2334.78</v>
      </c>
      <c r="F62" s="8" t="n">
        <f aca="false">'SALES Raw'!E522*$H$4</f>
        <v>6.31578947368421</v>
      </c>
      <c r="G62" s="8" t="n">
        <f aca="false">'SALES Raw'!F522*$H$4</f>
        <v>1031.59578947368</v>
      </c>
      <c r="H62" s="16" t="str">
        <f aca="false">'SALES Raw'!A522</f>
        <v>301 - Amazon</v>
      </c>
    </row>
    <row r="63" customFormat="false" ht="15" hidden="false" customHeight="false" outlineLevel="0" collapsed="false">
      <c r="A63" s="16" t="n">
        <f aca="false">'SALES Raw'!G515</f>
        <v>4403041</v>
      </c>
      <c r="B63" s="16" t="str">
        <f aca="false">'SALES Raw'!B515</f>
        <v>397A-35-38</v>
      </c>
      <c r="C63" s="16" t="str">
        <f aca="false">'SALES Raw'!H515</f>
        <v>397A-גרבי טיסה אנטי בקטרי35-38</v>
      </c>
      <c r="D63" s="8" t="n">
        <f aca="false">'SALES Raw'!C515</f>
        <v>0</v>
      </c>
      <c r="E63" s="8" t="n">
        <f aca="false">'SALES Raw'!D515</f>
        <v>0</v>
      </c>
      <c r="F63" s="8" t="n">
        <f aca="false">'SALES Raw'!E515*$H$4</f>
        <v>5.05263157894737</v>
      </c>
      <c r="G63" s="8" t="n">
        <f aca="false">'SALES Raw'!F515*$H$4</f>
        <v>297.511578947368</v>
      </c>
      <c r="H63" s="16" t="str">
        <f aca="false">'SALES Raw'!A515</f>
        <v>301 - Amazon</v>
      </c>
    </row>
    <row r="64" customFormat="false" ht="15" hidden="false" customHeight="false" outlineLevel="0" collapsed="false">
      <c r="A64" s="16" t="n">
        <f aca="false">'SALES Raw'!G516</f>
        <v>4403042</v>
      </c>
      <c r="B64" s="16" t="str">
        <f aca="false">'SALES Raw'!B516</f>
        <v>397A-39-42</v>
      </c>
      <c r="C64" s="16" t="str">
        <f aca="false">'SALES Raw'!H516</f>
        <v>397A-גרבי טיסה אנטי בקטרי39-42</v>
      </c>
      <c r="D64" s="8" t="n">
        <f aca="false">'SALES Raw'!C516</f>
        <v>0</v>
      </c>
      <c r="E64" s="8" t="n">
        <f aca="false">'SALES Raw'!D516</f>
        <v>0</v>
      </c>
      <c r="F64" s="8" t="n">
        <f aca="false">'SALES Raw'!E516*$H$4</f>
        <v>5.05263157894737</v>
      </c>
      <c r="G64" s="8" t="n">
        <f aca="false">'SALES Raw'!F516*$H$4</f>
        <v>260.046315789474</v>
      </c>
      <c r="H64" s="16" t="str">
        <f aca="false">'SALES Raw'!A516</f>
        <v>301 - Amazon</v>
      </c>
    </row>
    <row r="65" customFormat="false" ht="15" hidden="false" customHeight="false" outlineLevel="0" collapsed="false">
      <c r="A65" s="16" t="str">
        <f aca="false">'SALES Raw'!G495</f>
        <v/>
      </c>
      <c r="B65" s="16" t="str">
        <f aca="false">'SALES Raw'!B495</f>
        <v>13B L</v>
      </c>
      <c r="C65" s="16" t="str">
        <f aca="false">'SALES Raw'!H495</f>
        <v>13B L</v>
      </c>
      <c r="D65" s="8" t="n">
        <f aca="false">'SALES Raw'!C495</f>
        <v>15</v>
      </c>
      <c r="E65" s="8" t="n">
        <f aca="false">'SALES Raw'!D495</f>
        <v>636.25</v>
      </c>
      <c r="F65" s="8" t="n">
        <f aca="false">'SALES Raw'!E495*$H$4</f>
        <v>2.52631578947368</v>
      </c>
      <c r="G65" s="8" t="n">
        <f aca="false">'SALES Raw'!F495*$H$4</f>
        <v>103.149473684211</v>
      </c>
      <c r="H65" s="16" t="str">
        <f aca="false">'SALES Raw'!A495</f>
        <v>301 - Amazon</v>
      </c>
    </row>
    <row r="66" customFormat="false" ht="15" hidden="false" customHeight="false" outlineLevel="0" collapsed="false">
      <c r="A66" s="16" t="n">
        <f aca="false">'SALES Raw'!G504</f>
        <v>4416005</v>
      </c>
      <c r="B66" s="16" t="str">
        <f aca="false">'SALES Raw'!B504</f>
        <v>308 M</v>
      </c>
      <c r="C66" s="16" t="str">
        <f aca="false">'SALES Raw'!H504</f>
        <v>308 Mעקבים סיליק.כחול לדורבן</v>
      </c>
      <c r="D66" s="8" t="n">
        <f aca="false">'SALES Raw'!C504</f>
        <v>7</v>
      </c>
      <c r="E66" s="8" t="n">
        <f aca="false">'SALES Raw'!D504</f>
        <v>786.43</v>
      </c>
      <c r="F66" s="8" t="n">
        <f aca="false">'SALES Raw'!E504*$H$4</f>
        <v>2.52631578947368</v>
      </c>
      <c r="G66" s="8" t="n">
        <f aca="false">'SALES Raw'!F504*$H$4</f>
        <v>262.496842105263</v>
      </c>
      <c r="H66" s="16" t="str">
        <f aca="false">'SALES Raw'!A504</f>
        <v>301 - Amazon</v>
      </c>
    </row>
    <row r="67" customFormat="false" ht="15" hidden="false" customHeight="false" outlineLevel="0" collapsed="false">
      <c r="A67" s="16" t="str">
        <f aca="false">'SALES Raw'!G521</f>
        <v/>
      </c>
      <c r="B67" s="16" t="str">
        <f aca="false">'SALES Raw'!B521</f>
        <v>EC-59D XL</v>
      </c>
      <c r="C67" s="16" t="str">
        <f aca="false">'SALES Raw'!H521</f>
        <v>EC-59D XL</v>
      </c>
      <c r="D67" s="8" t="n">
        <f aca="false">'SALES Raw'!C521</f>
        <v>34</v>
      </c>
      <c r="E67" s="8" t="n">
        <f aca="false">'SALES Raw'!D521</f>
        <v>6355.2</v>
      </c>
      <c r="F67" s="8" t="n">
        <f aca="false">'SALES Raw'!E521*$H$4</f>
        <v>2.52631578947368</v>
      </c>
      <c r="G67" s="8" t="n">
        <f aca="false">'SALES Raw'!F521*$H$4</f>
        <v>451.553684210526</v>
      </c>
      <c r="H67" s="16" t="str">
        <f aca="false">'SALES Raw'!A521</f>
        <v>301 - Amazon</v>
      </c>
    </row>
    <row r="68" customFormat="false" ht="15" hidden="false" customHeight="false" outlineLevel="0" collapsed="false">
      <c r="A68" s="16" t="str">
        <f aca="false">'SALES Raw'!G513</f>
        <v/>
      </c>
      <c r="B68" s="16" t="str">
        <f aca="false">'SALES Raw'!B513</f>
        <v>386</v>
      </c>
      <c r="C68" s="16" t="str">
        <f aca="false">'SALES Raw'!H513</f>
        <v>386</v>
      </c>
      <c r="D68" s="8" t="n">
        <f aca="false">'SALES Raw'!C513</f>
        <v>0</v>
      </c>
      <c r="E68" s="8" t="n">
        <f aca="false">'SALES Raw'!D513</f>
        <v>0</v>
      </c>
      <c r="F68" s="8" t="n">
        <f aca="false">'SALES Raw'!E513*$H$4</f>
        <v>1.26315789473684</v>
      </c>
      <c r="G68" s="8" t="n">
        <f aca="false">'SALES Raw'!F513*$H$4</f>
        <v>75.12</v>
      </c>
      <c r="H68" s="16" t="str">
        <f aca="false">'SALES Raw'!A513</f>
        <v>301 - Amazon</v>
      </c>
    </row>
    <row r="69" customFormat="false" ht="15" hidden="false" customHeight="false" outlineLevel="0" collapsed="false">
      <c r="A69" s="16" t="str">
        <f aca="false">'SALES Raw'!G476</f>
        <v/>
      </c>
      <c r="B69" s="16" t="str">
        <f aca="false">'SALES Raw'!B476</f>
        <v>EC-078 L</v>
      </c>
      <c r="C69" s="16" t="str">
        <f aca="false">'SALES Raw'!H476</f>
        <v>EC-078 L</v>
      </c>
      <c r="D69" s="8" t="n">
        <f aca="false">'SALES Raw'!C476</f>
        <v>12</v>
      </c>
      <c r="E69" s="8" t="n">
        <f aca="false">'SALES Raw'!D476</f>
        <v>1081.78</v>
      </c>
      <c r="F69" s="8" t="n">
        <f aca="false">'SALES Raw'!E476*$H$4</f>
        <v>0</v>
      </c>
      <c r="G69" s="8" t="n">
        <f aca="false">'SALES Raw'!F476*$H$4</f>
        <v>0</v>
      </c>
      <c r="H69" s="16" t="str">
        <f aca="false">'SALES Raw'!A476</f>
        <v>301 - Amazon</v>
      </c>
    </row>
    <row r="70" customFormat="false" ht="15" hidden="false" customHeight="false" outlineLevel="0" collapsed="false">
      <c r="A70" s="16" t="str">
        <f aca="false">'SALES Raw'!G477</f>
        <v/>
      </c>
      <c r="B70" s="16" t="str">
        <f aca="false">'SALES Raw'!B477</f>
        <v>EC-078 M</v>
      </c>
      <c r="C70" s="16" t="str">
        <f aca="false">'SALES Raw'!H477</f>
        <v>EC-078 M</v>
      </c>
      <c r="D70" s="8" t="n">
        <f aca="false">'SALES Raw'!C477</f>
        <v>15</v>
      </c>
      <c r="E70" s="8" t="n">
        <f aca="false">'SALES Raw'!D477</f>
        <v>1249.35</v>
      </c>
      <c r="F70" s="8" t="n">
        <f aca="false">'SALES Raw'!E477*$H$4</f>
        <v>0</v>
      </c>
      <c r="G70" s="8" t="n">
        <f aca="false">'SALES Raw'!F477*$H$4</f>
        <v>0</v>
      </c>
      <c r="H70" s="16" t="str">
        <f aca="false">'SALES Raw'!A477</f>
        <v>301 - Amazon</v>
      </c>
    </row>
    <row r="71" customFormat="false" ht="15" hidden="false" customHeight="false" outlineLevel="0" collapsed="false">
      <c r="A71" s="16" t="str">
        <f aca="false">'SALES Raw'!G478</f>
        <v/>
      </c>
      <c r="B71" s="16" t="str">
        <f aca="false">'SALES Raw'!B478</f>
        <v>EC-078 XL</v>
      </c>
      <c r="C71" s="16" t="str">
        <f aca="false">'SALES Raw'!H478</f>
        <v>EC-078 XL</v>
      </c>
      <c r="D71" s="8" t="n">
        <f aca="false">'SALES Raw'!C478</f>
        <v>2</v>
      </c>
      <c r="E71" s="8" t="n">
        <f aca="false">'SALES Raw'!D478</f>
        <v>174.75</v>
      </c>
      <c r="F71" s="8" t="n">
        <f aca="false">'SALES Raw'!E478*$H$4</f>
        <v>0</v>
      </c>
      <c r="G71" s="8" t="n">
        <f aca="false">'SALES Raw'!F478*$H$4</f>
        <v>0</v>
      </c>
      <c r="H71" s="16" t="str">
        <f aca="false">'SALES Raw'!A478</f>
        <v>301 - Amazon</v>
      </c>
    </row>
    <row r="72" customFormat="false" ht="15" hidden="false" customHeight="false" outlineLevel="0" collapsed="false">
      <c r="A72" s="16" t="str">
        <f aca="false">'SALES Raw'!G479</f>
        <v/>
      </c>
      <c r="B72" s="16" t="str">
        <f aca="false">'SALES Raw'!B479</f>
        <v>EC-078 XXL</v>
      </c>
      <c r="C72" s="16" t="str">
        <f aca="false">'SALES Raw'!H479</f>
        <v>EC-078 XXL</v>
      </c>
      <c r="D72" s="8" t="n">
        <f aca="false">'SALES Raw'!C479</f>
        <v>6</v>
      </c>
      <c r="E72" s="8" t="n">
        <f aca="false">'SALES Raw'!D479</f>
        <v>496.79</v>
      </c>
      <c r="F72" s="8" t="n">
        <f aca="false">'SALES Raw'!E479*$H$4</f>
        <v>0</v>
      </c>
      <c r="G72" s="8" t="n">
        <f aca="false">'SALES Raw'!F479*$H$4</f>
        <v>0</v>
      </c>
      <c r="H72" s="16" t="str">
        <f aca="false">'SALES Raw'!A479</f>
        <v>301 - Amazon</v>
      </c>
    </row>
    <row r="73" customFormat="false" ht="15" hidden="false" customHeight="false" outlineLevel="0" collapsed="false">
      <c r="A73" s="16" t="str">
        <f aca="false">'SALES Raw'!G480</f>
        <v/>
      </c>
      <c r="B73" s="16" t="str">
        <f aca="false">'SALES Raw'!B480</f>
        <v>EC-11NOR L</v>
      </c>
      <c r="C73" s="16" t="str">
        <f aca="false">'SALES Raw'!H480</f>
        <v>EC-11NOR L</v>
      </c>
      <c r="D73" s="8" t="n">
        <f aca="false">'SALES Raw'!C480</f>
        <v>71</v>
      </c>
      <c r="E73" s="8" t="n">
        <f aca="false">'SALES Raw'!D480</f>
        <v>9834.5</v>
      </c>
      <c r="F73" s="8" t="n">
        <f aca="false">'SALES Raw'!E480*$H$4</f>
        <v>0</v>
      </c>
      <c r="G73" s="8" t="n">
        <f aca="false">'SALES Raw'!F480*$H$4</f>
        <v>0</v>
      </c>
      <c r="H73" s="16" t="str">
        <f aca="false">'SALES Raw'!A480</f>
        <v>301 - Amazon</v>
      </c>
    </row>
    <row r="74" customFormat="false" ht="15" hidden="false" customHeight="false" outlineLevel="0" collapsed="false">
      <c r="A74" s="16" t="str">
        <f aca="false">'SALES Raw'!G481</f>
        <v/>
      </c>
      <c r="B74" s="16" t="str">
        <f aca="false">'SALES Raw'!B481</f>
        <v>EC-11NOR M</v>
      </c>
      <c r="C74" s="16" t="str">
        <f aca="false">'SALES Raw'!H481</f>
        <v>EC-11NOR M</v>
      </c>
      <c r="D74" s="8" t="n">
        <f aca="false">'SALES Raw'!C481</f>
        <v>21</v>
      </c>
      <c r="E74" s="8" t="n">
        <f aca="false">'SALES Raw'!D481</f>
        <v>2976.17</v>
      </c>
      <c r="F74" s="8" t="n">
        <f aca="false">'SALES Raw'!E481*$H$4</f>
        <v>0</v>
      </c>
      <c r="G74" s="8" t="n">
        <f aca="false">'SALES Raw'!F481*$H$4</f>
        <v>0</v>
      </c>
      <c r="H74" s="16" t="str">
        <f aca="false">'SALES Raw'!A481</f>
        <v>301 - Amazon</v>
      </c>
    </row>
    <row r="75" customFormat="false" ht="15" hidden="false" customHeight="false" outlineLevel="0" collapsed="false">
      <c r="A75" s="16" t="str">
        <f aca="false">'SALES Raw'!G482</f>
        <v/>
      </c>
      <c r="B75" s="16" t="str">
        <f aca="false">'SALES Raw'!B482</f>
        <v>EC-11NOR S</v>
      </c>
      <c r="C75" s="16" t="str">
        <f aca="false">'SALES Raw'!H482</f>
        <v>EC-11NOR S</v>
      </c>
      <c r="D75" s="8" t="n">
        <f aca="false">'SALES Raw'!C482</f>
        <v>11</v>
      </c>
      <c r="E75" s="8" t="n">
        <f aca="false">'SALES Raw'!D482</f>
        <v>1276.45</v>
      </c>
      <c r="F75" s="8" t="n">
        <f aca="false">'SALES Raw'!E482*$H$4</f>
        <v>0</v>
      </c>
      <c r="G75" s="8" t="n">
        <f aca="false">'SALES Raw'!F482*$H$4</f>
        <v>0</v>
      </c>
      <c r="H75" s="16" t="str">
        <f aca="false">'SALES Raw'!A482</f>
        <v>301 - Amazon</v>
      </c>
    </row>
    <row r="76" customFormat="false" ht="15" hidden="false" customHeight="false" outlineLevel="0" collapsed="false">
      <c r="A76" s="16" t="str">
        <f aca="false">'SALES Raw'!G484</f>
        <v/>
      </c>
      <c r="B76" s="16" t="str">
        <f aca="false">'SALES Raw'!B484</f>
        <v>EC-11NOR XXL</v>
      </c>
      <c r="C76" s="16" t="str">
        <f aca="false">'SALES Raw'!H484</f>
        <v>EC-11NOR XXL</v>
      </c>
      <c r="D76" s="8" t="n">
        <f aca="false">'SALES Raw'!C484</f>
        <v>133</v>
      </c>
      <c r="E76" s="8" t="n">
        <f aca="false">'SALES Raw'!D484</f>
        <v>19212.52</v>
      </c>
      <c r="F76" s="8" t="n">
        <f aca="false">'SALES Raw'!E484*$H$4</f>
        <v>0</v>
      </c>
      <c r="G76" s="8" t="n">
        <f aca="false">'SALES Raw'!F484*$H$4</f>
        <v>0</v>
      </c>
      <c r="H76" s="16" t="str">
        <f aca="false">'SALES Raw'!A484</f>
        <v>301 - Amazon</v>
      </c>
    </row>
    <row r="77" customFormat="false" ht="15" hidden="false" customHeight="false" outlineLevel="0" collapsed="false">
      <c r="A77" s="16" t="str">
        <f aca="false">'SALES Raw'!G496</f>
        <v/>
      </c>
      <c r="B77" s="16" t="str">
        <f aca="false">'SALES Raw'!B496</f>
        <v>13B S</v>
      </c>
      <c r="C77" s="16" t="str">
        <f aca="false">'SALES Raw'!H496</f>
        <v>13B S</v>
      </c>
      <c r="D77" s="8" t="n">
        <f aca="false">'SALES Raw'!C496</f>
        <v>28</v>
      </c>
      <c r="E77" s="8" t="n">
        <f aca="false">'SALES Raw'!D496</f>
        <v>1139.9</v>
      </c>
      <c r="F77" s="8" t="n">
        <f aca="false">'SALES Raw'!E496*$H$4</f>
        <v>0</v>
      </c>
      <c r="G77" s="8" t="n">
        <f aca="false">'SALES Raw'!F496*$H$4</f>
        <v>0</v>
      </c>
      <c r="H77" s="16" t="str">
        <f aca="false">'SALES Raw'!A496</f>
        <v>301 - Amazon</v>
      </c>
    </row>
    <row r="78" customFormat="false" ht="15" hidden="false" customHeight="false" outlineLevel="0" collapsed="false">
      <c r="A78" s="16" t="n">
        <f aca="false">'SALES Raw'!G497</f>
        <v>4408230</v>
      </c>
      <c r="B78" s="16" t="str">
        <f aca="false">'SALES Raw'!B497</f>
        <v>16-L-XL</v>
      </c>
      <c r="C78" s="16" t="str">
        <f aca="false">'SALES Raw'!H497</f>
        <v>16 L-XL חגורת הריון</v>
      </c>
      <c r="D78" s="8" t="n">
        <f aca="false">'SALES Raw'!C497</f>
        <v>31</v>
      </c>
      <c r="E78" s="8" t="n">
        <f aca="false">'SALES Raw'!D497</f>
        <v>1060.47</v>
      </c>
      <c r="F78" s="8" t="n">
        <f aca="false">'SALES Raw'!E497*$H$4</f>
        <v>0</v>
      </c>
      <c r="G78" s="8" t="n">
        <f aca="false">'SALES Raw'!F497*$H$4</f>
        <v>0</v>
      </c>
      <c r="H78" s="16" t="str">
        <f aca="false">'SALES Raw'!A497</f>
        <v>301 - Amazon</v>
      </c>
    </row>
    <row r="79" customFormat="false" ht="15" hidden="false" customHeight="false" outlineLevel="0" collapsed="false">
      <c r="A79" s="16" t="n">
        <f aca="false">'SALES Raw'!G498</f>
        <v>4408231</v>
      </c>
      <c r="B79" s="16" t="str">
        <f aca="false">'SALES Raw'!B498</f>
        <v>16-S-M</v>
      </c>
      <c r="C79" s="16" t="str">
        <f aca="false">'SALES Raw'!H498</f>
        <v>16 S-M חגורת הריון</v>
      </c>
      <c r="D79" s="8" t="n">
        <f aca="false">'SALES Raw'!C498</f>
        <v>45</v>
      </c>
      <c r="E79" s="8" t="n">
        <f aca="false">'SALES Raw'!D498</f>
        <v>2109.16</v>
      </c>
      <c r="F79" s="8" t="n">
        <f aca="false">'SALES Raw'!E498*$H$4</f>
        <v>0</v>
      </c>
      <c r="G79" s="8" t="n">
        <f aca="false">'SALES Raw'!F498*$H$4</f>
        <v>0</v>
      </c>
      <c r="H79" s="16" t="str">
        <f aca="false">'SALES Raw'!A498</f>
        <v>301 - Amazon</v>
      </c>
    </row>
    <row r="80" customFormat="false" ht="15" hidden="false" customHeight="false" outlineLevel="0" collapsed="false">
      <c r="A80" s="16" t="n">
        <f aca="false">'SALES Raw'!G500</f>
        <v>4415159</v>
      </c>
      <c r="B80" s="16" t="str">
        <f aca="false">'SALES Raw'!B500</f>
        <v>268 0</v>
      </c>
      <c r="C80" s="16" t="str">
        <f aca="false">'SALES Raw'!H500</f>
        <v>268 סד לאגודל</v>
      </c>
      <c r="D80" s="8" t="n">
        <f aca="false">'SALES Raw'!C500</f>
        <v>2</v>
      </c>
      <c r="E80" s="8" t="n">
        <f aca="false">'SALES Raw'!D500</f>
        <v>218.71</v>
      </c>
      <c r="F80" s="8" t="n">
        <f aca="false">'SALES Raw'!E500*$H$4</f>
        <v>0</v>
      </c>
      <c r="G80" s="8" t="n">
        <f aca="false">'SALES Raw'!F500*$H$4</f>
        <v>0</v>
      </c>
      <c r="H80" s="16" t="str">
        <f aca="false">'SALES Raw'!A500</f>
        <v>301 - Amazon</v>
      </c>
    </row>
    <row r="81" customFormat="false" ht="15" hidden="false" customHeight="false" outlineLevel="0" collapsed="false">
      <c r="A81" s="16" t="n">
        <f aca="false">'SALES Raw'!G501</f>
        <v>4413348</v>
      </c>
      <c r="B81" s="16" t="str">
        <f aca="false">'SALES Raw'!B501</f>
        <v>302M 0</v>
      </c>
      <c r="C81" s="16" t="str">
        <f aca="false">'SALES Raw'!H501</f>
        <v>302 מדרס ג'ל לגבר</v>
      </c>
      <c r="D81" s="8" t="n">
        <f aca="false">'SALES Raw'!C501</f>
        <v>10</v>
      </c>
      <c r="E81" s="8" t="n">
        <f aca="false">'SALES Raw'!D501</f>
        <v>969.81</v>
      </c>
      <c r="F81" s="8" t="n">
        <f aca="false">'SALES Raw'!E501*$H$4</f>
        <v>0</v>
      </c>
      <c r="G81" s="8" t="n">
        <f aca="false">'SALES Raw'!F501*$H$4</f>
        <v>0</v>
      </c>
      <c r="H81" s="16" t="str">
        <f aca="false">'SALES Raw'!A501</f>
        <v>301 - Amazon</v>
      </c>
    </row>
    <row r="82" customFormat="false" ht="15" hidden="false" customHeight="false" outlineLevel="0" collapsed="false">
      <c r="A82" s="16" t="str">
        <f aca="false">'SALES Raw'!G531</f>
        <v/>
      </c>
      <c r="B82" s="16" t="str">
        <f aca="false">'SALES Raw'!B531</f>
        <v>EC-59R XXL</v>
      </c>
      <c r="C82" s="16" t="str">
        <f aca="false">'SALES Raw'!H531</f>
        <v>EC-59R XXL</v>
      </c>
      <c r="D82" s="8" t="n">
        <f aca="false">'SALES Raw'!C531</f>
        <v>23</v>
      </c>
      <c r="E82" s="8" t="n">
        <f aca="false">'SALES Raw'!D531</f>
        <v>4233.37</v>
      </c>
      <c r="F82" s="8" t="n">
        <f aca="false">'SALES Raw'!E531*$H$4</f>
        <v>0</v>
      </c>
      <c r="G82" s="8" t="n">
        <f aca="false">'SALES Raw'!F531*$H$4</f>
        <v>0</v>
      </c>
      <c r="H82" s="16" t="str">
        <f aca="false">'SALES Raw'!A531</f>
        <v>301 - Amazon</v>
      </c>
    </row>
    <row r="83" customFormat="false" ht="15" hidden="false" customHeight="false" outlineLevel="0" collapsed="false">
      <c r="A83" s="16" t="str">
        <f aca="false">'SALES Raw'!G545</f>
        <v/>
      </c>
      <c r="B83" s="16" t="str">
        <f aca="false">'SALES Raw'!B545</f>
        <v>EC-59RB XL</v>
      </c>
      <c r="C83" s="16" t="str">
        <f aca="false">'SALES Raw'!H545</f>
        <v>EC-59RB XL</v>
      </c>
      <c r="D83" s="8" t="n">
        <f aca="false">'SALES Raw'!C545</f>
        <v>37</v>
      </c>
      <c r="E83" s="8" t="n">
        <f aca="false">'SALES Raw'!D545</f>
        <v>6510.26</v>
      </c>
      <c r="F83" s="8" t="n">
        <f aca="false">'SALES Raw'!E545*$H$4</f>
        <v>0</v>
      </c>
      <c r="G83" s="8" t="n">
        <f aca="false">'SALES Raw'!F545*$H$4</f>
        <v>0</v>
      </c>
      <c r="H83" s="16" t="str">
        <f aca="false">'SALES Raw'!A545</f>
        <v>301 - Amazon</v>
      </c>
    </row>
    <row r="84" customFormat="false" ht="15" hidden="false" customHeight="false" outlineLevel="0" collapsed="false">
      <c r="A84" s="16" t="str">
        <f aca="false">'SALES Raw'!G547</f>
        <v/>
      </c>
      <c r="B84" s="16" t="str">
        <f aca="false">'SALES Raw'!B547</f>
        <v>EC-DIFF</v>
      </c>
      <c r="C84" s="16" t="str">
        <f aca="false">'SALES Raw'!H547</f>
        <v>EC-DIFF</v>
      </c>
      <c r="D84" s="8" t="n">
        <f aca="false">'SALES Raw'!C547</f>
        <v>0</v>
      </c>
      <c r="E84" s="8" t="n">
        <f aca="false">'SALES Raw'!D547</f>
        <v>42266.02</v>
      </c>
      <c r="F84" s="8" t="n">
        <f aca="false">'SALES Raw'!E547*$H$4</f>
        <v>0</v>
      </c>
      <c r="G84" s="8" t="n">
        <f aca="false">'SALES Raw'!F547*$H$4</f>
        <v>0</v>
      </c>
      <c r="H84" s="16" t="str">
        <f aca="false">'SALES Raw'!A547</f>
        <v>301 - Amazon</v>
      </c>
    </row>
    <row r="85" customFormat="false" ht="15" hidden="false" customHeight="false" outlineLevel="0" collapsed="false">
      <c r="A85" s="16" t="str">
        <f aca="false">'SALES Raw'!G550</f>
        <v/>
      </c>
      <c r="B85" s="16" t="str">
        <f aca="false">'SALES Raw'!B550</f>
        <v>FC3162 0</v>
      </c>
      <c r="C85" s="16" t="str">
        <f aca="false">'SALES Raw'!H550</f>
        <v>FC3162 0</v>
      </c>
      <c r="D85" s="8" t="n">
        <f aca="false">'SALES Raw'!C550</f>
        <v>1</v>
      </c>
      <c r="E85" s="8" t="n">
        <f aca="false">'SALES Raw'!D550</f>
        <v>46.39</v>
      </c>
      <c r="F85" s="8" t="n">
        <f aca="false">'SALES Raw'!E550*$H$4</f>
        <v>0</v>
      </c>
      <c r="G85" s="8" t="n">
        <f aca="false">'SALES Raw'!F550*$H$4</f>
        <v>0</v>
      </c>
      <c r="H85" s="16" t="str">
        <f aca="false">'SALES Raw'!A550</f>
        <v>301 - Amazon</v>
      </c>
    </row>
  </sheetData>
  <mergeCells count="1">
    <mergeCell ref="A3:H3"/>
  </mergeCells>
  <conditionalFormatting sqref="A7:H85">
    <cfRule type="expression" priority="2" aboveAverage="0" equalAverage="0" bottom="0" percent="0" rank="0" text="" dxfId="0">
      <formula>AND(OR(ROUND($D7,2)&lt;&gt;0,ROUND($E7,2)&lt;&gt;0),ROUND($F7,2)=0,ROUND($G7,2)=0)</formula>
    </cfRule>
    <cfRule type="expression" priority="3" aboveAverage="0" equalAverage="0" bottom="0" percent="0" rank="0" text="" dxfId="1">
      <formula>AND(ROUND($D7,2)=0,ROUND($E7,2)=0,OR(ROUND($F7,2)&lt;&gt;0,ROUND($G7,2)&lt;&gt;0))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1" min="11" style="1" width="16"/>
    <col collapsed="false" customWidth="true" hidden="false" outlineLevel="0" max="15" min="15" style="1" width="34"/>
  </cols>
  <sheetData>
    <row r="1" customFormat="false" ht="16.15" hidden="false" customHeight="false" outlineLevel="0" collapsed="false">
      <c r="A1" s="11" t="s">
        <v>260</v>
      </c>
      <c r="O1" s="12" t="s">
        <v>261</v>
      </c>
    </row>
    <row r="2" customFormat="false" ht="15" hidden="false" customHeight="false" outlineLevel="0" collapsed="false">
      <c r="A2" s="3" t="s">
        <v>1</v>
      </c>
      <c r="B2" s="4" t="n">
        <v>46290</v>
      </c>
      <c r="O2" s="7" t="s">
        <v>30</v>
      </c>
    </row>
    <row r="3" customFormat="false" ht="22.35" hidden="false" customHeight="true" outlineLevel="0" collapsed="false">
      <c r="A3" s="5" t="s">
        <v>262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7" t="s">
        <v>31</v>
      </c>
    </row>
    <row r="4" customFormat="false" ht="15" hidden="false" customHeight="false" outlineLevel="0" collapsed="false">
      <c r="O4" s="7" t="s">
        <v>32</v>
      </c>
    </row>
    <row r="5" customFormat="false" ht="26.85" hidden="false" customHeight="false" outlineLevel="0" collapsed="false">
      <c r="A5" s="15" t="s">
        <v>25</v>
      </c>
      <c r="B5" s="15" t="s">
        <v>263</v>
      </c>
      <c r="C5" s="15" t="s">
        <v>264</v>
      </c>
      <c r="D5" s="15" t="s">
        <v>265</v>
      </c>
      <c r="E5" s="15" t="s">
        <v>266</v>
      </c>
      <c r="F5" s="15" t="s">
        <v>267</v>
      </c>
      <c r="G5" s="15" t="s">
        <v>49</v>
      </c>
      <c r="H5" s="15" t="s">
        <v>268</v>
      </c>
      <c r="I5" s="15" t="s">
        <v>269</v>
      </c>
      <c r="J5" s="15" t="s">
        <v>270</v>
      </c>
      <c r="K5" s="15" t="s">
        <v>271</v>
      </c>
      <c r="O5" s="7" t="s">
        <v>33</v>
      </c>
    </row>
    <row r="6" customFormat="false" ht="15" hidden="false" customHeight="false" outlineLevel="0" collapsed="false">
      <c r="A6" s="7" t="s">
        <v>30</v>
      </c>
      <c r="B6" s="7" t="s">
        <v>272</v>
      </c>
      <c r="C6" s="8" t="n">
        <v>0</v>
      </c>
      <c r="D6" s="8" t="n">
        <v>0</v>
      </c>
      <c r="E6" s="8" t="n">
        <v>40</v>
      </c>
      <c r="F6" s="8" t="n">
        <v>2484.42</v>
      </c>
      <c r="G6" s="7" t="n">
        <f aca="false">IFERROR(INDEX('TRANS'!$B:$B,MATCH($B6,'TRANS'!$A:$A,0)),IFERROR(INDEX('TRANS'!$B:$B,MATCH(TRIM(SUBSTITUTE($B6,CHAR(160)," ")),'TRANS'!$D:$D,0)),IFERROR(INDEX('Catalog'!$A:$A,MATCH($B6,'Catalog'!$B:$B,0)),IFERROR(INDEX('Catalog'!$A:$A,MATCH(TRIM(SUBSTITUTE($B6,CHAR(160)," ")),'Catalog'!$C:$C,0)),""))))</f>
        <v>4408192</v>
      </c>
      <c r="H6" s="7" t="str">
        <f aca="false">IFERROR(INDEX('TRANS'!$C:$C,MATCH($B6,'TRANS'!$A:$A,0)),IFERROR(INDEX('Catalog'!$B:$B,MATCH($G6,'Catalog'!$A:$A,0)),$B6))</f>
        <v>078 L חגורת גב +סגירה</v>
      </c>
      <c r="I6" s="7" t="str">
        <f aca="false">IF($G6="","Unmatched","Matched")</f>
        <v>Matched</v>
      </c>
      <c r="J6" s="7" t="n">
        <f aca="false">IF($G6&lt;&gt;"",$G6,$B6)</f>
        <v>4408192</v>
      </c>
      <c r="K6" s="7" t="str">
        <f aca="false">IF(COUNTIF($O$2:$O$16,$A6)&gt;0,"Y","N")</f>
        <v>Y</v>
      </c>
      <c r="O6" s="7" t="s">
        <v>34</v>
      </c>
    </row>
    <row r="7" customFormat="false" ht="15" hidden="false" customHeight="false" outlineLevel="0" collapsed="false">
      <c r="A7" s="7" t="s">
        <v>30</v>
      </c>
      <c r="B7" s="7" t="s">
        <v>273</v>
      </c>
      <c r="C7" s="8" t="n">
        <v>0</v>
      </c>
      <c r="D7" s="8" t="n">
        <v>0</v>
      </c>
      <c r="E7" s="8" t="n">
        <v>50</v>
      </c>
      <c r="F7" s="8" t="n">
        <v>3105.52</v>
      </c>
      <c r="G7" s="7" t="n">
        <f aca="false">IFERROR(INDEX('TRANS'!$B:$B,MATCH($B7,'TRANS'!$A:$A,0)),IFERROR(INDEX('TRANS'!$B:$B,MATCH(TRIM(SUBSTITUTE($B7,CHAR(160)," ")),'TRANS'!$D:$D,0)),IFERROR(INDEX('Catalog'!$A:$A,MATCH($B7,'Catalog'!$B:$B,0)),IFERROR(INDEX('Catalog'!$A:$A,MATCH(TRIM(SUBSTITUTE($B7,CHAR(160)," ")),'Catalog'!$C:$C,0)),""))))</f>
        <v>4408190</v>
      </c>
      <c r="H7" s="7" t="str">
        <f aca="false">IFERROR(INDEX('TRANS'!$C:$C,MATCH($B7,'TRANS'!$A:$A,0)),IFERROR(INDEX('Catalog'!$B:$B,MATCH($G7,'Catalog'!$A:$A,0)),$B7))</f>
        <v>M078 חגורת גב +סגירה כפולה</v>
      </c>
      <c r="I7" s="7" t="str">
        <f aca="false">IF($G7="","Unmatched","Matched")</f>
        <v>Matched</v>
      </c>
      <c r="J7" s="7" t="n">
        <f aca="false">IF($G7&lt;&gt;"",$G7,$B7)</f>
        <v>4408190</v>
      </c>
      <c r="K7" s="7" t="str">
        <f aca="false">IF(COUNTIF($O$2:$O$16,$A7)&gt;0,"Y","N")</f>
        <v>Y</v>
      </c>
      <c r="O7" s="7" t="s">
        <v>35</v>
      </c>
    </row>
    <row r="8" customFormat="false" ht="15" hidden="false" customHeight="false" outlineLevel="0" collapsed="false">
      <c r="A8" s="7" t="s">
        <v>30</v>
      </c>
      <c r="B8" s="7" t="s">
        <v>274</v>
      </c>
      <c r="C8" s="8" t="n">
        <v>0</v>
      </c>
      <c r="D8" s="8" t="n">
        <v>0</v>
      </c>
      <c r="E8" s="8" t="n">
        <v>30</v>
      </c>
      <c r="F8" s="8" t="n">
        <v>1882.66</v>
      </c>
      <c r="G8" s="7" t="n">
        <f aca="false">IFERROR(INDEX('TRANS'!$B:$B,MATCH($B8,'TRANS'!$A:$A,0)),IFERROR(INDEX('TRANS'!$B:$B,MATCH(TRIM(SUBSTITUTE($B8,CHAR(160)," ")),'TRANS'!$D:$D,0)),IFERROR(INDEX('Catalog'!$A:$A,MATCH($B8,'Catalog'!$B:$B,0)),IFERROR(INDEX('Catalog'!$A:$A,MATCH(TRIM(SUBSTITUTE($B8,CHAR(160)," ")),'Catalog'!$C:$C,0)),""))))</f>
        <v>4408217</v>
      </c>
      <c r="H8" s="7" t="str">
        <f aca="false">IFERROR(INDEX('TRANS'!$C:$C,MATCH($B8,'TRANS'!$A:$A,0)),IFERROR(INDEX('Catalog'!$B:$B,MATCH($G8,'Catalog'!$A:$A,0)),$B8))</f>
        <v>S078 חגורת גב +סגירה כפולה</v>
      </c>
      <c r="I8" s="7" t="str">
        <f aca="false">IF($G8="","Unmatched","Matched")</f>
        <v>Matched</v>
      </c>
      <c r="J8" s="7" t="n">
        <f aca="false">IF($G8&lt;&gt;"",$G8,$B8)</f>
        <v>4408217</v>
      </c>
      <c r="K8" s="7" t="str">
        <f aca="false">IF(COUNTIF($O$2:$O$16,$A8)&gt;0,"Y","N")</f>
        <v>Y</v>
      </c>
      <c r="O8" s="7" t="s">
        <v>36</v>
      </c>
    </row>
    <row r="9" customFormat="false" ht="15" hidden="false" customHeight="false" outlineLevel="0" collapsed="false">
      <c r="A9" s="7" t="s">
        <v>30</v>
      </c>
      <c r="B9" s="7" t="s">
        <v>275</v>
      </c>
      <c r="C9" s="8" t="n">
        <v>0</v>
      </c>
      <c r="D9" s="8" t="n">
        <v>0</v>
      </c>
      <c r="E9" s="8" t="n">
        <v>40</v>
      </c>
      <c r="F9" s="8" t="n">
        <v>2484.42</v>
      </c>
      <c r="G9" s="7" t="n">
        <f aca="false">IFERROR(INDEX('TRANS'!$B:$B,MATCH($B9,'TRANS'!$A:$A,0)),IFERROR(INDEX('TRANS'!$B:$B,MATCH(TRIM(SUBSTITUTE($B9,CHAR(160)," ")),'TRANS'!$D:$D,0)),IFERROR(INDEX('Catalog'!$A:$A,MATCH($B9,'Catalog'!$B:$B,0)),IFERROR(INDEX('Catalog'!$A:$A,MATCH(TRIM(SUBSTITUTE($B9,CHAR(160)," ")),'Catalog'!$C:$C,0)),""))))</f>
        <v>4408218</v>
      </c>
      <c r="H9" s="7" t="str">
        <f aca="false">IFERROR(INDEX('TRANS'!$C:$C,MATCH($B9,'TRANS'!$A:$A,0)),IFERROR(INDEX('Catalog'!$B:$B,MATCH($G9,'Catalog'!$A:$A,0)),$B9))</f>
        <v>078XL חגורת גב +סגירה כפולה</v>
      </c>
      <c r="I9" s="7" t="str">
        <f aca="false">IF($G9="","Unmatched","Matched")</f>
        <v>Matched</v>
      </c>
      <c r="J9" s="7" t="n">
        <f aca="false">IF($G9&lt;&gt;"",$G9,$B9)</f>
        <v>4408218</v>
      </c>
      <c r="K9" s="7" t="str">
        <f aca="false">IF(COUNTIF($O$2:$O$16,$A9)&gt;0,"Y","N")</f>
        <v>Y</v>
      </c>
      <c r="O9" s="7" t="s">
        <v>37</v>
      </c>
    </row>
    <row r="10" customFormat="false" ht="15" hidden="false" customHeight="false" outlineLevel="0" collapsed="false">
      <c r="A10" s="7" t="s">
        <v>30</v>
      </c>
      <c r="B10" s="7" t="s">
        <v>276</v>
      </c>
      <c r="C10" s="8" t="n">
        <v>190</v>
      </c>
      <c r="D10" s="8" t="n">
        <v>13475.39</v>
      </c>
      <c r="E10" s="8" t="n">
        <v>80</v>
      </c>
      <c r="F10" s="8" t="n">
        <v>4998.35</v>
      </c>
      <c r="G10" s="7" t="n">
        <f aca="false">IFERROR(INDEX('TRANS'!$B:$B,MATCH($B10,'TRANS'!$A:$A,0)),IFERROR(INDEX('TRANS'!$B:$B,MATCH(TRIM(SUBSTITUTE($B10,CHAR(160)," ")),'TRANS'!$D:$D,0)),IFERROR(INDEX('Catalog'!$A:$A,MATCH($B10,'Catalog'!$B:$B,0)),IFERROR(INDEX('Catalog'!$A:$A,MATCH(TRIM(SUBSTITUTE($B10,CHAR(160)," ")),'Catalog'!$C:$C,0)),""))))</f>
        <v>4408221</v>
      </c>
      <c r="H10" s="7" t="str">
        <f aca="false">IFERROR(INDEX('TRANS'!$C:$C,MATCH($B10,'TRANS'!$A:$A,0)),IFERROR(INDEX('Catalog'!$B:$B,MATCH($G10,'Catalog'!$A:$A,0)),$B10))</f>
        <v>078G-L חגורת גב אפורה</v>
      </c>
      <c r="I10" s="7" t="str">
        <f aca="false">IF($G10="","Unmatched","Matched")</f>
        <v>Matched</v>
      </c>
      <c r="J10" s="7" t="n">
        <f aca="false">IF($G10&lt;&gt;"",$G10,$B10)</f>
        <v>4408221</v>
      </c>
      <c r="K10" s="7" t="str">
        <f aca="false">IF(COUNTIF($O$2:$O$16,$A10)&gt;0,"Y","N")</f>
        <v>Y</v>
      </c>
      <c r="O10" s="7" t="s">
        <v>38</v>
      </c>
    </row>
    <row r="11" customFormat="false" ht="15" hidden="false" customHeight="false" outlineLevel="0" collapsed="false">
      <c r="A11" s="7" t="s">
        <v>30</v>
      </c>
      <c r="B11" s="7" t="s">
        <v>277</v>
      </c>
      <c r="C11" s="8" t="n">
        <v>140</v>
      </c>
      <c r="D11" s="8" t="n">
        <v>9909.22</v>
      </c>
      <c r="E11" s="8" t="n">
        <v>50</v>
      </c>
      <c r="F11" s="8" t="n">
        <v>3127.11</v>
      </c>
      <c r="G11" s="7" t="n">
        <f aca="false">IFERROR(INDEX('TRANS'!$B:$B,MATCH($B11,'TRANS'!$A:$A,0)),IFERROR(INDEX('TRANS'!$B:$B,MATCH(TRIM(SUBSTITUTE($B11,CHAR(160)," ")),'TRANS'!$D:$D,0)),IFERROR(INDEX('Catalog'!$A:$A,MATCH($B11,'Catalog'!$B:$B,0)),IFERROR(INDEX('Catalog'!$A:$A,MATCH(TRIM(SUBSTITUTE($B11,CHAR(160)," ")),'Catalog'!$C:$C,0)),""))))</f>
        <v>4408220</v>
      </c>
      <c r="H11" s="7" t="str">
        <f aca="false">IFERROR(INDEX('TRANS'!$C:$C,MATCH($B11,'TRANS'!$A:$A,0)),IFERROR(INDEX('Catalog'!$B:$B,MATCH($G11,'Catalog'!$A:$A,0)),$B11))</f>
        <v>078G-M חגורת גב אפורה</v>
      </c>
      <c r="I11" s="7" t="str">
        <f aca="false">IF($G11="","Unmatched","Matched")</f>
        <v>Matched</v>
      </c>
      <c r="J11" s="7" t="n">
        <f aca="false">IF($G11&lt;&gt;"",$G11,$B11)</f>
        <v>4408220</v>
      </c>
      <c r="K11" s="7" t="str">
        <f aca="false">IF(COUNTIF($O$2:$O$16,$A11)&gt;0,"Y","N")</f>
        <v>Y</v>
      </c>
      <c r="O11" s="7" t="s">
        <v>39</v>
      </c>
    </row>
    <row r="12" customFormat="false" ht="15" hidden="false" customHeight="false" outlineLevel="0" collapsed="false">
      <c r="A12" s="7" t="s">
        <v>30</v>
      </c>
      <c r="B12" s="7" t="s">
        <v>278</v>
      </c>
      <c r="C12" s="8" t="n">
        <v>70</v>
      </c>
      <c r="D12" s="8" t="n">
        <v>5033.1</v>
      </c>
      <c r="E12" s="8" t="n">
        <v>12</v>
      </c>
      <c r="F12" s="8" t="n">
        <v>738.48</v>
      </c>
      <c r="G12" s="7" t="n">
        <f aca="false">IFERROR(INDEX('TRANS'!$B:$B,MATCH($B12,'TRANS'!$A:$A,0)),IFERROR(INDEX('TRANS'!$B:$B,MATCH(TRIM(SUBSTITUTE($B12,CHAR(160)," ")),'TRANS'!$D:$D,0)),IFERROR(INDEX('Catalog'!$A:$A,MATCH($B12,'Catalog'!$B:$B,0)),IFERROR(INDEX('Catalog'!$A:$A,MATCH(TRIM(SUBSTITUTE($B12,CHAR(160)," ")),'Catalog'!$C:$C,0)),""))))</f>
        <v>4408219</v>
      </c>
      <c r="H12" s="7" t="str">
        <f aca="false">IFERROR(INDEX('TRANS'!$C:$C,MATCH($B12,'TRANS'!$A:$A,0)),IFERROR(INDEX('Catalog'!$B:$B,MATCH($G12,'Catalog'!$A:$A,0)),$B12))</f>
        <v>078G-S חגורת גב אפורה</v>
      </c>
      <c r="I12" s="7" t="str">
        <f aca="false">IF($G12="","Unmatched","Matched")</f>
        <v>Matched</v>
      </c>
      <c r="J12" s="7" t="n">
        <f aca="false">IF($G12&lt;&gt;"",$G12,$B12)</f>
        <v>4408219</v>
      </c>
      <c r="K12" s="7" t="str">
        <f aca="false">IF(COUNTIF($O$2:$O$16,$A12)&gt;0,"Y","N")</f>
        <v>Y</v>
      </c>
      <c r="O12" s="7" t="s">
        <v>40</v>
      </c>
    </row>
    <row r="13" customFormat="false" ht="15" hidden="false" customHeight="false" outlineLevel="0" collapsed="false">
      <c r="A13" s="7" t="s">
        <v>30</v>
      </c>
      <c r="B13" s="7" t="s">
        <v>279</v>
      </c>
      <c r="C13" s="8" t="n">
        <v>160</v>
      </c>
      <c r="D13" s="8" t="n">
        <v>11350</v>
      </c>
      <c r="E13" s="8" t="n">
        <v>70</v>
      </c>
      <c r="F13" s="8" t="n">
        <v>4455.67</v>
      </c>
      <c r="G13" s="7" t="n">
        <f aca="false">IFERROR(INDEX('TRANS'!$B:$B,MATCH($B13,'TRANS'!$A:$A,0)),IFERROR(INDEX('TRANS'!$B:$B,MATCH(TRIM(SUBSTITUTE($B13,CHAR(160)," ")),'TRANS'!$D:$D,0)),IFERROR(INDEX('Catalog'!$A:$A,MATCH($B13,'Catalog'!$B:$B,0)),IFERROR(INDEX('Catalog'!$A:$A,MATCH(TRIM(SUBSTITUTE($B13,CHAR(160)," ")),'Catalog'!$C:$C,0)),""))))</f>
        <v>4408222</v>
      </c>
      <c r="H13" s="7" t="str">
        <f aca="false">IFERROR(INDEX('TRANS'!$C:$C,MATCH($B13,'TRANS'!$A:$A,0)),IFERROR(INDEX('Catalog'!$B:$B,MATCH($G13,'Catalog'!$A:$A,0)),$B13))</f>
        <v>078G-XLחגורת גב אפורה</v>
      </c>
      <c r="I13" s="7" t="str">
        <f aca="false">IF($G13="","Unmatched","Matched")</f>
        <v>Matched</v>
      </c>
      <c r="J13" s="7" t="n">
        <f aca="false">IF($G13&lt;&gt;"",$G13,$B13)</f>
        <v>4408222</v>
      </c>
      <c r="K13" s="7" t="str">
        <f aca="false">IF(COUNTIF($O$2:$O$16,$A13)&gt;0,"Y","N")</f>
        <v>Y</v>
      </c>
      <c r="O13" s="7" t="s">
        <v>41</v>
      </c>
    </row>
    <row r="14" customFormat="false" ht="15" hidden="false" customHeight="false" outlineLevel="0" collapsed="false">
      <c r="A14" s="7" t="s">
        <v>30</v>
      </c>
      <c r="B14" s="7" t="s">
        <v>280</v>
      </c>
      <c r="C14" s="8" t="n">
        <v>106</v>
      </c>
      <c r="D14" s="8" t="n">
        <v>7580.06</v>
      </c>
      <c r="E14" s="8" t="n">
        <v>30</v>
      </c>
      <c r="F14" s="8" t="n">
        <v>1920.14</v>
      </c>
      <c r="G14" s="7" t="n">
        <f aca="false">IFERROR(INDEX('TRANS'!$B:$B,MATCH($B14,'TRANS'!$A:$A,0)),IFERROR(INDEX('TRANS'!$B:$B,MATCH(TRIM(SUBSTITUTE($B14,CHAR(160)," ")),'TRANS'!$D:$D,0)),IFERROR(INDEX('Catalog'!$A:$A,MATCH($B14,'Catalog'!$B:$B,0)),IFERROR(INDEX('Catalog'!$A:$A,MATCH(TRIM(SUBSTITUTE($B14,CHAR(160)," ")),'Catalog'!$C:$C,0)),""))))</f>
        <v>4408223</v>
      </c>
      <c r="H14" s="7" t="str">
        <f aca="false">IFERROR(INDEX('TRANS'!$C:$C,MATCH($B14,'TRANS'!$A:$A,0)),IFERROR(INDEX('Catalog'!$B:$B,MATCH($G14,'Catalog'!$A:$A,0)),$B14))</f>
        <v>078G-XXLחגורת גב אפורה</v>
      </c>
      <c r="I14" s="7" t="str">
        <f aca="false">IF($G14="","Unmatched","Matched")</f>
        <v>Matched</v>
      </c>
      <c r="J14" s="7" t="n">
        <f aca="false">IF($G14&lt;&gt;"",$G14,$B14)</f>
        <v>4408223</v>
      </c>
      <c r="K14" s="7" t="str">
        <f aca="false">IF(COUNTIF($O$2:$O$16,$A14)&gt;0,"Y","N")</f>
        <v>Y</v>
      </c>
      <c r="O14" s="7" t="s">
        <v>42</v>
      </c>
    </row>
    <row r="15" customFormat="false" ht="15" hidden="false" customHeight="false" outlineLevel="0" collapsed="false">
      <c r="A15" s="7" t="s">
        <v>30</v>
      </c>
      <c r="B15" s="7" t="s">
        <v>281</v>
      </c>
      <c r="C15" s="8" t="n">
        <v>86</v>
      </c>
      <c r="D15" s="8" t="n">
        <v>6914.07</v>
      </c>
      <c r="E15" s="8" t="n">
        <v>20</v>
      </c>
      <c r="F15" s="8" t="n">
        <v>1489.16</v>
      </c>
      <c r="G15" s="7" t="n">
        <f aca="false">IFERROR(INDEX('TRANS'!$B:$B,MATCH($B15,'TRANS'!$A:$A,0)),IFERROR(INDEX('TRANS'!$B:$B,MATCH(TRIM(SUBSTITUTE($B15,CHAR(160)," ")),'TRANS'!$D:$D,0)),IFERROR(INDEX('Catalog'!$A:$A,MATCH($B15,'Catalog'!$B:$B,0)),IFERROR(INDEX('Catalog'!$A:$A,MATCH(TRIM(SUBSTITUTE($B15,CHAR(160)," ")),'Catalog'!$C:$C,0)),""))))</f>
        <v>4408032</v>
      </c>
      <c r="H15" s="7" t="str">
        <f aca="false">IFERROR(INDEX('TRANS'!$C:$C,MATCH($B15,'TRANS'!$A:$A,0)),IFERROR(INDEX('Catalog'!$B:$B,MATCH($G15,'Catalog'!$A:$A,0)),$B15))</f>
        <v>11 L""""חגורת בטן""""אורירית</v>
      </c>
      <c r="I15" s="7" t="str">
        <f aca="false">IF($G15="","Unmatched","Matched")</f>
        <v>Matched</v>
      </c>
      <c r="J15" s="7" t="n">
        <f aca="false">IF($G15&lt;&gt;"",$G15,$B15)</f>
        <v>4408032</v>
      </c>
      <c r="K15" s="7" t="str">
        <f aca="false">IF(COUNTIF($O$2:$O$16,$A15)&gt;0,"Y","N")</f>
        <v>Y</v>
      </c>
      <c r="O15" s="7" t="s">
        <v>43</v>
      </c>
    </row>
    <row r="16" customFormat="false" ht="15" hidden="false" customHeight="false" outlineLevel="0" collapsed="false">
      <c r="A16" s="7" t="s">
        <v>30</v>
      </c>
      <c r="B16" s="7" t="s">
        <v>282</v>
      </c>
      <c r="C16" s="8" t="n">
        <v>92</v>
      </c>
      <c r="D16" s="8" t="n">
        <v>7427.56</v>
      </c>
      <c r="E16" s="8" t="n">
        <v>30</v>
      </c>
      <c r="F16" s="8" t="n">
        <v>2069.36</v>
      </c>
      <c r="G16" s="7" t="n">
        <f aca="false">IFERROR(INDEX('TRANS'!$B:$B,MATCH($B16,'TRANS'!$A:$A,0)),IFERROR(INDEX('TRANS'!$B:$B,MATCH(TRIM(SUBSTITUTE($B16,CHAR(160)," ")),'TRANS'!$D:$D,0)),IFERROR(INDEX('Catalog'!$A:$A,MATCH($B16,'Catalog'!$B:$B,0)),IFERROR(INDEX('Catalog'!$A:$A,MATCH(TRIM(SUBSTITUTE($B16,CHAR(160)," ")),'Catalog'!$C:$C,0)),""))))</f>
        <v>4408033</v>
      </c>
      <c r="H16" s="7" t="str">
        <f aca="false">IFERROR(INDEX('TRANS'!$C:$C,MATCH($B16,'TRANS'!$A:$A,0)),IFERROR(INDEX('Catalog'!$B:$B,MATCH($G16,'Catalog'!$A:$A,0)),$B16))</f>
        <v>11 M""""חגורת בטן""""אורירית</v>
      </c>
      <c r="I16" s="7" t="str">
        <f aca="false">IF($G16="","Unmatched","Matched")</f>
        <v>Matched</v>
      </c>
      <c r="J16" s="7" t="n">
        <f aca="false">IF($G16&lt;&gt;"",$G16,$B16)</f>
        <v>4408033</v>
      </c>
      <c r="K16" s="7" t="str">
        <f aca="false">IF(COUNTIF($O$2:$O$16,$A16)&gt;0,"Y","N")</f>
        <v>Y</v>
      </c>
      <c r="O16" s="7" t="s">
        <v>44</v>
      </c>
    </row>
    <row r="17" customFormat="false" ht="15" hidden="false" customHeight="false" outlineLevel="0" collapsed="false">
      <c r="A17" s="7" t="s">
        <v>30</v>
      </c>
      <c r="B17" s="7" t="s">
        <v>283</v>
      </c>
      <c r="C17" s="8" t="n">
        <v>44</v>
      </c>
      <c r="D17" s="8" t="n">
        <v>3544.17</v>
      </c>
      <c r="E17" s="8" t="n">
        <v>30</v>
      </c>
      <c r="F17" s="8" t="n">
        <v>2125.54</v>
      </c>
      <c r="G17" s="7" t="n">
        <f aca="false">IFERROR(INDEX('TRANS'!$B:$B,MATCH($B17,'TRANS'!$A:$A,0)),IFERROR(INDEX('TRANS'!$B:$B,MATCH(TRIM(SUBSTITUTE($B17,CHAR(160)," ")),'TRANS'!$D:$D,0)),IFERROR(INDEX('Catalog'!$A:$A,MATCH($B17,'Catalog'!$B:$B,0)),IFERROR(INDEX('Catalog'!$A:$A,MATCH(TRIM(SUBSTITUTE($B17,CHAR(160)," ")),'Catalog'!$C:$C,0)),""))))</f>
        <v>4408031</v>
      </c>
      <c r="H17" s="7" t="str">
        <f aca="false">IFERROR(INDEX('TRANS'!$C:$C,MATCH($B17,'TRANS'!$A:$A,0)),IFERROR(INDEX('Catalog'!$B:$B,MATCH($G17,'Catalog'!$A:$A,0)),$B17))</f>
        <v>11 S""""חגורת בטן""""אורירית</v>
      </c>
      <c r="I17" s="7" t="str">
        <f aca="false">IF($G17="","Unmatched","Matched")</f>
        <v>Matched</v>
      </c>
      <c r="J17" s="7" t="n">
        <f aca="false">IF($G17&lt;&gt;"",$G17,$B17)</f>
        <v>4408031</v>
      </c>
      <c r="K17" s="7" t="str">
        <f aca="false">IF(COUNTIF($O$2:$O$16,$A17)&gt;0,"Y","N")</f>
        <v>Y</v>
      </c>
    </row>
    <row r="18" customFormat="false" ht="15" hidden="false" customHeight="false" outlineLevel="0" collapsed="false">
      <c r="A18" s="7" t="s">
        <v>30</v>
      </c>
      <c r="B18" s="7" t="s">
        <v>284</v>
      </c>
      <c r="C18" s="8" t="n">
        <v>74</v>
      </c>
      <c r="D18" s="8" t="n">
        <v>5973.41</v>
      </c>
      <c r="E18" s="8" t="n">
        <v>40</v>
      </c>
      <c r="F18" s="8" t="n">
        <v>2815.32</v>
      </c>
      <c r="G18" s="7" t="n">
        <f aca="false">IFERROR(INDEX('TRANS'!$B:$B,MATCH($B18,'TRANS'!$A:$A,0)),IFERROR(INDEX('TRANS'!$B:$B,MATCH(TRIM(SUBSTITUTE($B18,CHAR(160)," ")),'TRANS'!$D:$D,0)),IFERROR(INDEX('Catalog'!$A:$A,MATCH($B18,'Catalog'!$B:$B,0)),IFERROR(INDEX('Catalog'!$A:$A,MATCH(TRIM(SUBSTITUTE($B18,CHAR(160)," ")),'Catalog'!$C:$C,0)),""))))</f>
        <v>4408034</v>
      </c>
      <c r="H18" s="7" t="str">
        <f aca="false">IFERROR(INDEX('TRANS'!$C:$C,MATCH($B18,'TRANS'!$A:$A,0)),IFERROR(INDEX('Catalog'!$B:$B,MATCH($G18,'Catalog'!$A:$A,0)),$B18))</f>
        <v>11 XL""""חגורת בטן""""אורירית</v>
      </c>
      <c r="I18" s="7" t="str">
        <f aca="false">IF($G18="","Unmatched","Matched")</f>
        <v>Matched</v>
      </c>
      <c r="J18" s="7" t="n">
        <f aca="false">IF($G18&lt;&gt;"",$G18,$B18)</f>
        <v>4408034</v>
      </c>
      <c r="K18" s="7" t="str">
        <f aca="false">IF(COUNTIF($O$2:$O$16,$A18)&gt;0,"Y","N")</f>
        <v>Y</v>
      </c>
    </row>
    <row r="19" customFormat="false" ht="15" hidden="false" customHeight="false" outlineLevel="0" collapsed="false">
      <c r="A19" s="7" t="s">
        <v>30</v>
      </c>
      <c r="B19" s="7" t="s">
        <v>285</v>
      </c>
      <c r="C19" s="8" t="n">
        <v>48</v>
      </c>
      <c r="D19" s="8" t="n">
        <v>3774.69</v>
      </c>
      <c r="E19" s="8" t="n">
        <v>0</v>
      </c>
      <c r="F19" s="8" t="n">
        <v>0</v>
      </c>
      <c r="G19" s="7" t="n">
        <f aca="false">IFERROR(INDEX('TRANS'!$B:$B,MATCH($B19,'TRANS'!$A:$A,0)),IFERROR(INDEX('TRANS'!$B:$B,MATCH(TRIM(SUBSTITUTE($B19,CHAR(160)," ")),'TRANS'!$D:$D,0)),IFERROR(INDEX('Catalog'!$A:$A,MATCH($B19,'Catalog'!$B:$B,0)),IFERROR(INDEX('Catalog'!$A:$A,MATCH(TRIM(SUBSTITUTE($B19,CHAR(160)," ")),'Catalog'!$C:$C,0)),""))))</f>
        <v>4408230</v>
      </c>
      <c r="H19" s="7" t="str">
        <f aca="false">IFERROR(INDEX('TRANS'!$C:$C,MATCH($B19,'TRANS'!$A:$A,0)),IFERROR(INDEX('Catalog'!$B:$B,MATCH($G19,'Catalog'!$A:$A,0)),$B19))</f>
        <v>16 L-XL חגורת הריון</v>
      </c>
      <c r="I19" s="7" t="str">
        <f aca="false">IF($G19="","Unmatched","Matched")</f>
        <v>Matched</v>
      </c>
      <c r="J19" s="7" t="n">
        <f aca="false">IF($G19&lt;&gt;"",$G19,$B19)</f>
        <v>4408230</v>
      </c>
      <c r="K19" s="7" t="str">
        <f aca="false">IF(COUNTIF($O$2:$O$16,$A19)&gt;0,"Y","N")</f>
        <v>Y</v>
      </c>
    </row>
    <row r="20" customFormat="false" ht="15" hidden="false" customHeight="false" outlineLevel="0" collapsed="false">
      <c r="A20" s="7" t="s">
        <v>30</v>
      </c>
      <c r="B20" s="7" t="s">
        <v>286</v>
      </c>
      <c r="C20" s="8" t="n">
        <v>36</v>
      </c>
      <c r="D20" s="8" t="n">
        <v>2831.44</v>
      </c>
      <c r="E20" s="8" t="n">
        <v>6</v>
      </c>
      <c r="F20" s="8" t="n">
        <v>405.76</v>
      </c>
      <c r="G20" s="7" t="n">
        <f aca="false">IFERROR(INDEX('TRANS'!$B:$B,MATCH($B20,'TRANS'!$A:$A,0)),IFERROR(INDEX('TRANS'!$B:$B,MATCH(TRIM(SUBSTITUTE($B20,CHAR(160)," ")),'TRANS'!$D:$D,0)),IFERROR(INDEX('Catalog'!$A:$A,MATCH($B20,'Catalog'!$B:$B,0)),IFERROR(INDEX('Catalog'!$A:$A,MATCH(TRIM(SUBSTITUTE($B20,CHAR(160)," ")),'Catalog'!$C:$C,0)),""))))</f>
        <v>4408231</v>
      </c>
      <c r="H20" s="7" t="str">
        <f aca="false">IFERROR(INDEX('TRANS'!$C:$C,MATCH($B20,'TRANS'!$A:$A,0)),IFERROR(INDEX('Catalog'!$B:$B,MATCH($G20,'Catalog'!$A:$A,0)),$B20))</f>
        <v>16 S-M חגורת הריון</v>
      </c>
      <c r="I20" s="7" t="str">
        <f aca="false">IF($G20="","Unmatched","Matched")</f>
        <v>Matched</v>
      </c>
      <c r="J20" s="7" t="n">
        <f aca="false">IF($G20&lt;&gt;"",$G20,$B20)</f>
        <v>4408231</v>
      </c>
      <c r="K20" s="7" t="str">
        <f aca="false">IF(COUNTIF($O$2:$O$16,$A20)&gt;0,"Y","N")</f>
        <v>Y</v>
      </c>
    </row>
    <row r="21" customFormat="false" ht="15" hidden="false" customHeight="false" outlineLevel="0" collapsed="false">
      <c r="A21" s="7" t="s">
        <v>30</v>
      </c>
      <c r="B21" s="7" t="s">
        <v>287</v>
      </c>
      <c r="C21" s="8" t="n">
        <v>130</v>
      </c>
      <c r="D21" s="8" t="n">
        <v>2673.97</v>
      </c>
      <c r="E21" s="8" t="n">
        <v>40</v>
      </c>
      <c r="F21" s="8" t="n">
        <v>731.76</v>
      </c>
      <c r="G21" s="7" t="n">
        <f aca="false">IFERROR(INDEX('TRANS'!$B:$B,MATCH($B21,'TRANS'!$A:$A,0)),IFERROR(INDEX('TRANS'!$B:$B,MATCH(TRIM(SUBSTITUTE($B21,CHAR(160)," ")),'TRANS'!$D:$D,0)),IFERROR(INDEX('Catalog'!$A:$A,MATCH($B21,'Catalog'!$B:$B,0)),IFERROR(INDEX('Catalog'!$A:$A,MATCH(TRIM(SUBSTITUTE($B21,CHAR(160)," ")),'Catalog'!$C:$C,0)),""))))</f>
        <v>4408046</v>
      </c>
      <c r="H21" s="7" t="str">
        <f aca="false">IFERROR(INDEX('TRANS'!$C:$C,MATCH($B21,'TRANS'!$A:$A,0)),IFERROR(INDEX('Catalog'!$B:$B,MATCH($G21,'Catalog'!$A:$A,0)),$B21))</f>
        <v>20 L חבק יד מתכוון עם צמדן</v>
      </c>
      <c r="I21" s="7" t="str">
        <f aca="false">IF($G21="","Unmatched","Matched")</f>
        <v>Matched</v>
      </c>
      <c r="J21" s="7" t="n">
        <f aca="false">IF($G21&lt;&gt;"",$G21,$B21)</f>
        <v>4408046</v>
      </c>
      <c r="K21" s="7" t="str">
        <f aca="false">IF(COUNTIF($O$2:$O$16,$A21)&gt;0,"Y","N")</f>
        <v>Y</v>
      </c>
    </row>
    <row r="22" customFormat="false" ht="15" hidden="false" customHeight="false" outlineLevel="0" collapsed="false">
      <c r="A22" s="7" t="s">
        <v>30</v>
      </c>
      <c r="B22" s="7" t="s">
        <v>288</v>
      </c>
      <c r="C22" s="8" t="n">
        <v>270</v>
      </c>
      <c r="D22" s="8" t="n">
        <v>5482.9</v>
      </c>
      <c r="E22" s="8" t="n">
        <v>160</v>
      </c>
      <c r="F22" s="8" t="n">
        <v>2883.67</v>
      </c>
      <c r="G22" s="7" t="n">
        <f aca="false">IFERROR(INDEX('TRANS'!$B:$B,MATCH($B22,'TRANS'!$A:$A,0)),IFERROR(INDEX('TRANS'!$B:$B,MATCH(TRIM(SUBSTITUTE($B22,CHAR(160)," ")),'TRANS'!$D:$D,0)),IFERROR(INDEX('Catalog'!$A:$A,MATCH($B22,'Catalog'!$B:$B,0)),IFERROR(INDEX('Catalog'!$A:$A,MATCH(TRIM(SUBSTITUTE($B22,CHAR(160)," ")),'Catalog'!$C:$C,0)),""))))</f>
        <v>4408047</v>
      </c>
      <c r="H22" s="7" t="str">
        <f aca="false">IFERROR(INDEX('TRANS'!$C:$C,MATCH($B22,'TRANS'!$A:$A,0)),IFERROR(INDEX('Catalog'!$B:$B,MATCH($G22,'Catalog'!$A:$A,0)),$B22))</f>
        <v>20 M חבק יד מתכוון עם צמדן</v>
      </c>
      <c r="I22" s="7" t="str">
        <f aca="false">IF($G22="","Unmatched","Matched")</f>
        <v>Matched</v>
      </c>
      <c r="J22" s="7" t="n">
        <f aca="false">IF($G22&lt;&gt;"",$G22,$B22)</f>
        <v>4408047</v>
      </c>
      <c r="K22" s="7" t="str">
        <f aca="false">IF(COUNTIF($O$2:$O$16,$A22)&gt;0,"Y","N")</f>
        <v>Y</v>
      </c>
    </row>
    <row r="23" customFormat="false" ht="15" hidden="false" customHeight="false" outlineLevel="0" collapsed="false">
      <c r="A23" s="7" t="s">
        <v>30</v>
      </c>
      <c r="B23" s="7" t="s">
        <v>289</v>
      </c>
      <c r="C23" s="8" t="n">
        <v>150</v>
      </c>
      <c r="D23" s="8" t="n">
        <v>3032.25</v>
      </c>
      <c r="E23" s="8" t="n">
        <v>60</v>
      </c>
      <c r="F23" s="8" t="n">
        <v>1086.79</v>
      </c>
      <c r="G23" s="7" t="n">
        <f aca="false">IFERROR(INDEX('TRANS'!$B:$B,MATCH($B23,'TRANS'!$A:$A,0)),IFERROR(INDEX('TRANS'!$B:$B,MATCH(TRIM(SUBSTITUTE($B23,CHAR(160)," ")),'TRANS'!$D:$D,0)),IFERROR(INDEX('Catalog'!$A:$A,MATCH($B23,'Catalog'!$B:$B,0)),IFERROR(INDEX('Catalog'!$A:$A,MATCH(TRIM(SUBSTITUTE($B23,CHAR(160)," ")),'Catalog'!$C:$C,0)),""))))</f>
        <v>4408048</v>
      </c>
      <c r="H23" s="7" t="str">
        <f aca="false">IFERROR(INDEX('TRANS'!$C:$C,MATCH($B23,'TRANS'!$A:$A,0)),IFERROR(INDEX('Catalog'!$B:$B,MATCH($G23,'Catalog'!$A:$A,0)),$B23))</f>
        <v>20 S חבק יד מתכוון עם צמדן</v>
      </c>
      <c r="I23" s="7" t="str">
        <f aca="false">IF($G23="","Unmatched","Matched")</f>
        <v>Matched</v>
      </c>
      <c r="J23" s="7" t="n">
        <f aca="false">IF($G23&lt;&gt;"",$G23,$B23)</f>
        <v>4408048</v>
      </c>
      <c r="K23" s="7" t="str">
        <f aca="false">IF(COUNTIF($O$2:$O$16,$A23)&gt;0,"Y","N")</f>
        <v>Y</v>
      </c>
    </row>
    <row r="24" customFormat="false" ht="15" hidden="false" customHeight="false" outlineLevel="0" collapsed="false">
      <c r="A24" s="7" t="s">
        <v>30</v>
      </c>
      <c r="B24" s="7" t="s">
        <v>290</v>
      </c>
      <c r="C24" s="8" t="n">
        <v>90</v>
      </c>
      <c r="D24" s="8" t="n">
        <v>1847.12</v>
      </c>
      <c r="E24" s="8" t="n">
        <v>0</v>
      </c>
      <c r="F24" s="8" t="n">
        <v>0</v>
      </c>
      <c r="G24" s="7" t="n">
        <f aca="false">IFERROR(INDEX('TRANS'!$B:$B,MATCH($B24,'TRANS'!$A:$A,0)),IFERROR(INDEX('TRANS'!$B:$B,MATCH(TRIM(SUBSTITUTE($B24,CHAR(160)," ")),'TRANS'!$D:$D,0)),IFERROR(INDEX('Catalog'!$A:$A,MATCH($B24,'Catalog'!$B:$B,0)),IFERROR(INDEX('Catalog'!$A:$A,MATCH(TRIM(SUBSTITUTE($B24,CHAR(160)," ")),'Catalog'!$C:$C,0)),""))))</f>
        <v>4408049</v>
      </c>
      <c r="H24" s="7" t="str">
        <f aca="false">IFERROR(INDEX('TRANS'!$C:$C,MATCH($B24,'TRANS'!$A:$A,0)),IFERROR(INDEX('Catalog'!$B:$B,MATCH($G24,'Catalog'!$A:$A,0)),$B24))</f>
        <v>20 XL חבק יד מתכוון עם צמדן</v>
      </c>
      <c r="I24" s="7" t="str">
        <f aca="false">IF($G24="","Unmatched","Matched")</f>
        <v>Matched</v>
      </c>
      <c r="J24" s="7" t="n">
        <f aca="false">IF($G24&lt;&gt;"",$G24,$B24)</f>
        <v>4408049</v>
      </c>
      <c r="K24" s="7" t="str">
        <f aca="false">IF(COUNTIF($O$2:$O$16,$A24)&gt;0,"Y","N")</f>
        <v>Y</v>
      </c>
    </row>
    <row r="25" customFormat="false" ht="15" hidden="false" customHeight="false" outlineLevel="0" collapsed="false">
      <c r="A25" s="7" t="s">
        <v>30</v>
      </c>
      <c r="B25" s="7" t="s">
        <v>291</v>
      </c>
      <c r="C25" s="8" t="n">
        <v>160</v>
      </c>
      <c r="D25" s="8" t="n">
        <v>3452.22</v>
      </c>
      <c r="E25" s="8" t="n">
        <v>90</v>
      </c>
      <c r="F25" s="8" t="n">
        <v>1749.35</v>
      </c>
      <c r="G25" s="7" t="n">
        <f aca="false">IFERROR(INDEX('TRANS'!$B:$B,MATCH($B25,'TRANS'!$A:$A,0)),IFERROR(INDEX('TRANS'!$B:$B,MATCH(TRIM(SUBSTITUTE($B25,CHAR(160)," ")),'TRANS'!$D:$D,0)),IFERROR(INDEX('Catalog'!$A:$A,MATCH($B25,'Catalog'!$B:$B,0)),IFERROR(INDEX('Catalog'!$A:$A,MATCH(TRIM(SUBSTITUTE($B25,CHAR(160)," ")),'Catalog'!$C:$C,0)),""))))</f>
        <v>4408052</v>
      </c>
      <c r="H25" s="7" t="str">
        <f aca="false">IFERROR(INDEX('TRANS'!$C:$C,MATCH($B25,'TRANS'!$A:$A,0)),IFERROR(INDEX('Catalog'!$B:$B,MATCH($G25,'Catalog'!$A:$A,0)),$B25))</f>
        <v>21 L  חבק יד ארוך</v>
      </c>
      <c r="I25" s="7" t="str">
        <f aca="false">IF($G25="","Unmatched","Matched")</f>
        <v>Matched</v>
      </c>
      <c r="J25" s="7" t="n">
        <f aca="false">IF($G25&lt;&gt;"",$G25,$B25)</f>
        <v>4408052</v>
      </c>
      <c r="K25" s="7" t="str">
        <f aca="false">IF(COUNTIF($O$2:$O$16,$A25)&gt;0,"Y","N")</f>
        <v>Y</v>
      </c>
    </row>
    <row r="26" customFormat="false" ht="15" hidden="false" customHeight="false" outlineLevel="0" collapsed="false">
      <c r="A26" s="7" t="s">
        <v>30</v>
      </c>
      <c r="B26" s="7" t="s">
        <v>292</v>
      </c>
      <c r="C26" s="8" t="n">
        <v>370</v>
      </c>
      <c r="D26" s="8" t="n">
        <v>7952.17</v>
      </c>
      <c r="E26" s="8" t="n">
        <v>220</v>
      </c>
      <c r="F26" s="8" t="n">
        <v>4219.15</v>
      </c>
      <c r="G26" s="7" t="n">
        <f aca="false">IFERROR(INDEX('TRANS'!$B:$B,MATCH($B26,'TRANS'!$A:$A,0)),IFERROR(INDEX('TRANS'!$B:$B,MATCH(TRIM(SUBSTITUTE($B26,CHAR(160)," ")),'TRANS'!$D:$D,0)),IFERROR(INDEX('Catalog'!$A:$A,MATCH($B26,'Catalog'!$B:$B,0)),IFERROR(INDEX('Catalog'!$A:$A,MATCH(TRIM(SUBSTITUTE($B26,CHAR(160)," ")),'Catalog'!$C:$C,0)),""))))</f>
        <v>4408053</v>
      </c>
      <c r="H26" s="7" t="str">
        <f aca="false">IFERROR(INDEX('TRANS'!$C:$C,MATCH($B26,'TRANS'!$A:$A,0)),IFERROR(INDEX('Catalog'!$B:$B,MATCH($G26,'Catalog'!$A:$A,0)),$B26))</f>
        <v>21 M  חבק יד ארוך</v>
      </c>
      <c r="I26" s="7" t="str">
        <f aca="false">IF($G26="","Unmatched","Matched")</f>
        <v>Matched</v>
      </c>
      <c r="J26" s="7" t="n">
        <f aca="false">IF($G26&lt;&gt;"",$G26,$B26)</f>
        <v>4408053</v>
      </c>
      <c r="K26" s="7" t="str">
        <f aca="false">IF(COUNTIF($O$2:$O$16,$A26)&gt;0,"Y","N")</f>
        <v>Y</v>
      </c>
    </row>
    <row r="27" customFormat="false" ht="15" hidden="false" customHeight="false" outlineLevel="0" collapsed="false">
      <c r="A27" s="7" t="s">
        <v>30</v>
      </c>
      <c r="B27" s="7" t="s">
        <v>293</v>
      </c>
      <c r="C27" s="8" t="n">
        <v>280</v>
      </c>
      <c r="D27" s="8" t="n">
        <v>6063.38</v>
      </c>
      <c r="E27" s="8" t="n">
        <v>170</v>
      </c>
      <c r="F27" s="8" t="n">
        <v>3296.5</v>
      </c>
      <c r="G27" s="7" t="n">
        <f aca="false">IFERROR(INDEX('TRANS'!$B:$B,MATCH($B27,'TRANS'!$A:$A,0)),IFERROR(INDEX('TRANS'!$B:$B,MATCH(TRIM(SUBSTITUTE($B27,CHAR(160)," ")),'TRANS'!$D:$D,0)),IFERROR(INDEX('Catalog'!$A:$A,MATCH($B27,'Catalog'!$B:$B,0)),IFERROR(INDEX('Catalog'!$A:$A,MATCH(TRIM(SUBSTITUTE($B27,CHAR(160)," ")),'Catalog'!$C:$C,0)),""))))</f>
        <v>4408051</v>
      </c>
      <c r="H27" s="7" t="str">
        <f aca="false">IFERROR(INDEX('TRANS'!$C:$C,MATCH($B27,'TRANS'!$A:$A,0)),IFERROR(INDEX('Catalog'!$B:$B,MATCH($G27,'Catalog'!$A:$A,0)),$B27))</f>
        <v>21 S  חבק יד ארוך</v>
      </c>
      <c r="I27" s="7" t="str">
        <f aca="false">IF($G27="","Unmatched","Matched")</f>
        <v>Matched</v>
      </c>
      <c r="J27" s="7" t="n">
        <f aca="false">IF($G27&lt;&gt;"",$G27,$B27)</f>
        <v>4408051</v>
      </c>
      <c r="K27" s="7" t="str">
        <f aca="false">IF(COUNTIF($O$2:$O$16,$A27)&gt;0,"Y","N")</f>
        <v>Y</v>
      </c>
    </row>
    <row r="28" customFormat="false" ht="15" hidden="false" customHeight="false" outlineLevel="0" collapsed="false">
      <c r="A28" s="7" t="s">
        <v>30</v>
      </c>
      <c r="B28" s="7" t="s">
        <v>294</v>
      </c>
      <c r="C28" s="8" t="n">
        <v>320</v>
      </c>
      <c r="D28" s="8" t="n">
        <v>11612.6</v>
      </c>
      <c r="E28" s="8" t="n">
        <v>320</v>
      </c>
      <c r="F28" s="8" t="n">
        <v>10705</v>
      </c>
      <c r="G28" s="7" t="n">
        <f aca="false">IFERROR(INDEX('TRANS'!$B:$B,MATCH($B28,'TRANS'!$A:$A,0)),IFERROR(INDEX('TRANS'!$B:$B,MATCH(TRIM(SUBSTITUTE($B28,CHAR(160)," ")),'TRANS'!$D:$D,0)),IFERROR(INDEX('Catalog'!$A:$A,MATCH($B28,'Catalog'!$B:$B,0)),IFERROR(INDEX('Catalog'!$A:$A,MATCH(TRIM(SUBSTITUTE($B28,CHAR(160)," ")),'Catalog'!$C:$C,0)),""))))</f>
        <v>4413348</v>
      </c>
      <c r="H28" s="7" t="str">
        <f aca="false">IFERROR(INDEX('TRANS'!$C:$C,MATCH($B28,'TRANS'!$A:$A,0)),IFERROR(INDEX('Catalog'!$B:$B,MATCH($G28,'Catalog'!$A:$A,0)),$B28))</f>
        <v>302 מדרס ג'ל לגבר</v>
      </c>
      <c r="I28" s="7" t="str">
        <f aca="false">IF($G28="","Unmatched","Matched")</f>
        <v>Matched</v>
      </c>
      <c r="J28" s="7" t="n">
        <f aca="false">IF($G28&lt;&gt;"",$G28,$B28)</f>
        <v>4413348</v>
      </c>
      <c r="K28" s="7" t="str">
        <f aca="false">IF(COUNTIF($O$2:$O$16,$A28)&gt;0,"Y","N")</f>
        <v>Y</v>
      </c>
    </row>
    <row r="29" customFormat="false" ht="15" hidden="false" customHeight="false" outlineLevel="0" collapsed="false">
      <c r="A29" s="7" t="s">
        <v>30</v>
      </c>
      <c r="B29" s="7" t="s">
        <v>295</v>
      </c>
      <c r="C29" s="8" t="n">
        <v>330</v>
      </c>
      <c r="D29" s="8" t="n">
        <v>11377.74</v>
      </c>
      <c r="E29" s="8" t="n">
        <v>180</v>
      </c>
      <c r="F29" s="8" t="n">
        <v>5597.66</v>
      </c>
      <c r="G29" s="7" t="n">
        <f aca="false">IFERROR(INDEX('TRANS'!$B:$B,MATCH($B29,'TRANS'!$A:$A,0)),IFERROR(INDEX('TRANS'!$B:$B,MATCH(TRIM(SUBSTITUTE($B29,CHAR(160)," ")),'TRANS'!$D:$D,0)),IFERROR(INDEX('Catalog'!$A:$A,MATCH($B29,'Catalog'!$B:$B,0)),IFERROR(INDEX('Catalog'!$A:$A,MATCH(TRIM(SUBSTITUTE($B29,CHAR(160)," ")),'Catalog'!$C:$C,0)),""))))</f>
        <v>4413372</v>
      </c>
      <c r="H29" s="7" t="str">
        <f aca="false">IFERROR(INDEX('TRANS'!$C:$C,MATCH($B29,'TRANS'!$A:$A,0)),IFERROR(INDEX('Catalog'!$B:$B,MATCH($G29,'Catalog'!$A:$A,0)),$B29))</f>
        <v>302 W מדרס לאישה</v>
      </c>
      <c r="I29" s="7" t="str">
        <f aca="false">IF($G29="","Unmatched","Matched")</f>
        <v>Matched</v>
      </c>
      <c r="J29" s="7" t="n">
        <f aca="false">IF($G29&lt;&gt;"",$G29,$B29)</f>
        <v>4413372</v>
      </c>
      <c r="K29" s="7" t="str">
        <f aca="false">IF(COUNTIF($O$2:$O$16,$A29)&gt;0,"Y","N")</f>
        <v>Y</v>
      </c>
    </row>
    <row r="30" customFormat="false" ht="15" hidden="false" customHeight="false" outlineLevel="0" collapsed="false">
      <c r="A30" s="7" t="s">
        <v>30</v>
      </c>
      <c r="B30" s="7" t="s">
        <v>296</v>
      </c>
      <c r="C30" s="8" t="n">
        <v>300</v>
      </c>
      <c r="D30" s="8" t="n">
        <v>11829.76</v>
      </c>
      <c r="E30" s="8" t="n">
        <v>160</v>
      </c>
      <c r="F30" s="8" t="n">
        <v>5602.35</v>
      </c>
      <c r="G30" s="7" t="n">
        <f aca="false">IFERROR(INDEX('TRANS'!$B:$B,MATCH($B30,'TRANS'!$A:$A,0)),IFERROR(INDEX('TRANS'!$B:$B,MATCH(TRIM(SUBSTITUTE($B30,CHAR(160)," ")),'TRANS'!$D:$D,0)),IFERROR(INDEX('Catalog'!$A:$A,MATCH($B30,'Catalog'!$B:$B,0)),IFERROR(INDEX('Catalog'!$A:$A,MATCH(TRIM(SUBSTITUTE($B30,CHAR(160)," ")),'Catalog'!$C:$C,0)),""))))</f>
        <v>4416000</v>
      </c>
      <c r="H30" s="7" t="str">
        <f aca="false">IFERROR(INDEX('TRANS'!$C:$C,MATCH($B30,'TRANS'!$A:$A,0)),IFERROR(INDEX('Catalog'!$B:$B,MATCH($G30,'Catalog'!$A:$A,0)),$B30))</f>
        <v>307 L עקבים לדורבן-זוג כריות</v>
      </c>
      <c r="I30" s="7" t="str">
        <f aca="false">IF($G30="","Unmatched","Matched")</f>
        <v>Matched</v>
      </c>
      <c r="J30" s="7" t="n">
        <f aca="false">IF($G30&lt;&gt;"",$G30,$B30)</f>
        <v>4416000</v>
      </c>
      <c r="K30" s="7" t="str">
        <f aca="false">IF(COUNTIF($O$2:$O$16,$A30)&gt;0,"Y","N")</f>
        <v>Y</v>
      </c>
    </row>
    <row r="31" customFormat="false" ht="15" hidden="false" customHeight="false" outlineLevel="0" collapsed="false">
      <c r="A31" s="7" t="s">
        <v>30</v>
      </c>
      <c r="B31" s="7" t="s">
        <v>297</v>
      </c>
      <c r="C31" s="8" t="n">
        <v>360</v>
      </c>
      <c r="D31" s="8" t="n">
        <v>14231.89</v>
      </c>
      <c r="E31" s="8" t="n">
        <v>140</v>
      </c>
      <c r="F31" s="8" t="n">
        <v>4902.66</v>
      </c>
      <c r="G31" s="7" t="n">
        <f aca="false">IFERROR(INDEX('TRANS'!$B:$B,MATCH($B31,'TRANS'!$A:$A,0)),IFERROR(INDEX('TRANS'!$B:$B,MATCH(TRIM(SUBSTITUTE($B31,CHAR(160)," ")),'TRANS'!$D:$D,0)),IFERROR(INDEX('Catalog'!$A:$A,MATCH($B31,'Catalog'!$B:$B,0)),IFERROR(INDEX('Catalog'!$A:$A,MATCH(TRIM(SUBSTITUTE($B31,CHAR(160)," ")),'Catalog'!$C:$C,0)),""))))</f>
        <v>4416001</v>
      </c>
      <c r="H31" s="7" t="str">
        <f aca="false">IFERROR(INDEX('TRANS'!$C:$C,MATCH($B31,'TRANS'!$A:$A,0)),IFERROR(INDEX('Catalog'!$B:$B,MATCH($G31,'Catalog'!$A:$A,0)),$B31))</f>
        <v>307 M עקבים לדורבן-זוג כריות</v>
      </c>
      <c r="I31" s="7" t="str">
        <f aca="false">IF($G31="","Unmatched","Matched")</f>
        <v>Matched</v>
      </c>
      <c r="J31" s="7" t="n">
        <f aca="false">IF($G31&lt;&gt;"",$G31,$B31)</f>
        <v>4416001</v>
      </c>
      <c r="K31" s="7" t="str">
        <f aca="false">IF(COUNTIF($O$2:$O$16,$A31)&gt;0,"Y","N")</f>
        <v>Y</v>
      </c>
    </row>
    <row r="32" customFormat="false" ht="15" hidden="false" customHeight="false" outlineLevel="0" collapsed="false">
      <c r="A32" s="7" t="s">
        <v>30</v>
      </c>
      <c r="B32" s="7" t="s">
        <v>298</v>
      </c>
      <c r="C32" s="8" t="n">
        <v>110</v>
      </c>
      <c r="D32" s="8" t="n">
        <v>4372.45</v>
      </c>
      <c r="E32" s="8" t="n">
        <v>60</v>
      </c>
      <c r="F32" s="8" t="n">
        <v>2128.4</v>
      </c>
      <c r="G32" s="7" t="n">
        <f aca="false">IFERROR(INDEX('TRANS'!$B:$B,MATCH($B32,'TRANS'!$A:$A,0)),IFERROR(INDEX('TRANS'!$B:$B,MATCH(TRIM(SUBSTITUTE($B32,CHAR(160)," ")),'TRANS'!$D:$D,0)),IFERROR(INDEX('Catalog'!$A:$A,MATCH($B32,'Catalog'!$B:$B,0)),IFERROR(INDEX('Catalog'!$A:$A,MATCH(TRIM(SUBSTITUTE($B32,CHAR(160)," ")),'Catalog'!$C:$C,0)),""))))</f>
        <v>4416002</v>
      </c>
      <c r="H32" s="7" t="str">
        <f aca="false">IFERROR(INDEX('TRANS'!$C:$C,MATCH($B32,'TRANS'!$A:$A,0)),IFERROR(INDEX('Catalog'!$B:$B,MATCH($G32,'Catalog'!$A:$A,0)),$B32))</f>
        <v>307 S עקבים לדורבן-זוג כריות</v>
      </c>
      <c r="I32" s="7" t="str">
        <f aca="false">IF($G32="","Unmatched","Matched")</f>
        <v>Matched</v>
      </c>
      <c r="J32" s="7" t="n">
        <f aca="false">IF($G32&lt;&gt;"",$G32,$B32)</f>
        <v>4416002</v>
      </c>
      <c r="K32" s="7" t="str">
        <f aca="false">IF(COUNTIF($O$2:$O$16,$A32)&gt;0,"Y","N")</f>
        <v>Y</v>
      </c>
    </row>
    <row r="33" customFormat="false" ht="15" hidden="false" customHeight="false" outlineLevel="0" collapsed="false">
      <c r="A33" s="7" t="s">
        <v>30</v>
      </c>
      <c r="B33" s="7" t="s">
        <v>299</v>
      </c>
      <c r="C33" s="8" t="n">
        <v>320</v>
      </c>
      <c r="D33" s="8" t="n">
        <v>5566.27</v>
      </c>
      <c r="E33" s="8" t="n">
        <v>150</v>
      </c>
      <c r="F33" s="8" t="n">
        <v>2313.37</v>
      </c>
      <c r="G33" s="7" t="n">
        <f aca="false">IFERROR(INDEX('TRANS'!$B:$B,MATCH($B33,'TRANS'!$A:$A,0)),IFERROR(INDEX('TRANS'!$B:$B,MATCH(TRIM(SUBSTITUTE($B33,CHAR(160)," ")),'TRANS'!$D:$D,0)),IFERROR(INDEX('Catalog'!$A:$A,MATCH($B33,'Catalog'!$B:$B,0)),IFERROR(INDEX('Catalog'!$A:$A,MATCH(TRIM(SUBSTITUTE($B33,CHAR(160)," ")),'Catalog'!$C:$C,0)),""))))</f>
        <v>4413033</v>
      </c>
      <c r="H33" s="7" t="str">
        <f aca="false">IFERROR(INDEX('TRANS'!$C:$C,MATCH($B33,'TRANS'!$A:$A,0)),IFERROR(INDEX('Catalog'!$B:$B,MATCH($G33,'Catalog'!$A:$A,0)),$B33))</f>
        <v>311'מדב.ג'ל למניעת שפשוף 5 יח</v>
      </c>
      <c r="I33" s="7" t="str">
        <f aca="false">IF($G33="","Unmatched","Matched")</f>
        <v>Matched</v>
      </c>
      <c r="J33" s="7" t="n">
        <f aca="false">IF($G33&lt;&gt;"",$G33,$B33)</f>
        <v>4413033</v>
      </c>
      <c r="K33" s="7" t="str">
        <f aca="false">IF(COUNTIF($O$2:$O$16,$A33)&gt;0,"Y","N")</f>
        <v>Y</v>
      </c>
    </row>
    <row r="34" customFormat="false" ht="15" hidden="false" customHeight="false" outlineLevel="0" collapsed="false">
      <c r="A34" s="7" t="s">
        <v>30</v>
      </c>
      <c r="B34" s="7" t="s">
        <v>300</v>
      </c>
      <c r="C34" s="8" t="n">
        <v>130</v>
      </c>
      <c r="D34" s="8" t="n">
        <v>1732.73</v>
      </c>
      <c r="E34" s="8" t="n">
        <v>40</v>
      </c>
      <c r="F34" s="8" t="n">
        <v>475.88</v>
      </c>
      <c r="G34" s="7" t="n">
        <f aca="false">IFERROR(INDEX('TRANS'!$B:$B,MATCH($B34,'TRANS'!$A:$A,0)),IFERROR(INDEX('TRANS'!$B:$B,MATCH(TRIM(SUBSTITUTE($B34,CHAR(160)," ")),'TRANS'!$D:$D,0)),IFERROR(INDEX('Catalog'!$A:$A,MATCH($B34,'Catalog'!$B:$B,0)),IFERROR(INDEX('Catalog'!$A:$A,MATCH(TRIM(SUBSTITUTE($B34,CHAR(160)," ")),'Catalog'!$C:$C,0)),""))))</f>
        <v>4413048</v>
      </c>
      <c r="H34" s="7" t="str">
        <f aca="false">IFERROR(INDEX('TRANS'!$C:$C,MATCH($B34,'TRANS'!$A:$A,0)),IFERROR(INDEX('Catalog'!$B:$B,MATCH($G34,'Catalog'!$A:$A,0)),$B34))</f>
        <v>35 L מגן קרסול לבן</v>
      </c>
      <c r="I34" s="7" t="str">
        <f aca="false">IF($G34="","Unmatched","Matched")</f>
        <v>Matched</v>
      </c>
      <c r="J34" s="7" t="n">
        <f aca="false">IF($G34&lt;&gt;"",$G34,$B34)</f>
        <v>4413048</v>
      </c>
      <c r="K34" s="7" t="str">
        <f aca="false">IF(COUNTIF($O$2:$O$16,$A34)&gt;0,"Y","N")</f>
        <v>Y</v>
      </c>
    </row>
    <row r="35" customFormat="false" ht="15" hidden="false" customHeight="false" outlineLevel="0" collapsed="false">
      <c r="A35" s="7" t="s">
        <v>30</v>
      </c>
      <c r="B35" s="7" t="s">
        <v>301</v>
      </c>
      <c r="C35" s="8" t="n">
        <v>130</v>
      </c>
      <c r="D35" s="8" t="n">
        <v>1745.61</v>
      </c>
      <c r="E35" s="8" t="n">
        <v>60</v>
      </c>
      <c r="F35" s="8" t="n">
        <v>709.19</v>
      </c>
      <c r="G35" s="7" t="n">
        <f aca="false">IFERROR(INDEX('TRANS'!$B:$B,MATCH($B35,'TRANS'!$A:$A,0)),IFERROR(INDEX('TRANS'!$B:$B,MATCH(TRIM(SUBSTITUTE($B35,CHAR(160)," ")),'TRANS'!$D:$D,0)),IFERROR(INDEX('Catalog'!$A:$A,MATCH($B35,'Catalog'!$B:$B,0)),IFERROR(INDEX('Catalog'!$A:$A,MATCH(TRIM(SUBSTITUTE($B35,CHAR(160)," ")),'Catalog'!$C:$C,0)),""))))</f>
        <v>4413049</v>
      </c>
      <c r="H35" s="7" t="str">
        <f aca="false">IFERROR(INDEX('TRANS'!$C:$C,MATCH($B35,'TRANS'!$A:$A,0)),IFERROR(INDEX('Catalog'!$B:$B,MATCH($G35,'Catalog'!$A:$A,0)),$B35))</f>
        <v>35 M מגן קרסול לבן</v>
      </c>
      <c r="I35" s="7" t="str">
        <f aca="false">IF($G35="","Unmatched","Matched")</f>
        <v>Matched</v>
      </c>
      <c r="J35" s="7" t="n">
        <f aca="false">IF($G35&lt;&gt;"",$G35,$B35)</f>
        <v>4413049</v>
      </c>
      <c r="K35" s="7" t="str">
        <f aca="false">IF(COUNTIF($O$2:$O$16,$A35)&gt;0,"Y","N")</f>
        <v>Y</v>
      </c>
    </row>
    <row r="36" customFormat="false" ht="15" hidden="false" customHeight="false" outlineLevel="0" collapsed="false">
      <c r="A36" s="7" t="s">
        <v>30</v>
      </c>
      <c r="B36" s="7" t="s">
        <v>302</v>
      </c>
      <c r="C36" s="8" t="n">
        <v>120</v>
      </c>
      <c r="D36" s="8" t="n">
        <v>1625.19</v>
      </c>
      <c r="E36" s="8" t="n">
        <v>40</v>
      </c>
      <c r="F36" s="8" t="n">
        <v>475.88</v>
      </c>
      <c r="G36" s="7" t="n">
        <f aca="false">IFERROR(INDEX('TRANS'!$B:$B,MATCH($B36,'TRANS'!$A:$A,0)),IFERROR(INDEX('TRANS'!$B:$B,MATCH(TRIM(SUBSTITUTE($B36,CHAR(160)," ")),'TRANS'!$D:$D,0)),IFERROR(INDEX('Catalog'!$A:$A,MATCH($B36,'Catalog'!$B:$B,0)),IFERROR(INDEX('Catalog'!$A:$A,MATCH(TRIM(SUBSTITUTE($B36,CHAR(160)," ")),'Catalog'!$C:$C,0)),""))))</f>
        <v>4413047</v>
      </c>
      <c r="H36" s="7" t="str">
        <f aca="false">IFERROR(INDEX('TRANS'!$C:$C,MATCH($B36,'TRANS'!$A:$A,0)),IFERROR(INDEX('Catalog'!$B:$B,MATCH($G36,'Catalog'!$A:$A,0)),$B36))</f>
        <v>35 S מגן קרסול לבן</v>
      </c>
      <c r="I36" s="7" t="str">
        <f aca="false">IF($G36="","Unmatched","Matched")</f>
        <v>Matched</v>
      </c>
      <c r="J36" s="7" t="n">
        <f aca="false">IF($G36&lt;&gt;"",$G36,$B36)</f>
        <v>4413047</v>
      </c>
      <c r="K36" s="7" t="str">
        <f aca="false">IF(COUNTIF($O$2:$O$16,$A36)&gt;0,"Y","N")</f>
        <v>Y</v>
      </c>
    </row>
    <row r="37" customFormat="false" ht="15" hidden="false" customHeight="false" outlineLevel="0" collapsed="false">
      <c r="A37" s="7" t="s">
        <v>30</v>
      </c>
      <c r="B37" s="7" t="s">
        <v>303</v>
      </c>
      <c r="C37" s="8" t="n">
        <v>90</v>
      </c>
      <c r="D37" s="8" t="n">
        <v>1217</v>
      </c>
      <c r="E37" s="8" t="n">
        <v>70</v>
      </c>
      <c r="F37" s="8" t="n">
        <v>840.1</v>
      </c>
      <c r="G37" s="7" t="n">
        <f aca="false">IFERROR(INDEX('TRANS'!$B:$B,MATCH($B37,'TRANS'!$A:$A,0)),IFERROR(INDEX('TRANS'!$B:$B,MATCH(TRIM(SUBSTITUTE($B37,CHAR(160)," ")),'TRANS'!$D:$D,0)),IFERROR(INDEX('Catalog'!$A:$A,MATCH($B37,'Catalog'!$B:$B,0)),IFERROR(INDEX('Catalog'!$A:$A,MATCH(TRIM(SUBSTITUTE($B37,CHAR(160)," ")),'Catalog'!$C:$C,0)),""))))</f>
        <v>4413050</v>
      </c>
      <c r="H37" s="7" t="str">
        <f aca="false">IFERROR(INDEX('TRANS'!$C:$C,MATCH($B37,'TRANS'!$A:$A,0)),IFERROR(INDEX('Catalog'!$B:$B,MATCH($G37,'Catalog'!$A:$A,0)),$B37))</f>
        <v>35 XL מגן קרסול לבן</v>
      </c>
      <c r="I37" s="7" t="str">
        <f aca="false">IF($G37="","Unmatched","Matched")</f>
        <v>Matched</v>
      </c>
      <c r="J37" s="7" t="n">
        <f aca="false">IF($G37&lt;&gt;"",$G37,$B37)</f>
        <v>4413050</v>
      </c>
      <c r="K37" s="7" t="str">
        <f aca="false">IF(COUNTIF($O$2:$O$16,$A37)&gt;0,"Y","N")</f>
        <v>Y</v>
      </c>
    </row>
    <row r="38" customFormat="false" ht="15" hidden="false" customHeight="false" outlineLevel="0" collapsed="false">
      <c r="A38" s="7" t="s">
        <v>30</v>
      </c>
      <c r="B38" s="7" t="s">
        <v>304</v>
      </c>
      <c r="C38" s="8" t="n">
        <v>330</v>
      </c>
      <c r="D38" s="8" t="n">
        <v>4752.9</v>
      </c>
      <c r="E38" s="8" t="n">
        <v>150</v>
      </c>
      <c r="F38" s="8" t="n">
        <v>1926.31</v>
      </c>
      <c r="G38" s="7" t="n">
        <f aca="false">IFERROR(INDEX('TRANS'!$B:$B,MATCH($B38,'TRANS'!$A:$A,0)),IFERROR(INDEX('TRANS'!$B:$B,MATCH(TRIM(SUBSTITUTE($B38,CHAR(160)," ")),'TRANS'!$D:$D,0)),IFERROR(INDEX('Catalog'!$A:$A,MATCH($B38,'Catalog'!$B:$B,0)),IFERROR(INDEX('Catalog'!$A:$A,MATCH(TRIM(SUBSTITUTE($B38,CHAR(160)," ")),'Catalog'!$C:$C,0)),""))))</f>
        <v>4413490</v>
      </c>
      <c r="H38" s="7" t="str">
        <f aca="false">IFERROR(INDEX('TRANS'!$C:$C,MATCH($B38,'TRANS'!$A:$A,0)),IFERROR(INDEX('Catalog'!$B:$B,MATCH($G38,'Catalog'!$A:$A,0)),$B38))</f>
        <v>35B L מגן קרסול שחור</v>
      </c>
      <c r="I38" s="7" t="str">
        <f aca="false">IF($G38="","Unmatched","Matched")</f>
        <v>Matched</v>
      </c>
      <c r="J38" s="7" t="n">
        <f aca="false">IF($G38&lt;&gt;"",$G38,$B38)</f>
        <v>4413490</v>
      </c>
      <c r="K38" s="7" t="str">
        <f aca="false">IF(COUNTIF($O$2:$O$16,$A38)&gt;0,"Y","N")</f>
        <v>Y</v>
      </c>
    </row>
    <row r="39" customFormat="false" ht="15" hidden="false" customHeight="false" outlineLevel="0" collapsed="false">
      <c r="A39" s="7" t="s">
        <v>30</v>
      </c>
      <c r="B39" s="7" t="s">
        <v>305</v>
      </c>
      <c r="C39" s="8" t="n">
        <v>410</v>
      </c>
      <c r="D39" s="8" t="n">
        <v>5869.73</v>
      </c>
      <c r="E39" s="8" t="n">
        <v>200</v>
      </c>
      <c r="F39" s="8" t="n">
        <v>2581.67</v>
      </c>
      <c r="G39" s="7" t="n">
        <f aca="false">IFERROR(INDEX('TRANS'!$B:$B,MATCH($B39,'TRANS'!$A:$A,0)),IFERROR(INDEX('TRANS'!$B:$B,MATCH(TRIM(SUBSTITUTE($B39,CHAR(160)," ")),'TRANS'!$D:$D,0)),IFERROR(INDEX('Catalog'!$A:$A,MATCH($B39,'Catalog'!$B:$B,0)),IFERROR(INDEX('Catalog'!$A:$A,MATCH(TRIM(SUBSTITUTE($B39,CHAR(160)," ")),'Catalog'!$C:$C,0)),""))))</f>
        <v>4413492</v>
      </c>
      <c r="H39" s="7" t="str">
        <f aca="false">IFERROR(INDEX('TRANS'!$C:$C,MATCH($B39,'TRANS'!$A:$A,0)),IFERROR(INDEX('Catalog'!$B:$B,MATCH($G39,'Catalog'!$A:$A,0)),$B39))</f>
        <v>35B M מגן קרסול שחור</v>
      </c>
      <c r="I39" s="7" t="str">
        <f aca="false">IF($G39="","Unmatched","Matched")</f>
        <v>Matched</v>
      </c>
      <c r="J39" s="7" t="n">
        <f aca="false">IF($G39&lt;&gt;"",$G39,$B39)</f>
        <v>4413492</v>
      </c>
      <c r="K39" s="7" t="str">
        <f aca="false">IF(COUNTIF($O$2:$O$16,$A39)&gt;0,"Y","N")</f>
        <v>Y</v>
      </c>
    </row>
    <row r="40" customFormat="false" ht="15" hidden="false" customHeight="false" outlineLevel="0" collapsed="false">
      <c r="A40" s="7" t="s">
        <v>30</v>
      </c>
      <c r="B40" s="7" t="s">
        <v>306</v>
      </c>
      <c r="C40" s="8" t="n">
        <v>290</v>
      </c>
      <c r="D40" s="8" t="n">
        <v>4175.47</v>
      </c>
      <c r="E40" s="8" t="n">
        <v>160</v>
      </c>
      <c r="F40" s="8" t="n">
        <v>2051.92</v>
      </c>
      <c r="G40" s="7" t="n">
        <f aca="false">IFERROR(INDEX('TRANS'!$B:$B,MATCH($B40,'TRANS'!$A:$A,0)),IFERROR(INDEX('TRANS'!$B:$B,MATCH(TRIM(SUBSTITUTE($B40,CHAR(160)," ")),'TRANS'!$D:$D,0)),IFERROR(INDEX('Catalog'!$A:$A,MATCH($B40,'Catalog'!$B:$B,0)),IFERROR(INDEX('Catalog'!$A:$A,MATCH(TRIM(SUBSTITUTE($B40,CHAR(160)," ")),'Catalog'!$C:$C,0)),""))))</f>
        <v>4413493</v>
      </c>
      <c r="H40" s="7" t="str">
        <f aca="false">IFERROR(INDEX('TRANS'!$C:$C,MATCH($B40,'TRANS'!$A:$A,0)),IFERROR(INDEX('Catalog'!$B:$B,MATCH($G40,'Catalog'!$A:$A,0)),$B40))</f>
        <v>35B S מגן קרסול שחור</v>
      </c>
      <c r="I40" s="7" t="str">
        <f aca="false">IF($G40="","Unmatched","Matched")</f>
        <v>Matched</v>
      </c>
      <c r="J40" s="7" t="n">
        <f aca="false">IF($G40&lt;&gt;"",$G40,$B40)</f>
        <v>4413493</v>
      </c>
      <c r="K40" s="7" t="str">
        <f aca="false">IF(COUNTIF($O$2:$O$16,$A40)&gt;0,"Y","N")</f>
        <v>Y</v>
      </c>
    </row>
    <row r="41" customFormat="false" ht="15" hidden="false" customHeight="false" outlineLevel="0" collapsed="false">
      <c r="A41" s="7" t="s">
        <v>30</v>
      </c>
      <c r="B41" s="7" t="s">
        <v>307</v>
      </c>
      <c r="C41" s="8" t="n">
        <v>260</v>
      </c>
      <c r="D41" s="8" t="n">
        <v>3761.23</v>
      </c>
      <c r="E41" s="8" t="n">
        <v>120</v>
      </c>
      <c r="F41" s="8" t="n">
        <v>1531.11</v>
      </c>
      <c r="G41" s="7" t="n">
        <f aca="false">IFERROR(INDEX('TRANS'!$B:$B,MATCH($B41,'TRANS'!$A:$A,0)),IFERROR(INDEX('TRANS'!$B:$B,MATCH(TRIM(SUBSTITUTE($B41,CHAR(160)," ")),'TRANS'!$D:$D,0)),IFERROR(INDEX('Catalog'!$A:$A,MATCH($B41,'Catalog'!$B:$B,0)),IFERROR(INDEX('Catalog'!$A:$A,MATCH(TRIM(SUBSTITUTE($B41,CHAR(160)," ")),'Catalog'!$C:$C,0)),""))))</f>
        <v>4413491</v>
      </c>
      <c r="H41" s="7" t="str">
        <f aca="false">IFERROR(INDEX('TRANS'!$C:$C,MATCH($B41,'TRANS'!$A:$A,0)),IFERROR(INDEX('Catalog'!$B:$B,MATCH($G41,'Catalog'!$A:$A,0)),$B41))</f>
        <v>35B XL מגן קרסול שחור</v>
      </c>
      <c r="I41" s="7" t="str">
        <f aca="false">IF($G41="","Unmatched","Matched")</f>
        <v>Matched</v>
      </c>
      <c r="J41" s="7" t="n">
        <f aca="false">IF($G41&lt;&gt;"",$G41,$B41)</f>
        <v>4413491</v>
      </c>
      <c r="K41" s="7" t="str">
        <f aca="false">IF(COUNTIF($O$2:$O$16,$A41)&gt;0,"Y","N")</f>
        <v>Y</v>
      </c>
    </row>
    <row r="42" customFormat="false" ht="15" hidden="false" customHeight="false" outlineLevel="0" collapsed="false">
      <c r="A42" s="7" t="s">
        <v>30</v>
      </c>
      <c r="B42" s="7" t="s">
        <v>308</v>
      </c>
      <c r="C42" s="8" t="n">
        <v>180</v>
      </c>
      <c r="D42" s="8" t="n">
        <v>2442.63</v>
      </c>
      <c r="E42" s="8" t="n">
        <v>120</v>
      </c>
      <c r="F42" s="8" t="n">
        <v>1478.58</v>
      </c>
      <c r="G42" s="7" t="n">
        <f aca="false">IFERROR(INDEX('TRANS'!$B:$B,MATCH($B42,'TRANS'!$A:$A,0)),IFERROR(INDEX('TRANS'!$B:$B,MATCH(TRIM(SUBSTITUTE($B42,CHAR(160)," ")),'TRANS'!$D:$D,0)),IFERROR(INDEX('Catalog'!$A:$A,MATCH($B42,'Catalog'!$B:$B,0)),IFERROR(INDEX('Catalog'!$A:$A,MATCH(TRIM(SUBSTITUTE($B42,CHAR(160)," ")),'Catalog'!$C:$C,0)),""))))</f>
        <v>4413053</v>
      </c>
      <c r="H42" s="7" t="str">
        <f aca="false">IFERROR(INDEX('TRANS'!$C:$C,MATCH($B42,'TRANS'!$A:$A,0)),IFERROR(INDEX('Catalog'!$B:$B,MATCH($G42,'Catalog'!$A:$A,0)),$B42))</f>
        <v>35C L מגן קרסול חום</v>
      </c>
      <c r="I42" s="7" t="str">
        <f aca="false">IF($G42="","Unmatched","Matched")</f>
        <v>Matched</v>
      </c>
      <c r="J42" s="7" t="n">
        <f aca="false">IF($G42&lt;&gt;"",$G42,$B42)</f>
        <v>4413053</v>
      </c>
      <c r="K42" s="7" t="str">
        <f aca="false">IF(COUNTIF($O$2:$O$16,$A42)&gt;0,"Y","N")</f>
        <v>Y</v>
      </c>
    </row>
    <row r="43" customFormat="false" ht="15" hidden="false" customHeight="false" outlineLevel="0" collapsed="false">
      <c r="A43" s="7" t="s">
        <v>30</v>
      </c>
      <c r="B43" s="7" t="s">
        <v>309</v>
      </c>
      <c r="C43" s="8" t="n">
        <v>300</v>
      </c>
      <c r="D43" s="8" t="n">
        <v>4166.18</v>
      </c>
      <c r="E43" s="8" t="n">
        <v>140</v>
      </c>
      <c r="F43" s="8" t="n">
        <v>1758.23</v>
      </c>
      <c r="G43" s="7" t="n">
        <f aca="false">IFERROR(INDEX('TRANS'!$B:$B,MATCH($B43,'TRANS'!$A:$A,0)),IFERROR(INDEX('TRANS'!$B:$B,MATCH(TRIM(SUBSTITUTE($B43,CHAR(160)," ")),'TRANS'!$D:$D,0)),IFERROR(INDEX('Catalog'!$A:$A,MATCH($B43,'Catalog'!$B:$B,0)),IFERROR(INDEX('Catalog'!$A:$A,MATCH(TRIM(SUBSTITUTE($B43,CHAR(160)," ")),'Catalog'!$C:$C,0)),""))))</f>
        <v>4413054</v>
      </c>
      <c r="H43" s="7" t="str">
        <f aca="false">IFERROR(INDEX('TRANS'!$C:$C,MATCH($B43,'TRANS'!$A:$A,0)),IFERROR(INDEX('Catalog'!$B:$B,MATCH($G43,'Catalog'!$A:$A,0)),$B43))</f>
        <v>35C M מגן קרסול חום</v>
      </c>
      <c r="I43" s="7" t="str">
        <f aca="false">IF($G43="","Unmatched","Matched")</f>
        <v>Matched</v>
      </c>
      <c r="J43" s="7" t="n">
        <f aca="false">IF($G43&lt;&gt;"",$G43,$B43)</f>
        <v>4413054</v>
      </c>
      <c r="K43" s="7" t="str">
        <f aca="false">IF(COUNTIF($O$2:$O$16,$A43)&gt;0,"Y","N")</f>
        <v>Y</v>
      </c>
    </row>
    <row r="44" customFormat="false" ht="15" hidden="false" customHeight="false" outlineLevel="0" collapsed="false">
      <c r="A44" s="7" t="s">
        <v>30</v>
      </c>
      <c r="B44" s="7" t="s">
        <v>310</v>
      </c>
      <c r="C44" s="8" t="n">
        <v>240</v>
      </c>
      <c r="D44" s="8" t="n">
        <v>3314.99</v>
      </c>
      <c r="E44" s="8" t="n">
        <v>140</v>
      </c>
      <c r="F44" s="8" t="n">
        <v>1733.31</v>
      </c>
      <c r="G44" s="7" t="n">
        <f aca="false">IFERROR(INDEX('TRANS'!$B:$B,MATCH($B44,'TRANS'!$A:$A,0)),IFERROR(INDEX('TRANS'!$B:$B,MATCH(TRIM(SUBSTITUTE($B44,CHAR(160)," ")),'TRANS'!$D:$D,0)),IFERROR(INDEX('Catalog'!$A:$A,MATCH($B44,'Catalog'!$B:$B,0)),IFERROR(INDEX('Catalog'!$A:$A,MATCH(TRIM(SUBSTITUTE($B44,CHAR(160)," ")),'Catalog'!$C:$C,0)),""))))</f>
        <v>4413052</v>
      </c>
      <c r="H44" s="7" t="str">
        <f aca="false">IFERROR(INDEX('TRANS'!$C:$C,MATCH($B44,'TRANS'!$A:$A,0)),IFERROR(INDEX('Catalog'!$B:$B,MATCH($G44,'Catalog'!$A:$A,0)),$B44))</f>
        <v>35C S מגן קרסול חום</v>
      </c>
      <c r="I44" s="7" t="str">
        <f aca="false">IF($G44="","Unmatched","Matched")</f>
        <v>Matched</v>
      </c>
      <c r="J44" s="7" t="n">
        <f aca="false">IF($G44&lt;&gt;"",$G44,$B44)</f>
        <v>4413052</v>
      </c>
      <c r="K44" s="7" t="str">
        <f aca="false">IF(COUNTIF($O$2:$O$16,$A44)&gt;0,"Y","N")</f>
        <v>Y</v>
      </c>
    </row>
    <row r="45" customFormat="false" ht="15" hidden="false" customHeight="false" outlineLevel="0" collapsed="false">
      <c r="A45" s="7" t="s">
        <v>30</v>
      </c>
      <c r="B45" s="7" t="s">
        <v>311</v>
      </c>
      <c r="C45" s="8" t="n">
        <v>110</v>
      </c>
      <c r="D45" s="8" t="n">
        <v>1506.19</v>
      </c>
      <c r="E45" s="8" t="n">
        <v>60</v>
      </c>
      <c r="F45" s="8" t="n">
        <v>758.84</v>
      </c>
      <c r="G45" s="7" t="n">
        <f aca="false">IFERROR(INDEX('TRANS'!$B:$B,MATCH($B45,'TRANS'!$A:$A,0)),IFERROR(INDEX('TRANS'!$B:$B,MATCH(TRIM(SUBSTITUTE($B45,CHAR(160)," ")),'TRANS'!$D:$D,0)),IFERROR(INDEX('Catalog'!$A:$A,MATCH($B45,'Catalog'!$B:$B,0)),IFERROR(INDEX('Catalog'!$A:$A,MATCH(TRIM(SUBSTITUTE($B45,CHAR(160)," ")),'Catalog'!$C:$C,0)),""))))</f>
        <v>4413055</v>
      </c>
      <c r="H45" s="7" t="str">
        <f aca="false">IFERROR(INDEX('TRANS'!$C:$C,MATCH($B45,'TRANS'!$A:$A,0)),IFERROR(INDEX('Catalog'!$B:$B,MATCH($G45,'Catalog'!$A:$A,0)),$B45))</f>
        <v>35C XL מגן קרסול חום</v>
      </c>
      <c r="I45" s="7" t="str">
        <f aca="false">IF($G45="","Unmatched","Matched")</f>
        <v>Matched</v>
      </c>
      <c r="J45" s="7" t="n">
        <f aca="false">IF($G45&lt;&gt;"",$G45,$B45)</f>
        <v>4413055</v>
      </c>
      <c r="K45" s="7" t="str">
        <f aca="false">IF(COUNTIF($O$2:$O$16,$A45)&gt;0,"Y","N")</f>
        <v>Y</v>
      </c>
    </row>
    <row r="46" customFormat="false" ht="15" hidden="false" customHeight="false" outlineLevel="0" collapsed="false">
      <c r="A46" s="7" t="s">
        <v>30</v>
      </c>
      <c r="B46" s="7" t="s">
        <v>312</v>
      </c>
      <c r="C46" s="8" t="n">
        <v>160</v>
      </c>
      <c r="D46" s="8" t="n">
        <v>3432.56</v>
      </c>
      <c r="E46" s="8" t="n">
        <v>30</v>
      </c>
      <c r="F46" s="8" t="n">
        <v>580.64</v>
      </c>
      <c r="G46" s="7" t="n">
        <f aca="false">IFERROR(INDEX('TRANS'!$B:$B,MATCH($B46,'TRANS'!$A:$A,0)),IFERROR(INDEX('TRANS'!$B:$B,MATCH(TRIM(SUBSTITUTE($B46,CHAR(160)," ")),'TRANS'!$D:$D,0)),IFERROR(INDEX('Catalog'!$A:$A,MATCH($B46,'Catalog'!$B:$B,0)),IFERROR(INDEX('Catalog'!$A:$A,MATCH(TRIM(SUBSTITUTE($B46,CHAR(160)," ")),'Catalog'!$C:$C,0)),""))))</f>
        <v>4411001</v>
      </c>
      <c r="H46" s="7" t="str">
        <f aca="false">IFERROR(INDEX('TRANS'!$C:$C,MATCH($B46,'TRANS'!$A:$A,0)),IFERROR(INDEX('Catalog'!$B:$B,MATCH($G46,'Catalog'!$A:$A,0)),$B46))</f>
        <v>3623 כרית ליישור אצבע פטיש</v>
      </c>
      <c r="I46" s="7" t="str">
        <f aca="false">IF($G46="","Unmatched","Matched")</f>
        <v>Matched</v>
      </c>
      <c r="J46" s="7" t="n">
        <f aca="false">IF($G46&lt;&gt;"",$G46,$B46)</f>
        <v>4411001</v>
      </c>
      <c r="K46" s="7" t="str">
        <f aca="false">IF(COUNTIF($O$2:$O$16,$A46)&gt;0,"Y","N")</f>
        <v>Y</v>
      </c>
    </row>
    <row r="47" customFormat="false" ht="15" hidden="false" customHeight="false" outlineLevel="0" collapsed="false">
      <c r="A47" s="7" t="s">
        <v>30</v>
      </c>
      <c r="B47" s="7" t="s">
        <v>313</v>
      </c>
      <c r="C47" s="8" t="n">
        <v>500</v>
      </c>
      <c r="D47" s="8" t="n">
        <v>4125.12</v>
      </c>
      <c r="E47" s="8" t="n">
        <v>240</v>
      </c>
      <c r="F47" s="8" t="n">
        <v>1803.09</v>
      </c>
      <c r="G47" s="7" t="n">
        <f aca="false">IFERROR(INDEX('TRANS'!$B:$B,MATCH($B47,'TRANS'!$A:$A,0)),IFERROR(INDEX('TRANS'!$B:$B,MATCH(TRIM(SUBSTITUTE($B47,CHAR(160)," ")),'TRANS'!$D:$D,0)),IFERROR(INDEX('Catalog'!$A:$A,MATCH($B47,'Catalog'!$B:$B,0)),IFERROR(INDEX('Catalog'!$A:$A,MATCH(TRIM(SUBSTITUTE($B47,CHAR(160)," ")),'Catalog'!$C:$C,0)),""))))</f>
        <v>4413059</v>
      </c>
      <c r="H47" s="7" t="str">
        <f aca="false">IFERROR(INDEX('TRANS'!$C:$C,MATCH($B47,'TRANS'!$A:$A,0)),IFERROR(INDEX('Catalog'!$B:$B,MATCH($G47,'Catalog'!$A:$A,0)),$B47))</f>
        <v>364S Lמפר.אצבע סיליק. ליבל.זוג</v>
      </c>
      <c r="I47" s="7" t="str">
        <f aca="false">IF($G47="","Unmatched","Matched")</f>
        <v>Matched</v>
      </c>
      <c r="J47" s="7" t="n">
        <f aca="false">IF($G47&lt;&gt;"",$G47,$B47)</f>
        <v>4413059</v>
      </c>
      <c r="K47" s="7" t="str">
        <f aca="false">IF(COUNTIF($O$2:$O$16,$A47)&gt;0,"Y","N")</f>
        <v>Y</v>
      </c>
    </row>
    <row r="48" customFormat="false" ht="15" hidden="false" customHeight="false" outlineLevel="0" collapsed="false">
      <c r="A48" s="7" t="s">
        <v>30</v>
      </c>
      <c r="B48" s="7" t="s">
        <v>314</v>
      </c>
      <c r="C48" s="8" t="n">
        <v>610</v>
      </c>
      <c r="D48" s="8" t="n">
        <v>4367.02</v>
      </c>
      <c r="E48" s="8" t="n">
        <v>260</v>
      </c>
      <c r="F48" s="8" t="n">
        <v>1663.86</v>
      </c>
      <c r="G48" s="7" t="n">
        <f aca="false">IFERROR(INDEX('TRANS'!$B:$B,MATCH($B48,'TRANS'!$A:$A,0)),IFERROR(INDEX('TRANS'!$B:$B,MATCH(TRIM(SUBSTITUTE($B48,CHAR(160)," ")),'TRANS'!$D:$D,0)),IFERROR(INDEX('Catalog'!$A:$A,MATCH($B48,'Catalog'!$B:$B,0)),IFERROR(INDEX('Catalog'!$A:$A,MATCH(TRIM(SUBSTITUTE($B48,CHAR(160)," ")),'Catalog'!$C:$C,0)),""))))</f>
        <v>4413060</v>
      </c>
      <c r="H48" s="7" t="str">
        <f aca="false">IFERROR(INDEX('TRANS'!$C:$C,MATCH($B48,'TRANS'!$A:$A,0)),IFERROR(INDEX('Catalog'!$B:$B,MATCH($G48,'Catalog'!$A:$A,0)),$B48))</f>
        <v>364 XLמפריד אצבע סיליקון ליבלת</v>
      </c>
      <c r="I48" s="7" t="str">
        <f aca="false">IF($G48="","Unmatched","Matched")</f>
        <v>Matched</v>
      </c>
      <c r="J48" s="7" t="n">
        <f aca="false">IF($G48&lt;&gt;"",$G48,$B48)</f>
        <v>4413060</v>
      </c>
      <c r="K48" s="7" t="str">
        <f aca="false">IF(COUNTIF($O$2:$O$16,$A48)&gt;0,"Y","N")</f>
        <v>Y</v>
      </c>
    </row>
    <row r="49" customFormat="false" ht="15" hidden="false" customHeight="false" outlineLevel="0" collapsed="false">
      <c r="A49" s="7" t="s">
        <v>30</v>
      </c>
      <c r="B49" s="7" t="s">
        <v>315</v>
      </c>
      <c r="C49" s="8" t="n">
        <v>620</v>
      </c>
      <c r="D49" s="8" t="n">
        <v>5381.25</v>
      </c>
      <c r="E49" s="8" t="n">
        <v>270</v>
      </c>
      <c r="F49" s="8" t="n">
        <v>2115.34</v>
      </c>
      <c r="G49" s="7" t="n">
        <f aca="false">IFERROR(INDEX('TRANS'!$B:$B,MATCH($B49,'TRANS'!$A:$A,0)),IFERROR(INDEX('TRANS'!$B:$B,MATCH(TRIM(SUBSTITUTE($B49,CHAR(160)," ")),'TRANS'!$D:$D,0)),IFERROR(INDEX('Catalog'!$A:$A,MATCH($B49,'Catalog'!$B:$B,0)),IFERROR(INDEX('Catalog'!$A:$A,MATCH(TRIM(SUBSTITUTE($B49,CHAR(160)," ")),'Catalog'!$C:$C,0)),""))))</f>
        <v>4409000</v>
      </c>
      <c r="H49" s="7" t="str">
        <f aca="false">IFERROR(INDEX('TRANS'!$C:$C,MATCH($B49,'TRANS'!$A:$A,0)),IFERROR(INDEX('Catalog'!$B:$B,MATCH($G49,'Catalog'!$A:$A,0)),$B49))</f>
        <v>365 S-Lטבעת אלסטית מסיליקון</v>
      </c>
      <c r="I49" s="7" t="str">
        <f aca="false">IF($G49="","Unmatched","Matched")</f>
        <v>Matched</v>
      </c>
      <c r="J49" s="7" t="n">
        <f aca="false">IF($G49&lt;&gt;"",$G49,$B49)</f>
        <v>4409000</v>
      </c>
      <c r="K49" s="7" t="str">
        <f aca="false">IF(COUNTIF($O$2:$O$16,$A49)&gt;0,"Y","N")</f>
        <v>Y</v>
      </c>
    </row>
    <row r="50" customFormat="false" ht="15" hidden="false" customHeight="false" outlineLevel="0" collapsed="false">
      <c r="A50" s="7" t="s">
        <v>30</v>
      </c>
      <c r="B50" s="7" t="s">
        <v>316</v>
      </c>
      <c r="C50" s="8" t="n">
        <v>240</v>
      </c>
      <c r="D50" s="8" t="n">
        <v>1921.02</v>
      </c>
      <c r="E50" s="8" t="n">
        <v>90</v>
      </c>
      <c r="F50" s="8" t="n">
        <v>648.84</v>
      </c>
      <c r="G50" s="7" t="n">
        <f aca="false">IFERROR(INDEX('TRANS'!$B:$B,MATCH($B50,'TRANS'!$A:$A,0)),IFERROR(INDEX('TRANS'!$B:$B,MATCH(TRIM(SUBSTITUTE($B50,CHAR(160)," ")),'TRANS'!$D:$D,0)),IFERROR(INDEX('Catalog'!$A:$A,MATCH($B50,'Catalog'!$B:$B,0)),IFERROR(INDEX('Catalog'!$A:$A,MATCH(TRIM(SUBSTITUTE($B50,CHAR(160)," ")),'Catalog'!$C:$C,0)),""))))</f>
        <v>4409001</v>
      </c>
      <c r="H50" s="7" t="str">
        <f aca="false">IFERROR(INDEX('TRANS'!$C:$C,MATCH($B50,'TRANS'!$A:$A,0)),IFERROR(INDEX('Catalog'!$B:$B,MATCH($G50,'Catalog'!$A:$A,0)),$B50))</f>
        <v>365  X-Lטבעת אלסטית מסיליקון</v>
      </c>
      <c r="I50" s="7" t="str">
        <f aca="false">IF($G50="","Unmatched","Matched")</f>
        <v>Matched</v>
      </c>
      <c r="J50" s="7" t="n">
        <f aca="false">IF($G50&lt;&gt;"",$G50,$B50)</f>
        <v>4409001</v>
      </c>
      <c r="K50" s="7" t="str">
        <f aca="false">IF(COUNTIF($O$2:$O$16,$A50)&gt;0,"Y","N")</f>
        <v>Y</v>
      </c>
    </row>
    <row r="51" customFormat="false" ht="15" hidden="false" customHeight="false" outlineLevel="0" collapsed="false">
      <c r="A51" s="7" t="s">
        <v>30</v>
      </c>
      <c r="B51" s="7" t="s">
        <v>317</v>
      </c>
      <c r="C51" s="8" t="n">
        <v>460</v>
      </c>
      <c r="D51" s="8" t="n">
        <v>6713.26</v>
      </c>
      <c r="E51" s="8" t="n">
        <v>280</v>
      </c>
      <c r="F51" s="8" t="n">
        <v>3690.6</v>
      </c>
      <c r="G51" s="7" t="n">
        <f aca="false">IFERROR(INDEX('TRANS'!$B:$B,MATCH($B51,'TRANS'!$A:$A,0)),IFERROR(INDEX('TRANS'!$B:$B,MATCH(TRIM(SUBSTITUTE($B51,CHAR(160)," ")),'TRANS'!$D:$D,0)),IFERROR(INDEX('Catalog'!$A:$A,MATCH($B51,'Catalog'!$B:$B,0)),IFERROR(INDEX('Catalog'!$A:$A,MATCH(TRIM(SUBSTITUTE($B51,CHAR(160)," ")),'Catalog'!$C:$C,0)),""))))</f>
        <v>4421000</v>
      </c>
      <c r="H51" s="7" t="str">
        <f aca="false">IFERROR(INDEX('TRANS'!$C:$C,MATCH($B51,'TRANS'!$A:$A,0)),IFERROR(INDEX('Catalog'!$B:$B,MATCH($G51,'Catalog'!$A:$A,0)),$B51))</f>
        <v>3655 שרוול מסיליקון לאצבע</v>
      </c>
      <c r="I51" s="7" t="str">
        <f aca="false">IF($G51="","Unmatched","Matched")</f>
        <v>Matched</v>
      </c>
      <c r="J51" s="7" t="n">
        <f aca="false">IF($G51&lt;&gt;"",$G51,$B51)</f>
        <v>4421000</v>
      </c>
      <c r="K51" s="7" t="str">
        <f aca="false">IF(COUNTIF($O$2:$O$16,$A51)&gt;0,"Y","N")</f>
        <v>Y</v>
      </c>
    </row>
    <row r="52" customFormat="false" ht="15" hidden="false" customHeight="false" outlineLevel="0" collapsed="false">
      <c r="A52" s="7" t="s">
        <v>30</v>
      </c>
      <c r="B52" s="7" t="s">
        <v>318</v>
      </c>
      <c r="C52" s="8" t="n">
        <v>300</v>
      </c>
      <c r="D52" s="8" t="n">
        <v>3400.92</v>
      </c>
      <c r="E52" s="8" t="n">
        <v>100</v>
      </c>
      <c r="F52" s="8" t="n">
        <v>1023.71</v>
      </c>
      <c r="G52" s="7" t="n">
        <f aca="false">IFERROR(INDEX('TRANS'!$B:$B,MATCH($B52,'TRANS'!$A:$A,0)),IFERROR(INDEX('TRANS'!$B:$B,MATCH(TRIM(SUBSTITUTE($B52,CHAR(160)," ")),'TRANS'!$D:$D,0)),IFERROR(INDEX('Catalog'!$A:$A,MATCH($B52,'Catalog'!$B:$B,0)),IFERROR(INDEX('Catalog'!$A:$A,MATCH(TRIM(SUBSTITUTE($B52,CHAR(160)," ")),'Catalog'!$C:$C,0)),""))))</f>
        <v>4413063</v>
      </c>
      <c r="H52" s="7" t="str">
        <f aca="false">IFERROR(INDEX('TRANS'!$C:$C,MATCH($B52,'TRANS'!$A:$A,0)),IFERROR(INDEX('Catalog'!$B:$B,MATCH($G52,'Catalog'!$A:$A,0)),$B52))</f>
        <v>366S-'מדבק.לשחרור לחץ מיבלת2יח</v>
      </c>
      <c r="I52" s="7" t="str">
        <f aca="false">IF($G52="","Unmatched","Matched")</f>
        <v>Matched</v>
      </c>
      <c r="J52" s="7" t="n">
        <f aca="false">IF($G52&lt;&gt;"",$G52,$B52)</f>
        <v>4413063</v>
      </c>
      <c r="K52" s="7" t="str">
        <f aca="false">IF(COUNTIF($O$2:$O$16,$A52)&gt;0,"Y","N")</f>
        <v>Y</v>
      </c>
    </row>
    <row r="53" customFormat="false" ht="15" hidden="false" customHeight="false" outlineLevel="0" collapsed="false">
      <c r="A53" s="7" t="s">
        <v>30</v>
      </c>
      <c r="B53" s="7" t="s">
        <v>319</v>
      </c>
      <c r="C53" s="8" t="n">
        <v>280</v>
      </c>
      <c r="D53" s="8" t="n">
        <v>4506.2</v>
      </c>
      <c r="E53" s="8" t="n">
        <v>100</v>
      </c>
      <c r="F53" s="8" t="n">
        <v>1403.27</v>
      </c>
      <c r="G53" s="7" t="n">
        <f aca="false">IFERROR(INDEX('TRANS'!$B:$B,MATCH($B53,'TRANS'!$A:$A,0)),IFERROR(INDEX('TRANS'!$B:$B,MATCH(TRIM(SUBSTITUTE($B53,CHAR(160)," ")),'TRANS'!$D:$D,0)),IFERROR(INDEX('Catalog'!$A:$A,MATCH($B53,'Catalog'!$B:$B,0)),IFERROR(INDEX('Catalog'!$A:$A,MATCH(TRIM(SUBSTITUTE($B53,CHAR(160)," ")),'Catalog'!$C:$C,0)),""))))</f>
        <v>4413066</v>
      </c>
      <c r="H53" s="7" t="str">
        <f aca="false">IFERROR(INDEX('TRANS'!$C:$C,MATCH($B53,'TRANS'!$A:$A,0)),IFERROR(INDEX('Catalog'!$B:$B,MATCH($G53,'Catalog'!$A:$A,0)),$B53))</f>
        <v>3677S-מד.לשחרור לחץ א.הבוניון</v>
      </c>
      <c r="I53" s="7" t="str">
        <f aca="false">IF($G53="","Unmatched","Matched")</f>
        <v>Matched</v>
      </c>
      <c r="J53" s="7" t="n">
        <f aca="false">IF($G53&lt;&gt;"",$G53,$B53)</f>
        <v>4413066</v>
      </c>
      <c r="K53" s="7" t="str">
        <f aca="false">IF(COUNTIF($O$2:$O$16,$A53)&gt;0,"Y","N")</f>
        <v>Y</v>
      </c>
    </row>
    <row r="54" customFormat="false" ht="15" hidden="false" customHeight="false" outlineLevel="0" collapsed="false">
      <c r="A54" s="7" t="s">
        <v>30</v>
      </c>
      <c r="B54" s="7" t="s">
        <v>320</v>
      </c>
      <c r="C54" s="8" t="n">
        <v>220</v>
      </c>
      <c r="D54" s="8" t="n">
        <v>2677.59</v>
      </c>
      <c r="E54" s="8" t="n">
        <v>130</v>
      </c>
      <c r="F54" s="8" t="n">
        <v>1408.78</v>
      </c>
      <c r="G54" s="7" t="n">
        <f aca="false">IFERROR(INDEX('TRANS'!$B:$B,MATCH($B54,'TRANS'!$A:$A,0)),IFERROR(INDEX('TRANS'!$B:$B,MATCH(TRIM(SUBSTITUTE($B54,CHAR(160)," ")),'TRANS'!$D:$D,0)),IFERROR(INDEX('Catalog'!$A:$A,MATCH($B54,'Catalog'!$B:$B,0)),IFERROR(INDEX('Catalog'!$A:$A,MATCH(TRIM(SUBSTITUTE($B54,CHAR(160)," ")),'Catalog'!$C:$C,0)),""))))</f>
        <v>4401000</v>
      </c>
      <c r="H54" s="7" t="str">
        <f aca="false">IFERROR(INDEX('TRANS'!$C:$C,MATCH($B54,'TRANS'!$A:$A,0)),IFERROR(INDEX('Catalog'!$B:$B,MATCH($G54,'Catalog'!$A:$A,0)),$B54))</f>
        <v>369  S-L אצבעון מסיליקון יחידה</v>
      </c>
      <c r="I54" s="7" t="str">
        <f aca="false">IF($G54="","Unmatched","Matched")</f>
        <v>Matched</v>
      </c>
      <c r="J54" s="7" t="n">
        <f aca="false">IF($G54&lt;&gt;"",$G54,$B54)</f>
        <v>4401000</v>
      </c>
      <c r="K54" s="7" t="str">
        <f aca="false">IF(COUNTIF($O$2:$O$16,$A54)&gt;0,"Y","N")</f>
        <v>Y</v>
      </c>
    </row>
    <row r="55" customFormat="false" ht="15" hidden="false" customHeight="false" outlineLevel="0" collapsed="false">
      <c r="A55" s="7" t="s">
        <v>30</v>
      </c>
      <c r="B55" s="7" t="s">
        <v>321</v>
      </c>
      <c r="C55" s="8" t="n">
        <v>410</v>
      </c>
      <c r="D55" s="8" t="n">
        <v>5839.77</v>
      </c>
      <c r="E55" s="8" t="n">
        <v>240</v>
      </c>
      <c r="F55" s="8" t="n">
        <v>3061.05</v>
      </c>
      <c r="G55" s="7" t="n">
        <f aca="false">IFERROR(INDEX('TRANS'!$B:$B,MATCH($B55,'TRANS'!$A:$A,0)),IFERROR(INDEX('TRANS'!$B:$B,MATCH(TRIM(SUBSTITUTE($B55,CHAR(160)," ")),'TRANS'!$D:$D,0)),IFERROR(INDEX('Catalog'!$A:$A,MATCH($B55,'Catalog'!$B:$B,0)),IFERROR(INDEX('Catalog'!$A:$A,MATCH(TRIM(SUBSTITUTE($B55,CHAR(160)," ")),'Catalog'!$C:$C,0)),""))))</f>
        <v>4401001</v>
      </c>
      <c r="H55" s="7" t="str">
        <f aca="false">IFERROR(INDEX('TRANS'!$C:$C,MATCH($B55,'TRANS'!$A:$A,0)),IFERROR(INDEX('Catalog'!$B:$B,MATCH($G55,'Catalog'!$A:$A,0)),$B55))</f>
        <v>369   XL אצבעון מסיליקון יחידה</v>
      </c>
      <c r="I55" s="7" t="str">
        <f aca="false">IF($G55="","Unmatched","Matched")</f>
        <v>Matched</v>
      </c>
      <c r="J55" s="7" t="n">
        <f aca="false">IF($G55&lt;&gt;"",$G55,$B55)</f>
        <v>4401001</v>
      </c>
      <c r="K55" s="7" t="str">
        <f aca="false">IF(COUNTIF($O$2:$O$16,$A55)&gt;0,"Y","N")</f>
        <v>Y</v>
      </c>
    </row>
    <row r="56" customFormat="false" ht="15" hidden="false" customHeight="false" outlineLevel="0" collapsed="false">
      <c r="A56" s="7" t="s">
        <v>30</v>
      </c>
      <c r="B56" s="7" t="s">
        <v>322</v>
      </c>
      <c r="C56" s="8" t="n">
        <v>1400</v>
      </c>
      <c r="D56" s="8" t="n">
        <v>9220.98</v>
      </c>
      <c r="E56" s="8" t="n">
        <v>900</v>
      </c>
      <c r="F56" s="8" t="n">
        <v>5311.54</v>
      </c>
      <c r="G56" s="7" t="n">
        <f aca="false">IFERROR(INDEX('TRANS'!$B:$B,MATCH($B56,'TRANS'!$A:$A,0)),IFERROR(INDEX('TRANS'!$B:$B,MATCH(TRIM(SUBSTITUTE($B56,CHAR(160)," ")),'TRANS'!$D:$D,0)),IFERROR(INDEX('Catalog'!$A:$A,MATCH($B56,'Catalog'!$B:$B,0)),IFERROR(INDEX('Catalog'!$A:$A,MATCH(TRIM(SUBSTITUTE($B56,CHAR(160)," ")),'Catalog'!$C:$C,0)),""))))</f>
        <v>4420000</v>
      </c>
      <c r="H56" s="7" t="str">
        <f aca="false">IFERROR(INDEX('TRANS'!$C:$C,MATCH($B56,'TRANS'!$A:$A,0)),IFERROR(INDEX('Catalog'!$B:$B,MATCH($G56,'Catalog'!$A:$A,0)),$B56))</f>
        <v>370  רפידת נוחות-זוג</v>
      </c>
      <c r="I56" s="7" t="str">
        <f aca="false">IF($G56="","Unmatched","Matched")</f>
        <v>Matched</v>
      </c>
      <c r="J56" s="7" t="n">
        <f aca="false">IF($G56&lt;&gt;"",$G56,$B56)</f>
        <v>4420000</v>
      </c>
      <c r="K56" s="7" t="str">
        <f aca="false">IF(COUNTIF($O$2:$O$16,$A56)&gt;0,"Y","N")</f>
        <v>Y</v>
      </c>
    </row>
    <row r="57" customFormat="false" ht="15" hidden="false" customHeight="false" outlineLevel="0" collapsed="false">
      <c r="A57" s="7" t="s">
        <v>30</v>
      </c>
      <c r="B57" s="7" t="s">
        <v>323</v>
      </c>
      <c r="C57" s="8" t="n">
        <v>700</v>
      </c>
      <c r="D57" s="8" t="n">
        <v>4321.16</v>
      </c>
      <c r="E57" s="8" t="n">
        <v>300</v>
      </c>
      <c r="F57" s="8" t="n">
        <v>1708.98</v>
      </c>
      <c r="G57" s="7" t="n">
        <f aca="false">IFERROR(INDEX('TRANS'!$B:$B,MATCH($B57,'TRANS'!$A:$A,0)),IFERROR(INDEX('TRANS'!$B:$B,MATCH(TRIM(SUBSTITUTE($B57,CHAR(160)," ")),'TRANS'!$D:$D,0)),IFERROR(INDEX('Catalog'!$A:$A,MATCH($B57,'Catalog'!$B:$B,0)),IFERROR(INDEX('Catalog'!$A:$A,MATCH(TRIM(SUBSTITUTE($B57,CHAR(160)," ")),'Catalog'!$C:$C,0)),""))))</f>
        <v>4420001</v>
      </c>
      <c r="H57" s="7" t="str">
        <f aca="false">IFERROR(INDEX('TRANS'!$C:$C,MATCH($B57,'TRANS'!$A:$A,0)),IFERROR(INDEX('Catalog'!$B:$B,MATCH($G57,'Catalog'!$A:$A,0)),$B57))</f>
        <v>371 רפידת מגבת כותנה-זוג</v>
      </c>
      <c r="I57" s="7" t="str">
        <f aca="false">IF($G57="","Unmatched","Matched")</f>
        <v>Matched</v>
      </c>
      <c r="J57" s="7" t="n">
        <f aca="false">IF($G57&lt;&gt;"",$G57,$B57)</f>
        <v>4420001</v>
      </c>
      <c r="K57" s="7" t="str">
        <f aca="false">IF(COUNTIF($O$2:$O$16,$A57)&gt;0,"Y","N")</f>
        <v>Y</v>
      </c>
    </row>
    <row r="58" customFormat="false" ht="15" hidden="false" customHeight="false" outlineLevel="0" collapsed="false">
      <c r="A58" s="7" t="s">
        <v>30</v>
      </c>
      <c r="B58" s="7" t="s">
        <v>324</v>
      </c>
      <c r="C58" s="8" t="n">
        <v>1100</v>
      </c>
      <c r="D58" s="8" t="n">
        <v>9165.26</v>
      </c>
      <c r="E58" s="8" t="n">
        <v>500</v>
      </c>
      <c r="F58" s="8" t="n">
        <v>3809.61</v>
      </c>
      <c r="G58" s="7" t="n">
        <f aca="false">IFERROR(INDEX('TRANS'!$B:$B,MATCH($B58,'TRANS'!$A:$A,0)),IFERROR(INDEX('TRANS'!$B:$B,MATCH(TRIM(SUBSTITUTE($B58,CHAR(160)," ")),'TRANS'!$D:$D,0)),IFERROR(INDEX('Catalog'!$A:$A,MATCH($B58,'Catalog'!$B:$B,0)),IFERROR(INDEX('Catalog'!$A:$A,MATCH(TRIM(SUBSTITUTE($B58,CHAR(160)," ")),'Catalog'!$C:$C,0)),""))))</f>
        <v>4420002</v>
      </c>
      <c r="H58" s="7" t="str">
        <f aca="false">IFERROR(INDEX('TRANS'!$C:$C,MATCH($B58,'TRANS'!$A:$A,0)),IFERROR(INDEX('Catalog'!$B:$B,MATCH($G58,'Catalog'!$A:$A,0)),$B58))</f>
        <v>372 רפידת אנטי ריח -זוג</v>
      </c>
      <c r="I58" s="7" t="str">
        <f aca="false">IF($G58="","Unmatched","Matched")</f>
        <v>Matched</v>
      </c>
      <c r="J58" s="7" t="n">
        <f aca="false">IF($G58&lt;&gt;"",$G58,$B58)</f>
        <v>4420002</v>
      </c>
      <c r="K58" s="7" t="str">
        <f aca="false">IF(COUNTIF($O$2:$O$16,$A58)&gt;0,"Y","N")</f>
        <v>Y</v>
      </c>
    </row>
    <row r="59" customFormat="false" ht="15" hidden="false" customHeight="false" outlineLevel="0" collapsed="false">
      <c r="A59" s="7" t="s">
        <v>30</v>
      </c>
      <c r="B59" s="7" t="s">
        <v>325</v>
      </c>
      <c r="C59" s="8" t="n">
        <v>650</v>
      </c>
      <c r="D59" s="8" t="n">
        <v>5869.12</v>
      </c>
      <c r="E59" s="8" t="n">
        <v>500</v>
      </c>
      <c r="F59" s="8" t="n">
        <v>4163.99</v>
      </c>
      <c r="G59" s="7" t="n">
        <f aca="false">IFERROR(INDEX('TRANS'!$B:$B,MATCH($B59,'TRANS'!$A:$A,0)),IFERROR(INDEX('TRANS'!$B:$B,MATCH(TRIM(SUBSTITUTE($B59,CHAR(160)," ")),'TRANS'!$D:$D,0)),IFERROR(INDEX('Catalog'!$A:$A,MATCH($B59,'Catalog'!$B:$B,0)),IFERROR(INDEX('Catalog'!$A:$A,MATCH(TRIM(SUBSTITUTE($B59,CHAR(160)," ")),'Catalog'!$C:$C,0)),""))))</f>
        <v>4420003</v>
      </c>
      <c r="H59" s="7" t="str">
        <f aca="false">IFERROR(INDEX('TRANS'!$C:$C,MATCH($B59,'TRANS'!$A:$A,0)),IFERROR(INDEX('Catalog'!$B:$B,MATCH($G59,'Catalog'!$A:$A,0)),$B59))</f>
        <v>374 רפידת בולמת זעזועים -זוג</v>
      </c>
      <c r="I59" s="7" t="str">
        <f aca="false">IF($G59="","Unmatched","Matched")</f>
        <v>Matched</v>
      </c>
      <c r="J59" s="7" t="n">
        <f aca="false">IF($G59&lt;&gt;"",$G59,$B59)</f>
        <v>4420003</v>
      </c>
      <c r="K59" s="7" t="str">
        <f aca="false">IF(COUNTIF($O$2:$O$16,$A59)&gt;0,"Y","N")</f>
        <v>Y</v>
      </c>
    </row>
    <row r="60" customFormat="false" ht="15" hidden="false" customHeight="false" outlineLevel="0" collapsed="false">
      <c r="A60" s="7" t="s">
        <v>30</v>
      </c>
      <c r="B60" s="7" t="s">
        <v>78</v>
      </c>
      <c r="C60" s="8" t="n">
        <v>310</v>
      </c>
      <c r="D60" s="8" t="n">
        <v>5975.18</v>
      </c>
      <c r="E60" s="8" t="n">
        <v>140</v>
      </c>
      <c r="F60" s="8" t="n">
        <v>2441.63</v>
      </c>
      <c r="G60" s="7" t="str">
        <f aca="false">IFERROR(INDEX('TRANS'!$B:$B,MATCH($B60,'TRANS'!$A:$A,0)),IFERROR(INDEX('TRANS'!$B:$B,MATCH(TRIM(SUBSTITUTE($B60,CHAR(160)," ")),'TRANS'!$D:$D,0)),IFERROR(INDEX('Catalog'!$A:$A,MATCH($B60,'Catalog'!$B:$B,0)),IFERROR(INDEX('Catalog'!$A:$A,MATCH(TRIM(SUBSTITUTE($B60,CHAR(160)," ")),'Catalog'!$C:$C,0)),""))))</f>
        <v/>
      </c>
      <c r="H60" s="7" t="str">
        <f aca="false">IFERROR(INDEX('TRANS'!$C:$C,MATCH($B60,'TRANS'!$A:$A,0)),IFERROR(INDEX('Catalog'!$B:$B,MATCH($G60,'Catalog'!$A:$A,0)),$B60))</f>
        <v>376-35-37</v>
      </c>
      <c r="I60" s="7" t="str">
        <f aca="false">IF($G60="","Unmatched","Matched")</f>
        <v>Unmatched</v>
      </c>
      <c r="J60" s="7" t="str">
        <f aca="false">IF($G60&lt;&gt;"",$G60,$B60)</f>
        <v>376-35-37</v>
      </c>
      <c r="K60" s="7" t="str">
        <f aca="false">IF(COUNTIF($O$2:$O$16,$A60)&gt;0,"Y","N")</f>
        <v>Y</v>
      </c>
    </row>
    <row r="61" customFormat="false" ht="15" hidden="false" customHeight="false" outlineLevel="0" collapsed="false">
      <c r="A61" s="7" t="s">
        <v>30</v>
      </c>
      <c r="B61" s="7" t="s">
        <v>72</v>
      </c>
      <c r="C61" s="8" t="n">
        <v>470</v>
      </c>
      <c r="D61" s="8" t="n">
        <v>9031.95</v>
      </c>
      <c r="E61" s="8" t="n">
        <v>320</v>
      </c>
      <c r="F61" s="8" t="n">
        <v>5572.95</v>
      </c>
      <c r="G61" s="7" t="str">
        <f aca="false">IFERROR(INDEX('TRANS'!$B:$B,MATCH($B61,'TRANS'!$A:$A,0)),IFERROR(INDEX('TRANS'!$B:$B,MATCH(TRIM(SUBSTITUTE($B61,CHAR(160)," ")),'TRANS'!$D:$D,0)),IFERROR(INDEX('Catalog'!$A:$A,MATCH($B61,'Catalog'!$B:$B,0)),IFERROR(INDEX('Catalog'!$A:$A,MATCH(TRIM(SUBSTITUTE($B61,CHAR(160)," ")),'Catalog'!$C:$C,0)),""))))</f>
        <v/>
      </c>
      <c r="H61" s="7" t="str">
        <f aca="false">IFERROR(INDEX('TRANS'!$C:$C,MATCH($B61,'TRANS'!$A:$A,0)),IFERROR(INDEX('Catalog'!$B:$B,MATCH($G61,'Catalog'!$A:$A,0)),$B61))</f>
        <v>376-38-40</v>
      </c>
      <c r="I61" s="7" t="str">
        <f aca="false">IF($G61="","Unmatched","Matched")</f>
        <v>Unmatched</v>
      </c>
      <c r="J61" s="7" t="str">
        <f aca="false">IF($G61&lt;&gt;"",$G61,$B61)</f>
        <v>376-38-40</v>
      </c>
      <c r="K61" s="7" t="str">
        <f aca="false">IF(COUNTIF($O$2:$O$16,$A61)&gt;0,"Y","N")</f>
        <v>Y</v>
      </c>
    </row>
    <row r="62" customFormat="false" ht="15" hidden="false" customHeight="false" outlineLevel="0" collapsed="false">
      <c r="A62" s="7" t="s">
        <v>30</v>
      </c>
      <c r="B62" s="7" t="s">
        <v>69</v>
      </c>
      <c r="C62" s="8" t="n">
        <v>410</v>
      </c>
      <c r="D62" s="8" t="n">
        <v>7871.82</v>
      </c>
      <c r="E62" s="8" t="n">
        <v>310</v>
      </c>
      <c r="F62" s="8" t="n">
        <v>5390.45</v>
      </c>
      <c r="G62" s="7" t="str">
        <f aca="false">IFERROR(INDEX('TRANS'!$B:$B,MATCH($B62,'TRANS'!$A:$A,0)),IFERROR(INDEX('TRANS'!$B:$B,MATCH(TRIM(SUBSTITUTE($B62,CHAR(160)," ")),'TRANS'!$D:$D,0)),IFERROR(INDEX('Catalog'!$A:$A,MATCH($B62,'Catalog'!$B:$B,0)),IFERROR(INDEX('Catalog'!$A:$A,MATCH(TRIM(SUBSTITUTE($B62,CHAR(160)," ")),'Catalog'!$C:$C,0)),""))))</f>
        <v/>
      </c>
      <c r="H62" s="7" t="str">
        <f aca="false">IFERROR(INDEX('TRANS'!$C:$C,MATCH($B62,'TRANS'!$A:$A,0)),IFERROR(INDEX('Catalog'!$B:$B,MATCH($G62,'Catalog'!$A:$A,0)),$B62))</f>
        <v>376-41-43</v>
      </c>
      <c r="I62" s="7" t="str">
        <f aca="false">IF($G62="","Unmatched","Matched")</f>
        <v>Unmatched</v>
      </c>
      <c r="J62" s="7" t="str">
        <f aca="false">IF($G62&lt;&gt;"",$G62,$B62)</f>
        <v>376-41-43</v>
      </c>
      <c r="K62" s="7" t="str">
        <f aca="false">IF(COUNTIF($O$2:$O$16,$A62)&gt;0,"Y","N")</f>
        <v>Y</v>
      </c>
    </row>
    <row r="63" customFormat="false" ht="15" hidden="false" customHeight="false" outlineLevel="0" collapsed="false">
      <c r="A63" s="7" t="s">
        <v>30</v>
      </c>
      <c r="B63" s="7" t="s">
        <v>73</v>
      </c>
      <c r="C63" s="8" t="n">
        <v>400</v>
      </c>
      <c r="D63" s="8" t="n">
        <v>7739.06</v>
      </c>
      <c r="E63" s="8" t="n">
        <v>180</v>
      </c>
      <c r="F63" s="8" t="n">
        <v>3083.47</v>
      </c>
      <c r="G63" s="7" t="str">
        <f aca="false">IFERROR(INDEX('TRANS'!$B:$B,MATCH($B63,'TRANS'!$A:$A,0)),IFERROR(INDEX('TRANS'!$B:$B,MATCH(TRIM(SUBSTITUTE($B63,CHAR(160)," ")),'TRANS'!$D:$D,0)),IFERROR(INDEX('Catalog'!$A:$A,MATCH($B63,'Catalog'!$B:$B,0)),IFERROR(INDEX('Catalog'!$A:$A,MATCH(TRIM(SUBSTITUTE($B63,CHAR(160)," ")),'Catalog'!$C:$C,0)),""))))</f>
        <v/>
      </c>
      <c r="H63" s="7" t="str">
        <f aca="false">IFERROR(INDEX('TRANS'!$C:$C,MATCH($B63,'TRANS'!$A:$A,0)),IFERROR(INDEX('Catalog'!$B:$B,MATCH($G63,'Catalog'!$A:$A,0)),$B63))</f>
        <v>376-44-45</v>
      </c>
      <c r="I63" s="7" t="str">
        <f aca="false">IF($G63="","Unmatched","Matched")</f>
        <v>Unmatched</v>
      </c>
      <c r="J63" s="7" t="str">
        <f aca="false">IF($G63&lt;&gt;"",$G63,$B63)</f>
        <v>376-44-45</v>
      </c>
      <c r="K63" s="7" t="str">
        <f aca="false">IF(COUNTIF($O$2:$O$16,$A63)&gt;0,"Y","N")</f>
        <v>Y</v>
      </c>
    </row>
    <row r="64" customFormat="false" ht="15" hidden="false" customHeight="false" outlineLevel="0" collapsed="false">
      <c r="A64" s="7" t="s">
        <v>30</v>
      </c>
      <c r="B64" s="7" t="s">
        <v>89</v>
      </c>
      <c r="C64" s="8" t="n">
        <v>0</v>
      </c>
      <c r="D64" s="8" t="n">
        <v>0</v>
      </c>
      <c r="E64" s="8" t="n">
        <v>90</v>
      </c>
      <c r="F64" s="8" t="n">
        <v>1583.55</v>
      </c>
      <c r="G64" s="7" t="str">
        <f aca="false">IFERROR(INDEX('TRANS'!$B:$B,MATCH($B64,'TRANS'!$A:$A,0)),IFERROR(INDEX('TRANS'!$B:$B,MATCH(TRIM(SUBSTITUTE($B64,CHAR(160)," ")),'TRANS'!$D:$D,0)),IFERROR(INDEX('Catalog'!$A:$A,MATCH($B64,'Catalog'!$B:$B,0)),IFERROR(INDEX('Catalog'!$A:$A,MATCH(TRIM(SUBSTITUTE($B64,CHAR(160)," ")),'Catalog'!$C:$C,0)),""))))</f>
        <v/>
      </c>
      <c r="H64" s="7" t="str">
        <f aca="false">IFERROR(INDEX('TRANS'!$C:$C,MATCH($B64,'TRANS'!$A:$A,0)),IFERROR(INDEX('Catalog'!$B:$B,MATCH($G64,'Catalog'!$A:$A,0)),$B64))</f>
        <v>376-44-46</v>
      </c>
      <c r="I64" s="7" t="str">
        <f aca="false">IF($G64="","Unmatched","Matched")</f>
        <v>Unmatched</v>
      </c>
      <c r="J64" s="7" t="str">
        <f aca="false">IF($G64&lt;&gt;"",$G64,$B64)</f>
        <v>376-44-46</v>
      </c>
      <c r="K64" s="7" t="str">
        <f aca="false">IF(COUNTIF($O$2:$O$16,$A64)&gt;0,"Y","N")</f>
        <v>Y</v>
      </c>
    </row>
    <row r="65" customFormat="false" ht="15" hidden="false" customHeight="false" outlineLevel="0" collapsed="false">
      <c r="A65" s="7" t="s">
        <v>30</v>
      </c>
      <c r="B65" s="7" t="s">
        <v>326</v>
      </c>
      <c r="C65" s="8" t="n">
        <v>210</v>
      </c>
      <c r="D65" s="8" t="n">
        <v>4085.1</v>
      </c>
      <c r="E65" s="8" t="n">
        <v>60</v>
      </c>
      <c r="F65" s="8" t="n">
        <v>1054.69</v>
      </c>
      <c r="G65" s="7" t="n">
        <f aca="false">IFERROR(INDEX('TRANS'!$B:$B,MATCH($B65,'TRANS'!$A:$A,0)),IFERROR(INDEX('TRANS'!$B:$B,MATCH(TRIM(SUBSTITUTE($B65,CHAR(160)," ")),'TRANS'!$D:$D,0)),IFERROR(INDEX('Catalog'!$A:$A,MATCH($B65,'Catalog'!$B:$B,0)),IFERROR(INDEX('Catalog'!$A:$A,MATCH(TRIM(SUBSTITUTE($B65,CHAR(160)," ")),'Catalog'!$C:$C,0)),""))))</f>
        <v>4420032</v>
      </c>
      <c r="H65" s="7" t="str">
        <f aca="false">IFERROR(INDEX('TRANS'!$C:$C,MATCH($B65,'TRANS'!$A:$A,0)),IFERROR(INDEX('Catalog'!$B:$B,MATCH($G65,'Catalog'!$A:$A,0)),$B65))</f>
        <v>46-47 רפידת ספורט 376 מידה</v>
      </c>
      <c r="I65" s="7" t="str">
        <f aca="false">IF($G65="","Unmatched","Matched")</f>
        <v>Matched</v>
      </c>
      <c r="J65" s="7" t="n">
        <f aca="false">IF($G65&lt;&gt;"",$G65,$B65)</f>
        <v>4420032</v>
      </c>
      <c r="K65" s="7" t="str">
        <f aca="false">IF(COUNTIF($O$2:$O$16,$A65)&gt;0,"Y","N")</f>
        <v>Y</v>
      </c>
    </row>
    <row r="66" customFormat="false" ht="15" hidden="false" customHeight="false" outlineLevel="0" collapsed="false">
      <c r="A66" s="7" t="s">
        <v>30</v>
      </c>
      <c r="B66" s="7" t="s">
        <v>327</v>
      </c>
      <c r="C66" s="8" t="n">
        <v>470</v>
      </c>
      <c r="D66" s="8" t="n">
        <v>10616.87</v>
      </c>
      <c r="E66" s="8" t="n">
        <v>300</v>
      </c>
      <c r="F66" s="8" t="n">
        <v>6040.43</v>
      </c>
      <c r="G66" s="7" t="n">
        <f aca="false">IFERROR(INDEX('TRANS'!$B:$B,MATCH($B66,'TRANS'!$A:$A,0)),IFERROR(INDEX('TRANS'!$B:$B,MATCH(TRIM(SUBSTITUTE($B66,CHAR(160)," ")),'TRANS'!$D:$D,0)),IFERROR(INDEX('Catalog'!$A:$A,MATCH($B66,'Catalog'!$B:$B,0)),IFERROR(INDEX('Catalog'!$A:$A,MATCH(TRIM(SUBSTITUTE($B66,CHAR(160)," ")),'Catalog'!$C:$C,0)),""))))</f>
        <v>4413452</v>
      </c>
      <c r="H66" s="7" t="str">
        <f aca="false">IFERROR(INDEX('TRANS'!$C:$C,MATCH($B66,'TRANS'!$A:$A,0)),IFERROR(INDEX('Catalog'!$B:$B,MATCH($G66,'Catalog'!$A:$A,0)),$B66))</f>
        <v>386  מיישר בוניון-האלוקס ולגוס</v>
      </c>
      <c r="I66" s="7" t="str">
        <f aca="false">IF($G66="","Unmatched","Matched")</f>
        <v>Matched</v>
      </c>
      <c r="J66" s="7" t="n">
        <f aca="false">IF($G66&lt;&gt;"",$G66,$B66)</f>
        <v>4413452</v>
      </c>
      <c r="K66" s="7" t="str">
        <f aca="false">IF(COUNTIF($O$2:$O$16,$A66)&gt;0,"Y","N")</f>
        <v>Y</v>
      </c>
    </row>
    <row r="67" customFormat="false" ht="15" hidden="false" customHeight="false" outlineLevel="0" collapsed="false">
      <c r="A67" s="7" t="s">
        <v>30</v>
      </c>
      <c r="B67" s="7" t="s">
        <v>178</v>
      </c>
      <c r="C67" s="8" t="n">
        <v>1</v>
      </c>
      <c r="D67" s="8" t="n">
        <v>0.04</v>
      </c>
      <c r="E67" s="8" t="n">
        <v>0</v>
      </c>
      <c r="F67" s="8" t="n">
        <v>0</v>
      </c>
      <c r="G67" s="7" t="str">
        <f aca="false">IFERROR(INDEX('TRANS'!$B:$B,MATCH($B67,'TRANS'!$A:$A,0)),IFERROR(INDEX('TRANS'!$B:$B,MATCH(TRIM(SUBSTITUTE($B67,CHAR(160)," ")),'TRANS'!$D:$D,0)),IFERROR(INDEX('Catalog'!$A:$A,MATCH($B67,'Catalog'!$B:$B,0)),IFERROR(INDEX('Catalog'!$A:$A,MATCH(TRIM(SUBSTITUTE($B67,CHAR(160)," ")),'Catalog'!$C:$C,0)),""))))</f>
        <v/>
      </c>
      <c r="H67" s="7" t="str">
        <f aca="false">IFERROR(INDEX('TRANS'!$C:$C,MATCH($B67,'TRANS'!$A:$A,0)),IFERROR(INDEX('Catalog'!$B:$B,MATCH($G67,'Catalog'!$A:$A,0)),$B67))</f>
        <v>391W-39-42</v>
      </c>
      <c r="I67" s="7" t="str">
        <f aca="false">IF($G67="","Unmatched","Matched")</f>
        <v>Unmatched</v>
      </c>
      <c r="J67" s="7" t="str">
        <f aca="false">IF($G67&lt;&gt;"",$G67,$B67)</f>
        <v>391W-39-42</v>
      </c>
      <c r="K67" s="7" t="str">
        <f aca="false">IF(COUNTIF($O$2:$O$16,$A67)&gt;0,"Y","N")</f>
        <v>Y</v>
      </c>
    </row>
    <row r="68" customFormat="false" ht="15" hidden="false" customHeight="false" outlineLevel="0" collapsed="false">
      <c r="A68" s="7" t="s">
        <v>30</v>
      </c>
      <c r="B68" s="7" t="s">
        <v>328</v>
      </c>
      <c r="C68" s="8" t="n">
        <v>1</v>
      </c>
      <c r="D68" s="8" t="n">
        <v>0.04</v>
      </c>
      <c r="E68" s="8" t="n">
        <v>0</v>
      </c>
      <c r="F68" s="8" t="n">
        <v>0</v>
      </c>
      <c r="G68" s="7" t="n">
        <f aca="false">IFERROR(INDEX('TRANS'!$B:$B,MATCH($B68,'TRANS'!$A:$A,0)),IFERROR(INDEX('TRANS'!$B:$B,MATCH(TRIM(SUBSTITUTE($B68,CHAR(160)," ")),'TRANS'!$D:$D,0)),IFERROR(INDEX('Catalog'!$A:$A,MATCH($B68,'Catalog'!$B:$B,0)),IFERROR(INDEX('Catalog'!$A:$A,MATCH(TRIM(SUBSTITUTE($B68,CHAR(160)," ")),'Catalog'!$C:$C,0)),""))))</f>
        <v>4403044</v>
      </c>
      <c r="H68" s="7" t="str">
        <f aca="false">IFERROR(INDEX('TRANS'!$C:$C,MATCH($B68,'TRANS'!$A:$A,0)),IFERROR(INDEX('Catalog'!$B:$B,MATCH($G68,'Catalog'!$A:$A,0)),$B68))</f>
        <v>395B גרבי קיץ אנטי בקטריא39-42</v>
      </c>
      <c r="I68" s="7" t="str">
        <f aca="false">IF($G68="","Unmatched","Matched")</f>
        <v>Matched</v>
      </c>
      <c r="J68" s="7" t="n">
        <f aca="false">IF($G68&lt;&gt;"",$G68,$B68)</f>
        <v>4403044</v>
      </c>
      <c r="K68" s="7" t="str">
        <f aca="false">IF(COUNTIF($O$2:$O$16,$A68)&gt;0,"Y","N")</f>
        <v>Y</v>
      </c>
    </row>
    <row r="69" customFormat="false" ht="15" hidden="false" customHeight="false" outlineLevel="0" collapsed="false">
      <c r="A69" s="7" t="s">
        <v>30</v>
      </c>
      <c r="B69" s="7" t="s">
        <v>179</v>
      </c>
      <c r="C69" s="8" t="n">
        <v>440</v>
      </c>
      <c r="D69" s="8" t="n">
        <v>15215.67</v>
      </c>
      <c r="E69" s="8" t="n">
        <v>0</v>
      </c>
      <c r="F69" s="8" t="n">
        <v>0</v>
      </c>
      <c r="G69" s="7" t="str">
        <f aca="false">IFERROR(INDEX('TRANS'!$B:$B,MATCH($B69,'TRANS'!$A:$A,0)),IFERROR(INDEX('TRANS'!$B:$B,MATCH(TRIM(SUBSTITUTE($B69,CHAR(160)," ")),'TRANS'!$D:$D,0)),IFERROR(INDEX('Catalog'!$A:$A,MATCH($B69,'Catalog'!$B:$B,0)),IFERROR(INDEX('Catalog'!$A:$A,MATCH(TRIM(SUBSTITUTE($B69,CHAR(160)," ")),'Catalog'!$C:$C,0)),""))))</f>
        <v/>
      </c>
      <c r="H69" s="7" t="str">
        <f aca="false">IFERROR(INDEX('TRANS'!$C:$C,MATCH($B69,'TRANS'!$A:$A,0)),IFERROR(INDEX('Catalog'!$B:$B,MATCH($G69,'Catalog'!$A:$A,0)),$B69))</f>
        <v>397-35-38</v>
      </c>
      <c r="I69" s="7" t="str">
        <f aca="false">IF($G69="","Unmatched","Matched")</f>
        <v>Unmatched</v>
      </c>
      <c r="J69" s="7" t="str">
        <f aca="false">IF($G69&lt;&gt;"",$G69,$B69)</f>
        <v>397-35-38</v>
      </c>
      <c r="K69" s="7" t="str">
        <f aca="false">IF(COUNTIF($O$2:$O$16,$A69)&gt;0,"Y","N")</f>
        <v>Y</v>
      </c>
    </row>
    <row r="70" customFormat="false" ht="15" hidden="false" customHeight="false" outlineLevel="0" collapsed="false">
      <c r="A70" s="7" t="s">
        <v>30</v>
      </c>
      <c r="B70" s="7" t="s">
        <v>329</v>
      </c>
      <c r="C70" s="8" t="n">
        <v>510</v>
      </c>
      <c r="D70" s="8" t="n">
        <v>17600.36</v>
      </c>
      <c r="E70" s="8" t="n">
        <v>0</v>
      </c>
      <c r="F70" s="8" t="n">
        <v>0</v>
      </c>
      <c r="G70" s="7" t="n">
        <f aca="false">IFERROR(INDEX('TRANS'!$B:$B,MATCH($B70,'TRANS'!$A:$A,0)),IFERROR(INDEX('TRANS'!$B:$B,MATCH(TRIM(SUBSTITUTE($B70,CHAR(160)," ")),'TRANS'!$D:$D,0)),IFERROR(INDEX('Catalog'!$A:$A,MATCH($B70,'Catalog'!$B:$B,0)),IFERROR(INDEX('Catalog'!$A:$A,MATCH(TRIM(SUBSTITUTE($B70,CHAR(160)," ")),'Catalog'!$C:$C,0)),""))))</f>
        <v>4403029</v>
      </c>
      <c r="H70" s="7" t="str">
        <f aca="false">IFERROR(INDEX('TRANS'!$C:$C,MATCH($B70,'TRANS'!$A:$A,0)),IFERROR(INDEX('Catalog'!$B:$B,MATCH($G70,'Catalog'!$A:$A,0)),$B70))</f>
        <v>397 39-42 גרבי טיסה מידה</v>
      </c>
      <c r="I70" s="7" t="str">
        <f aca="false">IF($G70="","Unmatched","Matched")</f>
        <v>Matched</v>
      </c>
      <c r="J70" s="7" t="n">
        <f aca="false">IF($G70&lt;&gt;"",$G70,$B70)</f>
        <v>4403029</v>
      </c>
      <c r="K70" s="7" t="str">
        <f aca="false">IF(COUNTIF($O$2:$O$16,$A70)&gt;0,"Y","N")</f>
        <v>Y</v>
      </c>
    </row>
    <row r="71" customFormat="false" ht="15" hidden="false" customHeight="false" outlineLevel="0" collapsed="false">
      <c r="A71" s="7" t="s">
        <v>30</v>
      </c>
      <c r="B71" s="7" t="s">
        <v>180</v>
      </c>
      <c r="C71" s="8" t="n">
        <v>430</v>
      </c>
      <c r="D71" s="8" t="n">
        <v>14809.75</v>
      </c>
      <c r="E71" s="8" t="n">
        <v>0</v>
      </c>
      <c r="F71" s="8" t="n">
        <v>0</v>
      </c>
      <c r="G71" s="7" t="str">
        <f aca="false">IFERROR(INDEX('TRANS'!$B:$B,MATCH($B71,'TRANS'!$A:$A,0)),IFERROR(INDEX('TRANS'!$B:$B,MATCH(TRIM(SUBSTITUTE($B71,CHAR(160)," ")),'TRANS'!$D:$D,0)),IFERROR(INDEX('Catalog'!$A:$A,MATCH($B71,'Catalog'!$B:$B,0)),IFERROR(INDEX('Catalog'!$A:$A,MATCH(TRIM(SUBSTITUTE($B71,CHAR(160)," ")),'Catalog'!$C:$C,0)),""))))</f>
        <v/>
      </c>
      <c r="H71" s="7" t="str">
        <f aca="false">IFERROR(INDEX('TRANS'!$C:$C,MATCH($B71,'TRANS'!$A:$A,0)),IFERROR(INDEX('Catalog'!$B:$B,MATCH($G71,'Catalog'!$A:$A,0)),$B71))</f>
        <v>397-43-46</v>
      </c>
      <c r="I71" s="7" t="str">
        <f aca="false">IF($G71="","Unmatched","Matched")</f>
        <v>Unmatched</v>
      </c>
      <c r="J71" s="7" t="str">
        <f aca="false">IF($G71&lt;&gt;"",$G71,$B71)</f>
        <v>397-43-46</v>
      </c>
      <c r="K71" s="7" t="str">
        <f aca="false">IF(COUNTIF($O$2:$O$16,$A71)&gt;0,"Y","N")</f>
        <v>Y</v>
      </c>
    </row>
    <row r="72" customFormat="false" ht="15" hidden="false" customHeight="false" outlineLevel="0" collapsed="false">
      <c r="A72" s="7" t="s">
        <v>30</v>
      </c>
      <c r="B72" s="7" t="s">
        <v>330</v>
      </c>
      <c r="C72" s="8" t="n">
        <v>100</v>
      </c>
      <c r="D72" s="8" t="n">
        <v>3325.21</v>
      </c>
      <c r="E72" s="8" t="n">
        <v>450</v>
      </c>
      <c r="F72" s="8" t="n">
        <v>14361.95</v>
      </c>
      <c r="G72" s="7" t="n">
        <f aca="false">IFERROR(INDEX('TRANS'!$B:$B,MATCH($B72,'TRANS'!$A:$A,0)),IFERROR(INDEX('TRANS'!$B:$B,MATCH(TRIM(SUBSTITUTE($B72,CHAR(160)," ")),'TRANS'!$D:$D,0)),IFERROR(INDEX('Catalog'!$A:$A,MATCH($B72,'Catalog'!$B:$B,0)),IFERROR(INDEX('Catalog'!$A:$A,MATCH(TRIM(SUBSTITUTE($B72,CHAR(160)," ")),'Catalog'!$C:$C,0)),""))))</f>
        <v>4403041</v>
      </c>
      <c r="H72" s="7" t="str">
        <f aca="false">IFERROR(INDEX('TRANS'!$C:$C,MATCH($B72,'TRANS'!$A:$A,0)),IFERROR(INDEX('Catalog'!$B:$B,MATCH($G72,'Catalog'!$A:$A,0)),$B72))</f>
        <v>397A-גרבי טיסה אנטי בקטרי35-38</v>
      </c>
      <c r="I72" s="7" t="str">
        <f aca="false">IF($G72="","Unmatched","Matched")</f>
        <v>Matched</v>
      </c>
      <c r="J72" s="7" t="n">
        <f aca="false">IF($G72&lt;&gt;"",$G72,$B72)</f>
        <v>4403041</v>
      </c>
      <c r="K72" s="7" t="str">
        <f aca="false">IF(COUNTIF($O$2:$O$16,$A72)&gt;0,"Y","N")</f>
        <v>Y</v>
      </c>
    </row>
    <row r="73" customFormat="false" ht="15" hidden="false" customHeight="false" outlineLevel="0" collapsed="false">
      <c r="A73" s="7" t="s">
        <v>30</v>
      </c>
      <c r="B73" s="7" t="s">
        <v>331</v>
      </c>
      <c r="C73" s="8" t="n">
        <v>151</v>
      </c>
      <c r="D73" s="8" t="n">
        <v>4987.86</v>
      </c>
      <c r="E73" s="8" t="n">
        <v>520</v>
      </c>
      <c r="F73" s="8" t="n">
        <v>15042.79</v>
      </c>
      <c r="G73" s="7" t="n">
        <f aca="false">IFERROR(INDEX('TRANS'!$B:$B,MATCH($B73,'TRANS'!$A:$A,0)),IFERROR(INDEX('TRANS'!$B:$B,MATCH(TRIM(SUBSTITUTE($B73,CHAR(160)," ")),'TRANS'!$D:$D,0)),IFERROR(INDEX('Catalog'!$A:$A,MATCH($B73,'Catalog'!$B:$B,0)),IFERROR(INDEX('Catalog'!$A:$A,MATCH(TRIM(SUBSTITUTE($B73,CHAR(160)," ")),'Catalog'!$C:$C,0)),""))))</f>
        <v>4403042</v>
      </c>
      <c r="H73" s="7" t="str">
        <f aca="false">IFERROR(INDEX('TRANS'!$C:$C,MATCH($B73,'TRANS'!$A:$A,0)),IFERROR(INDEX('Catalog'!$B:$B,MATCH($G73,'Catalog'!$A:$A,0)),$B73))</f>
        <v>397A-גרבי טיסה אנטי בקטרי39-42</v>
      </c>
      <c r="I73" s="7" t="str">
        <f aca="false">IF($G73="","Unmatched","Matched")</f>
        <v>Matched</v>
      </c>
      <c r="J73" s="7" t="n">
        <f aca="false">IF($G73&lt;&gt;"",$G73,$B73)</f>
        <v>4403042</v>
      </c>
      <c r="K73" s="7" t="str">
        <f aca="false">IF(COUNTIF($O$2:$O$16,$A73)&gt;0,"Y","N")</f>
        <v>Y</v>
      </c>
    </row>
    <row r="74" customFormat="false" ht="15" hidden="false" customHeight="false" outlineLevel="0" collapsed="false">
      <c r="A74" s="7" t="s">
        <v>30</v>
      </c>
      <c r="B74" s="7" t="s">
        <v>332</v>
      </c>
      <c r="C74" s="8" t="n">
        <v>100</v>
      </c>
      <c r="D74" s="8" t="n">
        <v>3325.21</v>
      </c>
      <c r="E74" s="8" t="n">
        <v>600</v>
      </c>
      <c r="F74" s="8" t="n">
        <v>17534.24</v>
      </c>
      <c r="G74" s="7" t="n">
        <f aca="false">IFERROR(INDEX('TRANS'!$B:$B,MATCH($B74,'TRANS'!$A:$A,0)),IFERROR(INDEX('TRANS'!$B:$B,MATCH(TRIM(SUBSTITUTE($B74,CHAR(160)," ")),'TRANS'!$D:$D,0)),IFERROR(INDEX('Catalog'!$A:$A,MATCH($B74,'Catalog'!$B:$B,0)),IFERROR(INDEX('Catalog'!$A:$A,MATCH(TRIM(SUBSTITUTE($B74,CHAR(160)," ")),'Catalog'!$C:$C,0)),""))))</f>
        <v>4403043</v>
      </c>
      <c r="H74" s="7" t="str">
        <f aca="false">IFERROR(INDEX('TRANS'!$C:$C,MATCH($B74,'TRANS'!$A:$A,0)),IFERROR(INDEX('Catalog'!$B:$B,MATCH($G74,'Catalog'!$A:$A,0)),$B74))</f>
        <v>397A-גרבי טיסה אנטי בקטרי43-46</v>
      </c>
      <c r="I74" s="7" t="str">
        <f aca="false">IF($G74="","Unmatched","Matched")</f>
        <v>Matched</v>
      </c>
      <c r="J74" s="7" t="n">
        <f aca="false">IF($G74&lt;&gt;"",$G74,$B74)</f>
        <v>4403043</v>
      </c>
      <c r="K74" s="7" t="str">
        <f aca="false">IF(COUNTIF($O$2:$O$16,$A74)&gt;0,"Y","N")</f>
        <v>Y</v>
      </c>
    </row>
    <row r="75" customFormat="false" ht="15" hidden="false" customHeight="false" outlineLevel="0" collapsed="false">
      <c r="A75" s="7" t="s">
        <v>30</v>
      </c>
      <c r="B75" s="7" t="s">
        <v>333</v>
      </c>
      <c r="C75" s="8" t="n">
        <v>92</v>
      </c>
      <c r="D75" s="8" t="n">
        <v>6336.99</v>
      </c>
      <c r="E75" s="8" t="n">
        <v>50</v>
      </c>
      <c r="F75" s="8" t="n">
        <v>3045.11</v>
      </c>
      <c r="G75" s="7" t="n">
        <f aca="false">IFERROR(INDEX('TRANS'!$B:$B,MATCH($B75,'TRANS'!$A:$A,0)),IFERROR(INDEX('TRANS'!$B:$B,MATCH(TRIM(SUBSTITUTE($B75,CHAR(160)," ")),'TRANS'!$D:$D,0)),IFERROR(INDEX('Catalog'!$A:$A,MATCH($B75,'Catalog'!$B:$B,0)),IFERROR(INDEX('Catalog'!$A:$A,MATCH(TRIM(SUBSTITUTE($B75,CHAR(160)," ")),'Catalog'!$C:$C,0)),""))))</f>
        <v>4420017</v>
      </c>
      <c r="H75" s="7" t="str">
        <f aca="false">IFERROR(INDEX('TRANS'!$C:$C,MATCH($B75,'TRANS'!$A:$A,0)),IFERROR(INDEX('Catalog'!$B:$B,MATCH($G75,'Catalog'!$A:$A,0)),$B75))</f>
        <v>4022 רצועת """"פיקה""""+כרית</v>
      </c>
      <c r="I75" s="7" t="str">
        <f aca="false">IF($G75="","Unmatched","Matched")</f>
        <v>Matched</v>
      </c>
      <c r="J75" s="7" t="n">
        <f aca="false">IF($G75&lt;&gt;"",$G75,$B75)</f>
        <v>4420017</v>
      </c>
      <c r="K75" s="7" t="str">
        <f aca="false">IF(COUNTIF($O$2:$O$16,$A75)&gt;0,"Y","N")</f>
        <v>Y</v>
      </c>
    </row>
    <row r="76" customFormat="false" ht="15" hidden="false" customHeight="false" outlineLevel="0" collapsed="false">
      <c r="A76" s="7" t="s">
        <v>30</v>
      </c>
      <c r="B76" s="7" t="s">
        <v>334</v>
      </c>
      <c r="C76" s="8" t="n">
        <v>210</v>
      </c>
      <c r="D76" s="8" t="n">
        <v>2891.34</v>
      </c>
      <c r="E76" s="8" t="n">
        <v>120</v>
      </c>
      <c r="F76" s="8" t="n">
        <v>1479.06</v>
      </c>
      <c r="G76" s="7" t="n">
        <f aca="false">IFERROR(INDEX('TRANS'!$B:$B,MATCH($B76,'TRANS'!$A:$A,0)),IFERROR(INDEX('TRANS'!$B:$B,MATCH(TRIM(SUBSTITUTE($B76,CHAR(160)," ")),'TRANS'!$D:$D,0)),IFERROR(INDEX('Catalog'!$A:$A,MATCH($B76,'Catalog'!$B:$B,0)),IFERROR(INDEX('Catalog'!$A:$A,MATCH(TRIM(SUBSTITUTE($B76,CHAR(160)," ")),'Catalog'!$C:$C,0)),""))))</f>
        <v>4413092</v>
      </c>
      <c r="H76" s="7" t="str">
        <f aca="false">IFERROR(INDEX('TRANS'!$C:$C,MATCH($B76,'TRANS'!$A:$A,0)),IFERROR(INDEX('Catalog'!$B:$B,MATCH($G76,'Catalog'!$A:$A,0)),$B76))</f>
        <v>45 L מגן ברך לבן</v>
      </c>
      <c r="I76" s="7" t="str">
        <f aca="false">IF($G76="","Unmatched","Matched")</f>
        <v>Matched</v>
      </c>
      <c r="J76" s="7" t="n">
        <f aca="false">IF($G76&lt;&gt;"",$G76,$B76)</f>
        <v>4413092</v>
      </c>
      <c r="K76" s="7" t="str">
        <f aca="false">IF(COUNTIF($O$2:$O$16,$A76)&gt;0,"Y","N")</f>
        <v>Y</v>
      </c>
    </row>
    <row r="77" customFormat="false" ht="15" hidden="false" customHeight="false" outlineLevel="0" collapsed="false">
      <c r="A77" s="7" t="s">
        <v>30</v>
      </c>
      <c r="B77" s="7" t="s">
        <v>335</v>
      </c>
      <c r="C77" s="8" t="n">
        <v>230</v>
      </c>
      <c r="D77" s="8" t="n">
        <v>3190.16</v>
      </c>
      <c r="E77" s="8" t="n">
        <v>170</v>
      </c>
      <c r="F77" s="8" t="n">
        <v>2112.98</v>
      </c>
      <c r="G77" s="7" t="n">
        <f aca="false">IFERROR(INDEX('TRANS'!$B:$B,MATCH($B77,'TRANS'!$A:$A,0)),IFERROR(INDEX('TRANS'!$B:$B,MATCH(TRIM(SUBSTITUTE($B77,CHAR(160)," ")),'TRANS'!$D:$D,0)),IFERROR(INDEX('Catalog'!$A:$A,MATCH($B77,'Catalog'!$B:$B,0)),IFERROR(INDEX('Catalog'!$A:$A,MATCH(TRIM(SUBSTITUTE($B77,CHAR(160)," ")),'Catalog'!$C:$C,0)),""))))</f>
        <v>4413093</v>
      </c>
      <c r="H77" s="7" t="str">
        <f aca="false">IFERROR(INDEX('TRANS'!$C:$C,MATCH($B77,'TRANS'!$A:$A,0)),IFERROR(INDEX('Catalog'!$B:$B,MATCH($G77,'Catalog'!$A:$A,0)),$B77))</f>
        <v>45 M מגן ברך לבן</v>
      </c>
      <c r="I77" s="7" t="str">
        <f aca="false">IF($G77="","Unmatched","Matched")</f>
        <v>Matched</v>
      </c>
      <c r="J77" s="7" t="n">
        <f aca="false">IF($G77&lt;&gt;"",$G77,$B77)</f>
        <v>4413093</v>
      </c>
      <c r="K77" s="7" t="str">
        <f aca="false">IF(COUNTIF($O$2:$O$16,$A77)&gt;0,"Y","N")</f>
        <v>Y</v>
      </c>
    </row>
    <row r="78" customFormat="false" ht="15" hidden="false" customHeight="false" outlineLevel="0" collapsed="false">
      <c r="A78" s="7" t="s">
        <v>30</v>
      </c>
      <c r="B78" s="7" t="s">
        <v>336</v>
      </c>
      <c r="C78" s="8" t="n">
        <v>120</v>
      </c>
      <c r="D78" s="8" t="n">
        <v>1690.84</v>
      </c>
      <c r="E78" s="8" t="n">
        <v>50</v>
      </c>
      <c r="F78" s="8" t="n">
        <v>619.49</v>
      </c>
      <c r="G78" s="7" t="n">
        <f aca="false">IFERROR(INDEX('TRANS'!$B:$B,MATCH($B78,'TRANS'!$A:$A,0)),IFERROR(INDEX('TRANS'!$B:$B,MATCH(TRIM(SUBSTITUTE($B78,CHAR(160)," ")),'TRANS'!$D:$D,0)),IFERROR(INDEX('Catalog'!$A:$A,MATCH($B78,'Catalog'!$B:$B,0)),IFERROR(INDEX('Catalog'!$A:$A,MATCH(TRIM(SUBSTITUTE($B78,CHAR(160)," ")),'Catalog'!$C:$C,0)),""))))</f>
        <v>4413094</v>
      </c>
      <c r="H78" s="7" t="str">
        <f aca="false">IFERROR(INDEX('TRANS'!$C:$C,MATCH($B78,'TRANS'!$A:$A,0)),IFERROR(INDEX('Catalog'!$B:$B,MATCH($G78,'Catalog'!$A:$A,0)),$B78))</f>
        <v>45 S מגן ברך לבן</v>
      </c>
      <c r="I78" s="7" t="str">
        <f aca="false">IF($G78="","Unmatched","Matched")</f>
        <v>Matched</v>
      </c>
      <c r="J78" s="7" t="n">
        <f aca="false">IF($G78&lt;&gt;"",$G78,$B78)</f>
        <v>4413094</v>
      </c>
      <c r="K78" s="7" t="str">
        <f aca="false">IF(COUNTIF($O$2:$O$16,$A78)&gt;0,"Y","N")</f>
        <v>Y</v>
      </c>
    </row>
    <row r="79" customFormat="false" ht="15" hidden="false" customHeight="false" outlineLevel="0" collapsed="false">
      <c r="A79" s="7" t="s">
        <v>30</v>
      </c>
      <c r="B79" s="7" t="s">
        <v>337</v>
      </c>
      <c r="C79" s="8" t="n">
        <v>120</v>
      </c>
      <c r="D79" s="8" t="n">
        <v>1685.88</v>
      </c>
      <c r="E79" s="8" t="n">
        <v>40</v>
      </c>
      <c r="F79" s="8" t="n">
        <v>508.99</v>
      </c>
      <c r="G79" s="7" t="n">
        <f aca="false">IFERROR(INDEX('TRANS'!$B:$B,MATCH($B79,'TRANS'!$A:$A,0)),IFERROR(INDEX('TRANS'!$B:$B,MATCH(TRIM(SUBSTITUTE($B79,CHAR(160)," ")),'TRANS'!$D:$D,0)),IFERROR(INDEX('Catalog'!$A:$A,MATCH($B79,'Catalog'!$B:$B,0)),IFERROR(INDEX('Catalog'!$A:$A,MATCH(TRIM(SUBSTITUTE($B79,CHAR(160)," ")),'Catalog'!$C:$C,0)),""))))</f>
        <v>4413095</v>
      </c>
      <c r="H79" s="7" t="str">
        <f aca="false">IFERROR(INDEX('TRANS'!$C:$C,MATCH($B79,'TRANS'!$A:$A,0)),IFERROR(INDEX('Catalog'!$B:$B,MATCH($G79,'Catalog'!$A:$A,0)),$B79))</f>
        <v>45 XL מגן ברך לבן</v>
      </c>
      <c r="I79" s="7" t="str">
        <f aca="false">IF($G79="","Unmatched","Matched")</f>
        <v>Matched</v>
      </c>
      <c r="J79" s="7" t="n">
        <f aca="false">IF($G79&lt;&gt;"",$G79,$B79)</f>
        <v>4413095</v>
      </c>
      <c r="K79" s="7" t="str">
        <f aca="false">IF(COUNTIF($O$2:$O$16,$A79)&gt;0,"Y","N")</f>
        <v>Y</v>
      </c>
    </row>
    <row r="80" customFormat="false" ht="15" hidden="false" customHeight="false" outlineLevel="0" collapsed="false">
      <c r="A80" s="7" t="s">
        <v>30</v>
      </c>
      <c r="B80" s="7" t="s">
        <v>338</v>
      </c>
      <c r="C80" s="8" t="n">
        <v>530</v>
      </c>
      <c r="D80" s="8" t="n">
        <v>7591.95</v>
      </c>
      <c r="E80" s="8" t="n">
        <v>280</v>
      </c>
      <c r="F80" s="8" t="n">
        <v>3734.22</v>
      </c>
      <c r="G80" s="7" t="n">
        <f aca="false">IFERROR(INDEX('TRANS'!$B:$B,MATCH($B80,'TRANS'!$A:$A,0)),IFERROR(INDEX('TRANS'!$B:$B,MATCH(TRIM(SUBSTITUTE($B80,CHAR(160)," ")),'TRANS'!$D:$D,0)),IFERROR(INDEX('Catalog'!$A:$A,MATCH($B80,'Catalog'!$B:$B,0)),IFERROR(INDEX('Catalog'!$A:$A,MATCH(TRIM(SUBSTITUTE($B80,CHAR(160)," ")),'Catalog'!$C:$C,0)),""))))</f>
        <v>4413495</v>
      </c>
      <c r="H80" s="7" t="str">
        <f aca="false">IFERROR(INDEX('TRANS'!$C:$C,MATCH($B80,'TRANS'!$A:$A,0)),IFERROR(INDEX('Catalog'!$B:$B,MATCH($G80,'Catalog'!$A:$A,0)),$B80))</f>
        <v>45B L מגן ברך שחור</v>
      </c>
      <c r="I80" s="7" t="str">
        <f aca="false">IF($G80="","Unmatched","Matched")</f>
        <v>Matched</v>
      </c>
      <c r="J80" s="7" t="n">
        <f aca="false">IF($G80&lt;&gt;"",$G80,$B80)</f>
        <v>4413495</v>
      </c>
      <c r="K80" s="7" t="str">
        <f aca="false">IF(COUNTIF($O$2:$O$16,$A80)&gt;0,"Y","N")</f>
        <v>Y</v>
      </c>
    </row>
    <row r="81" customFormat="false" ht="15" hidden="false" customHeight="false" outlineLevel="0" collapsed="false">
      <c r="A81" s="7" t="s">
        <v>30</v>
      </c>
      <c r="B81" s="7" t="s">
        <v>339</v>
      </c>
      <c r="C81" s="8" t="n">
        <v>450</v>
      </c>
      <c r="D81" s="8" t="n">
        <v>6527.88</v>
      </c>
      <c r="E81" s="8" t="n">
        <v>220</v>
      </c>
      <c r="F81" s="8" t="n">
        <v>2865.76</v>
      </c>
      <c r="G81" s="7" t="n">
        <f aca="false">IFERROR(INDEX('TRANS'!$B:$B,MATCH($B81,'TRANS'!$A:$A,0)),IFERROR(INDEX('TRANS'!$B:$B,MATCH(TRIM(SUBSTITUTE($B81,CHAR(160)," ")),'TRANS'!$D:$D,0)),IFERROR(INDEX('Catalog'!$A:$A,MATCH($B81,'Catalog'!$B:$B,0)),IFERROR(INDEX('Catalog'!$A:$A,MATCH(TRIM(SUBSTITUTE($B81,CHAR(160)," ")),'Catalog'!$C:$C,0)),""))))</f>
        <v>4413497</v>
      </c>
      <c r="H81" s="7" t="str">
        <f aca="false">IFERROR(INDEX('TRANS'!$C:$C,MATCH($B81,'TRANS'!$A:$A,0)),IFERROR(INDEX('Catalog'!$B:$B,MATCH($G81,'Catalog'!$A:$A,0)),$B81))</f>
        <v>45B M מגן ברך שחור</v>
      </c>
      <c r="I81" s="7" t="str">
        <f aca="false">IF($G81="","Unmatched","Matched")</f>
        <v>Matched</v>
      </c>
      <c r="J81" s="7" t="n">
        <f aca="false">IF($G81&lt;&gt;"",$G81,$B81)</f>
        <v>4413497</v>
      </c>
      <c r="K81" s="7" t="str">
        <f aca="false">IF(COUNTIF($O$2:$O$16,$A81)&gt;0,"Y","N")</f>
        <v>Y</v>
      </c>
    </row>
    <row r="82" customFormat="false" ht="15" hidden="false" customHeight="false" outlineLevel="0" collapsed="false">
      <c r="A82" s="7" t="s">
        <v>30</v>
      </c>
      <c r="B82" s="7" t="s">
        <v>340</v>
      </c>
      <c r="C82" s="8" t="n">
        <v>280</v>
      </c>
      <c r="D82" s="8" t="n">
        <v>4075.52</v>
      </c>
      <c r="E82" s="8" t="n">
        <v>110</v>
      </c>
      <c r="F82" s="8" t="n">
        <v>1440.49</v>
      </c>
      <c r="G82" s="7" t="n">
        <f aca="false">IFERROR(INDEX('TRANS'!$B:$B,MATCH($B82,'TRANS'!$A:$A,0)),IFERROR(INDEX('TRANS'!$B:$B,MATCH(TRIM(SUBSTITUTE($B82,CHAR(160)," ")),'TRANS'!$D:$D,0)),IFERROR(INDEX('Catalog'!$A:$A,MATCH($B82,'Catalog'!$B:$B,0)),IFERROR(INDEX('Catalog'!$A:$A,MATCH(TRIM(SUBSTITUTE($B82,CHAR(160)," ")),'Catalog'!$C:$C,0)),""))))</f>
        <v>4413498</v>
      </c>
      <c r="H82" s="7" t="str">
        <f aca="false">IFERROR(INDEX('TRANS'!$C:$C,MATCH($B82,'TRANS'!$A:$A,0)),IFERROR(INDEX('Catalog'!$B:$B,MATCH($G82,'Catalog'!$A:$A,0)),$B82))</f>
        <v>45B S מגן ברך שחור</v>
      </c>
      <c r="I82" s="7" t="str">
        <f aca="false">IF($G82="","Unmatched","Matched")</f>
        <v>Matched</v>
      </c>
      <c r="J82" s="7" t="n">
        <f aca="false">IF($G82&lt;&gt;"",$G82,$B82)</f>
        <v>4413498</v>
      </c>
      <c r="K82" s="7" t="str">
        <f aca="false">IF(COUNTIF($O$2:$O$16,$A82)&gt;0,"Y","N")</f>
        <v>Y</v>
      </c>
    </row>
    <row r="83" customFormat="false" ht="15" hidden="false" customHeight="false" outlineLevel="0" collapsed="false">
      <c r="A83" s="7" t="s">
        <v>30</v>
      </c>
      <c r="B83" s="7" t="s">
        <v>341</v>
      </c>
      <c r="C83" s="8" t="n">
        <v>460</v>
      </c>
      <c r="D83" s="8" t="n">
        <v>6699.09</v>
      </c>
      <c r="E83" s="8" t="n">
        <v>230</v>
      </c>
      <c r="F83" s="8" t="n">
        <v>2987.39</v>
      </c>
      <c r="G83" s="7" t="n">
        <f aca="false">IFERROR(INDEX('TRANS'!$B:$B,MATCH($B83,'TRANS'!$A:$A,0)),IFERROR(INDEX('TRANS'!$B:$B,MATCH(TRIM(SUBSTITUTE($B83,CHAR(160)," ")),'TRANS'!$D:$D,0)),IFERROR(INDEX('Catalog'!$A:$A,MATCH($B83,'Catalog'!$B:$B,0)),IFERROR(INDEX('Catalog'!$A:$A,MATCH(TRIM(SUBSTITUTE($B83,CHAR(160)," ")),'Catalog'!$C:$C,0)),""))))</f>
        <v>4413496</v>
      </c>
      <c r="H83" s="7" t="str">
        <f aca="false">IFERROR(INDEX('TRANS'!$C:$C,MATCH($B83,'TRANS'!$A:$A,0)),IFERROR(INDEX('Catalog'!$B:$B,MATCH($G83,'Catalog'!$A:$A,0)),$B83))</f>
        <v>45B XL מגן ברך שחור</v>
      </c>
      <c r="I83" s="7" t="str">
        <f aca="false">IF($G83="","Unmatched","Matched")</f>
        <v>Matched</v>
      </c>
      <c r="J83" s="7" t="n">
        <f aca="false">IF($G83&lt;&gt;"",$G83,$B83)</f>
        <v>4413496</v>
      </c>
      <c r="K83" s="7" t="str">
        <f aca="false">IF(COUNTIF($O$2:$O$16,$A83)&gt;0,"Y","N")</f>
        <v>Y</v>
      </c>
    </row>
    <row r="84" customFormat="false" ht="15" hidden="false" customHeight="false" outlineLevel="0" collapsed="false">
      <c r="A84" s="7" t="s">
        <v>30</v>
      </c>
      <c r="B84" s="7" t="s">
        <v>342</v>
      </c>
      <c r="C84" s="8" t="n">
        <v>480</v>
      </c>
      <c r="D84" s="8" t="n">
        <v>6509.97</v>
      </c>
      <c r="E84" s="8" t="n">
        <v>230</v>
      </c>
      <c r="F84" s="8" t="n">
        <v>2768.95</v>
      </c>
      <c r="G84" s="7" t="n">
        <f aca="false">IFERROR(INDEX('TRANS'!$B:$B,MATCH($B84,'TRANS'!$A:$A,0)),IFERROR(INDEX('TRANS'!$B:$B,MATCH(TRIM(SUBSTITUTE($B84,CHAR(160)," ")),'TRANS'!$D:$D,0)),IFERROR(INDEX('Catalog'!$A:$A,MATCH($B84,'Catalog'!$B:$B,0)),IFERROR(INDEX('Catalog'!$A:$A,MATCH(TRIM(SUBSTITUTE($B84,CHAR(160)," ")),'Catalog'!$C:$C,0)),""))))</f>
        <v>4413098</v>
      </c>
      <c r="H84" s="7" t="str">
        <f aca="false">IFERROR(INDEX('TRANS'!$C:$C,MATCH($B84,'TRANS'!$A:$A,0)),IFERROR(INDEX('Catalog'!$B:$B,MATCH($G84,'Catalog'!$A:$A,0)),$B84))</f>
        <v>45C L מגן ברך חום</v>
      </c>
      <c r="I84" s="7" t="str">
        <f aca="false">IF($G84="","Unmatched","Matched")</f>
        <v>Matched</v>
      </c>
      <c r="J84" s="7" t="n">
        <f aca="false">IF($G84&lt;&gt;"",$G84,$B84)</f>
        <v>4413098</v>
      </c>
      <c r="K84" s="7" t="str">
        <f aca="false">IF(COUNTIF($O$2:$O$16,$A84)&gt;0,"Y","N")</f>
        <v>Y</v>
      </c>
    </row>
    <row r="85" customFormat="false" ht="15" hidden="false" customHeight="false" outlineLevel="0" collapsed="false">
      <c r="A85" s="7" t="s">
        <v>30</v>
      </c>
      <c r="B85" s="7" t="s">
        <v>343</v>
      </c>
      <c r="C85" s="8" t="n">
        <v>460</v>
      </c>
      <c r="D85" s="8" t="n">
        <v>6185.43</v>
      </c>
      <c r="E85" s="8" t="n">
        <v>290</v>
      </c>
      <c r="F85" s="8" t="n">
        <v>3507.94</v>
      </c>
      <c r="G85" s="7" t="n">
        <f aca="false">IFERROR(INDEX('TRANS'!$B:$B,MATCH($B85,'TRANS'!$A:$A,0)),IFERROR(INDEX('TRANS'!$B:$B,MATCH(TRIM(SUBSTITUTE($B85,CHAR(160)," ")),'TRANS'!$D:$D,0)),IFERROR(INDEX('Catalog'!$A:$A,MATCH($B85,'Catalog'!$B:$B,0)),IFERROR(INDEX('Catalog'!$A:$A,MATCH(TRIM(SUBSTITUTE($B85,CHAR(160)," ")),'Catalog'!$C:$C,0)),""))))</f>
        <v>4413099</v>
      </c>
      <c r="H85" s="7" t="str">
        <f aca="false">IFERROR(INDEX('TRANS'!$C:$C,MATCH($B85,'TRANS'!$A:$A,0)),IFERROR(INDEX('Catalog'!$B:$B,MATCH($G85,'Catalog'!$A:$A,0)),$B85))</f>
        <v>45C M מגן ברך חום</v>
      </c>
      <c r="I85" s="7" t="str">
        <f aca="false">IF($G85="","Unmatched","Matched")</f>
        <v>Matched</v>
      </c>
      <c r="J85" s="7" t="n">
        <f aca="false">IF($G85&lt;&gt;"",$G85,$B85)</f>
        <v>4413099</v>
      </c>
      <c r="K85" s="7" t="str">
        <f aca="false">IF(COUNTIF($O$2:$O$16,$A85)&gt;0,"Y","N")</f>
        <v>Y</v>
      </c>
    </row>
    <row r="86" customFormat="false" ht="15" hidden="false" customHeight="false" outlineLevel="0" collapsed="false">
      <c r="A86" s="7" t="s">
        <v>30</v>
      </c>
      <c r="B86" s="7" t="s">
        <v>344</v>
      </c>
      <c r="C86" s="8" t="n">
        <v>220</v>
      </c>
      <c r="D86" s="8" t="n">
        <v>3020</v>
      </c>
      <c r="E86" s="8" t="n">
        <v>170</v>
      </c>
      <c r="F86" s="8" t="n">
        <v>2078.4</v>
      </c>
      <c r="G86" s="7" t="n">
        <f aca="false">IFERROR(INDEX('TRANS'!$B:$B,MATCH($B86,'TRANS'!$A:$A,0)),IFERROR(INDEX('TRANS'!$B:$B,MATCH(TRIM(SUBSTITUTE($B86,CHAR(160)," ")),'TRANS'!$D:$D,0)),IFERROR(INDEX('Catalog'!$A:$A,MATCH($B86,'Catalog'!$B:$B,0)),IFERROR(INDEX('Catalog'!$A:$A,MATCH(TRIM(SUBSTITUTE($B86,CHAR(160)," ")),'Catalog'!$C:$C,0)),""))))</f>
        <v>4413097</v>
      </c>
      <c r="H86" s="7" t="str">
        <f aca="false">IFERROR(INDEX('TRANS'!$C:$C,MATCH($B86,'TRANS'!$A:$A,0)),IFERROR(INDEX('Catalog'!$B:$B,MATCH($G86,'Catalog'!$A:$A,0)),$B86))</f>
        <v>45C S מגן ברך חום</v>
      </c>
      <c r="I86" s="7" t="str">
        <f aca="false">IF($G86="","Unmatched","Matched")</f>
        <v>Matched</v>
      </c>
      <c r="J86" s="7" t="n">
        <f aca="false">IF($G86&lt;&gt;"",$G86,$B86)</f>
        <v>4413097</v>
      </c>
      <c r="K86" s="7" t="str">
        <f aca="false">IF(COUNTIF($O$2:$O$16,$A86)&gt;0,"Y","N")</f>
        <v>Y</v>
      </c>
    </row>
    <row r="87" customFormat="false" ht="15" hidden="false" customHeight="false" outlineLevel="0" collapsed="false">
      <c r="A87" s="7" t="s">
        <v>30</v>
      </c>
      <c r="B87" s="7" t="s">
        <v>345</v>
      </c>
      <c r="C87" s="8" t="n">
        <v>300</v>
      </c>
      <c r="D87" s="8" t="n">
        <v>4073.24</v>
      </c>
      <c r="E87" s="8" t="n">
        <v>230</v>
      </c>
      <c r="F87" s="8" t="n">
        <v>2821.26</v>
      </c>
      <c r="G87" s="7" t="n">
        <f aca="false">IFERROR(INDEX('TRANS'!$B:$B,MATCH($B87,'TRANS'!$A:$A,0)),IFERROR(INDEX('TRANS'!$B:$B,MATCH(TRIM(SUBSTITUTE($B87,CHAR(160)," ")),'TRANS'!$D:$D,0)),IFERROR(INDEX('Catalog'!$A:$A,MATCH($B87,'Catalog'!$B:$B,0)),IFERROR(INDEX('Catalog'!$A:$A,MATCH(TRIM(SUBSTITUTE($B87,CHAR(160)," ")),'Catalog'!$C:$C,0)),""))))</f>
        <v>4413100</v>
      </c>
      <c r="H87" s="7" t="str">
        <f aca="false">IFERROR(INDEX('TRANS'!$C:$C,MATCH($B87,'TRANS'!$A:$A,0)),IFERROR(INDEX('Catalog'!$B:$B,MATCH($G87,'Catalog'!$A:$A,0)),$B87))</f>
        <v>45C XL מגן ברך חום</v>
      </c>
      <c r="I87" s="7" t="str">
        <f aca="false">IF($G87="","Unmatched","Matched")</f>
        <v>Matched</v>
      </c>
      <c r="J87" s="7" t="n">
        <f aca="false">IF($G87&lt;&gt;"",$G87,$B87)</f>
        <v>4413100</v>
      </c>
      <c r="K87" s="7" t="str">
        <f aca="false">IF(COUNTIF($O$2:$O$16,$A87)&gt;0,"Y","N")</f>
        <v>Y</v>
      </c>
    </row>
    <row r="88" customFormat="false" ht="15" hidden="false" customHeight="false" outlineLevel="0" collapsed="false">
      <c r="A88" s="7" t="s">
        <v>30</v>
      </c>
      <c r="B88" s="7" t="s">
        <v>346</v>
      </c>
      <c r="C88" s="8" t="n">
        <v>430</v>
      </c>
      <c r="D88" s="8" t="n">
        <v>5449.62</v>
      </c>
      <c r="E88" s="8" t="n">
        <v>270</v>
      </c>
      <c r="F88" s="8" t="n">
        <v>3124.1</v>
      </c>
      <c r="G88" s="7" t="n">
        <f aca="false">IFERROR(INDEX('TRANS'!$B:$B,MATCH($B88,'TRANS'!$A:$A,0)),IFERROR(INDEX('TRANS'!$B:$B,MATCH(TRIM(SUBSTITUTE($B88,CHAR(160)," ")),'TRANS'!$D:$D,0)),IFERROR(INDEX('Catalog'!$A:$A,MATCH($B88,'Catalog'!$B:$B,0)),IFERROR(INDEX('Catalog'!$A:$A,MATCH(TRIM(SUBSTITUTE($B88,CHAR(160)," ")),'Catalog'!$C:$C,0)),""))))</f>
        <v>4422000</v>
      </c>
      <c r="H88" s="7" t="str">
        <f aca="false">IFERROR(INDEX('TRANS'!$C:$C,MATCH($B88,'TRANS'!$A:$A,0)),IFERROR(INDEX('Catalog'!$B:$B,MATCH($G88,'Catalog'!$A:$A,0)),$B88))</f>
        <v>801  תחבושת אלסטית מקררת</v>
      </c>
      <c r="I88" s="7" t="str">
        <f aca="false">IF($G88="","Unmatched","Matched")</f>
        <v>Matched</v>
      </c>
      <c r="J88" s="7" t="n">
        <f aca="false">IF($G88&lt;&gt;"",$G88,$B88)</f>
        <v>4422000</v>
      </c>
      <c r="K88" s="7" t="str">
        <f aca="false">IF(COUNTIF($O$2:$O$16,$A88)&gt;0,"Y","N")</f>
        <v>Y</v>
      </c>
    </row>
    <row r="89" customFormat="false" ht="15" hidden="false" customHeight="false" outlineLevel="0" collapsed="false">
      <c r="A89" s="7" t="s">
        <v>30</v>
      </c>
      <c r="B89" s="7" t="s">
        <v>347</v>
      </c>
      <c r="C89" s="8" t="n">
        <v>2700</v>
      </c>
      <c r="D89" s="8" t="n">
        <v>20880.68</v>
      </c>
      <c r="E89" s="8" t="n">
        <v>1500</v>
      </c>
      <c r="F89" s="8" t="n">
        <v>10415.22</v>
      </c>
      <c r="G89" s="7" t="n">
        <f aca="false">IFERROR(INDEX('TRANS'!$B:$B,MATCH($B89,'TRANS'!$A:$A,0)),IFERROR(INDEX('TRANS'!$B:$B,MATCH(TRIM(SUBSTITUTE($B89,CHAR(160)," ")),'TRANS'!$D:$D,0)),IFERROR(INDEX('Catalog'!$A:$A,MATCH($B89,'Catalog'!$B:$B,0)),IFERROR(INDEX('Catalog'!$A:$A,MATCH(TRIM(SUBSTITUTE($B89,CHAR(160)," ")),'Catalog'!$C:$C,0)),""))))</f>
        <v>4422024</v>
      </c>
      <c r="H89" s="7" t="str">
        <f aca="false">IFERROR(INDEX('TRANS'!$C:$C,MATCH($B89,'TRANS'!$A:$A,0)),IFERROR(INDEX('Catalog'!$B:$B,MATCH($G89,'Catalog'!$A:$A,0)),$B89))</f>
        <v>806CB-BLACK      תחבושת א.נצמ</v>
      </c>
      <c r="I89" s="7" t="str">
        <f aca="false">IF($G89="","Unmatched","Matched")</f>
        <v>Matched</v>
      </c>
      <c r="J89" s="7" t="n">
        <f aca="false">IF($G89&lt;&gt;"",$G89,$B89)</f>
        <v>4422024</v>
      </c>
      <c r="K89" s="7" t="str">
        <f aca="false">IF(COUNTIF($O$2:$O$16,$A89)&gt;0,"Y","N")</f>
        <v>Y</v>
      </c>
    </row>
    <row r="90" customFormat="false" ht="15" hidden="false" customHeight="false" outlineLevel="0" collapsed="false">
      <c r="A90" s="7" t="s">
        <v>30</v>
      </c>
      <c r="B90" s="7" t="s">
        <v>348</v>
      </c>
      <c r="C90" s="8" t="n">
        <v>2200</v>
      </c>
      <c r="D90" s="8" t="n">
        <v>17111.62</v>
      </c>
      <c r="E90" s="8" t="n">
        <v>1300</v>
      </c>
      <c r="F90" s="8" t="n">
        <v>9059.98</v>
      </c>
      <c r="G90" s="7" t="n">
        <f aca="false">IFERROR(INDEX('TRANS'!$B:$B,MATCH($B90,'TRANS'!$A:$A,0)),IFERROR(INDEX('TRANS'!$B:$B,MATCH(TRIM(SUBSTITUTE($B90,CHAR(160)," ")),'TRANS'!$D:$D,0)),IFERROR(INDEX('Catalog'!$A:$A,MATCH($B90,'Catalog'!$B:$B,0)),IFERROR(INDEX('Catalog'!$A:$A,MATCH(TRIM(SUBSTITUTE($B90,CHAR(160)," ")),'Catalog'!$C:$C,0)),""))))</f>
        <v>4422023</v>
      </c>
      <c r="H90" s="7" t="str">
        <f aca="false">IFERROR(INDEX('TRANS'!$C:$C,MATCH($B90,'TRANS'!$A:$A,0)),IFERROR(INDEX('Catalog'!$B:$B,MATCH($G90,'Catalog'!$A:$A,0)),$B90))</f>
        <v>806CB-BEIGE      תחבושת א.נצמ</v>
      </c>
      <c r="I90" s="7" t="str">
        <f aca="false">IF($G90="","Unmatched","Matched")</f>
        <v>Matched</v>
      </c>
      <c r="J90" s="7" t="n">
        <f aca="false">IF($G90&lt;&gt;"",$G90,$B90)</f>
        <v>4422023</v>
      </c>
      <c r="K90" s="7" t="str">
        <f aca="false">IF(COUNTIF($O$2:$O$16,$A90)&gt;0,"Y","N")</f>
        <v>Y</v>
      </c>
    </row>
    <row r="91" customFormat="false" ht="15" hidden="false" customHeight="false" outlineLevel="0" collapsed="false">
      <c r="A91" s="7" t="s">
        <v>30</v>
      </c>
      <c r="B91" s="7" t="s">
        <v>349</v>
      </c>
      <c r="C91" s="8" t="n">
        <v>1050</v>
      </c>
      <c r="D91" s="8" t="n">
        <v>8166.17</v>
      </c>
      <c r="E91" s="8" t="n">
        <v>800</v>
      </c>
      <c r="F91" s="8" t="n">
        <v>5600.14</v>
      </c>
      <c r="G91" s="7" t="n">
        <f aca="false">IFERROR(INDEX('TRANS'!$B:$B,MATCH($B91,'TRANS'!$A:$A,0)),IFERROR(INDEX('TRANS'!$B:$B,MATCH(TRIM(SUBSTITUTE($B91,CHAR(160)," ")),'TRANS'!$D:$D,0)),IFERROR(INDEX('Catalog'!$A:$A,MATCH($B91,'Catalog'!$B:$B,0)),IFERROR(INDEX('Catalog'!$A:$A,MATCH(TRIM(SUBSTITUTE($B91,CHAR(160)," ")),'Catalog'!$C:$C,0)),""))))</f>
        <v>4422025</v>
      </c>
      <c r="H91" s="7" t="str">
        <f aca="false">IFERROR(INDEX('TRANS'!$C:$C,MATCH($B91,'TRANS'!$A:$A,0)),IFERROR(INDEX('Catalog'!$B:$B,MATCH($G91,'Catalog'!$A:$A,0)),$B91))</f>
        <v>806CB-GREEN      תחבושת א.נצמ</v>
      </c>
      <c r="I91" s="7" t="str">
        <f aca="false">IF($G91="","Unmatched","Matched")</f>
        <v>Matched</v>
      </c>
      <c r="J91" s="7" t="n">
        <f aca="false">IF($G91&lt;&gt;"",$G91,$B91)</f>
        <v>4422025</v>
      </c>
      <c r="K91" s="7" t="str">
        <f aca="false">IF(COUNTIF($O$2:$O$16,$A91)&gt;0,"Y","N")</f>
        <v>Y</v>
      </c>
    </row>
    <row r="92" customFormat="false" ht="15" hidden="false" customHeight="false" outlineLevel="0" collapsed="false">
      <c r="A92" s="7" t="s">
        <v>30</v>
      </c>
      <c r="B92" s="7" t="s">
        <v>350</v>
      </c>
      <c r="C92" s="8" t="n">
        <v>1700</v>
      </c>
      <c r="D92" s="8" t="n">
        <v>13176.93</v>
      </c>
      <c r="E92" s="8" t="n">
        <v>1200</v>
      </c>
      <c r="F92" s="8" t="n">
        <v>8358.9</v>
      </c>
      <c r="G92" s="7" t="n">
        <f aca="false">IFERROR(INDEX('TRANS'!$B:$B,MATCH($B92,'TRANS'!$A:$A,0)),IFERROR(INDEX('TRANS'!$B:$B,MATCH(TRIM(SUBSTITUTE($B92,CHAR(160)," ")),'TRANS'!$D:$D,0)),IFERROR(INDEX('Catalog'!$A:$A,MATCH($B92,'Catalog'!$B:$B,0)),IFERROR(INDEX('Catalog'!$A:$A,MATCH(TRIM(SUBSTITUTE($B92,CHAR(160)," ")),'Catalog'!$C:$C,0)),""))))</f>
        <v>4422026</v>
      </c>
      <c r="H92" s="7" t="str">
        <f aca="false">IFERROR(INDEX('TRANS'!$C:$C,MATCH($B92,'TRANS'!$A:$A,0)),IFERROR(INDEX('Catalog'!$B:$B,MATCH($G92,'Catalog'!$A:$A,0)),$B92))</f>
        <v>806CB-PINK       תחבושת א.נצמ</v>
      </c>
      <c r="I92" s="7" t="str">
        <f aca="false">IF($G92="","Unmatched","Matched")</f>
        <v>Matched</v>
      </c>
      <c r="J92" s="7" t="n">
        <f aca="false">IF($G92&lt;&gt;"",$G92,$B92)</f>
        <v>4422026</v>
      </c>
      <c r="K92" s="7" t="str">
        <f aca="false">IF(COUNTIF($O$2:$O$16,$A92)&gt;0,"Y","N")</f>
        <v>Y</v>
      </c>
    </row>
    <row r="93" customFormat="false" ht="15" hidden="false" customHeight="false" outlineLevel="0" collapsed="false">
      <c r="A93" s="7" t="s">
        <v>30</v>
      </c>
      <c r="B93" s="7" t="s">
        <v>351</v>
      </c>
      <c r="C93" s="8" t="n">
        <v>500</v>
      </c>
      <c r="D93" s="8" t="n">
        <v>9000.24</v>
      </c>
      <c r="E93" s="8" t="n">
        <v>0</v>
      </c>
      <c r="F93" s="8" t="n">
        <v>0</v>
      </c>
      <c r="G93" s="7" t="n">
        <f aca="false">IFERROR(INDEX('TRANS'!$B:$B,MATCH($B93,'TRANS'!$A:$A,0)),IFERROR(INDEX('TRANS'!$B:$B,MATCH(TRIM(SUBSTITUTE($B93,CHAR(160)," ")),'TRANS'!$D:$D,0)),IFERROR(INDEX('Catalog'!$A:$A,MATCH($B93,'Catalog'!$B:$B,0)),IFERROR(INDEX('Catalog'!$A:$A,MATCH(TRIM(SUBSTITUTE($B93,CHAR(160)," ")),'Catalog'!$C:$C,0)),""))))</f>
        <v>4409017</v>
      </c>
      <c r="H93" s="7" t="str">
        <f aca="false">IFERROR(INDEX('TRANS'!$C:$C,MATCH($B93,'TRANS'!$A:$A,0)),IFERROR(INDEX('Catalog'!$B:$B,MATCH($G93,'Catalog'!$A:$A,0)),$B93))</f>
        <v>808KT-B        טייפ קינזיולוגי</v>
      </c>
      <c r="I93" s="7" t="str">
        <f aca="false">IF($G93="","Unmatched","Matched")</f>
        <v>Matched</v>
      </c>
      <c r="J93" s="7" t="n">
        <f aca="false">IF($G93&lt;&gt;"",$G93,$B93)</f>
        <v>4409017</v>
      </c>
      <c r="K93" s="7" t="str">
        <f aca="false">IF(COUNTIF($O$2:$O$16,$A93)&gt;0,"Y","N")</f>
        <v>Y</v>
      </c>
    </row>
    <row r="94" customFormat="false" ht="15" hidden="false" customHeight="false" outlineLevel="0" collapsed="false">
      <c r="A94" s="7" t="s">
        <v>30</v>
      </c>
      <c r="B94" s="7" t="s">
        <v>352</v>
      </c>
      <c r="C94" s="8" t="n">
        <v>400</v>
      </c>
      <c r="D94" s="8" t="n">
        <v>7200.19</v>
      </c>
      <c r="E94" s="8" t="n">
        <v>0</v>
      </c>
      <c r="F94" s="8" t="n">
        <v>0</v>
      </c>
      <c r="G94" s="7" t="n">
        <f aca="false">IFERROR(INDEX('TRANS'!$B:$B,MATCH($B94,'TRANS'!$A:$A,0)),IFERROR(INDEX('TRANS'!$B:$B,MATCH(TRIM(SUBSTITUTE($B94,CHAR(160)," ")),'TRANS'!$D:$D,0)),IFERROR(INDEX('Catalog'!$A:$A,MATCH($B94,'Catalog'!$B:$B,0)),IFERROR(INDEX('Catalog'!$A:$A,MATCH(TRIM(SUBSTITUTE($B94,CHAR(160)," ")),'Catalog'!$C:$C,0)),""))))</f>
        <v>4409015</v>
      </c>
      <c r="H94" s="7" t="str">
        <f aca="false">IFERROR(INDEX('TRANS'!$C:$C,MATCH($B94,'TRANS'!$A:$A,0)),IFERROR(INDEX('Catalog'!$B:$B,MATCH($G94,'Catalog'!$A:$A,0)),$B94))</f>
        <v>808KT-BL       טייפ קינזיולוגי</v>
      </c>
      <c r="I94" s="7" t="str">
        <f aca="false">IF($G94="","Unmatched","Matched")</f>
        <v>Matched</v>
      </c>
      <c r="J94" s="7" t="n">
        <f aca="false">IF($G94&lt;&gt;"",$G94,$B94)</f>
        <v>4409015</v>
      </c>
      <c r="K94" s="7" t="str">
        <f aca="false">IF(COUNTIF($O$2:$O$16,$A94)&gt;0,"Y","N")</f>
        <v>Y</v>
      </c>
    </row>
    <row r="95" customFormat="false" ht="15" hidden="false" customHeight="false" outlineLevel="0" collapsed="false">
      <c r="A95" s="7" t="s">
        <v>30</v>
      </c>
      <c r="B95" s="7" t="s">
        <v>353</v>
      </c>
      <c r="C95" s="8" t="n">
        <v>600</v>
      </c>
      <c r="D95" s="8" t="n">
        <v>10800.29</v>
      </c>
      <c r="E95" s="8" t="n">
        <v>0</v>
      </c>
      <c r="F95" s="8" t="n">
        <v>0</v>
      </c>
      <c r="G95" s="7" t="n">
        <f aca="false">IFERROR(INDEX('TRANS'!$B:$B,MATCH($B95,'TRANS'!$A:$A,0)),IFERROR(INDEX('TRANS'!$B:$B,MATCH(TRIM(SUBSTITUTE($B95,CHAR(160)," ")),'TRANS'!$D:$D,0)),IFERROR(INDEX('Catalog'!$A:$A,MATCH($B95,'Catalog'!$B:$B,0)),IFERROR(INDEX('Catalog'!$A:$A,MATCH(TRIM(SUBSTITUTE($B95,CHAR(160)," ")),'Catalog'!$C:$C,0)),""))))</f>
        <v>4409016</v>
      </c>
      <c r="H95" s="7" t="str">
        <f aca="false">IFERROR(INDEX('TRANS'!$C:$C,MATCH($B95,'TRANS'!$A:$A,0)),IFERROR(INDEX('Catalog'!$B:$B,MATCH($G95,'Catalog'!$A:$A,0)),$B95))</f>
        <v>808KT-C        טייפ קינזיולוגי</v>
      </c>
      <c r="I95" s="7" t="str">
        <f aca="false">IF($G95="","Unmatched","Matched")</f>
        <v>Matched</v>
      </c>
      <c r="J95" s="7" t="n">
        <f aca="false">IF($G95&lt;&gt;"",$G95,$B95)</f>
        <v>4409016</v>
      </c>
      <c r="K95" s="7" t="str">
        <f aca="false">IF(COUNTIF($O$2:$O$16,$A95)&gt;0,"Y","N")</f>
        <v>Y</v>
      </c>
    </row>
    <row r="96" customFormat="false" ht="15" hidden="false" customHeight="false" outlineLevel="0" collapsed="false">
      <c r="A96" s="7" t="s">
        <v>30</v>
      </c>
      <c r="B96" s="7" t="s">
        <v>354</v>
      </c>
      <c r="C96" s="8" t="n">
        <v>400</v>
      </c>
      <c r="D96" s="8" t="n">
        <v>7200.19</v>
      </c>
      <c r="E96" s="8" t="n">
        <v>0</v>
      </c>
      <c r="F96" s="8" t="n">
        <v>0</v>
      </c>
      <c r="G96" s="7" t="n">
        <f aca="false">IFERROR(INDEX('TRANS'!$B:$B,MATCH($B96,'TRANS'!$A:$A,0)),IFERROR(INDEX('TRANS'!$B:$B,MATCH(TRIM(SUBSTITUTE($B96,CHAR(160)," ")),'TRANS'!$D:$D,0)),IFERROR(INDEX('Catalog'!$A:$A,MATCH($B96,'Catalog'!$B:$B,0)),IFERROR(INDEX('Catalog'!$A:$A,MATCH(TRIM(SUBSTITUTE($B96,CHAR(160)," ")),'Catalog'!$C:$C,0)),""))))</f>
        <v>4409014</v>
      </c>
      <c r="H96" s="7" t="str">
        <f aca="false">IFERROR(INDEX('TRANS'!$C:$C,MATCH($B96,'TRANS'!$A:$A,0)),IFERROR(INDEX('Catalog'!$B:$B,MATCH($G96,'Catalog'!$A:$A,0)),$B96))</f>
        <v>808KT-P        טייפ קינזיולוגי</v>
      </c>
      <c r="I96" s="7" t="str">
        <f aca="false">IF($G96="","Unmatched","Matched")</f>
        <v>Matched</v>
      </c>
      <c r="J96" s="7" t="n">
        <f aca="false">IF($G96&lt;&gt;"",$G96,$B96)</f>
        <v>4409014</v>
      </c>
      <c r="K96" s="7" t="str">
        <f aca="false">IF(COUNTIF($O$2:$O$16,$A96)&gt;0,"Y","N")</f>
        <v>Y</v>
      </c>
    </row>
    <row r="97" customFormat="false" ht="15" hidden="false" customHeight="false" outlineLevel="0" collapsed="false">
      <c r="A97" s="7" t="s">
        <v>30</v>
      </c>
      <c r="B97" s="7" t="s">
        <v>62</v>
      </c>
      <c r="C97" s="8" t="n">
        <v>1800</v>
      </c>
      <c r="D97" s="8" t="n">
        <v>33646.56</v>
      </c>
      <c r="E97" s="8" t="n">
        <v>1300</v>
      </c>
      <c r="F97" s="8" t="n">
        <v>21555.45</v>
      </c>
      <c r="G97" s="7" t="str">
        <f aca="false">IFERROR(INDEX('TRANS'!$B:$B,MATCH($B97,'TRANS'!$A:$A,0)),IFERROR(INDEX('TRANS'!$B:$B,MATCH(TRIM(SUBSTITUTE($B97,CHAR(160)," ")),'TRANS'!$D:$D,0)),IFERROR(INDEX('Catalog'!$A:$A,MATCH($B97,'Catalog'!$B:$B,0)),IFERROR(INDEX('Catalog'!$A:$A,MATCH(TRIM(SUBSTITUTE($B97,CHAR(160)," ")),'Catalog'!$C:$C,0)),""))))</f>
        <v/>
      </c>
      <c r="H97" s="7" t="str">
        <f aca="false">IFERROR(INDEX('TRANS'!$C:$C,MATCH($B97,'TRANS'!$A:$A,0)),IFERROR(INDEX('Catalog'!$B:$B,MATCH($G97,'Catalog'!$A:$A,0)),$B97))</f>
        <v>808KTP-B</v>
      </c>
      <c r="I97" s="7" t="str">
        <f aca="false">IF($G97="","Unmatched","Matched")</f>
        <v>Unmatched</v>
      </c>
      <c r="J97" s="7" t="str">
        <f aca="false">IF($G97&lt;&gt;"",$G97,$B97)</f>
        <v>808KTP-B</v>
      </c>
      <c r="K97" s="7" t="str">
        <f aca="false">IF(COUNTIF($O$2:$O$16,$A97)&gt;0,"Y","N")</f>
        <v>Y</v>
      </c>
    </row>
    <row r="98" customFormat="false" ht="15" hidden="false" customHeight="false" outlineLevel="0" collapsed="false">
      <c r="A98" s="7" t="s">
        <v>30</v>
      </c>
      <c r="B98" s="7" t="s">
        <v>64</v>
      </c>
      <c r="C98" s="8" t="n">
        <v>1450</v>
      </c>
      <c r="D98" s="8" t="n">
        <v>27344.66</v>
      </c>
      <c r="E98" s="8" t="n">
        <v>1200</v>
      </c>
      <c r="F98" s="8" t="n">
        <v>20061.36</v>
      </c>
      <c r="G98" s="7" t="str">
        <f aca="false">IFERROR(INDEX('TRANS'!$B:$B,MATCH($B98,'TRANS'!$A:$A,0)),IFERROR(INDEX('TRANS'!$B:$B,MATCH(TRIM(SUBSTITUTE($B98,CHAR(160)," ")),'TRANS'!$D:$D,0)),IFERROR(INDEX('Catalog'!$A:$A,MATCH($B98,'Catalog'!$B:$B,0)),IFERROR(INDEX('Catalog'!$A:$A,MATCH(TRIM(SUBSTITUTE($B98,CHAR(160)," ")),'Catalog'!$C:$C,0)),""))))</f>
        <v/>
      </c>
      <c r="H98" s="7" t="str">
        <f aca="false">IFERROR(INDEX('TRANS'!$C:$C,MATCH($B98,'TRANS'!$A:$A,0)),IFERROR(INDEX('Catalog'!$B:$B,MATCH($G98,'Catalog'!$A:$A,0)),$B98))</f>
        <v>808KTP-BL</v>
      </c>
      <c r="I98" s="7" t="str">
        <f aca="false">IF($G98="","Unmatched","Matched")</f>
        <v>Unmatched</v>
      </c>
      <c r="J98" s="7" t="str">
        <f aca="false">IF($G98&lt;&gt;"",$G98,$B98)</f>
        <v>808KTP-BL</v>
      </c>
      <c r="K98" s="7" t="str">
        <f aca="false">IF(COUNTIF($O$2:$O$16,$A98)&gt;0,"Y","N")</f>
        <v>Y</v>
      </c>
    </row>
    <row r="99" customFormat="false" ht="15" hidden="false" customHeight="false" outlineLevel="0" collapsed="false">
      <c r="A99" s="7" t="s">
        <v>30</v>
      </c>
      <c r="B99" s="7" t="s">
        <v>61</v>
      </c>
      <c r="C99" s="8" t="n">
        <v>1700</v>
      </c>
      <c r="D99" s="8" t="n">
        <v>32023.54</v>
      </c>
      <c r="E99" s="8" t="n">
        <v>1400</v>
      </c>
      <c r="F99" s="8" t="n">
        <v>22980.19</v>
      </c>
      <c r="G99" s="7" t="str">
        <f aca="false">IFERROR(INDEX('TRANS'!$B:$B,MATCH($B99,'TRANS'!$A:$A,0)),IFERROR(INDEX('TRANS'!$B:$B,MATCH(TRIM(SUBSTITUTE($B99,CHAR(160)," ")),'TRANS'!$D:$D,0)),IFERROR(INDEX('Catalog'!$A:$A,MATCH($B99,'Catalog'!$B:$B,0)),IFERROR(INDEX('Catalog'!$A:$A,MATCH(TRIM(SUBSTITUTE($B99,CHAR(160)," ")),'Catalog'!$C:$C,0)),""))))</f>
        <v/>
      </c>
      <c r="H99" s="7" t="str">
        <f aca="false">IFERROR(INDEX('TRANS'!$C:$C,MATCH($B99,'TRANS'!$A:$A,0)),IFERROR(INDEX('Catalog'!$B:$B,MATCH($G99,'Catalog'!$A:$A,0)),$B99))</f>
        <v>808KTP-C</v>
      </c>
      <c r="I99" s="7" t="str">
        <f aca="false">IF($G99="","Unmatched","Matched")</f>
        <v>Unmatched</v>
      </c>
      <c r="J99" s="7" t="str">
        <f aca="false">IF($G99&lt;&gt;"",$G99,$B99)</f>
        <v>808KTP-C</v>
      </c>
      <c r="K99" s="7" t="str">
        <f aca="false">IF(COUNTIF($O$2:$O$16,$A99)&gt;0,"Y","N")</f>
        <v>Y</v>
      </c>
    </row>
    <row r="100" customFormat="false" ht="15" hidden="false" customHeight="false" outlineLevel="0" collapsed="false">
      <c r="A100" s="7" t="s">
        <v>30</v>
      </c>
      <c r="B100" s="7" t="s">
        <v>63</v>
      </c>
      <c r="C100" s="8" t="n">
        <v>1600</v>
      </c>
      <c r="D100" s="8" t="n">
        <v>30065.76</v>
      </c>
      <c r="E100" s="8" t="n">
        <v>1300</v>
      </c>
      <c r="F100" s="8" t="n">
        <v>21555.45</v>
      </c>
      <c r="G100" s="7" t="str">
        <f aca="false">IFERROR(INDEX('TRANS'!$B:$B,MATCH($B100,'TRANS'!$A:$A,0)),IFERROR(INDEX('TRANS'!$B:$B,MATCH(TRIM(SUBSTITUTE($B100,CHAR(160)," ")),'TRANS'!$D:$D,0)),IFERROR(INDEX('Catalog'!$A:$A,MATCH($B100,'Catalog'!$B:$B,0)),IFERROR(INDEX('Catalog'!$A:$A,MATCH(TRIM(SUBSTITUTE($B100,CHAR(160)," ")),'Catalog'!$C:$C,0)),""))))</f>
        <v/>
      </c>
      <c r="H100" s="7" t="str">
        <f aca="false">IFERROR(INDEX('TRANS'!$C:$C,MATCH($B100,'TRANS'!$A:$A,0)),IFERROR(INDEX('Catalog'!$B:$B,MATCH($G100,'Catalog'!$A:$A,0)),$B100))</f>
        <v>808KTP-P</v>
      </c>
      <c r="I100" s="7" t="str">
        <f aca="false">IF($G100="","Unmatched","Matched")</f>
        <v>Unmatched</v>
      </c>
      <c r="J100" s="7" t="str">
        <f aca="false">IF($G100&lt;&gt;"",$G100,$B100)</f>
        <v>808KTP-P</v>
      </c>
      <c r="K100" s="7" t="str">
        <f aca="false">IF(COUNTIF($O$2:$O$16,$A100)&gt;0,"Y","N")</f>
        <v>Y</v>
      </c>
    </row>
    <row r="101" customFormat="false" ht="15" hidden="false" customHeight="false" outlineLevel="0" collapsed="false">
      <c r="A101" s="7" t="s">
        <v>30</v>
      </c>
      <c r="B101" s="7" t="s">
        <v>355</v>
      </c>
      <c r="C101" s="8" t="n">
        <v>360</v>
      </c>
      <c r="D101" s="8" t="n">
        <v>11222.39</v>
      </c>
      <c r="E101" s="8" t="n">
        <v>230</v>
      </c>
      <c r="F101" s="8" t="n">
        <v>6417.16</v>
      </c>
      <c r="G101" s="7" t="n">
        <f aca="false">IFERROR(INDEX('TRANS'!$B:$B,MATCH($B101,'TRANS'!$A:$A,0)),IFERROR(INDEX('TRANS'!$B:$B,MATCH(TRIM(SUBSTITUTE($B101,CHAR(160)," ")),'TRANS'!$D:$D,0)),IFERROR(INDEX('Catalog'!$A:$A,MATCH($B101,'Catalog'!$B:$B,0)),IFERROR(INDEX('Catalog'!$A:$A,MATCH(TRIM(SUBSTITUTE($B101,CHAR(160)," ")),'Catalog'!$C:$C,0)),""))))</f>
        <v>4413135</v>
      </c>
      <c r="H101" s="7" t="str">
        <f aca="false">IFERROR(INDEX('TRANS'!$C:$C,MATCH($B101,'TRANS'!$A:$A,0)),IFERROR(INDEX('Catalog'!$B:$B,MATCH($G101,'Catalog'!$A:$A,0)),$B101))</f>
        <v>85 L (מתלה ליד )כיס</v>
      </c>
      <c r="I101" s="7" t="str">
        <f aca="false">IF($G101="","Unmatched","Matched")</f>
        <v>Matched</v>
      </c>
      <c r="J101" s="7" t="n">
        <f aca="false">IF($G101&lt;&gt;"",$G101,$B101)</f>
        <v>4413135</v>
      </c>
      <c r="K101" s="7" t="str">
        <f aca="false">IF(COUNTIF($O$2:$O$16,$A101)&gt;0,"Y","N")</f>
        <v>Y</v>
      </c>
    </row>
    <row r="102" customFormat="false" ht="15" hidden="false" customHeight="false" outlineLevel="0" collapsed="false">
      <c r="A102" s="7" t="s">
        <v>30</v>
      </c>
      <c r="B102" s="7" t="s">
        <v>356</v>
      </c>
      <c r="C102" s="8" t="n">
        <v>320</v>
      </c>
      <c r="D102" s="8" t="n">
        <v>9921.33</v>
      </c>
      <c r="E102" s="8" t="n">
        <v>190</v>
      </c>
      <c r="F102" s="8" t="n">
        <v>5248.11</v>
      </c>
      <c r="G102" s="7" t="n">
        <f aca="false">IFERROR(INDEX('TRANS'!$B:$B,MATCH($B102,'TRANS'!$A:$A,0)),IFERROR(INDEX('TRANS'!$B:$B,MATCH(TRIM(SUBSTITUTE($B102,CHAR(160)," ")),'TRANS'!$D:$D,0)),IFERROR(INDEX('Catalog'!$A:$A,MATCH($B102,'Catalog'!$B:$B,0)),IFERROR(INDEX('Catalog'!$A:$A,MATCH(TRIM(SUBSTITUTE($B102,CHAR(160)," ")),'Catalog'!$C:$C,0)),""))))</f>
        <v>4413136</v>
      </c>
      <c r="H102" s="7" t="str">
        <f aca="false">IFERROR(INDEX('TRANS'!$C:$C,MATCH($B102,'TRANS'!$A:$A,0)),IFERROR(INDEX('Catalog'!$B:$B,MATCH($G102,'Catalog'!$A:$A,0)),$B102))</f>
        <v>85 M (מתלה ליד )כיס</v>
      </c>
      <c r="I102" s="7" t="str">
        <f aca="false">IF($G102="","Unmatched","Matched")</f>
        <v>Matched</v>
      </c>
      <c r="J102" s="7" t="n">
        <f aca="false">IF($G102&lt;&gt;"",$G102,$B102)</f>
        <v>4413136</v>
      </c>
      <c r="K102" s="7" t="str">
        <f aca="false">IF(COUNTIF($O$2:$O$16,$A102)&gt;0,"Y","N")</f>
        <v>Y</v>
      </c>
    </row>
    <row r="103" customFormat="false" ht="15" hidden="false" customHeight="false" outlineLevel="0" collapsed="false">
      <c r="A103" s="7" t="s">
        <v>30</v>
      </c>
      <c r="B103" s="7" t="s">
        <v>357</v>
      </c>
      <c r="C103" s="8" t="n">
        <v>110</v>
      </c>
      <c r="D103" s="8" t="n">
        <v>3432.26</v>
      </c>
      <c r="E103" s="8" t="n">
        <v>20</v>
      </c>
      <c r="F103" s="8" t="n">
        <v>583.98</v>
      </c>
      <c r="G103" s="7" t="n">
        <f aca="false">IFERROR(INDEX('TRANS'!$B:$B,MATCH($B103,'TRANS'!$A:$A,0)),IFERROR(INDEX('TRANS'!$B:$B,MATCH(TRIM(SUBSTITUTE($B103,CHAR(160)," ")),'TRANS'!$D:$D,0)),IFERROR(INDEX('Catalog'!$A:$A,MATCH($B103,'Catalog'!$B:$B,0)),IFERROR(INDEX('Catalog'!$A:$A,MATCH(TRIM(SUBSTITUTE($B103,CHAR(160)," ")),'Catalog'!$C:$C,0)),""))))</f>
        <v>4413137</v>
      </c>
      <c r="H103" s="7" t="str">
        <f aca="false">IFERROR(INDEX('TRANS'!$C:$C,MATCH($B103,'TRANS'!$A:$A,0)),IFERROR(INDEX('Catalog'!$B:$B,MATCH($G103,'Catalog'!$A:$A,0)),$B103))</f>
        <v>85 S (מתלה ליד )כיס</v>
      </c>
      <c r="I103" s="7" t="str">
        <f aca="false">IF($G103="","Unmatched","Matched")</f>
        <v>Matched</v>
      </c>
      <c r="J103" s="7" t="n">
        <f aca="false">IF($G103&lt;&gt;"",$G103,$B103)</f>
        <v>4413137</v>
      </c>
      <c r="K103" s="7" t="str">
        <f aca="false">IF(COUNTIF($O$2:$O$16,$A103)&gt;0,"Y","N")</f>
        <v>Y</v>
      </c>
    </row>
    <row r="104" customFormat="false" ht="15" hidden="false" customHeight="false" outlineLevel="0" collapsed="false">
      <c r="A104" s="7" t="s">
        <v>30</v>
      </c>
      <c r="B104" s="7" t="s">
        <v>358</v>
      </c>
      <c r="C104" s="8" t="n">
        <v>170</v>
      </c>
      <c r="D104" s="8" t="n">
        <v>5328.74</v>
      </c>
      <c r="E104" s="8" t="n">
        <v>80</v>
      </c>
      <c r="F104" s="8" t="n">
        <v>2208.1</v>
      </c>
      <c r="G104" s="7" t="n">
        <f aca="false">IFERROR(INDEX('TRANS'!$B:$B,MATCH($B104,'TRANS'!$A:$A,0)),IFERROR(INDEX('TRANS'!$B:$B,MATCH(TRIM(SUBSTITUTE($B104,CHAR(160)," ")),'TRANS'!$D:$D,0)),IFERROR(INDEX('Catalog'!$A:$A,MATCH($B104,'Catalog'!$B:$B,0)),IFERROR(INDEX('Catalog'!$A:$A,MATCH(TRIM(SUBSTITUTE($B104,CHAR(160)," ")),'Catalog'!$C:$C,0)),""))))</f>
        <v>4413138</v>
      </c>
      <c r="H104" s="7" t="str">
        <f aca="false">IFERROR(INDEX('TRANS'!$C:$C,MATCH($B104,'TRANS'!$A:$A,0)),IFERROR(INDEX('Catalog'!$B:$B,MATCH($G104,'Catalog'!$A:$A,0)),$B104))</f>
        <v>85 XL (מתלה ליד )כיס</v>
      </c>
      <c r="I104" s="7" t="str">
        <f aca="false">IF($G104="","Unmatched","Matched")</f>
        <v>Matched</v>
      </c>
      <c r="J104" s="7" t="n">
        <f aca="false">IF($G104&lt;&gt;"",$G104,$B104)</f>
        <v>4413138</v>
      </c>
      <c r="K104" s="7" t="str">
        <f aca="false">IF(COUNTIF($O$2:$O$16,$A104)&gt;0,"Y","N")</f>
        <v>Y</v>
      </c>
    </row>
    <row r="105" customFormat="false" ht="15" hidden="false" customHeight="false" outlineLevel="0" collapsed="false">
      <c r="A105" s="7" t="s">
        <v>30</v>
      </c>
      <c r="B105" s="7" t="s">
        <v>359</v>
      </c>
      <c r="C105" s="8" t="n">
        <v>230</v>
      </c>
      <c r="D105" s="8" t="n">
        <v>8815.84</v>
      </c>
      <c r="E105" s="8" t="n">
        <v>120</v>
      </c>
      <c r="F105" s="8" t="n">
        <v>4074.97</v>
      </c>
      <c r="G105" s="7" t="n">
        <f aca="false">IFERROR(INDEX('TRANS'!$B:$B,MATCH($B105,'TRANS'!$A:$A,0)),IFERROR(INDEX('TRANS'!$B:$B,MATCH(TRIM(SUBSTITUTE($B105,CHAR(160)," ")),'TRANS'!$D:$D,0)),IFERROR(INDEX('Catalog'!$A:$A,MATCH($B105,'Catalog'!$B:$B,0)),IFERROR(INDEX('Catalog'!$A:$A,MATCH(TRIM(SUBSTITUTE($B105,CHAR(160)," ")),'Catalog'!$C:$C,0)),""))))</f>
        <v>4413455</v>
      </c>
      <c r="H105" s="7" t="str">
        <f aca="false">IFERROR(INDEX('TRANS'!$C:$C,MATCH($B105,'TRANS'!$A:$A,0)),IFERROR(INDEX('Catalog'!$B:$B,MATCH($G105,'Catalog'!$A:$A,0)),$B105))</f>
        <v>85K מתלה ליד לילדים</v>
      </c>
      <c r="I105" s="7" t="str">
        <f aca="false">IF($G105="","Unmatched","Matched")</f>
        <v>Matched</v>
      </c>
      <c r="J105" s="7" t="n">
        <f aca="false">IF($G105&lt;&gt;"",$G105,$B105)</f>
        <v>4413455</v>
      </c>
      <c r="K105" s="7" t="str">
        <f aca="false">IF(COUNTIF($O$2:$O$16,$A105)&gt;0,"Y","N")</f>
        <v>Y</v>
      </c>
    </row>
    <row r="106" customFormat="false" ht="15" hidden="false" customHeight="false" outlineLevel="0" collapsed="false">
      <c r="A106" s="7" t="s">
        <v>30</v>
      </c>
      <c r="B106" s="7" t="s">
        <v>360</v>
      </c>
      <c r="C106" s="8" t="n">
        <v>90</v>
      </c>
      <c r="D106" s="8" t="n">
        <v>1296.79</v>
      </c>
      <c r="E106" s="8" t="n">
        <v>40</v>
      </c>
      <c r="F106" s="8" t="n">
        <v>520.31</v>
      </c>
      <c r="G106" s="7" t="n">
        <f aca="false">IFERROR(INDEX('TRANS'!$B:$B,MATCH($B106,'TRANS'!$A:$A,0)),IFERROR(INDEX('TRANS'!$B:$B,MATCH(TRIM(SUBSTITUTE($B106,CHAR(160)," ")),'TRANS'!$D:$D,0)),IFERROR(INDEX('Catalog'!$A:$A,MATCH($B106,'Catalog'!$B:$B,0)),IFERROR(INDEX('Catalog'!$A:$A,MATCH(TRIM(SUBSTITUTE($B106,CHAR(160)," ")),'Catalog'!$C:$C,0)),""))))</f>
        <v>4413139</v>
      </c>
      <c r="H106" s="7" t="str">
        <f aca="false">IFERROR(INDEX('TRANS'!$C:$C,MATCH($B106,'TRANS'!$A:$A,0)),IFERROR(INDEX('Catalog'!$B:$B,MATCH($G106,'Catalog'!$A:$A,0)),$B106))</f>
        <v>95 L מגן מרפק רגיל לבן</v>
      </c>
      <c r="I106" s="7" t="str">
        <f aca="false">IF($G106="","Unmatched","Matched")</f>
        <v>Matched</v>
      </c>
      <c r="J106" s="7" t="n">
        <f aca="false">IF($G106&lt;&gt;"",$G106,$B106)</f>
        <v>4413139</v>
      </c>
      <c r="K106" s="7" t="str">
        <f aca="false">IF(COUNTIF($O$2:$O$16,$A106)&gt;0,"Y","N")</f>
        <v>Y</v>
      </c>
    </row>
    <row r="107" customFormat="false" ht="15" hidden="false" customHeight="false" outlineLevel="0" collapsed="false">
      <c r="A107" s="7" t="s">
        <v>30</v>
      </c>
      <c r="B107" s="7" t="s">
        <v>361</v>
      </c>
      <c r="C107" s="8" t="n">
        <v>120</v>
      </c>
      <c r="D107" s="8" t="n">
        <v>1725.64</v>
      </c>
      <c r="E107" s="8" t="n">
        <v>40</v>
      </c>
      <c r="F107" s="8" t="n">
        <v>525.4</v>
      </c>
      <c r="G107" s="7" t="n">
        <f aca="false">IFERROR(INDEX('TRANS'!$B:$B,MATCH($B107,'TRANS'!$A:$A,0)),IFERROR(INDEX('TRANS'!$B:$B,MATCH(TRIM(SUBSTITUTE($B107,CHAR(160)," ")),'TRANS'!$D:$D,0)),IFERROR(INDEX('Catalog'!$A:$A,MATCH($B107,'Catalog'!$B:$B,0)),IFERROR(INDEX('Catalog'!$A:$A,MATCH(TRIM(SUBSTITUTE($B107,CHAR(160)," ")),'Catalog'!$C:$C,0)),""))))</f>
        <v>4413140</v>
      </c>
      <c r="H107" s="7" t="str">
        <f aca="false">IFERROR(INDEX('TRANS'!$C:$C,MATCH($B107,'TRANS'!$A:$A,0)),IFERROR(INDEX('Catalog'!$B:$B,MATCH($G107,'Catalog'!$A:$A,0)),$B107))</f>
        <v>95 M מגן מרפק רגיל לבן</v>
      </c>
      <c r="I107" s="7" t="str">
        <f aca="false">IF($G107="","Unmatched","Matched")</f>
        <v>Matched</v>
      </c>
      <c r="J107" s="7" t="n">
        <f aca="false">IF($G107&lt;&gt;"",$G107,$B107)</f>
        <v>4413140</v>
      </c>
      <c r="K107" s="7" t="str">
        <f aca="false">IF(COUNTIF($O$2:$O$16,$A107)&gt;0,"Y","N")</f>
        <v>Y</v>
      </c>
    </row>
    <row r="108" customFormat="false" ht="15" hidden="false" customHeight="false" outlineLevel="0" collapsed="false">
      <c r="A108" s="7" t="s">
        <v>30</v>
      </c>
      <c r="B108" s="7" t="s">
        <v>362</v>
      </c>
      <c r="C108" s="8" t="n">
        <v>90</v>
      </c>
      <c r="D108" s="8" t="n">
        <v>1304.22</v>
      </c>
      <c r="E108" s="8" t="n">
        <v>20</v>
      </c>
      <c r="F108" s="8" t="n">
        <v>270.09</v>
      </c>
      <c r="G108" s="7" t="n">
        <f aca="false">IFERROR(INDEX('TRANS'!$B:$B,MATCH($B108,'TRANS'!$A:$A,0)),IFERROR(INDEX('TRANS'!$B:$B,MATCH(TRIM(SUBSTITUTE($B108,CHAR(160)," ")),'TRANS'!$D:$D,0)),IFERROR(INDEX('Catalog'!$A:$A,MATCH($B108,'Catalog'!$B:$B,0)),IFERROR(INDEX('Catalog'!$A:$A,MATCH(TRIM(SUBSTITUTE($B108,CHAR(160)," ")),'Catalog'!$C:$C,0)),""))))</f>
        <v>4413141</v>
      </c>
      <c r="H108" s="7" t="str">
        <f aca="false">IFERROR(INDEX('TRANS'!$C:$C,MATCH($B108,'TRANS'!$A:$A,0)),IFERROR(INDEX('Catalog'!$B:$B,MATCH($G108,'Catalog'!$A:$A,0)),$B108))</f>
        <v>95 S מגן מרפק רגיל לבן</v>
      </c>
      <c r="I108" s="7" t="str">
        <f aca="false">IF($G108="","Unmatched","Matched")</f>
        <v>Matched</v>
      </c>
      <c r="J108" s="7" t="n">
        <f aca="false">IF($G108&lt;&gt;"",$G108,$B108)</f>
        <v>4413141</v>
      </c>
      <c r="K108" s="7" t="str">
        <f aca="false">IF(COUNTIF($O$2:$O$16,$A108)&gt;0,"Y","N")</f>
        <v>Y</v>
      </c>
    </row>
    <row r="109" customFormat="false" ht="15" hidden="false" customHeight="false" outlineLevel="0" collapsed="false">
      <c r="A109" s="7" t="s">
        <v>30</v>
      </c>
      <c r="B109" s="7" t="s">
        <v>363</v>
      </c>
      <c r="C109" s="8" t="n">
        <v>320</v>
      </c>
      <c r="D109" s="8" t="n">
        <v>4543.74</v>
      </c>
      <c r="E109" s="8" t="n">
        <v>190</v>
      </c>
      <c r="F109" s="8" t="n">
        <v>2462.67</v>
      </c>
      <c r="G109" s="7" t="n">
        <f aca="false">IFERROR(INDEX('TRANS'!$B:$B,MATCH($B109,'TRANS'!$A:$A,0)),IFERROR(INDEX('TRANS'!$B:$B,MATCH(TRIM(SUBSTITUTE($B109,CHAR(160)," ")),'TRANS'!$D:$D,0)),IFERROR(INDEX('Catalog'!$A:$A,MATCH($B109,'Catalog'!$B:$B,0)),IFERROR(INDEX('Catalog'!$A:$A,MATCH(TRIM(SUBSTITUTE($B109,CHAR(160)," ")),'Catalog'!$C:$C,0)),""))))</f>
        <v>4413500</v>
      </c>
      <c r="H109" s="7" t="str">
        <f aca="false">IFERROR(INDEX('TRANS'!$C:$C,MATCH($B109,'TRANS'!$A:$A,0)),IFERROR(INDEX('Catalog'!$B:$B,MATCH($G109,'Catalog'!$A:$A,0)),$B109))</f>
        <v>95B L מגן מרפק שחור</v>
      </c>
      <c r="I109" s="7" t="str">
        <f aca="false">IF($G109="","Unmatched","Matched")</f>
        <v>Matched</v>
      </c>
      <c r="J109" s="7" t="n">
        <f aca="false">IF($G109&lt;&gt;"",$G109,$B109)</f>
        <v>4413500</v>
      </c>
      <c r="K109" s="7" t="str">
        <f aca="false">IF(COUNTIF($O$2:$O$16,$A109)&gt;0,"Y","N")</f>
        <v>Y</v>
      </c>
    </row>
    <row r="110" customFormat="false" ht="15" hidden="false" customHeight="false" outlineLevel="0" collapsed="false">
      <c r="A110" s="7" t="s">
        <v>30</v>
      </c>
      <c r="B110" s="7" t="s">
        <v>364</v>
      </c>
      <c r="C110" s="8" t="n">
        <v>300</v>
      </c>
      <c r="D110" s="8" t="n">
        <v>4263.53</v>
      </c>
      <c r="E110" s="8" t="n">
        <v>100</v>
      </c>
      <c r="F110" s="8" t="n">
        <v>1280.9</v>
      </c>
      <c r="G110" s="7" t="n">
        <f aca="false">IFERROR(INDEX('TRANS'!$B:$B,MATCH($B110,'TRANS'!$A:$A,0)),IFERROR(INDEX('TRANS'!$B:$B,MATCH(TRIM(SUBSTITUTE($B110,CHAR(160)," ")),'TRANS'!$D:$D,0)),IFERROR(INDEX('Catalog'!$A:$A,MATCH($B110,'Catalog'!$B:$B,0)),IFERROR(INDEX('Catalog'!$A:$A,MATCH(TRIM(SUBSTITUTE($B110,CHAR(160)," ")),'Catalog'!$C:$C,0)),""))))</f>
        <v>4413501</v>
      </c>
      <c r="H110" s="7" t="str">
        <f aca="false">IFERROR(INDEX('TRANS'!$C:$C,MATCH($B110,'TRANS'!$A:$A,0)),IFERROR(INDEX('Catalog'!$B:$B,MATCH($G110,'Catalog'!$A:$A,0)),$B110))</f>
        <v>95B M מגן מרפק שחור</v>
      </c>
      <c r="I110" s="7" t="str">
        <f aca="false">IF($G110="","Unmatched","Matched")</f>
        <v>Matched</v>
      </c>
      <c r="J110" s="7" t="n">
        <f aca="false">IF($G110&lt;&gt;"",$G110,$B110)</f>
        <v>4413501</v>
      </c>
      <c r="K110" s="7" t="str">
        <f aca="false">IF(COUNTIF($O$2:$O$16,$A110)&gt;0,"Y","N")</f>
        <v>Y</v>
      </c>
    </row>
    <row r="111" customFormat="false" ht="15" hidden="false" customHeight="false" outlineLevel="0" collapsed="false">
      <c r="A111" s="7" t="s">
        <v>30</v>
      </c>
      <c r="B111" s="7" t="s">
        <v>365</v>
      </c>
      <c r="C111" s="8" t="n">
        <v>220</v>
      </c>
      <c r="D111" s="8" t="n">
        <v>3151.31</v>
      </c>
      <c r="E111" s="8" t="n">
        <v>60</v>
      </c>
      <c r="F111" s="8" t="n">
        <v>765.93</v>
      </c>
      <c r="G111" s="7" t="n">
        <f aca="false">IFERROR(INDEX('TRANS'!$B:$B,MATCH($B111,'TRANS'!$A:$A,0)),IFERROR(INDEX('TRANS'!$B:$B,MATCH(TRIM(SUBSTITUTE($B111,CHAR(160)," ")),'TRANS'!$D:$D,0)),IFERROR(INDEX('Catalog'!$A:$A,MATCH($B111,'Catalog'!$B:$B,0)),IFERROR(INDEX('Catalog'!$A:$A,MATCH(TRIM(SUBSTITUTE($B111,CHAR(160)," ")),'Catalog'!$C:$C,0)),""))))</f>
        <v>4413502</v>
      </c>
      <c r="H111" s="7" t="str">
        <f aca="false">IFERROR(INDEX('TRANS'!$C:$C,MATCH($B111,'TRANS'!$A:$A,0)),IFERROR(INDEX('Catalog'!$B:$B,MATCH($G111,'Catalog'!$A:$A,0)),$B111))</f>
        <v>95B S מגן מרפק שחור</v>
      </c>
      <c r="I111" s="7" t="str">
        <f aca="false">IF($G111="","Unmatched","Matched")</f>
        <v>Matched</v>
      </c>
      <c r="J111" s="7" t="n">
        <f aca="false">IF($G111&lt;&gt;"",$G111,$B111)</f>
        <v>4413502</v>
      </c>
      <c r="K111" s="7" t="str">
        <f aca="false">IF(COUNTIF($O$2:$O$16,$A111)&gt;0,"Y","N")</f>
        <v>Y</v>
      </c>
    </row>
    <row r="112" customFormat="false" ht="15" hidden="false" customHeight="false" outlineLevel="0" collapsed="false">
      <c r="A112" s="7" t="s">
        <v>30</v>
      </c>
      <c r="B112" s="7" t="s">
        <v>366</v>
      </c>
      <c r="C112" s="8" t="n">
        <v>170</v>
      </c>
      <c r="D112" s="8" t="n">
        <v>2444.95</v>
      </c>
      <c r="E112" s="8" t="n">
        <v>50</v>
      </c>
      <c r="F112" s="8" t="n">
        <v>635.73</v>
      </c>
      <c r="G112" s="7" t="n">
        <f aca="false">IFERROR(INDEX('TRANS'!$B:$B,MATCH($B112,'TRANS'!$A:$A,0)),IFERROR(INDEX('TRANS'!$B:$B,MATCH(TRIM(SUBSTITUTE($B112,CHAR(160)," ")),'TRANS'!$D:$D,0)),IFERROR(INDEX('Catalog'!$A:$A,MATCH($B112,'Catalog'!$B:$B,0)),IFERROR(INDEX('Catalog'!$A:$A,MATCH(TRIM(SUBSTITUTE($B112,CHAR(160)," ")),'Catalog'!$C:$C,0)),""))))</f>
        <v>4413503</v>
      </c>
      <c r="H112" s="7" t="str">
        <f aca="false">IFERROR(INDEX('TRANS'!$C:$C,MATCH($B112,'TRANS'!$A:$A,0)),IFERROR(INDEX('Catalog'!$B:$B,MATCH($G112,'Catalog'!$A:$A,0)),$B112))</f>
        <v>95B XL מגן מרפק שחור</v>
      </c>
      <c r="I112" s="7" t="str">
        <f aca="false">IF($G112="","Unmatched","Matched")</f>
        <v>Matched</v>
      </c>
      <c r="J112" s="7" t="n">
        <f aca="false">IF($G112&lt;&gt;"",$G112,$B112)</f>
        <v>4413503</v>
      </c>
      <c r="K112" s="7" t="str">
        <f aca="false">IF(COUNTIF($O$2:$O$16,$A112)&gt;0,"Y","N")</f>
        <v>Y</v>
      </c>
    </row>
    <row r="113" customFormat="false" ht="15" hidden="false" customHeight="false" outlineLevel="0" collapsed="false">
      <c r="A113" s="7" t="s">
        <v>30</v>
      </c>
      <c r="B113" s="7" t="s">
        <v>367</v>
      </c>
      <c r="C113" s="8" t="n">
        <v>140</v>
      </c>
      <c r="D113" s="8" t="n">
        <v>2022.47</v>
      </c>
      <c r="E113" s="8" t="n">
        <v>20</v>
      </c>
      <c r="F113" s="8" t="n">
        <v>250.22</v>
      </c>
      <c r="G113" s="7" t="n">
        <f aca="false">IFERROR(INDEX('TRANS'!$B:$B,MATCH($B113,'TRANS'!$A:$A,0)),IFERROR(INDEX('TRANS'!$B:$B,MATCH(TRIM(SUBSTITUTE($B113,CHAR(160)," ")),'TRANS'!$D:$D,0)),IFERROR(INDEX('Catalog'!$A:$A,MATCH($B113,'Catalog'!$B:$B,0)),IFERROR(INDEX('Catalog'!$A:$A,MATCH(TRIM(SUBSTITUTE($B113,CHAR(160)," ")),'Catalog'!$C:$C,0)),""))))</f>
        <v>4413365</v>
      </c>
      <c r="H113" s="7" t="str">
        <f aca="false">IFERROR(INDEX('TRANS'!$C:$C,MATCH($B113,'TRANS'!$A:$A,0)),IFERROR(INDEX('Catalog'!$B:$B,MATCH($G113,'Catalog'!$A:$A,0)),$B113))</f>
        <v>95C L 'מגן מרפק בז</v>
      </c>
      <c r="I113" s="7" t="str">
        <f aca="false">IF($G113="","Unmatched","Matched")</f>
        <v>Matched</v>
      </c>
      <c r="J113" s="7" t="n">
        <f aca="false">IF($G113&lt;&gt;"",$G113,$B113)</f>
        <v>4413365</v>
      </c>
      <c r="K113" s="7" t="str">
        <f aca="false">IF(COUNTIF($O$2:$O$16,$A113)&gt;0,"Y","N")</f>
        <v>Y</v>
      </c>
    </row>
    <row r="114" customFormat="false" ht="15" hidden="false" customHeight="false" outlineLevel="0" collapsed="false">
      <c r="A114" s="7" t="s">
        <v>30</v>
      </c>
      <c r="B114" s="7" t="s">
        <v>368</v>
      </c>
      <c r="C114" s="8" t="n">
        <v>170</v>
      </c>
      <c r="D114" s="8" t="n">
        <v>2469.69</v>
      </c>
      <c r="E114" s="8" t="n">
        <v>80</v>
      </c>
      <c r="F114" s="8" t="n">
        <v>1045.97</v>
      </c>
      <c r="G114" s="7" t="n">
        <f aca="false">IFERROR(INDEX('TRANS'!$B:$B,MATCH($B114,'TRANS'!$A:$A,0)),IFERROR(INDEX('TRANS'!$B:$B,MATCH(TRIM(SUBSTITUTE($B114,CHAR(160)," ")),'TRANS'!$D:$D,0)),IFERROR(INDEX('Catalog'!$A:$A,MATCH($B114,'Catalog'!$B:$B,0)),IFERROR(INDEX('Catalog'!$A:$A,MATCH(TRIM(SUBSTITUTE($B114,CHAR(160)," ")),'Catalog'!$C:$C,0)),""))))</f>
        <v>4413364</v>
      </c>
      <c r="H114" s="7" t="str">
        <f aca="false">IFERROR(INDEX('TRANS'!$C:$C,MATCH($B114,'TRANS'!$A:$A,0)),IFERROR(INDEX('Catalog'!$B:$B,MATCH($G114,'Catalog'!$A:$A,0)),$B114))</f>
        <v>95C M 'מגן מרפק בז</v>
      </c>
      <c r="I114" s="7" t="str">
        <f aca="false">IF($G114="","Unmatched","Matched")</f>
        <v>Matched</v>
      </c>
      <c r="J114" s="7" t="n">
        <f aca="false">IF($G114&lt;&gt;"",$G114,$B114)</f>
        <v>4413364</v>
      </c>
      <c r="K114" s="7" t="str">
        <f aca="false">IF(COUNTIF($O$2:$O$16,$A114)&gt;0,"Y","N")</f>
        <v>Y</v>
      </c>
    </row>
    <row r="115" customFormat="false" ht="15" hidden="false" customHeight="false" outlineLevel="0" collapsed="false">
      <c r="A115" s="7" t="s">
        <v>30</v>
      </c>
      <c r="B115" s="7" t="s">
        <v>369</v>
      </c>
      <c r="C115" s="8" t="n">
        <v>132</v>
      </c>
      <c r="D115" s="8" t="n">
        <v>1887.79</v>
      </c>
      <c r="E115" s="8" t="n">
        <v>40</v>
      </c>
      <c r="F115" s="8" t="n">
        <v>520.31</v>
      </c>
      <c r="G115" s="7" t="n">
        <f aca="false">IFERROR(INDEX('TRANS'!$B:$B,MATCH($B115,'TRANS'!$A:$A,0)),IFERROR(INDEX('TRANS'!$B:$B,MATCH(TRIM(SUBSTITUTE($B115,CHAR(160)," ")),'TRANS'!$D:$D,0)),IFERROR(INDEX('Catalog'!$A:$A,MATCH($B115,'Catalog'!$B:$B,0)),IFERROR(INDEX('Catalog'!$A:$A,MATCH(TRIM(SUBSTITUTE($B115,CHAR(160)," ")),'Catalog'!$C:$C,0)),""))))</f>
        <v>4413366</v>
      </c>
      <c r="H115" s="7" t="str">
        <f aca="false">IFERROR(INDEX('TRANS'!$C:$C,MATCH($B115,'TRANS'!$A:$A,0)),IFERROR(INDEX('Catalog'!$B:$B,MATCH($G115,'Catalog'!$A:$A,0)),$B115))</f>
        <v>95C S 'מגן מרפק בז</v>
      </c>
      <c r="I115" s="7" t="str">
        <f aca="false">IF($G115="","Unmatched","Matched")</f>
        <v>Matched</v>
      </c>
      <c r="J115" s="7" t="n">
        <f aca="false">IF($G115&lt;&gt;"",$G115,$B115)</f>
        <v>4413366</v>
      </c>
      <c r="K115" s="7" t="str">
        <f aca="false">IF(COUNTIF($O$2:$O$16,$A115)&gt;0,"Y","N")</f>
        <v>Y</v>
      </c>
    </row>
    <row r="116" customFormat="false" ht="15" hidden="false" customHeight="false" outlineLevel="0" collapsed="false">
      <c r="A116" s="7" t="s">
        <v>30</v>
      </c>
      <c r="B116" s="7" t="s">
        <v>370</v>
      </c>
      <c r="C116" s="8" t="n">
        <v>90</v>
      </c>
      <c r="D116" s="8" t="n">
        <v>1302.74</v>
      </c>
      <c r="E116" s="8" t="n">
        <v>30</v>
      </c>
      <c r="F116" s="8" t="n">
        <v>385.52</v>
      </c>
      <c r="G116" s="7" t="n">
        <f aca="false">IFERROR(INDEX('TRANS'!$B:$B,MATCH($B116,'TRANS'!$A:$A,0)),IFERROR(INDEX('TRANS'!$B:$B,MATCH(TRIM(SUBSTITUTE($B116,CHAR(160)," ")),'TRANS'!$D:$D,0)),IFERROR(INDEX('Catalog'!$A:$A,MATCH($B116,'Catalog'!$B:$B,0)),IFERROR(INDEX('Catalog'!$A:$A,MATCH(TRIM(SUBSTITUTE($B116,CHAR(160)," ")),'Catalog'!$C:$C,0)),""))))</f>
        <v>4413367</v>
      </c>
      <c r="H116" s="7" t="str">
        <f aca="false">IFERROR(INDEX('TRANS'!$C:$C,MATCH($B116,'TRANS'!$A:$A,0)),IFERROR(INDEX('Catalog'!$B:$B,MATCH($G116,'Catalog'!$A:$A,0)),$B116))</f>
        <v>95C XL'מגן מרפק בז</v>
      </c>
      <c r="I116" s="7" t="str">
        <f aca="false">IF($G116="","Unmatched","Matched")</f>
        <v>Matched</v>
      </c>
      <c r="J116" s="7" t="n">
        <f aca="false">IF($G116&lt;&gt;"",$G116,$B116)</f>
        <v>4413367</v>
      </c>
      <c r="K116" s="7" t="str">
        <f aca="false">IF(COUNTIF($O$2:$O$16,$A116)&gt;0,"Y","N")</f>
        <v>Y</v>
      </c>
    </row>
    <row r="117" customFormat="false" ht="15" hidden="false" customHeight="false" outlineLevel="0" collapsed="false">
      <c r="A117" s="7" t="s">
        <v>30</v>
      </c>
      <c r="B117" s="7" t="s">
        <v>371</v>
      </c>
      <c r="C117" s="8" t="n">
        <v>690</v>
      </c>
      <c r="D117" s="8" t="n">
        <v>13751.05</v>
      </c>
      <c r="E117" s="8" t="n">
        <v>400</v>
      </c>
      <c r="F117" s="8" t="n">
        <v>7161.24</v>
      </c>
      <c r="G117" s="7" t="n">
        <f aca="false">IFERROR(INDEX('TRANS'!$B:$B,MATCH($B117,'TRANS'!$A:$A,0)),IFERROR(INDEX('TRANS'!$B:$B,MATCH(TRIM(SUBSTITUTE($B117,CHAR(160)," ")),'TRANS'!$D:$D,0)),IFERROR(INDEX('Catalog'!$A:$A,MATCH($B117,'Catalog'!$B:$B,0)),IFERROR(INDEX('Catalog'!$A:$A,MATCH(TRIM(SUBSTITUTE($B117,CHAR(160)," ")),'Catalog'!$C:$C,0)),""))))</f>
        <v>4408207</v>
      </c>
      <c r="H117" s="7" t="str">
        <f aca="false">IFERROR(INDEX('TRANS'!$C:$C,MATCH($B117,'TRANS'!$A:$A,0)),IFERROR(INDEX('Catalog'!$B:$B,MATCH($G117,'Catalog'!$A:$A,0)),$B117))</f>
        <v>AC-25 חבק לשורש כף היד</v>
      </c>
      <c r="I117" s="7" t="str">
        <f aca="false">IF($G117="","Unmatched","Matched")</f>
        <v>Matched</v>
      </c>
      <c r="J117" s="7" t="n">
        <f aca="false">IF($G117&lt;&gt;"",$G117,$B117)</f>
        <v>4408207</v>
      </c>
      <c r="K117" s="7" t="str">
        <f aca="false">IF(COUNTIF($O$2:$O$16,$A117)&gt;0,"Y","N")</f>
        <v>Y</v>
      </c>
    </row>
    <row r="118" customFormat="false" ht="15" hidden="false" customHeight="false" outlineLevel="0" collapsed="false">
      <c r="A118" s="7" t="s">
        <v>30</v>
      </c>
      <c r="B118" s="7" t="s">
        <v>372</v>
      </c>
      <c r="C118" s="8" t="n">
        <v>130</v>
      </c>
      <c r="D118" s="8" t="n">
        <v>3257.15</v>
      </c>
      <c r="E118" s="8" t="n">
        <v>50</v>
      </c>
      <c r="F118" s="8" t="n">
        <v>1125.42</v>
      </c>
      <c r="G118" s="7" t="n">
        <f aca="false">IFERROR(INDEX('TRANS'!$B:$B,MATCH($B118,'TRANS'!$A:$A,0)),IFERROR(INDEX('TRANS'!$B:$B,MATCH(TRIM(SUBSTITUTE($B118,CHAR(160)," ")),'TRANS'!$D:$D,0)),IFERROR(INDEX('Catalog'!$A:$A,MATCH($B118,'Catalog'!$B:$B,0)),IFERROR(INDEX('Catalog'!$A:$A,MATCH(TRIM(SUBSTITUTE($B118,CHAR(160)," ")),'Catalog'!$C:$C,0)),""))))</f>
        <v>4415026</v>
      </c>
      <c r="H118" s="7" t="str">
        <f aca="false">IFERROR(INDEX('TRANS'!$C:$C,MATCH($B118,'TRANS'!$A:$A,0)),IFERROR(INDEX('Catalog'!$B:$B,MATCH($G118,'Catalog'!$A:$A,0)),$B118))</f>
        <v>AC-27L סד לש.כף יד שמאל</v>
      </c>
      <c r="I118" s="7" t="str">
        <f aca="false">IF($G118="","Unmatched","Matched")</f>
        <v>Matched</v>
      </c>
      <c r="J118" s="7" t="n">
        <f aca="false">IF($G118&lt;&gt;"",$G118,$B118)</f>
        <v>4415026</v>
      </c>
      <c r="K118" s="7" t="str">
        <f aca="false">IF(COUNTIF($O$2:$O$16,$A118)&gt;0,"Y","N")</f>
        <v>Y</v>
      </c>
    </row>
    <row r="119" customFormat="false" ht="15" hidden="false" customHeight="false" outlineLevel="0" collapsed="false">
      <c r="A119" s="7" t="s">
        <v>30</v>
      </c>
      <c r="B119" s="7" t="s">
        <v>373</v>
      </c>
      <c r="C119" s="8" t="n">
        <v>280</v>
      </c>
      <c r="D119" s="8" t="n">
        <v>7157.1</v>
      </c>
      <c r="E119" s="8" t="n">
        <v>240</v>
      </c>
      <c r="F119" s="8" t="n">
        <v>5493.57</v>
      </c>
      <c r="G119" s="7" t="n">
        <f aca="false">IFERROR(INDEX('TRANS'!$B:$B,MATCH($B119,'TRANS'!$A:$A,0)),IFERROR(INDEX('TRANS'!$B:$B,MATCH(TRIM(SUBSTITUTE($B119,CHAR(160)," ")),'TRANS'!$D:$D,0)),IFERROR(INDEX('Catalog'!$A:$A,MATCH($B119,'Catalog'!$B:$B,0)),IFERROR(INDEX('Catalog'!$A:$A,MATCH(TRIM(SUBSTITUTE($B119,CHAR(160)," ")),'Catalog'!$C:$C,0)),""))))</f>
        <v>4415027</v>
      </c>
      <c r="H119" s="7" t="str">
        <f aca="false">IFERROR(INDEX('TRANS'!$C:$C,MATCH($B119,'TRANS'!$A:$A,0)),IFERROR(INDEX('Catalog'!$B:$B,MATCH($G119,'Catalog'!$A:$A,0)),$B119))</f>
        <v>AC-27R סד לש.כף יד ימין</v>
      </c>
      <c r="I119" s="7" t="str">
        <f aca="false">IF($G119="","Unmatched","Matched")</f>
        <v>Matched</v>
      </c>
      <c r="J119" s="7" t="n">
        <f aca="false">IF($G119&lt;&gt;"",$G119,$B119)</f>
        <v>4415027</v>
      </c>
      <c r="K119" s="7" t="str">
        <f aca="false">IF(COUNTIF($O$2:$O$16,$A119)&gt;0,"Y","N")</f>
        <v>Y</v>
      </c>
    </row>
    <row r="120" customFormat="false" ht="15" hidden="false" customHeight="false" outlineLevel="0" collapsed="false">
      <c r="A120" s="7" t="s">
        <v>30</v>
      </c>
      <c r="B120" s="7" t="s">
        <v>374</v>
      </c>
      <c r="C120" s="8" t="n">
        <v>410</v>
      </c>
      <c r="D120" s="8" t="n">
        <v>8186.61</v>
      </c>
      <c r="E120" s="8" t="n">
        <v>310</v>
      </c>
      <c r="F120" s="8" t="n">
        <v>5600.4</v>
      </c>
      <c r="G120" s="7" t="n">
        <f aca="false">IFERROR(INDEX('TRANS'!$B:$B,MATCH($B120,'TRANS'!$A:$A,0)),IFERROR(INDEX('TRANS'!$B:$B,MATCH(TRIM(SUBSTITUTE($B120,CHAR(160)," ")),'TRANS'!$D:$D,0)),IFERROR(INDEX('Catalog'!$A:$A,MATCH($B120,'Catalog'!$B:$B,0)),IFERROR(INDEX('Catalog'!$A:$A,MATCH(TRIM(SUBSTITUTE($B120,CHAR(160)," ")),'Catalog'!$C:$C,0)),""))))</f>
        <v>4415028</v>
      </c>
      <c r="H120" s="7" t="str">
        <f aca="false">IFERROR(INDEX('TRANS'!$C:$C,MATCH($B120,'TRANS'!$A:$A,0)),IFERROR(INDEX('Catalog'!$B:$B,MATCH($G120,'Catalog'!$A:$A,0)),$B120))</f>
        <v>AC-28 סד לאגודל</v>
      </c>
      <c r="I120" s="7" t="str">
        <f aca="false">IF($G120="","Unmatched","Matched")</f>
        <v>Matched</v>
      </c>
      <c r="J120" s="7" t="n">
        <f aca="false">IF($G120&lt;&gt;"",$G120,$B120)</f>
        <v>4415028</v>
      </c>
      <c r="K120" s="7" t="str">
        <f aca="false">IF(COUNTIF($O$2:$O$16,$A120)&gt;0,"Y","N")</f>
        <v>Y</v>
      </c>
    </row>
    <row r="121" customFormat="false" ht="15" hidden="false" customHeight="false" outlineLevel="0" collapsed="false">
      <c r="A121" s="7" t="s">
        <v>30</v>
      </c>
      <c r="B121" s="7" t="s">
        <v>375</v>
      </c>
      <c r="C121" s="8" t="n">
        <v>570</v>
      </c>
      <c r="D121" s="8" t="n">
        <v>13974.56</v>
      </c>
      <c r="E121" s="8" t="n">
        <v>310</v>
      </c>
      <c r="F121" s="8" t="n">
        <v>6836.26</v>
      </c>
      <c r="G121" s="7" t="n">
        <f aca="false">IFERROR(INDEX('TRANS'!$B:$B,MATCH($B121,'TRANS'!$A:$A,0)),IFERROR(INDEX('TRANS'!$B:$B,MATCH(TRIM(SUBSTITUTE($B121,CHAR(160)," ")),'TRANS'!$D:$D,0)),IFERROR(INDEX('Catalog'!$A:$A,MATCH($B121,'Catalog'!$B:$B,0)),IFERROR(INDEX('Catalog'!$A:$A,MATCH(TRIM(SUBSTITUTE($B121,CHAR(160)," ")),'Catalog'!$C:$C,0)),""))))</f>
        <v>4413326</v>
      </c>
      <c r="H121" s="7" t="str">
        <f aca="false">IFERROR(INDEX('TRANS'!$C:$C,MATCH($B121,'TRANS'!$A:$A,0)),IFERROR(INDEX('Catalog'!$B:$B,MATCH($G121,'Catalog'!$A:$A,0)),$B121))</f>
        <v>AC37 מגן קרסול נושם</v>
      </c>
      <c r="I121" s="7" t="str">
        <f aca="false">IF($G121="","Unmatched","Matched")</f>
        <v>Matched</v>
      </c>
      <c r="J121" s="7" t="n">
        <f aca="false">IF($G121&lt;&gt;"",$G121,$B121)</f>
        <v>4413326</v>
      </c>
      <c r="K121" s="7" t="str">
        <f aca="false">IF(COUNTIF($O$2:$O$16,$A121)&gt;0,"Y","N")</f>
        <v>Y</v>
      </c>
    </row>
    <row r="122" customFormat="false" ht="15" hidden="false" customHeight="false" outlineLevel="0" collapsed="false">
      <c r="A122" s="7" t="s">
        <v>30</v>
      </c>
      <c r="B122" s="7" t="s">
        <v>376</v>
      </c>
      <c r="C122" s="8" t="n">
        <v>360</v>
      </c>
      <c r="D122" s="8" t="n">
        <v>20957.82</v>
      </c>
      <c r="E122" s="8" t="n">
        <v>220</v>
      </c>
      <c r="F122" s="8" t="n">
        <v>11484.69</v>
      </c>
      <c r="G122" s="7" t="n">
        <f aca="false">IFERROR(INDEX('TRANS'!$B:$B,MATCH($B122,'TRANS'!$A:$A,0)),IFERROR(INDEX('TRANS'!$B:$B,MATCH(TRIM(SUBSTITUTE($B122,CHAR(160)," ")),'TRANS'!$D:$D,0)),IFERROR(INDEX('Catalog'!$A:$A,MATCH($B122,'Catalog'!$B:$B,0)),IFERROR(INDEX('Catalog'!$A:$A,MATCH(TRIM(SUBSTITUTE($B122,CHAR(160)," ")),'Catalog'!$C:$C,0)),""))))</f>
        <v>4413328</v>
      </c>
      <c r="H122" s="7" t="str">
        <f aca="false">IFERROR(INDEX('TRANS'!$C:$C,MATCH($B122,'TRANS'!$A:$A,0)),IFERROR(INDEX('Catalog'!$B:$B,MATCH($G122,'Catalog'!$A:$A,0)),$B122))</f>
        <v>AC43D מגן ברך + צירים</v>
      </c>
      <c r="I122" s="7" t="str">
        <f aca="false">IF($G122="","Unmatched","Matched")</f>
        <v>Matched</v>
      </c>
      <c r="J122" s="7" t="n">
        <f aca="false">IF($G122&lt;&gt;"",$G122,$B122)</f>
        <v>4413328</v>
      </c>
      <c r="K122" s="7" t="str">
        <f aca="false">IF(COUNTIF($O$2:$O$16,$A122)&gt;0,"Y","N")</f>
        <v>Y</v>
      </c>
    </row>
    <row r="123" customFormat="false" ht="15" hidden="false" customHeight="false" outlineLevel="0" collapsed="false">
      <c r="A123" s="7" t="s">
        <v>30</v>
      </c>
      <c r="B123" s="7" t="s">
        <v>377</v>
      </c>
      <c r="C123" s="8" t="n">
        <v>320</v>
      </c>
      <c r="D123" s="8" t="n">
        <v>14546.37</v>
      </c>
      <c r="E123" s="8" t="n">
        <v>210</v>
      </c>
      <c r="F123" s="8" t="n">
        <v>8492.98</v>
      </c>
      <c r="G123" s="7" t="n">
        <f aca="false">IFERROR(INDEX('TRANS'!$B:$B,MATCH($B123,'TRANS'!$A:$A,0)),IFERROR(INDEX('TRANS'!$B:$B,MATCH(TRIM(SUBSTITUTE($B123,CHAR(160)," ")),'TRANS'!$D:$D,0)),IFERROR(INDEX('Catalog'!$A:$A,MATCH($B123,'Catalog'!$B:$B,0)),IFERROR(INDEX('Catalog'!$A:$A,MATCH(TRIM(SUBSTITUTE($B123,CHAR(160)," ")),'Catalog'!$C:$C,0)),""))))</f>
        <v>4413329</v>
      </c>
      <c r="H123" s="7" t="str">
        <f aca="false">IFERROR(INDEX('TRANS'!$C:$C,MATCH($B123,'TRANS'!$A:$A,0)),IFERROR(INDEX('Catalog'!$B:$B,MATCH($G123,'Catalog'!$A:$A,0)),$B123))</f>
        <v>AC45X מגן ברך עם תמיכות</v>
      </c>
      <c r="I123" s="7" t="str">
        <f aca="false">IF($G123="","Unmatched","Matched")</f>
        <v>Matched</v>
      </c>
      <c r="J123" s="7" t="n">
        <f aca="false">IF($G123&lt;&gt;"",$G123,$B123)</f>
        <v>4413329</v>
      </c>
      <c r="K123" s="7" t="str">
        <f aca="false">IF(COUNTIF($O$2:$O$16,$A123)&gt;0,"Y","N")</f>
        <v>Y</v>
      </c>
    </row>
    <row r="124" customFormat="false" ht="15" hidden="false" customHeight="false" outlineLevel="0" collapsed="false">
      <c r="A124" s="7" t="s">
        <v>30</v>
      </c>
      <c r="B124" s="7" t="s">
        <v>378</v>
      </c>
      <c r="C124" s="8" t="n">
        <v>70</v>
      </c>
      <c r="D124" s="8" t="n">
        <v>3583.91</v>
      </c>
      <c r="E124" s="8" t="n">
        <v>30</v>
      </c>
      <c r="F124" s="8" t="n">
        <v>1395.62</v>
      </c>
      <c r="G124" s="7" t="n">
        <f aca="false">IFERROR(INDEX('TRANS'!$B:$B,MATCH($B124,'TRANS'!$A:$A,0)),IFERROR(INDEX('TRANS'!$B:$B,MATCH(TRIM(SUBSTITUTE($B124,CHAR(160)," ")),'TRANS'!$D:$D,0)),IFERROR(INDEX('Catalog'!$A:$A,MATCH($B124,'Catalog'!$B:$B,0)),IFERROR(INDEX('Catalog'!$A:$A,MATCH(TRIM(SUBSTITUTE($B124,CHAR(160)," ")),'Catalog'!$C:$C,0)),""))))</f>
        <v>4413456</v>
      </c>
      <c r="H124" s="7" t="str">
        <f aca="false">IFERROR(INDEX('TRANS'!$C:$C,MATCH($B124,'TRANS'!$A:$A,0)),IFERROR(INDEX('Catalog'!$B:$B,MATCH($G124,'Catalog'!$A:$A,0)),$B124))</f>
        <v>AC75 XXL  מיישר כתפיים אקטיב</v>
      </c>
      <c r="I124" s="7" t="str">
        <f aca="false">IF($G124="","Unmatched","Matched")</f>
        <v>Matched</v>
      </c>
      <c r="J124" s="7" t="n">
        <f aca="false">IF($G124&lt;&gt;"",$G124,$B124)</f>
        <v>4413456</v>
      </c>
      <c r="K124" s="7" t="str">
        <f aca="false">IF(COUNTIF($O$2:$O$16,$A124)&gt;0,"Y","N")</f>
        <v>Y</v>
      </c>
    </row>
    <row r="125" customFormat="false" ht="15" hidden="false" customHeight="false" outlineLevel="0" collapsed="false">
      <c r="A125" s="7" t="s">
        <v>30</v>
      </c>
      <c r="B125" s="7" t="s">
        <v>379</v>
      </c>
      <c r="C125" s="8" t="n">
        <v>280</v>
      </c>
      <c r="D125" s="8" t="n">
        <v>14059.75</v>
      </c>
      <c r="E125" s="8" t="n">
        <v>180</v>
      </c>
      <c r="F125" s="8" t="n">
        <v>8098.31</v>
      </c>
      <c r="G125" s="7" t="n">
        <f aca="false">IFERROR(INDEX('TRANS'!$B:$B,MATCH($B125,'TRANS'!$A:$A,0)),IFERROR(INDEX('TRANS'!$B:$B,MATCH(TRIM(SUBSTITUTE($B125,CHAR(160)," ")),'TRANS'!$D:$D,0)),IFERROR(INDEX('Catalog'!$A:$A,MATCH($B125,'Catalog'!$B:$B,0)),IFERROR(INDEX('Catalog'!$A:$A,MATCH(TRIM(SUBSTITUTE($B125,CHAR(160)," ")),'Catalog'!$C:$C,0)),""))))</f>
        <v>4413453</v>
      </c>
      <c r="H125" s="7" t="str">
        <f aca="false">IFERROR(INDEX('TRANS'!$C:$C,MATCH($B125,'TRANS'!$A:$A,0)),IFERROR(INDEX('Catalog'!$B:$B,MATCH($G125,'Catalog'!$A:$A,0)),$B125))</f>
        <v>AC75 מישר כתפיים אקטיב</v>
      </c>
      <c r="I125" s="7" t="str">
        <f aca="false">IF($G125="","Unmatched","Matched")</f>
        <v>Matched</v>
      </c>
      <c r="J125" s="7" t="n">
        <f aca="false">IF($G125&lt;&gt;"",$G125,$B125)</f>
        <v>4413453</v>
      </c>
      <c r="K125" s="7" t="str">
        <f aca="false">IF(COUNTIF($O$2:$O$16,$A125)&gt;0,"Y","N")</f>
        <v>Y</v>
      </c>
    </row>
    <row r="126" customFormat="false" ht="15" hidden="false" customHeight="false" outlineLevel="0" collapsed="false">
      <c r="A126" s="7" t="s">
        <v>30</v>
      </c>
      <c r="B126" s="7" t="s">
        <v>380</v>
      </c>
      <c r="C126" s="8" t="n">
        <v>150</v>
      </c>
      <c r="D126" s="8" t="n">
        <v>3190.01</v>
      </c>
      <c r="E126" s="8" t="n">
        <v>90</v>
      </c>
      <c r="F126" s="8" t="n">
        <v>1724.96</v>
      </c>
      <c r="G126" s="7" t="n">
        <f aca="false">IFERROR(INDEX('TRANS'!$B:$B,MATCH($B126,'TRANS'!$A:$A,0)),IFERROR(INDEX('TRANS'!$B:$B,MATCH(TRIM(SUBSTITUTE($B126,CHAR(160)," ")),'TRANS'!$D:$D,0)),IFERROR(INDEX('Catalog'!$A:$A,MATCH($B126,'Catalog'!$B:$B,0)),IFERROR(INDEX('Catalog'!$A:$A,MATCH(TRIM(SUBSTITUTE($B126,CHAR(160)," ")),'Catalog'!$C:$C,0)),""))))</f>
        <v>4408208</v>
      </c>
      <c r="H126" s="7" t="str">
        <f aca="false">IFERROR(INDEX('TRANS'!$C:$C,MATCH($B126,'TRANS'!$A:$A,0)),IFERROR(INDEX('Catalog'!$B:$B,MATCH($G126,'Catalog'!$A:$A,0)),$B126))</f>
        <v>AC91 חבק טניס</v>
      </c>
      <c r="I126" s="7" t="str">
        <f aca="false">IF($G126="","Unmatched","Matched")</f>
        <v>Matched</v>
      </c>
      <c r="J126" s="7" t="n">
        <f aca="false">IF($G126&lt;&gt;"",$G126,$B126)</f>
        <v>4408208</v>
      </c>
      <c r="K126" s="7" t="str">
        <f aca="false">IF(COUNTIF($O$2:$O$16,$A126)&gt;0,"Y","N")</f>
        <v>Y</v>
      </c>
    </row>
    <row r="127" customFormat="false" ht="15" hidden="false" customHeight="false" outlineLevel="0" collapsed="false">
      <c r="A127" s="7" t="s">
        <v>30</v>
      </c>
      <c r="B127" s="7" t="s">
        <v>381</v>
      </c>
      <c r="C127" s="8" t="n">
        <v>390</v>
      </c>
      <c r="D127" s="8" t="n">
        <v>5070.67</v>
      </c>
      <c r="E127" s="8" t="n">
        <v>290</v>
      </c>
      <c r="F127" s="8" t="n">
        <v>3375.82</v>
      </c>
      <c r="G127" s="7" t="n">
        <f aca="false">IFERROR(INDEX('TRANS'!$B:$B,MATCH($B127,'TRANS'!$A:$A,0)),IFERROR(INDEX('TRANS'!$B:$B,MATCH(TRIM(SUBSTITUTE($B127,CHAR(160)," ")),'TRANS'!$D:$D,0)),IFERROR(INDEX('Catalog'!$A:$A,MATCH($B127,'Catalog'!$B:$B,0)),IFERROR(INDEX('Catalog'!$A:$A,MATCH(TRIM(SUBSTITUTE($B127,CHAR(160)," ")),'Catalog'!$C:$C,0)),""))))</f>
        <v>4413056</v>
      </c>
      <c r="H127" s="7" t="str">
        <f aca="false">IFERROR(INDEX('TRANS'!$C:$C,MATCH($B127,'TRANS'!$A:$A,0)),IFERROR(INDEX('Catalog'!$B:$B,MATCH($G127,'Catalog'!$A:$A,0)),$B127))</f>
        <v>LF360 מדרס מטטרזלי לנעלי עקב</v>
      </c>
      <c r="I127" s="7" t="str">
        <f aca="false">IF($G127="","Unmatched","Matched")</f>
        <v>Matched</v>
      </c>
      <c r="J127" s="7" t="n">
        <f aca="false">IF($G127&lt;&gt;"",$G127,$B127)</f>
        <v>4413056</v>
      </c>
      <c r="K127" s="7" t="str">
        <f aca="false">IF(COUNTIF($O$2:$O$16,$A127)&gt;0,"Y","N")</f>
        <v>Y</v>
      </c>
    </row>
    <row r="128" customFormat="false" ht="15" hidden="false" customHeight="false" outlineLevel="0" collapsed="false">
      <c r="A128" s="7" t="s">
        <v>30</v>
      </c>
      <c r="B128" s="7" t="s">
        <v>382</v>
      </c>
      <c r="C128" s="8" t="n">
        <v>350</v>
      </c>
      <c r="D128" s="8" t="n">
        <v>2971.65</v>
      </c>
      <c r="E128" s="8" t="n">
        <v>220</v>
      </c>
      <c r="F128" s="8" t="n">
        <v>1698.97</v>
      </c>
      <c r="G128" s="7" t="n">
        <f aca="false">IFERROR(INDEX('TRANS'!$B:$B,MATCH($B128,'TRANS'!$A:$A,0)),IFERROR(INDEX('TRANS'!$B:$B,MATCH(TRIM(SUBSTITUTE($B128,CHAR(160)," ")),'TRANS'!$D:$D,0)),IFERROR(INDEX('Catalog'!$A:$A,MATCH($B128,'Catalog'!$B:$B,0)),IFERROR(INDEX('Catalog'!$A:$A,MATCH(TRIM(SUBSTITUTE($B128,CHAR(160)," ")),'Catalog'!$C:$C,0)),""))))</f>
        <v>4420022</v>
      </c>
      <c r="H128" s="7" t="str">
        <f aca="false">IFERROR(INDEX('TRANS'!$C:$C,MATCH($B128,'TRANS'!$A:$A,0)),IFERROR(INDEX('Catalog'!$B:$B,MATCH($G128,'Catalog'!$A:$A,0)),$B128))</f>
        <v>LF370 ריפוד סיליקון לעקב אחורי</v>
      </c>
      <c r="I128" s="7" t="str">
        <f aca="false">IF($G128="","Unmatched","Matched")</f>
        <v>Matched</v>
      </c>
      <c r="J128" s="7" t="n">
        <f aca="false">IF($G128&lt;&gt;"",$G128,$B128)</f>
        <v>4420022</v>
      </c>
      <c r="K128" s="7" t="str">
        <f aca="false">IF(COUNTIF($O$2:$O$16,$A128)&gt;0,"Y","N")</f>
        <v>Y</v>
      </c>
    </row>
    <row r="129" customFormat="false" ht="15" hidden="false" customHeight="false" outlineLevel="0" collapsed="false">
      <c r="A129" s="7" t="s">
        <v>30</v>
      </c>
      <c r="B129" s="7" t="s">
        <v>383</v>
      </c>
      <c r="C129" s="8" t="n">
        <v>100</v>
      </c>
      <c r="D129" s="8" t="n">
        <v>1421.76</v>
      </c>
      <c r="E129" s="8" t="n">
        <v>80</v>
      </c>
      <c r="F129" s="8" t="n">
        <v>1031.82</v>
      </c>
      <c r="G129" s="7" t="n">
        <f aca="false">IFERROR(INDEX('TRANS'!$B:$B,MATCH($B129,'TRANS'!$A:$A,0)),IFERROR(INDEX('TRANS'!$B:$B,MATCH(TRIM(SUBSTITUTE($B129,CHAR(160)," ")),'TRANS'!$D:$D,0)),IFERROR(INDEX('Catalog'!$A:$A,MATCH($B129,'Catalog'!$B:$B,0)),IFERROR(INDEX('Catalog'!$A:$A,MATCH(TRIM(SUBSTITUTE($B129,CHAR(160)," ")),'Catalog'!$C:$C,0)),""))))</f>
        <v>4420023</v>
      </c>
      <c r="H129" s="7" t="str">
        <f aca="false">IFERROR(INDEX('TRANS'!$C:$C,MATCH($B129,'TRANS'!$A:$A,0)),IFERROR(INDEX('Catalog'!$B:$B,MATCH($G129,'Catalog'!$A:$A,0)),$B129))</f>
        <v>LF371 ריפוד סיליקון לנעלי אצבע</v>
      </c>
      <c r="I129" s="7" t="str">
        <f aca="false">IF($G129="","Unmatched","Matched")</f>
        <v>Matched</v>
      </c>
      <c r="J129" s="7" t="n">
        <f aca="false">IF($G129&lt;&gt;"",$G129,$B129)</f>
        <v>4420023</v>
      </c>
      <c r="K129" s="7" t="str">
        <f aca="false">IF(COUNTIF($O$2:$O$16,$A129)&gt;0,"Y","N")</f>
        <v>Y</v>
      </c>
    </row>
    <row r="130" customFormat="false" ht="15" hidden="false" customHeight="false" outlineLevel="0" collapsed="false">
      <c r="A130" s="7" t="s">
        <v>30</v>
      </c>
      <c r="B130" s="7" t="s">
        <v>384</v>
      </c>
      <c r="C130" s="8" t="n">
        <v>380</v>
      </c>
      <c r="D130" s="8" t="n">
        <v>4708.46</v>
      </c>
      <c r="E130" s="8" t="n">
        <v>260</v>
      </c>
      <c r="F130" s="8" t="n">
        <v>2828.73</v>
      </c>
      <c r="G130" s="7" t="n">
        <f aca="false">IFERROR(INDEX('TRANS'!$B:$B,MATCH($B130,'TRANS'!$A:$A,0)),IFERROR(INDEX('TRANS'!$B:$B,MATCH(TRIM(SUBSTITUTE($B130,CHAR(160)," ")),'TRANS'!$D:$D,0)),IFERROR(INDEX('Catalog'!$A:$A,MATCH($B130,'Catalog'!$B:$B,0)),IFERROR(INDEX('Catalog'!$A:$A,MATCH(TRIM(SUBSTITUTE($B130,CHAR(160)," ")),'Catalog'!$C:$C,0)),""))))</f>
        <v>4420024</v>
      </c>
      <c r="H130" s="7" t="str">
        <f aca="false">IFERROR(INDEX('TRANS'!$C:$C,MATCH($B130,'TRANS'!$A:$A,0)),IFERROR(INDEX('Catalog'!$B:$B,MATCH($G130,'Catalog'!$A:$A,0)),$B130))</f>
        <v>LFריפוד סיליק.לכרית כף הרגל373</v>
      </c>
      <c r="I130" s="7" t="str">
        <f aca="false">IF($G130="","Unmatched","Matched")</f>
        <v>Matched</v>
      </c>
      <c r="J130" s="7" t="n">
        <f aca="false">IF($G130&lt;&gt;"",$G130,$B130)</f>
        <v>4420024</v>
      </c>
      <c r="K130" s="7" t="str">
        <f aca="false">IF(COUNTIF($O$2:$O$16,$A130)&gt;0,"Y","N")</f>
        <v>Y</v>
      </c>
    </row>
    <row r="131" customFormat="false" ht="15" hidden="false" customHeight="false" outlineLevel="0" collapsed="false">
      <c r="A131" s="7" t="s">
        <v>30</v>
      </c>
      <c r="B131" s="7" t="s">
        <v>385</v>
      </c>
      <c r="C131" s="8" t="n">
        <v>280</v>
      </c>
      <c r="D131" s="8" t="n">
        <v>3514.51</v>
      </c>
      <c r="E131" s="8" t="n">
        <v>190</v>
      </c>
      <c r="F131" s="8" t="n">
        <v>2146.62</v>
      </c>
      <c r="G131" s="7" t="n">
        <f aca="false">IFERROR(INDEX('TRANS'!$B:$B,MATCH($B131,'TRANS'!$A:$A,0)),IFERROR(INDEX('TRANS'!$B:$B,MATCH(TRIM(SUBSTITUTE($B131,CHAR(160)," ")),'TRANS'!$D:$D,0)),IFERROR(INDEX('Catalog'!$A:$A,MATCH($B131,'Catalog'!$B:$B,0)),IFERROR(INDEX('Catalog'!$A:$A,MATCH(TRIM(SUBSTITUTE($B131,CHAR(160)," ")),'Catalog'!$C:$C,0)),""))))</f>
        <v>4420025</v>
      </c>
      <c r="H131" s="7" t="str">
        <f aca="false">IFERROR(INDEX('TRANS'!$C:$C,MATCH($B131,'TRANS'!$A:$A,0)),IFERROR(INDEX('Catalog'!$B:$B,MATCH($G131,'Catalog'!$A:$A,0)),$B131))</f>
        <v>LF374 ריפוד סיליק.לעקב תחתון</v>
      </c>
      <c r="I131" s="7" t="str">
        <f aca="false">IF($G131="","Unmatched","Matched")</f>
        <v>Matched</v>
      </c>
      <c r="J131" s="7" t="n">
        <f aca="false">IF($G131&lt;&gt;"",$G131,$B131)</f>
        <v>4420025</v>
      </c>
      <c r="K131" s="7" t="str">
        <f aca="false">IF(COUNTIF($O$2:$O$16,$A131)&gt;0,"Y","N")</f>
        <v>Y</v>
      </c>
    </row>
    <row r="132" customFormat="false" ht="15" hidden="false" customHeight="false" outlineLevel="0" collapsed="false">
      <c r="A132" s="7" t="s">
        <v>30</v>
      </c>
      <c r="B132" s="7" t="s">
        <v>386</v>
      </c>
      <c r="C132" s="8" t="n">
        <v>80</v>
      </c>
      <c r="D132" s="8" t="n">
        <v>2003.56</v>
      </c>
      <c r="E132" s="8" t="n">
        <v>50</v>
      </c>
      <c r="F132" s="8" t="n">
        <v>1108.46</v>
      </c>
      <c r="G132" s="7" t="n">
        <f aca="false">IFERROR(INDEX('TRANS'!$B:$B,MATCH($B132,'TRANS'!$A:$A,0)),IFERROR(INDEX('TRANS'!$B:$B,MATCH(TRIM(SUBSTITUTE($B132,CHAR(160)," ")),'TRANS'!$D:$D,0)),IFERROR(INDEX('Catalog'!$A:$A,MATCH($B132,'Catalog'!$B:$B,0)),IFERROR(INDEX('Catalog'!$A:$A,MATCH(TRIM(SUBSTITUTE($B132,CHAR(160)," ")),'Catalog'!$C:$C,0)),""))))</f>
        <v>4413276</v>
      </c>
      <c r="H132" s="7" t="str">
        <f aca="false">IFERROR(INDEX('TRANS'!$C:$C,MATCH($B132,'TRANS'!$A:$A,0)),IFERROR(INDEX('Catalog'!$B:$B,MATCH($G132,'Catalog'!$A:$A,0)),$B132))</f>
        <v>LF377 L-מדרס סיליקון לנעלי עקב</v>
      </c>
      <c r="I132" s="7" t="str">
        <f aca="false">IF($G132="","Unmatched","Matched")</f>
        <v>Matched</v>
      </c>
      <c r="J132" s="7" t="n">
        <f aca="false">IF($G132&lt;&gt;"",$G132,$B132)</f>
        <v>4413276</v>
      </c>
      <c r="K132" s="7" t="str">
        <f aca="false">IF(COUNTIF($O$2:$O$16,$A132)&gt;0,"Y","N")</f>
        <v>Y</v>
      </c>
    </row>
    <row r="133" customFormat="false" ht="15" hidden="false" customHeight="false" outlineLevel="0" collapsed="false">
      <c r="A133" s="7" t="s">
        <v>30</v>
      </c>
      <c r="B133" s="7" t="s">
        <v>387</v>
      </c>
      <c r="C133" s="8" t="n">
        <v>150</v>
      </c>
      <c r="D133" s="8" t="n">
        <v>3742.11</v>
      </c>
      <c r="E133" s="8" t="n">
        <v>110</v>
      </c>
      <c r="F133" s="8" t="n">
        <v>2476.07</v>
      </c>
      <c r="G133" s="7" t="n">
        <f aca="false">IFERROR(INDEX('TRANS'!$B:$B,MATCH($B133,'TRANS'!$A:$A,0)),IFERROR(INDEX('TRANS'!$B:$B,MATCH(TRIM(SUBSTITUTE($B133,CHAR(160)," ")),'TRANS'!$D:$D,0)),IFERROR(INDEX('Catalog'!$A:$A,MATCH($B133,'Catalog'!$B:$B,0)),IFERROR(INDEX('Catalog'!$A:$A,MATCH(TRIM(SUBSTITUTE($B133,CHAR(160)," ")),'Catalog'!$C:$C,0)),""))))</f>
        <v>4413277</v>
      </c>
      <c r="H133" s="7" t="str">
        <f aca="false">IFERROR(INDEX('TRANS'!$C:$C,MATCH($B133,'TRANS'!$A:$A,0)),IFERROR(INDEX('Catalog'!$B:$B,MATCH($G133,'Catalog'!$A:$A,0)),$B133))</f>
        <v>LF377 M-מדרס סיליקון לנעלי עקב</v>
      </c>
      <c r="I133" s="7" t="str">
        <f aca="false">IF($G133="","Unmatched","Matched")</f>
        <v>Matched</v>
      </c>
      <c r="J133" s="7" t="n">
        <f aca="false">IF($G133&lt;&gt;"",$G133,$B133)</f>
        <v>4413277</v>
      </c>
      <c r="K133" s="7" t="str">
        <f aca="false">IF(COUNTIF($O$2:$O$16,$A133)&gt;0,"Y","N")</f>
        <v>Y</v>
      </c>
    </row>
    <row r="134" customFormat="false" ht="15" hidden="false" customHeight="false" outlineLevel="0" collapsed="false">
      <c r="A134" s="7" t="s">
        <v>30</v>
      </c>
      <c r="B134" s="7" t="s">
        <v>388</v>
      </c>
      <c r="C134" s="8" t="n">
        <v>120</v>
      </c>
      <c r="D134" s="8" t="n">
        <v>2954.02</v>
      </c>
      <c r="E134" s="8" t="n">
        <v>80</v>
      </c>
      <c r="F134" s="8" t="n">
        <v>1809.24</v>
      </c>
      <c r="G134" s="7" t="n">
        <f aca="false">IFERROR(INDEX('TRANS'!$B:$B,MATCH($B134,'TRANS'!$A:$A,0)),IFERROR(INDEX('TRANS'!$B:$B,MATCH(TRIM(SUBSTITUTE($B134,CHAR(160)," ")),'TRANS'!$D:$D,0)),IFERROR(INDEX('Catalog'!$A:$A,MATCH($B134,'Catalog'!$B:$B,0)),IFERROR(INDEX('Catalog'!$A:$A,MATCH(TRIM(SUBSTITUTE($B134,CHAR(160)," ")),'Catalog'!$C:$C,0)),""))))</f>
        <v>4413278</v>
      </c>
      <c r="H134" s="7" t="str">
        <f aca="false">IFERROR(INDEX('TRANS'!$C:$C,MATCH($B134,'TRANS'!$A:$A,0)),IFERROR(INDEX('Catalog'!$B:$B,MATCH($G134,'Catalog'!$A:$A,0)),$B134))</f>
        <v>LF377 S-מדרס סיליקון לנעלי עקב</v>
      </c>
      <c r="I134" s="7" t="str">
        <f aca="false">IF($G134="","Unmatched","Matched")</f>
        <v>Matched</v>
      </c>
      <c r="J134" s="7" t="n">
        <f aca="false">IF($G134&lt;&gt;"",$G134,$B134)</f>
        <v>4413278</v>
      </c>
      <c r="K134" s="7" t="str">
        <f aca="false">IF(COUNTIF($O$2:$O$16,$A134)&gt;0,"Y","N")</f>
        <v>Y</v>
      </c>
    </row>
    <row r="135" customFormat="false" ht="15" hidden="false" customHeight="false" outlineLevel="0" collapsed="false">
      <c r="A135" s="7" t="s">
        <v>30</v>
      </c>
      <c r="B135" s="7" t="s">
        <v>77</v>
      </c>
      <c r="C135" s="8" t="n">
        <v>210</v>
      </c>
      <c r="D135" s="8" t="n">
        <v>6824.86</v>
      </c>
      <c r="E135" s="8" t="n">
        <v>80</v>
      </c>
      <c r="F135" s="8" t="n">
        <v>2337.49</v>
      </c>
      <c r="G135" s="7" t="str">
        <f aca="false">IFERROR(INDEX('TRANS'!$B:$B,MATCH($B135,'TRANS'!$A:$A,0)),IFERROR(INDEX('TRANS'!$B:$B,MATCH(TRIM(SUBSTITUTE($B135,CHAR(160)," ")),'TRANS'!$D:$D,0)),IFERROR(INDEX('Catalog'!$A:$A,MATCH($B135,'Catalog'!$B:$B,0)),IFERROR(INDEX('Catalog'!$A:$A,MATCH(TRIM(SUBSTITUTE($B135,CHAR(160)," ")),'Catalog'!$C:$C,0)),""))))</f>
        <v/>
      </c>
      <c r="H135" s="7" t="str">
        <f aca="false">IFERROR(INDEX('TRANS'!$C:$C,MATCH($B135,'TRANS'!$A:$A,0)),IFERROR(INDEX('Catalog'!$B:$B,MATCH($G135,'Catalog'!$A:$A,0)),$B135))</f>
        <v>ST27L 0</v>
      </c>
      <c r="I135" s="7" t="str">
        <f aca="false">IF($G135="","Unmatched","Matched")</f>
        <v>Unmatched</v>
      </c>
      <c r="J135" s="7" t="str">
        <f aca="false">IF($G135&lt;&gt;"",$G135,$B135)</f>
        <v>ST27L 0</v>
      </c>
      <c r="K135" s="7" t="str">
        <f aca="false">IF(COUNTIF($O$2:$O$16,$A135)&gt;0,"Y","N")</f>
        <v>Y</v>
      </c>
    </row>
    <row r="136" customFormat="false" ht="15" hidden="false" customHeight="false" outlineLevel="0" collapsed="false">
      <c r="A136" s="7" t="s">
        <v>30</v>
      </c>
      <c r="B136" s="7" t="s">
        <v>75</v>
      </c>
      <c r="C136" s="8" t="n">
        <v>160</v>
      </c>
      <c r="D136" s="8" t="n">
        <v>5147.48</v>
      </c>
      <c r="E136" s="8" t="n">
        <v>90</v>
      </c>
      <c r="F136" s="8" t="n">
        <v>2619.83</v>
      </c>
      <c r="G136" s="7" t="str">
        <f aca="false">IFERROR(INDEX('TRANS'!$B:$B,MATCH($B136,'TRANS'!$A:$A,0)),IFERROR(INDEX('TRANS'!$B:$B,MATCH(TRIM(SUBSTITUTE($B136,CHAR(160)," ")),'TRANS'!$D:$D,0)),IFERROR(INDEX('Catalog'!$A:$A,MATCH($B136,'Catalog'!$B:$B,0)),IFERROR(INDEX('Catalog'!$A:$A,MATCH(TRIM(SUBSTITUTE($B136,CHAR(160)," ")),'Catalog'!$C:$C,0)),""))))</f>
        <v/>
      </c>
      <c r="H136" s="7" t="str">
        <f aca="false">IFERROR(INDEX('TRANS'!$C:$C,MATCH($B136,'TRANS'!$A:$A,0)),IFERROR(INDEX('Catalog'!$B:$B,MATCH($G136,'Catalog'!$A:$A,0)),$B136))</f>
        <v>ST27R 0</v>
      </c>
      <c r="I136" s="7" t="str">
        <f aca="false">IF($G136="","Unmatched","Matched")</f>
        <v>Unmatched</v>
      </c>
      <c r="J136" s="7" t="str">
        <f aca="false">IF($G136&lt;&gt;"",$G136,$B136)</f>
        <v>ST27R 0</v>
      </c>
      <c r="K136" s="7" t="str">
        <f aca="false">IF(COUNTIF($O$2:$O$16,$A136)&gt;0,"Y","N")</f>
        <v>Y</v>
      </c>
    </row>
    <row r="137" customFormat="false" ht="15" hidden="false" customHeight="false" outlineLevel="0" collapsed="false">
      <c r="A137" s="7" t="s">
        <v>30</v>
      </c>
      <c r="B137" s="7" t="s">
        <v>389</v>
      </c>
      <c r="C137" s="8" t="n">
        <v>240</v>
      </c>
      <c r="D137" s="8" t="n">
        <v>14000.19</v>
      </c>
      <c r="E137" s="8" t="n">
        <v>140</v>
      </c>
      <c r="F137" s="8" t="n">
        <v>7279.87</v>
      </c>
      <c r="G137" s="7" t="n">
        <f aca="false">IFERROR(INDEX('TRANS'!$B:$B,MATCH($B137,'TRANS'!$A:$A,0)),IFERROR(INDEX('TRANS'!$B:$B,MATCH(TRIM(SUBSTITUTE($B137,CHAR(160)," ")),'TRANS'!$D:$D,0)),IFERROR(INDEX('Catalog'!$A:$A,MATCH($B137,'Catalog'!$B:$B,0)),IFERROR(INDEX('Catalog'!$A:$A,MATCH(TRIM(SUBSTITUTE($B137,CHAR(160)," ")),'Catalog'!$C:$C,0)),""))))</f>
        <v>4402011</v>
      </c>
      <c r="H137" s="7" t="str">
        <f aca="false">IFERROR(INDEX('TRANS'!$C:$C,MATCH($B137,'TRANS'!$A:$A,0)),IFERROR(INDEX('Catalog'!$B:$B,MATCH($G137,'Catalog'!$A:$A,0)),$B137))</f>
        <v>S-XLST422 מגן ברך+כרית ג'ל</v>
      </c>
      <c r="I137" s="7" t="str">
        <f aca="false">IF($G137="","Unmatched","Matched")</f>
        <v>Matched</v>
      </c>
      <c r="J137" s="7" t="n">
        <f aca="false">IF($G137&lt;&gt;"",$G137,$B137)</f>
        <v>4402011</v>
      </c>
      <c r="K137" s="7" t="str">
        <f aca="false">IF(COUNTIF($O$2:$O$16,$A137)&gt;0,"Y","N")</f>
        <v>Y</v>
      </c>
    </row>
    <row r="138" customFormat="false" ht="15" hidden="false" customHeight="false" outlineLevel="0" collapsed="false">
      <c r="A138" s="7" t="s">
        <v>30</v>
      </c>
      <c r="B138" s="7" t="s">
        <v>390</v>
      </c>
      <c r="C138" s="8" t="n">
        <v>420</v>
      </c>
      <c r="D138" s="8" t="n">
        <v>11942.24</v>
      </c>
      <c r="E138" s="8" t="n">
        <v>260</v>
      </c>
      <c r="F138" s="8" t="n">
        <v>6661.09</v>
      </c>
      <c r="G138" s="7" t="n">
        <f aca="false">IFERROR(INDEX('TRANS'!$B:$B,MATCH($B138,'TRANS'!$A:$A,0)),IFERROR(INDEX('TRANS'!$B:$B,MATCH(TRIM(SUBSTITUTE($B138,CHAR(160)," ")),'TRANS'!$D:$D,0)),IFERROR(INDEX('Catalog'!$A:$A,MATCH($B138,'Catalog'!$B:$B,0)),IFERROR(INDEX('Catalog'!$A:$A,MATCH(TRIM(SUBSTITUTE($B138,CHAR(160)," ")),'Catalog'!$C:$C,0)),""))))</f>
        <v>4408098</v>
      </c>
      <c r="H138" s="7" t="str">
        <f aca="false">IFERROR(INDEX('TRANS'!$C:$C,MATCH($B138,'TRANS'!$A:$A,0)),IFERROR(INDEX('Catalog'!$B:$B,MATCH($G138,'Catalog'!$A:$A,0)),$B138))</f>
        <v>T25-חבק יד אגודלי</v>
      </c>
      <c r="I138" s="7" t="str">
        <f aca="false">IF($G138="","Unmatched","Matched")</f>
        <v>Matched</v>
      </c>
      <c r="J138" s="7" t="n">
        <f aca="false">IF($G138&lt;&gt;"",$G138,$B138)</f>
        <v>4408098</v>
      </c>
      <c r="K138" s="7" t="str">
        <f aca="false">IF(COUNTIF($O$2:$O$16,$A138)&gt;0,"Y","N")</f>
        <v>Y</v>
      </c>
    </row>
    <row r="139" customFormat="false" ht="15" hidden="false" customHeight="false" outlineLevel="0" collapsed="false">
      <c r="A139" s="7" t="s">
        <v>30</v>
      </c>
      <c r="B139" s="7" t="s">
        <v>391</v>
      </c>
      <c r="C139" s="8" t="n">
        <v>130</v>
      </c>
      <c r="D139" s="8" t="n">
        <v>4871.88</v>
      </c>
      <c r="E139" s="8" t="n">
        <v>0</v>
      </c>
      <c r="F139" s="8" t="n">
        <v>0</v>
      </c>
      <c r="G139" s="7" t="n">
        <f aca="false">IFERROR(INDEX('TRANS'!$B:$B,MATCH($B139,'TRANS'!$A:$A,0)),IFERROR(INDEX('TRANS'!$B:$B,MATCH(TRIM(SUBSTITUTE($B139,CHAR(160)," ")),'TRANS'!$D:$D,0)),IFERROR(INDEX('Catalog'!$A:$A,MATCH($B139,'Catalog'!$B:$B,0)),IFERROR(INDEX('Catalog'!$A:$A,MATCH(TRIM(SUBSTITUTE($B139,CHAR(160)," ")),'Catalog'!$C:$C,0)),""))))</f>
        <v>4415073</v>
      </c>
      <c r="H139" s="7" t="str">
        <f aca="false">IFERROR(INDEX('TRANS'!$C:$C,MATCH($B139,'TRANS'!$A:$A,0)),IFERROR(INDEX('Catalog'!$B:$B,MATCH($G139,'Catalog'!$A:$A,0)),$B139))</f>
        <v>T28A L-XL סד לאגודל</v>
      </c>
      <c r="I139" s="7" t="str">
        <f aca="false">IF($G139="","Unmatched","Matched")</f>
        <v>Matched</v>
      </c>
      <c r="J139" s="7" t="n">
        <f aca="false">IF($G139&lt;&gt;"",$G139,$B139)</f>
        <v>4415073</v>
      </c>
      <c r="K139" s="7" t="str">
        <f aca="false">IF(COUNTIF($O$2:$O$16,$A139)&gt;0,"Y","N")</f>
        <v>Y</v>
      </c>
    </row>
    <row r="140" customFormat="false" ht="15" hidden="false" customHeight="false" outlineLevel="0" collapsed="false">
      <c r="A140" s="7" t="s">
        <v>30</v>
      </c>
      <c r="B140" s="7" t="s">
        <v>392</v>
      </c>
      <c r="C140" s="8" t="n">
        <v>100</v>
      </c>
      <c r="D140" s="8" t="n">
        <v>3878.72</v>
      </c>
      <c r="E140" s="8" t="n">
        <v>40</v>
      </c>
      <c r="F140" s="8" t="n">
        <v>1379.89</v>
      </c>
      <c r="G140" s="7" t="n">
        <f aca="false">IFERROR(INDEX('TRANS'!$B:$B,MATCH($B140,'TRANS'!$A:$A,0)),IFERROR(INDEX('TRANS'!$B:$B,MATCH(TRIM(SUBSTITUTE($B140,CHAR(160)," ")),'TRANS'!$D:$D,0)),IFERROR(INDEX('Catalog'!$A:$A,MATCH($B140,'Catalog'!$B:$B,0)),IFERROR(INDEX('Catalog'!$A:$A,MATCH(TRIM(SUBSTITUTE($B140,CHAR(160)," ")),'Catalog'!$C:$C,0)),""))))</f>
        <v>4415072</v>
      </c>
      <c r="H140" s="7" t="str">
        <f aca="false">IFERROR(INDEX('TRANS'!$C:$C,MATCH($B140,'TRANS'!$A:$A,0)),IFERROR(INDEX('Catalog'!$B:$B,MATCH($G140,'Catalog'!$A:$A,0)),$B140))</f>
        <v>T28A S-M סד לאגודל</v>
      </c>
      <c r="I140" s="7" t="str">
        <f aca="false">IF($G140="","Unmatched","Matched")</f>
        <v>Matched</v>
      </c>
      <c r="J140" s="7" t="n">
        <f aca="false">IF($G140&lt;&gt;"",$G140,$B140)</f>
        <v>4415072</v>
      </c>
      <c r="K140" s="7" t="str">
        <f aca="false">IF(COUNTIF($O$2:$O$16,$A140)&gt;0,"Y","N")</f>
        <v>Y</v>
      </c>
    </row>
    <row r="141" customFormat="false" ht="15" hidden="false" customHeight="false" outlineLevel="0" collapsed="false">
      <c r="A141" s="7" t="s">
        <v>31</v>
      </c>
      <c r="B141" s="7" t="s">
        <v>393</v>
      </c>
      <c r="C141" s="8" t="n">
        <v>110</v>
      </c>
      <c r="D141" s="8" t="n">
        <v>2664.28</v>
      </c>
      <c r="E141" s="8" t="n">
        <v>120</v>
      </c>
      <c r="F141" s="8" t="n">
        <v>2683</v>
      </c>
      <c r="G141" s="7" t="n">
        <f aca="false">IFERROR(INDEX('TRANS'!$B:$B,MATCH($B141,'TRANS'!$A:$A,0)),IFERROR(INDEX('TRANS'!$B:$B,MATCH(TRIM(SUBSTITUTE($B141,CHAR(160)," ")),'TRANS'!$D:$D,0)),IFERROR(INDEX('Catalog'!$A:$A,MATCH($B141,'Catalog'!$B:$B,0)),IFERROR(INDEX('Catalog'!$A:$A,MATCH(TRIM(SUBSTITUTE($B141,CHAR(160)," ")),'Catalog'!$C:$C,0)),""))))</f>
        <v>4415158</v>
      </c>
      <c r="H141" s="7" t="str">
        <f aca="false">IFERROR(INDEX('TRANS'!$C:$C,MATCH($B141,'TRANS'!$A:$A,0)),IFERROR(INDEX('Catalog'!$B:$B,MATCH($G141,'Catalog'!$A:$A,0)),$B141))</f>
        <v>266 סד ליד דו צדדי</v>
      </c>
      <c r="I141" s="7" t="str">
        <f aca="false">IF($G141="","Unmatched","Matched")</f>
        <v>Matched</v>
      </c>
      <c r="J141" s="7" t="n">
        <f aca="false">IF($G141&lt;&gt;"",$G141,$B141)</f>
        <v>4415158</v>
      </c>
      <c r="K141" s="7" t="str">
        <f aca="false">IF(COUNTIF($O$2:$O$16,$A141)&gt;0,"Y","N")</f>
        <v>Y</v>
      </c>
    </row>
    <row r="142" customFormat="false" ht="15" hidden="false" customHeight="false" outlineLevel="0" collapsed="false">
      <c r="A142" s="7" t="s">
        <v>31</v>
      </c>
      <c r="B142" s="7" t="s">
        <v>296</v>
      </c>
      <c r="C142" s="8" t="n">
        <v>20</v>
      </c>
      <c r="D142" s="8" t="n">
        <v>771.24</v>
      </c>
      <c r="E142" s="8" t="n">
        <v>20</v>
      </c>
      <c r="F142" s="8" t="n">
        <v>720.44</v>
      </c>
      <c r="G142" s="7" t="n">
        <f aca="false">IFERROR(INDEX('TRANS'!$B:$B,MATCH($B142,'TRANS'!$A:$A,0)),IFERROR(INDEX('TRANS'!$B:$B,MATCH(TRIM(SUBSTITUTE($B142,CHAR(160)," ")),'TRANS'!$D:$D,0)),IFERROR(INDEX('Catalog'!$A:$A,MATCH($B142,'Catalog'!$B:$B,0)),IFERROR(INDEX('Catalog'!$A:$A,MATCH(TRIM(SUBSTITUTE($B142,CHAR(160)," ")),'Catalog'!$C:$C,0)),""))))</f>
        <v>4416000</v>
      </c>
      <c r="H142" s="7" t="str">
        <f aca="false">IFERROR(INDEX('TRANS'!$C:$C,MATCH($B142,'TRANS'!$A:$A,0)),IFERROR(INDEX('Catalog'!$B:$B,MATCH($G142,'Catalog'!$A:$A,0)),$B142))</f>
        <v>307 L עקבים לדורבן-זוג כריות</v>
      </c>
      <c r="I142" s="7" t="str">
        <f aca="false">IF($G142="","Unmatched","Matched")</f>
        <v>Matched</v>
      </c>
      <c r="J142" s="7" t="n">
        <f aca="false">IF($G142&lt;&gt;"",$G142,$B142)</f>
        <v>4416000</v>
      </c>
      <c r="K142" s="7" t="str">
        <f aca="false">IF(COUNTIF($O$2:$O$16,$A142)&gt;0,"Y","N")</f>
        <v>Y</v>
      </c>
    </row>
    <row r="143" customFormat="false" ht="15" hidden="false" customHeight="false" outlineLevel="0" collapsed="false">
      <c r="A143" s="7" t="s">
        <v>31</v>
      </c>
      <c r="B143" s="7" t="s">
        <v>297</v>
      </c>
      <c r="C143" s="8" t="n">
        <v>40</v>
      </c>
      <c r="D143" s="8" t="n">
        <v>1583.48</v>
      </c>
      <c r="E143" s="8" t="n">
        <v>40</v>
      </c>
      <c r="F143" s="8" t="n">
        <v>1440.87</v>
      </c>
      <c r="G143" s="7" t="n">
        <f aca="false">IFERROR(INDEX('TRANS'!$B:$B,MATCH($B143,'TRANS'!$A:$A,0)),IFERROR(INDEX('TRANS'!$B:$B,MATCH(TRIM(SUBSTITUTE($B143,CHAR(160)," ")),'TRANS'!$D:$D,0)),IFERROR(INDEX('Catalog'!$A:$A,MATCH($B143,'Catalog'!$B:$B,0)),IFERROR(INDEX('Catalog'!$A:$A,MATCH(TRIM(SUBSTITUTE($B143,CHAR(160)," ")),'Catalog'!$C:$C,0)),""))))</f>
        <v>4416001</v>
      </c>
      <c r="H143" s="7" t="str">
        <f aca="false">IFERROR(INDEX('TRANS'!$C:$C,MATCH($B143,'TRANS'!$A:$A,0)),IFERROR(INDEX('Catalog'!$B:$B,MATCH($G143,'Catalog'!$A:$A,0)),$B143))</f>
        <v>307 M עקבים לדורבן-זוג כריות</v>
      </c>
      <c r="I143" s="7" t="str">
        <f aca="false">IF($G143="","Unmatched","Matched")</f>
        <v>Matched</v>
      </c>
      <c r="J143" s="7" t="n">
        <f aca="false">IF($G143&lt;&gt;"",$G143,$B143)</f>
        <v>4416001</v>
      </c>
      <c r="K143" s="7" t="str">
        <f aca="false">IF(COUNTIF($O$2:$O$16,$A143)&gt;0,"Y","N")</f>
        <v>Y</v>
      </c>
    </row>
    <row r="144" customFormat="false" ht="15" hidden="false" customHeight="false" outlineLevel="0" collapsed="false">
      <c r="A144" s="7" t="s">
        <v>31</v>
      </c>
      <c r="B144" s="7" t="s">
        <v>394</v>
      </c>
      <c r="C144" s="8" t="n">
        <v>10</v>
      </c>
      <c r="D144" s="8" t="n">
        <v>385.62</v>
      </c>
      <c r="E144" s="8" t="n">
        <v>0</v>
      </c>
      <c r="F144" s="8" t="n">
        <v>0</v>
      </c>
      <c r="G144" s="7" t="n">
        <f aca="false">IFERROR(INDEX('TRANS'!$B:$B,MATCH($B144,'TRANS'!$A:$A,0)),IFERROR(INDEX('TRANS'!$B:$B,MATCH(TRIM(SUBSTITUTE($B144,CHAR(160)," ")),'TRANS'!$D:$D,0)),IFERROR(INDEX('Catalog'!$A:$A,MATCH($B144,'Catalog'!$B:$B,0)),IFERROR(INDEX('Catalog'!$A:$A,MATCH(TRIM(SUBSTITUTE($B144,CHAR(160)," ")),'Catalog'!$C:$C,0)),""))))</f>
        <v>4411016</v>
      </c>
      <c r="H144" s="7" t="str">
        <f aca="false">IFERROR(INDEX('TRANS'!$C:$C,MATCH($B144,'TRANS'!$A:$A,0)),IFERROR(INDEX('Catalog'!$B:$B,MATCH($G144,'Catalog'!$A:$A,0)),$B144))</f>
        <v>307 XL כרית סיליקון לעקב</v>
      </c>
      <c r="I144" s="7" t="str">
        <f aca="false">IF($G144="","Unmatched","Matched")</f>
        <v>Matched</v>
      </c>
      <c r="J144" s="7" t="n">
        <f aca="false">IF($G144&lt;&gt;"",$G144,$B144)</f>
        <v>4411016</v>
      </c>
      <c r="K144" s="7" t="str">
        <f aca="false">IF(COUNTIF($O$2:$O$16,$A144)&gt;0,"Y","N")</f>
        <v>Y</v>
      </c>
    </row>
    <row r="145" customFormat="false" ht="15" hidden="false" customHeight="false" outlineLevel="0" collapsed="false">
      <c r="A145" s="7" t="s">
        <v>31</v>
      </c>
      <c r="B145" s="7" t="s">
        <v>395</v>
      </c>
      <c r="C145" s="8" t="n">
        <v>0</v>
      </c>
      <c r="D145" s="8" t="n">
        <v>0</v>
      </c>
      <c r="E145" s="8" t="n">
        <v>40</v>
      </c>
      <c r="F145" s="8" t="n">
        <v>262.63</v>
      </c>
      <c r="G145" s="7" t="n">
        <f aca="false">IFERROR(INDEX('TRANS'!$B:$B,MATCH($B145,'TRANS'!$A:$A,0)),IFERROR(INDEX('TRANS'!$B:$B,MATCH(TRIM(SUBSTITUTE($B145,CHAR(160)," ")),'TRANS'!$D:$D,0)),IFERROR(INDEX('Catalog'!$A:$A,MATCH($B145,'Catalog'!$B:$B,0)),IFERROR(INDEX('Catalog'!$A:$A,MATCH(TRIM(SUBSTITUTE($B145,CHAR(160)," ")),'Catalog'!$C:$C,0)),""))))</f>
        <v>4413034</v>
      </c>
      <c r="H145" s="7" t="str">
        <f aca="false">IFERROR(INDEX('TRANS'!$C:$C,MATCH($B145,'TRANS'!$A:$A,0)),IFERROR(INDEX('Catalog'!$B:$B,MATCH($G145,'Catalog'!$A:$A,0)),$B145))</f>
        <v>312 9 מ""""ס להתאמהX5 מדבקה גדולה</v>
      </c>
      <c r="I145" s="7" t="str">
        <f aca="false">IF($G145="","Unmatched","Matched")</f>
        <v>Matched</v>
      </c>
      <c r="J145" s="7" t="n">
        <f aca="false">IF($G145&lt;&gt;"",$G145,$B145)</f>
        <v>4413034</v>
      </c>
      <c r="K145" s="7" t="str">
        <f aca="false">IF(COUNTIF($O$2:$O$16,$A145)&gt;0,"Y","N")</f>
        <v>Y</v>
      </c>
    </row>
    <row r="146" customFormat="false" ht="15" hidden="false" customHeight="false" outlineLevel="0" collapsed="false">
      <c r="A146" s="7" t="s">
        <v>31</v>
      </c>
      <c r="B146" s="7" t="s">
        <v>304</v>
      </c>
      <c r="C146" s="8" t="n">
        <v>40</v>
      </c>
      <c r="D146" s="8" t="n">
        <v>467.91</v>
      </c>
      <c r="E146" s="8" t="n">
        <v>20</v>
      </c>
      <c r="F146" s="8" t="n">
        <v>220.03</v>
      </c>
      <c r="G146" s="7" t="n">
        <f aca="false">IFERROR(INDEX('TRANS'!$B:$B,MATCH($B146,'TRANS'!$A:$A,0)),IFERROR(INDEX('TRANS'!$B:$B,MATCH(TRIM(SUBSTITUTE($B146,CHAR(160)," ")),'TRANS'!$D:$D,0)),IFERROR(INDEX('Catalog'!$A:$A,MATCH($B146,'Catalog'!$B:$B,0)),IFERROR(INDEX('Catalog'!$A:$A,MATCH(TRIM(SUBSTITUTE($B146,CHAR(160)," ")),'Catalog'!$C:$C,0)),""))))</f>
        <v>4413490</v>
      </c>
      <c r="H146" s="7" t="str">
        <f aca="false">IFERROR(INDEX('TRANS'!$C:$C,MATCH($B146,'TRANS'!$A:$A,0)),IFERROR(INDEX('Catalog'!$B:$B,MATCH($G146,'Catalog'!$A:$A,0)),$B146))</f>
        <v>35B L מגן קרסול שחור</v>
      </c>
      <c r="I146" s="7" t="str">
        <f aca="false">IF($G146="","Unmatched","Matched")</f>
        <v>Matched</v>
      </c>
      <c r="J146" s="7" t="n">
        <f aca="false">IF($G146&lt;&gt;"",$G146,$B146)</f>
        <v>4413490</v>
      </c>
      <c r="K146" s="7" t="str">
        <f aca="false">IF(COUNTIF($O$2:$O$16,$A146)&gt;0,"Y","N")</f>
        <v>Y</v>
      </c>
    </row>
    <row r="147" customFormat="false" ht="15" hidden="false" customHeight="false" outlineLevel="0" collapsed="false">
      <c r="A147" s="7" t="s">
        <v>31</v>
      </c>
      <c r="B147" s="7" t="s">
        <v>305</v>
      </c>
      <c r="C147" s="8" t="n">
        <v>40</v>
      </c>
      <c r="D147" s="8" t="n">
        <v>464.71</v>
      </c>
      <c r="E147" s="8" t="n">
        <v>40</v>
      </c>
      <c r="F147" s="8" t="n">
        <v>440.07</v>
      </c>
      <c r="G147" s="7" t="n">
        <f aca="false">IFERROR(INDEX('TRANS'!$B:$B,MATCH($B147,'TRANS'!$A:$A,0)),IFERROR(INDEX('TRANS'!$B:$B,MATCH(TRIM(SUBSTITUTE($B147,CHAR(160)," ")),'TRANS'!$D:$D,0)),IFERROR(INDEX('Catalog'!$A:$A,MATCH($B147,'Catalog'!$B:$B,0)),IFERROR(INDEX('Catalog'!$A:$A,MATCH(TRIM(SUBSTITUTE($B147,CHAR(160)," ")),'Catalog'!$C:$C,0)),""))))</f>
        <v>4413492</v>
      </c>
      <c r="H147" s="7" t="str">
        <f aca="false">IFERROR(INDEX('TRANS'!$C:$C,MATCH($B147,'TRANS'!$A:$A,0)),IFERROR(INDEX('Catalog'!$B:$B,MATCH($G147,'Catalog'!$A:$A,0)),$B147))</f>
        <v>35B M מגן קרסול שחור</v>
      </c>
      <c r="I147" s="7" t="str">
        <f aca="false">IF($G147="","Unmatched","Matched")</f>
        <v>Matched</v>
      </c>
      <c r="J147" s="7" t="n">
        <f aca="false">IF($G147&lt;&gt;"",$G147,$B147)</f>
        <v>4413492</v>
      </c>
      <c r="K147" s="7" t="str">
        <f aca="false">IF(COUNTIF($O$2:$O$16,$A147)&gt;0,"Y","N")</f>
        <v>Y</v>
      </c>
    </row>
    <row r="148" customFormat="false" ht="15" hidden="false" customHeight="false" outlineLevel="0" collapsed="false">
      <c r="A148" s="7" t="s">
        <v>31</v>
      </c>
      <c r="B148" s="7" t="s">
        <v>306</v>
      </c>
      <c r="C148" s="8" t="n">
        <v>30</v>
      </c>
      <c r="D148" s="8" t="n">
        <v>350.13</v>
      </c>
      <c r="E148" s="8" t="n">
        <v>0</v>
      </c>
      <c r="F148" s="8" t="n">
        <v>0</v>
      </c>
      <c r="G148" s="7" t="n">
        <f aca="false">IFERROR(INDEX('TRANS'!$B:$B,MATCH($B148,'TRANS'!$A:$A,0)),IFERROR(INDEX('TRANS'!$B:$B,MATCH(TRIM(SUBSTITUTE($B148,CHAR(160)," ")),'TRANS'!$D:$D,0)),IFERROR(INDEX('Catalog'!$A:$A,MATCH($B148,'Catalog'!$B:$B,0)),IFERROR(INDEX('Catalog'!$A:$A,MATCH(TRIM(SUBSTITUTE($B148,CHAR(160)," ")),'Catalog'!$C:$C,0)),""))))</f>
        <v>4413493</v>
      </c>
      <c r="H148" s="7" t="str">
        <f aca="false">IFERROR(INDEX('TRANS'!$C:$C,MATCH($B148,'TRANS'!$A:$A,0)),IFERROR(INDEX('Catalog'!$B:$B,MATCH($G148,'Catalog'!$A:$A,0)),$B148))</f>
        <v>35B S מגן קרסול שחור</v>
      </c>
      <c r="I148" s="7" t="str">
        <f aca="false">IF($G148="","Unmatched","Matched")</f>
        <v>Matched</v>
      </c>
      <c r="J148" s="7" t="n">
        <f aca="false">IF($G148&lt;&gt;"",$G148,$B148)</f>
        <v>4413493</v>
      </c>
      <c r="K148" s="7" t="str">
        <f aca="false">IF(COUNTIF($O$2:$O$16,$A148)&gt;0,"Y","N")</f>
        <v>Y</v>
      </c>
    </row>
    <row r="149" customFormat="false" ht="15" hidden="false" customHeight="false" outlineLevel="0" collapsed="false">
      <c r="A149" s="7" t="s">
        <v>31</v>
      </c>
      <c r="B149" s="7" t="s">
        <v>307</v>
      </c>
      <c r="C149" s="8" t="n">
        <v>30</v>
      </c>
      <c r="D149" s="8" t="n">
        <v>346.94</v>
      </c>
      <c r="E149" s="8" t="n">
        <v>0</v>
      </c>
      <c r="F149" s="8" t="n">
        <v>0</v>
      </c>
      <c r="G149" s="7" t="n">
        <f aca="false">IFERROR(INDEX('TRANS'!$B:$B,MATCH($B149,'TRANS'!$A:$A,0)),IFERROR(INDEX('TRANS'!$B:$B,MATCH(TRIM(SUBSTITUTE($B149,CHAR(160)," ")),'TRANS'!$D:$D,0)),IFERROR(INDEX('Catalog'!$A:$A,MATCH($B149,'Catalog'!$B:$B,0)),IFERROR(INDEX('Catalog'!$A:$A,MATCH(TRIM(SUBSTITUTE($B149,CHAR(160)," ")),'Catalog'!$C:$C,0)),""))))</f>
        <v>4413491</v>
      </c>
      <c r="H149" s="7" t="str">
        <f aca="false">IFERROR(INDEX('TRANS'!$C:$C,MATCH($B149,'TRANS'!$A:$A,0)),IFERROR(INDEX('Catalog'!$B:$B,MATCH($G149,'Catalog'!$A:$A,0)),$B149))</f>
        <v>35B XL מגן קרסול שחור</v>
      </c>
      <c r="I149" s="7" t="str">
        <f aca="false">IF($G149="","Unmatched","Matched")</f>
        <v>Matched</v>
      </c>
      <c r="J149" s="7" t="n">
        <f aca="false">IF($G149&lt;&gt;"",$G149,$B149)</f>
        <v>4413491</v>
      </c>
      <c r="K149" s="7" t="str">
        <f aca="false">IF(COUNTIF($O$2:$O$16,$A149)&gt;0,"Y","N")</f>
        <v>Y</v>
      </c>
    </row>
    <row r="150" customFormat="false" ht="15" hidden="false" customHeight="false" outlineLevel="0" collapsed="false">
      <c r="A150" s="7" t="s">
        <v>31</v>
      </c>
      <c r="B150" s="7" t="s">
        <v>396</v>
      </c>
      <c r="C150" s="8" t="n">
        <v>15</v>
      </c>
      <c r="D150" s="8" t="n">
        <v>181.33</v>
      </c>
      <c r="E150" s="8" t="n">
        <v>0</v>
      </c>
      <c r="F150" s="8" t="n">
        <v>0</v>
      </c>
      <c r="G150" s="7" t="n">
        <f aca="false">IFERROR(INDEX('TRANS'!$B:$B,MATCH($B150,'TRANS'!$A:$A,0)),IFERROR(INDEX('TRANS'!$B:$B,MATCH(TRIM(SUBSTITUTE($B150,CHAR(160)," ")),'TRANS'!$D:$D,0)),IFERROR(INDEX('Catalog'!$A:$A,MATCH($B150,'Catalog'!$B:$B,0)),IFERROR(INDEX('Catalog'!$A:$A,MATCH(TRIM(SUBSTITUTE($B150,CHAR(160)," ")),'Catalog'!$C:$C,0)),""))))</f>
        <v>4413494</v>
      </c>
      <c r="H150" s="7" t="str">
        <f aca="false">IFERROR(INDEX('TRANS'!$C:$C,MATCH($B150,'TRANS'!$A:$A,0)),IFERROR(INDEX('Catalog'!$B:$B,MATCH($G150,'Catalog'!$A:$A,0)),$B150))</f>
        <v>35B XXL מגן קרסול שחור</v>
      </c>
      <c r="I150" s="7" t="str">
        <f aca="false">IF($G150="","Unmatched","Matched")</f>
        <v>Matched</v>
      </c>
      <c r="J150" s="7" t="n">
        <f aca="false">IF($G150&lt;&gt;"",$G150,$B150)</f>
        <v>4413494</v>
      </c>
      <c r="K150" s="7" t="str">
        <f aca="false">IF(COUNTIF($O$2:$O$16,$A150)&gt;0,"Y","N")</f>
        <v>Y</v>
      </c>
    </row>
    <row r="151" customFormat="false" ht="15" hidden="false" customHeight="false" outlineLevel="0" collapsed="false">
      <c r="A151" s="7" t="s">
        <v>31</v>
      </c>
      <c r="B151" s="7" t="s">
        <v>397</v>
      </c>
      <c r="C151" s="8" t="n">
        <v>20</v>
      </c>
      <c r="D151" s="8" t="n">
        <v>110.89</v>
      </c>
      <c r="E151" s="8" t="n">
        <v>0</v>
      </c>
      <c r="F151" s="8" t="n">
        <v>0</v>
      </c>
      <c r="G151" s="7" t="n">
        <f aca="false">IFERROR(INDEX('TRANS'!$B:$B,MATCH($B151,'TRANS'!$A:$A,0)),IFERROR(INDEX('TRANS'!$B:$B,MATCH(TRIM(SUBSTITUTE($B151,CHAR(160)," ")),'TRANS'!$D:$D,0)),IFERROR(INDEX('Catalog'!$A:$A,MATCH($B151,'Catalog'!$B:$B,0)),IFERROR(INDEX('Catalog'!$A:$A,MATCH(TRIM(SUBSTITUTE($B151,CHAR(160)," ")),'Catalog'!$C:$C,0)),""))))</f>
        <v>4413061</v>
      </c>
      <c r="H151" s="7" t="str">
        <f aca="false">IFERROR(INDEX('TRANS'!$C:$C,MATCH($B151,'TRANS'!$A:$A,0)),IFERROR(INDEX('Catalog'!$B:$B,MATCH($G151,'Catalog'!$A:$A,0)),$B151))</f>
        <v>3641-מיישר בוהן סיליקון קשיח</v>
      </c>
      <c r="I151" s="7" t="str">
        <f aca="false">IF($G151="","Unmatched","Matched")</f>
        <v>Matched</v>
      </c>
      <c r="J151" s="7" t="n">
        <f aca="false">IF($G151&lt;&gt;"",$G151,$B151)</f>
        <v>4413061</v>
      </c>
      <c r="K151" s="7" t="str">
        <f aca="false">IF(COUNTIF($O$2:$O$16,$A151)&gt;0,"Y","N")</f>
        <v>Y</v>
      </c>
    </row>
    <row r="152" customFormat="false" ht="15" hidden="false" customHeight="false" outlineLevel="0" collapsed="false">
      <c r="A152" s="7" t="s">
        <v>31</v>
      </c>
      <c r="B152" s="7" t="s">
        <v>317</v>
      </c>
      <c r="C152" s="8" t="n">
        <v>80</v>
      </c>
      <c r="D152" s="8" t="n">
        <v>1154.65</v>
      </c>
      <c r="E152" s="8" t="n">
        <v>40</v>
      </c>
      <c r="F152" s="8" t="n">
        <v>539.44</v>
      </c>
      <c r="G152" s="7" t="n">
        <f aca="false">IFERROR(INDEX('TRANS'!$B:$B,MATCH($B152,'TRANS'!$A:$A,0)),IFERROR(INDEX('TRANS'!$B:$B,MATCH(TRIM(SUBSTITUTE($B152,CHAR(160)," ")),'TRANS'!$D:$D,0)),IFERROR(INDEX('Catalog'!$A:$A,MATCH($B152,'Catalog'!$B:$B,0)),IFERROR(INDEX('Catalog'!$A:$A,MATCH(TRIM(SUBSTITUTE($B152,CHAR(160)," ")),'Catalog'!$C:$C,0)),""))))</f>
        <v>4421000</v>
      </c>
      <c r="H152" s="7" t="str">
        <f aca="false">IFERROR(INDEX('TRANS'!$C:$C,MATCH($B152,'TRANS'!$A:$A,0)),IFERROR(INDEX('Catalog'!$B:$B,MATCH($G152,'Catalog'!$A:$A,0)),$B152))</f>
        <v>3655 שרוול מסיליקון לאצבע</v>
      </c>
      <c r="I152" s="7" t="str">
        <f aca="false">IF($G152="","Unmatched","Matched")</f>
        <v>Matched</v>
      </c>
      <c r="J152" s="7" t="n">
        <f aca="false">IF($G152&lt;&gt;"",$G152,$B152)</f>
        <v>4421000</v>
      </c>
      <c r="K152" s="7" t="str">
        <f aca="false">IF(COUNTIF($O$2:$O$16,$A152)&gt;0,"Y","N")</f>
        <v>Y</v>
      </c>
    </row>
    <row r="153" customFormat="false" ht="15" hidden="false" customHeight="false" outlineLevel="0" collapsed="false">
      <c r="A153" s="7" t="s">
        <v>31</v>
      </c>
      <c r="B153" s="7" t="s">
        <v>398</v>
      </c>
      <c r="C153" s="8" t="n">
        <v>40</v>
      </c>
      <c r="D153" s="8" t="n">
        <v>672.71</v>
      </c>
      <c r="E153" s="8" t="n">
        <v>80</v>
      </c>
      <c r="F153" s="8" t="n">
        <v>1291.82</v>
      </c>
      <c r="G153" s="7" t="n">
        <f aca="false">IFERROR(INDEX('TRANS'!$B:$B,MATCH($B153,'TRANS'!$A:$A,0)),IFERROR(INDEX('TRANS'!$B:$B,MATCH(TRIM(SUBSTITUTE($B153,CHAR(160)," ")),'TRANS'!$D:$D,0)),IFERROR(INDEX('Catalog'!$A:$A,MATCH($B153,'Catalog'!$B:$B,0)),IFERROR(INDEX('Catalog'!$A:$A,MATCH(TRIM(SUBSTITUTE($B153,CHAR(160)," ")),'Catalog'!$C:$C,0)),""))))</f>
        <v>4413307</v>
      </c>
      <c r="H153" s="7" t="str">
        <f aca="false">IFERROR(INDEX('TRANS'!$C:$C,MATCH($B153,'TRANS'!$A:$A,0)),IFERROR(INDEX('Catalog'!$B:$B,MATCH($G153,'Catalog'!$A:$A,0)),$B153))</f>
        <v>URI 3667 מגן בוניון</v>
      </c>
      <c r="I153" s="7" t="str">
        <f aca="false">IF($G153="","Unmatched","Matched")</f>
        <v>Matched</v>
      </c>
      <c r="J153" s="7" t="n">
        <f aca="false">IF($G153&lt;&gt;"",$G153,$B153)</f>
        <v>4413307</v>
      </c>
      <c r="K153" s="7" t="str">
        <f aca="false">IF(COUNTIF($O$2:$O$16,$A153)&gt;0,"Y","N")</f>
        <v>Y</v>
      </c>
    </row>
    <row r="154" customFormat="false" ht="15" hidden="false" customHeight="false" outlineLevel="0" collapsed="false">
      <c r="A154" s="7" t="s">
        <v>31</v>
      </c>
      <c r="B154" s="7" t="s">
        <v>399</v>
      </c>
      <c r="C154" s="8" t="n">
        <v>140</v>
      </c>
      <c r="D154" s="8" t="n">
        <v>2491.69</v>
      </c>
      <c r="E154" s="8" t="n">
        <v>80</v>
      </c>
      <c r="F154" s="8" t="n">
        <v>1320.21</v>
      </c>
      <c r="G154" s="7" t="n">
        <f aca="false">IFERROR(INDEX('TRANS'!$B:$B,MATCH($B154,'TRANS'!$A:$A,0)),IFERROR(INDEX('TRANS'!$B:$B,MATCH(TRIM(SUBSTITUTE($B154,CHAR(160)," ")),'TRANS'!$D:$D,0)),IFERROR(INDEX('Catalog'!$A:$A,MATCH($B154,'Catalog'!$B:$B,0)),IFERROR(INDEX('Catalog'!$A:$A,MATCH(TRIM(SUBSTITUTE($B154,CHAR(160)," ")),'Catalog'!$C:$C,0)),""))))</f>
        <v>4413370</v>
      </c>
      <c r="H154" s="7" t="str">
        <f aca="false">IFERROR(INDEX('TRANS'!$C:$C,MATCH($B154,'TRANS'!$A:$A,0)),IFERROR(INDEX('Catalog'!$B:$B,MATCH($G154,'Catalog'!$A:$A,0)),$B154))</f>
        <v>3674 0 מ.בוניון+מפריד אצבע</v>
      </c>
      <c r="I154" s="7" t="str">
        <f aca="false">IF($G154="","Unmatched","Matched")</f>
        <v>Matched</v>
      </c>
      <c r="J154" s="7" t="n">
        <f aca="false">IF($G154&lt;&gt;"",$G154,$B154)</f>
        <v>4413370</v>
      </c>
      <c r="K154" s="7" t="str">
        <f aca="false">IF(COUNTIF($O$2:$O$16,$A154)&gt;0,"Y","N")</f>
        <v>Y</v>
      </c>
    </row>
    <row r="155" customFormat="false" ht="15" hidden="false" customHeight="false" outlineLevel="0" collapsed="false">
      <c r="A155" s="7" t="s">
        <v>31</v>
      </c>
      <c r="B155" s="7" t="s">
        <v>400</v>
      </c>
      <c r="C155" s="8" t="n">
        <v>80</v>
      </c>
      <c r="D155" s="8" t="n">
        <v>1162.48</v>
      </c>
      <c r="E155" s="8" t="n">
        <v>40</v>
      </c>
      <c r="F155" s="8" t="n">
        <v>539.44</v>
      </c>
      <c r="G155" s="7" t="n">
        <f aca="false">IFERROR(INDEX('TRANS'!$B:$B,MATCH($B155,'TRANS'!$A:$A,0)),IFERROR(INDEX('TRANS'!$B:$B,MATCH(TRIM(SUBSTITUTE($B155,CHAR(160)," ")),'TRANS'!$D:$D,0)),IFERROR(INDEX('Catalog'!$A:$A,MATCH($B155,'Catalog'!$B:$B,0)),IFERROR(INDEX('Catalog'!$A:$A,MATCH(TRIM(SUBSTITUTE($B155,CHAR(160)," ")),'Catalog'!$C:$C,0)),""))))</f>
        <v>4413371</v>
      </c>
      <c r="H155" s="7" t="str">
        <f aca="false">IFERROR(INDEX('TRANS'!$C:$C,MATCH($B155,'TRANS'!$A:$A,0)),IFERROR(INDEX('Catalog'!$B:$B,MATCH($G155,'Catalog'!$A:$A,0)),$B155))</f>
        <v>3675    מגן זרת מסיליקון</v>
      </c>
      <c r="I155" s="7" t="str">
        <f aca="false">IF($G155="","Unmatched","Matched")</f>
        <v>Matched</v>
      </c>
      <c r="J155" s="7" t="n">
        <f aca="false">IF($G155&lt;&gt;"",$G155,$B155)</f>
        <v>4413371</v>
      </c>
      <c r="K155" s="7" t="str">
        <f aca="false">IF(COUNTIF($O$2:$O$16,$A155)&gt;0,"Y","N")</f>
        <v>Y</v>
      </c>
    </row>
    <row r="156" customFormat="false" ht="15" hidden="false" customHeight="false" outlineLevel="0" collapsed="false">
      <c r="A156" s="7" t="s">
        <v>31</v>
      </c>
      <c r="B156" s="7" t="s">
        <v>401</v>
      </c>
      <c r="C156" s="8" t="n">
        <v>1</v>
      </c>
      <c r="D156" s="8" t="n">
        <v>0.04</v>
      </c>
      <c r="E156" s="8" t="n">
        <v>0</v>
      </c>
      <c r="F156" s="8" t="n">
        <v>0</v>
      </c>
      <c r="G156" s="7" t="n">
        <f aca="false">IFERROR(INDEX('TRANS'!$B:$B,MATCH($B156,'TRANS'!$A:$A,0)),IFERROR(INDEX('TRANS'!$B:$B,MATCH(TRIM(SUBSTITUTE($B156,CHAR(160)," ")),'TRANS'!$D:$D,0)),IFERROR(INDEX('Catalog'!$A:$A,MATCH($B156,'Catalog'!$B:$B,0)),IFERROR(INDEX('Catalog'!$A:$A,MATCH(TRIM(SUBSTITUTE($B156,CHAR(160)," ")),'Catalog'!$C:$C,0)),""))))</f>
        <v>4413520</v>
      </c>
      <c r="H156" s="7" t="str">
        <f aca="false">IFERROR(INDEX('TRANS'!$C:$C,MATCH($B156,'TRANS'!$A:$A,0)),IFERROR(INDEX('Catalog'!$B:$B,MATCH($G156,'Catalog'!$A:$A,0)),$B156))</f>
        <v>מדרסי אפיק ג'ל מולט.ספורט35-38</v>
      </c>
      <c r="I156" s="7" t="str">
        <f aca="false">IF($G156="","Unmatched","Matched")</f>
        <v>Matched</v>
      </c>
      <c r="J156" s="7" t="n">
        <f aca="false">IF($G156&lt;&gt;"",$G156,$B156)</f>
        <v>4413520</v>
      </c>
      <c r="K156" s="7" t="str">
        <f aca="false">IF(COUNTIF($O$2:$O$16,$A156)&gt;0,"Y","N")</f>
        <v>Y</v>
      </c>
    </row>
    <row r="157" customFormat="false" ht="15" hidden="false" customHeight="false" outlineLevel="0" collapsed="false">
      <c r="A157" s="7" t="s">
        <v>31</v>
      </c>
      <c r="B157" s="7" t="s">
        <v>402</v>
      </c>
      <c r="C157" s="8" t="n">
        <v>1</v>
      </c>
      <c r="D157" s="8" t="n">
        <v>0.04</v>
      </c>
      <c r="E157" s="8" t="n">
        <v>0</v>
      </c>
      <c r="F157" s="8" t="n">
        <v>0</v>
      </c>
      <c r="G157" s="7" t="n">
        <f aca="false">IFERROR(INDEX('TRANS'!$B:$B,MATCH($B157,'TRANS'!$A:$A,0)),IFERROR(INDEX('TRANS'!$B:$B,MATCH(TRIM(SUBSTITUTE($B157,CHAR(160)," ")),'TRANS'!$D:$D,0)),IFERROR(INDEX('Catalog'!$A:$A,MATCH($B157,'Catalog'!$B:$B,0)),IFERROR(INDEX('Catalog'!$A:$A,MATCH(TRIM(SUBSTITUTE($B157,CHAR(160)," ")),'Catalog'!$C:$C,0)),""))))</f>
        <v>4413521</v>
      </c>
      <c r="H157" s="7" t="str">
        <f aca="false">IFERROR(INDEX('TRANS'!$C:$C,MATCH($B157,'TRANS'!$A:$A,0)),IFERROR(INDEX('Catalog'!$B:$B,MATCH($G157,'Catalog'!$A:$A,0)),$B157))</f>
        <v>מדרסי אפיק ג'ל מולטי ספור39-42</v>
      </c>
      <c r="I157" s="7" t="str">
        <f aca="false">IF($G157="","Unmatched","Matched")</f>
        <v>Matched</v>
      </c>
      <c r="J157" s="7" t="n">
        <f aca="false">IF($G157&lt;&gt;"",$G157,$B157)</f>
        <v>4413521</v>
      </c>
      <c r="K157" s="7" t="str">
        <f aca="false">IF(COUNTIF($O$2:$O$16,$A157)&gt;0,"Y","N")</f>
        <v>Y</v>
      </c>
    </row>
    <row r="158" customFormat="false" ht="15" hidden="false" customHeight="false" outlineLevel="0" collapsed="false">
      <c r="A158" s="7" t="s">
        <v>31</v>
      </c>
      <c r="B158" s="7" t="s">
        <v>178</v>
      </c>
      <c r="C158" s="8" t="n">
        <v>1</v>
      </c>
      <c r="D158" s="8" t="n">
        <v>0.04</v>
      </c>
      <c r="E158" s="8" t="n">
        <v>0</v>
      </c>
      <c r="F158" s="8" t="n">
        <v>0</v>
      </c>
      <c r="G158" s="7" t="str">
        <f aca="false">IFERROR(INDEX('TRANS'!$B:$B,MATCH($B158,'TRANS'!$A:$A,0)),IFERROR(INDEX('TRANS'!$B:$B,MATCH(TRIM(SUBSTITUTE($B158,CHAR(160)," ")),'TRANS'!$D:$D,0)),IFERROR(INDEX('Catalog'!$A:$A,MATCH($B158,'Catalog'!$B:$B,0)),IFERROR(INDEX('Catalog'!$A:$A,MATCH(TRIM(SUBSTITUTE($B158,CHAR(160)," ")),'Catalog'!$C:$C,0)),""))))</f>
        <v/>
      </c>
      <c r="H158" s="7" t="str">
        <f aca="false">IFERROR(INDEX('TRANS'!$C:$C,MATCH($B158,'TRANS'!$A:$A,0)),IFERROR(INDEX('Catalog'!$B:$B,MATCH($G158,'Catalog'!$A:$A,0)),$B158))</f>
        <v>391W-39-42</v>
      </c>
      <c r="I158" s="7" t="str">
        <f aca="false">IF($G158="","Unmatched","Matched")</f>
        <v>Unmatched</v>
      </c>
      <c r="J158" s="7" t="str">
        <f aca="false">IF($G158&lt;&gt;"",$G158,$B158)</f>
        <v>391W-39-42</v>
      </c>
      <c r="K158" s="7" t="str">
        <f aca="false">IF(COUNTIF($O$2:$O$16,$A158)&gt;0,"Y","N")</f>
        <v>Y</v>
      </c>
    </row>
    <row r="159" customFormat="false" ht="15" hidden="false" customHeight="false" outlineLevel="0" collapsed="false">
      <c r="A159" s="7" t="s">
        <v>31</v>
      </c>
      <c r="B159" s="7" t="s">
        <v>179</v>
      </c>
      <c r="C159" s="8" t="n">
        <v>100</v>
      </c>
      <c r="D159" s="8" t="n">
        <v>3125.8</v>
      </c>
      <c r="E159" s="8" t="n">
        <v>0</v>
      </c>
      <c r="F159" s="8" t="n">
        <v>0</v>
      </c>
      <c r="G159" s="7" t="str">
        <f aca="false">IFERROR(INDEX('TRANS'!$B:$B,MATCH($B159,'TRANS'!$A:$A,0)),IFERROR(INDEX('TRANS'!$B:$B,MATCH(TRIM(SUBSTITUTE($B159,CHAR(160)," ")),'TRANS'!$D:$D,0)),IFERROR(INDEX('Catalog'!$A:$A,MATCH($B159,'Catalog'!$B:$B,0)),IFERROR(INDEX('Catalog'!$A:$A,MATCH(TRIM(SUBSTITUTE($B159,CHAR(160)," ")),'Catalog'!$C:$C,0)),""))))</f>
        <v/>
      </c>
      <c r="H159" s="7" t="str">
        <f aca="false">IFERROR(INDEX('TRANS'!$C:$C,MATCH($B159,'TRANS'!$A:$A,0)),IFERROR(INDEX('Catalog'!$B:$B,MATCH($G159,'Catalog'!$A:$A,0)),$B159))</f>
        <v>397-35-38</v>
      </c>
      <c r="I159" s="7" t="str">
        <f aca="false">IF($G159="","Unmatched","Matched")</f>
        <v>Unmatched</v>
      </c>
      <c r="J159" s="7" t="str">
        <f aca="false">IF($G159&lt;&gt;"",$G159,$B159)</f>
        <v>397-35-38</v>
      </c>
      <c r="K159" s="7" t="str">
        <f aca="false">IF(COUNTIF($O$2:$O$16,$A159)&gt;0,"Y","N")</f>
        <v>Y</v>
      </c>
    </row>
    <row r="160" customFormat="false" ht="15" hidden="false" customHeight="false" outlineLevel="0" collapsed="false">
      <c r="A160" s="7" t="s">
        <v>31</v>
      </c>
      <c r="B160" s="7" t="s">
        <v>329</v>
      </c>
      <c r="C160" s="8" t="n">
        <v>170</v>
      </c>
      <c r="D160" s="8" t="n">
        <v>5271.27</v>
      </c>
      <c r="E160" s="8" t="n">
        <v>0</v>
      </c>
      <c r="F160" s="8" t="n">
        <v>0</v>
      </c>
      <c r="G160" s="7" t="n">
        <f aca="false">IFERROR(INDEX('TRANS'!$B:$B,MATCH($B160,'TRANS'!$A:$A,0)),IFERROR(INDEX('TRANS'!$B:$B,MATCH(TRIM(SUBSTITUTE($B160,CHAR(160)," ")),'TRANS'!$D:$D,0)),IFERROR(INDEX('Catalog'!$A:$A,MATCH($B160,'Catalog'!$B:$B,0)),IFERROR(INDEX('Catalog'!$A:$A,MATCH(TRIM(SUBSTITUTE($B160,CHAR(160)," ")),'Catalog'!$C:$C,0)),""))))</f>
        <v>4403029</v>
      </c>
      <c r="H160" s="7" t="str">
        <f aca="false">IFERROR(INDEX('TRANS'!$C:$C,MATCH($B160,'TRANS'!$A:$A,0)),IFERROR(INDEX('Catalog'!$B:$B,MATCH($G160,'Catalog'!$A:$A,0)),$B160))</f>
        <v>397 39-42 גרבי טיסה מידה</v>
      </c>
      <c r="I160" s="7" t="str">
        <f aca="false">IF($G160="","Unmatched","Matched")</f>
        <v>Matched</v>
      </c>
      <c r="J160" s="7" t="n">
        <f aca="false">IF($G160&lt;&gt;"",$G160,$B160)</f>
        <v>4403029</v>
      </c>
      <c r="K160" s="7" t="str">
        <f aca="false">IF(COUNTIF($O$2:$O$16,$A160)&gt;0,"Y","N")</f>
        <v>Y</v>
      </c>
    </row>
    <row r="161" customFormat="false" ht="15" hidden="false" customHeight="false" outlineLevel="0" collapsed="false">
      <c r="A161" s="7" t="s">
        <v>31</v>
      </c>
      <c r="B161" s="7" t="s">
        <v>180</v>
      </c>
      <c r="C161" s="8" t="n">
        <v>120</v>
      </c>
      <c r="D161" s="8" t="n">
        <v>3741.27</v>
      </c>
      <c r="E161" s="8" t="n">
        <v>0</v>
      </c>
      <c r="F161" s="8" t="n">
        <v>0</v>
      </c>
      <c r="G161" s="7" t="str">
        <f aca="false">IFERROR(INDEX('TRANS'!$B:$B,MATCH($B161,'TRANS'!$A:$A,0)),IFERROR(INDEX('TRANS'!$B:$B,MATCH(TRIM(SUBSTITUTE($B161,CHAR(160)," ")),'TRANS'!$D:$D,0)),IFERROR(INDEX('Catalog'!$A:$A,MATCH($B161,'Catalog'!$B:$B,0)),IFERROR(INDEX('Catalog'!$A:$A,MATCH(TRIM(SUBSTITUTE($B161,CHAR(160)," ")),'Catalog'!$C:$C,0)),""))))</f>
        <v/>
      </c>
      <c r="H161" s="7" t="str">
        <f aca="false">IFERROR(INDEX('TRANS'!$C:$C,MATCH($B161,'TRANS'!$A:$A,0)),IFERROR(INDEX('Catalog'!$B:$B,MATCH($G161,'Catalog'!$A:$A,0)),$B161))</f>
        <v>397-43-46</v>
      </c>
      <c r="I161" s="7" t="str">
        <f aca="false">IF($G161="","Unmatched","Matched")</f>
        <v>Unmatched</v>
      </c>
      <c r="J161" s="7" t="str">
        <f aca="false">IF($G161&lt;&gt;"",$G161,$B161)</f>
        <v>397-43-46</v>
      </c>
      <c r="K161" s="7" t="str">
        <f aca="false">IF(COUNTIF($O$2:$O$16,$A161)&gt;0,"Y","N")</f>
        <v>Y</v>
      </c>
    </row>
    <row r="162" customFormat="false" ht="15" hidden="false" customHeight="false" outlineLevel="0" collapsed="false">
      <c r="A162" s="7" t="s">
        <v>31</v>
      </c>
      <c r="B162" s="7" t="s">
        <v>330</v>
      </c>
      <c r="C162" s="8" t="n">
        <v>0</v>
      </c>
      <c r="D162" s="8" t="n">
        <v>0</v>
      </c>
      <c r="E162" s="8" t="n">
        <v>60</v>
      </c>
      <c r="F162" s="8" t="n">
        <v>1716.4</v>
      </c>
      <c r="G162" s="7" t="n">
        <f aca="false">IFERROR(INDEX('TRANS'!$B:$B,MATCH($B162,'TRANS'!$A:$A,0)),IFERROR(INDEX('TRANS'!$B:$B,MATCH(TRIM(SUBSTITUTE($B162,CHAR(160)," ")),'TRANS'!$D:$D,0)),IFERROR(INDEX('Catalog'!$A:$A,MATCH($B162,'Catalog'!$B:$B,0)),IFERROR(INDEX('Catalog'!$A:$A,MATCH(TRIM(SUBSTITUTE($B162,CHAR(160)," ")),'Catalog'!$C:$C,0)),""))))</f>
        <v>4403041</v>
      </c>
      <c r="H162" s="7" t="str">
        <f aca="false">IFERROR(INDEX('TRANS'!$C:$C,MATCH($B162,'TRANS'!$A:$A,0)),IFERROR(INDEX('Catalog'!$B:$B,MATCH($G162,'Catalog'!$A:$A,0)),$B162))</f>
        <v>397A-גרבי טיסה אנטי בקטרי35-38</v>
      </c>
      <c r="I162" s="7" t="str">
        <f aca="false">IF($G162="","Unmatched","Matched")</f>
        <v>Matched</v>
      </c>
      <c r="J162" s="7" t="n">
        <f aca="false">IF($G162&lt;&gt;"",$G162,$B162)</f>
        <v>4403041</v>
      </c>
      <c r="K162" s="7" t="str">
        <f aca="false">IF(COUNTIF($O$2:$O$16,$A162)&gt;0,"Y","N")</f>
        <v>Y</v>
      </c>
    </row>
    <row r="163" customFormat="false" ht="15" hidden="false" customHeight="false" outlineLevel="0" collapsed="false">
      <c r="A163" s="7" t="s">
        <v>31</v>
      </c>
      <c r="B163" s="7" t="s">
        <v>331</v>
      </c>
      <c r="C163" s="8" t="n">
        <v>1</v>
      </c>
      <c r="D163" s="8" t="n">
        <v>0.04</v>
      </c>
      <c r="E163" s="8" t="n">
        <v>190</v>
      </c>
      <c r="F163" s="8" t="n">
        <v>5449.26</v>
      </c>
      <c r="G163" s="7" t="n">
        <f aca="false">IFERROR(INDEX('TRANS'!$B:$B,MATCH($B163,'TRANS'!$A:$A,0)),IFERROR(INDEX('TRANS'!$B:$B,MATCH(TRIM(SUBSTITUTE($B163,CHAR(160)," ")),'TRANS'!$D:$D,0)),IFERROR(INDEX('Catalog'!$A:$A,MATCH($B163,'Catalog'!$B:$B,0)),IFERROR(INDEX('Catalog'!$A:$A,MATCH(TRIM(SUBSTITUTE($B163,CHAR(160)," ")),'Catalog'!$C:$C,0)),""))))</f>
        <v>4403042</v>
      </c>
      <c r="H163" s="7" t="str">
        <f aca="false">IFERROR(INDEX('TRANS'!$C:$C,MATCH($B163,'TRANS'!$A:$A,0)),IFERROR(INDEX('Catalog'!$B:$B,MATCH($G163,'Catalog'!$A:$A,0)),$B163))</f>
        <v>397A-גרבי טיסה אנטי בקטרי39-42</v>
      </c>
      <c r="I163" s="7" t="str">
        <f aca="false">IF($G163="","Unmatched","Matched")</f>
        <v>Matched</v>
      </c>
      <c r="J163" s="7" t="n">
        <f aca="false">IF($G163&lt;&gt;"",$G163,$B163)</f>
        <v>4403042</v>
      </c>
      <c r="K163" s="7" t="str">
        <f aca="false">IF(COUNTIF($O$2:$O$16,$A163)&gt;0,"Y","N")</f>
        <v>Y</v>
      </c>
    </row>
    <row r="164" customFormat="false" ht="15" hidden="false" customHeight="false" outlineLevel="0" collapsed="false">
      <c r="A164" s="7" t="s">
        <v>31</v>
      </c>
      <c r="B164" s="7" t="s">
        <v>332</v>
      </c>
      <c r="C164" s="8" t="n">
        <v>0</v>
      </c>
      <c r="D164" s="8" t="n">
        <v>0</v>
      </c>
      <c r="E164" s="8" t="n">
        <v>120</v>
      </c>
      <c r="F164" s="8" t="n">
        <v>3441.19</v>
      </c>
      <c r="G164" s="7" t="n">
        <f aca="false">IFERROR(INDEX('TRANS'!$B:$B,MATCH($B164,'TRANS'!$A:$A,0)),IFERROR(INDEX('TRANS'!$B:$B,MATCH(TRIM(SUBSTITUTE($B164,CHAR(160)," ")),'TRANS'!$D:$D,0)),IFERROR(INDEX('Catalog'!$A:$A,MATCH($B164,'Catalog'!$B:$B,0)),IFERROR(INDEX('Catalog'!$A:$A,MATCH(TRIM(SUBSTITUTE($B164,CHAR(160)," ")),'Catalog'!$C:$C,0)),""))))</f>
        <v>4403043</v>
      </c>
      <c r="H164" s="7" t="str">
        <f aca="false">IFERROR(INDEX('TRANS'!$C:$C,MATCH($B164,'TRANS'!$A:$A,0)),IFERROR(INDEX('Catalog'!$B:$B,MATCH($G164,'Catalog'!$A:$A,0)),$B164))</f>
        <v>397A-גרבי טיסה אנטי בקטרי43-46</v>
      </c>
      <c r="I164" s="7" t="str">
        <f aca="false">IF($G164="","Unmatched","Matched")</f>
        <v>Matched</v>
      </c>
      <c r="J164" s="7" t="n">
        <f aca="false">IF($G164&lt;&gt;"",$G164,$B164)</f>
        <v>4403043</v>
      </c>
      <c r="K164" s="7" t="str">
        <f aca="false">IF(COUNTIF($O$2:$O$16,$A164)&gt;0,"Y","N")</f>
        <v>Y</v>
      </c>
    </row>
    <row r="165" customFormat="false" ht="15" hidden="false" customHeight="false" outlineLevel="0" collapsed="false">
      <c r="A165" s="7" t="s">
        <v>31</v>
      </c>
      <c r="B165" s="7" t="s">
        <v>338</v>
      </c>
      <c r="C165" s="8" t="n">
        <v>80</v>
      </c>
      <c r="D165" s="8" t="n">
        <v>947.66</v>
      </c>
      <c r="E165" s="8" t="n">
        <v>0</v>
      </c>
      <c r="F165" s="8" t="n">
        <v>0</v>
      </c>
      <c r="G165" s="7" t="n">
        <f aca="false">IFERROR(INDEX('TRANS'!$B:$B,MATCH($B165,'TRANS'!$A:$A,0)),IFERROR(INDEX('TRANS'!$B:$B,MATCH(TRIM(SUBSTITUTE($B165,CHAR(160)," ")),'TRANS'!$D:$D,0)),IFERROR(INDEX('Catalog'!$A:$A,MATCH($B165,'Catalog'!$B:$B,0)),IFERROR(INDEX('Catalog'!$A:$A,MATCH(TRIM(SUBSTITUTE($B165,CHAR(160)," ")),'Catalog'!$C:$C,0)),""))))</f>
        <v>4413495</v>
      </c>
      <c r="H165" s="7" t="str">
        <f aca="false">IFERROR(INDEX('TRANS'!$C:$C,MATCH($B165,'TRANS'!$A:$A,0)),IFERROR(INDEX('Catalog'!$B:$B,MATCH($G165,'Catalog'!$A:$A,0)),$B165))</f>
        <v>45B L מגן ברך שחור</v>
      </c>
      <c r="I165" s="7" t="str">
        <f aca="false">IF($G165="","Unmatched","Matched")</f>
        <v>Matched</v>
      </c>
      <c r="J165" s="7" t="n">
        <f aca="false">IF($G165&lt;&gt;"",$G165,$B165)</f>
        <v>4413495</v>
      </c>
      <c r="K165" s="7" t="str">
        <f aca="false">IF(COUNTIF($O$2:$O$16,$A165)&gt;0,"Y","N")</f>
        <v>Y</v>
      </c>
    </row>
    <row r="166" customFormat="false" ht="15" hidden="false" customHeight="false" outlineLevel="0" collapsed="false">
      <c r="A166" s="7" t="s">
        <v>31</v>
      </c>
      <c r="B166" s="7" t="s">
        <v>339</v>
      </c>
      <c r="C166" s="8" t="n">
        <v>70</v>
      </c>
      <c r="D166" s="8" t="n">
        <v>827.99</v>
      </c>
      <c r="E166" s="8" t="n">
        <v>0</v>
      </c>
      <c r="F166" s="8" t="n">
        <v>0</v>
      </c>
      <c r="G166" s="7" t="n">
        <f aca="false">IFERROR(INDEX('TRANS'!$B:$B,MATCH($B166,'TRANS'!$A:$A,0)),IFERROR(INDEX('TRANS'!$B:$B,MATCH(TRIM(SUBSTITUTE($B166,CHAR(160)," ")),'TRANS'!$D:$D,0)),IFERROR(INDEX('Catalog'!$A:$A,MATCH($B166,'Catalog'!$B:$B,0)),IFERROR(INDEX('Catalog'!$A:$A,MATCH(TRIM(SUBSTITUTE($B166,CHAR(160)," ")),'Catalog'!$C:$C,0)),""))))</f>
        <v>4413497</v>
      </c>
      <c r="H166" s="7" t="str">
        <f aca="false">IFERROR(INDEX('TRANS'!$C:$C,MATCH($B166,'TRANS'!$A:$A,0)),IFERROR(INDEX('Catalog'!$B:$B,MATCH($G166,'Catalog'!$A:$A,0)),$B166))</f>
        <v>45B M מגן ברך שחור</v>
      </c>
      <c r="I166" s="7" t="str">
        <f aca="false">IF($G166="","Unmatched","Matched")</f>
        <v>Matched</v>
      </c>
      <c r="J166" s="7" t="n">
        <f aca="false">IF($G166&lt;&gt;"",$G166,$B166)</f>
        <v>4413497</v>
      </c>
      <c r="K166" s="7" t="str">
        <f aca="false">IF(COUNTIF($O$2:$O$16,$A166)&gt;0,"Y","N")</f>
        <v>Y</v>
      </c>
    </row>
    <row r="167" customFormat="false" ht="15" hidden="false" customHeight="false" outlineLevel="0" collapsed="false">
      <c r="A167" s="7" t="s">
        <v>31</v>
      </c>
      <c r="B167" s="7" t="s">
        <v>340</v>
      </c>
      <c r="C167" s="8" t="n">
        <v>20</v>
      </c>
      <c r="D167" s="8" t="n">
        <v>239.35</v>
      </c>
      <c r="E167" s="8" t="n">
        <v>0</v>
      </c>
      <c r="F167" s="8" t="n">
        <v>0</v>
      </c>
      <c r="G167" s="7" t="n">
        <f aca="false">IFERROR(INDEX('TRANS'!$B:$B,MATCH($B167,'TRANS'!$A:$A,0)),IFERROR(INDEX('TRANS'!$B:$B,MATCH(TRIM(SUBSTITUTE($B167,CHAR(160)," ")),'TRANS'!$D:$D,0)),IFERROR(INDEX('Catalog'!$A:$A,MATCH($B167,'Catalog'!$B:$B,0)),IFERROR(INDEX('Catalog'!$A:$A,MATCH(TRIM(SUBSTITUTE($B167,CHAR(160)," ")),'Catalog'!$C:$C,0)),""))))</f>
        <v>4413498</v>
      </c>
      <c r="H167" s="7" t="str">
        <f aca="false">IFERROR(INDEX('TRANS'!$C:$C,MATCH($B167,'TRANS'!$A:$A,0)),IFERROR(INDEX('Catalog'!$B:$B,MATCH($G167,'Catalog'!$A:$A,0)),$B167))</f>
        <v>45B S מגן ברך שחור</v>
      </c>
      <c r="I167" s="7" t="str">
        <f aca="false">IF($G167="","Unmatched","Matched")</f>
        <v>Matched</v>
      </c>
      <c r="J167" s="7" t="n">
        <f aca="false">IF($G167&lt;&gt;"",$G167,$B167)</f>
        <v>4413498</v>
      </c>
      <c r="K167" s="7" t="str">
        <f aca="false">IF(COUNTIF($O$2:$O$16,$A167)&gt;0,"Y","N")</f>
        <v>Y</v>
      </c>
    </row>
    <row r="168" customFormat="false" ht="15" hidden="false" customHeight="false" outlineLevel="0" collapsed="false">
      <c r="A168" s="7" t="s">
        <v>31</v>
      </c>
      <c r="B168" s="7" t="s">
        <v>341</v>
      </c>
      <c r="C168" s="8" t="n">
        <v>50</v>
      </c>
      <c r="D168" s="8" t="n">
        <v>595.13</v>
      </c>
      <c r="E168" s="8" t="n">
        <v>0</v>
      </c>
      <c r="F168" s="8" t="n">
        <v>0</v>
      </c>
      <c r="G168" s="7" t="n">
        <f aca="false">IFERROR(INDEX('TRANS'!$B:$B,MATCH($B168,'TRANS'!$A:$A,0)),IFERROR(INDEX('TRANS'!$B:$B,MATCH(TRIM(SUBSTITUTE($B168,CHAR(160)," ")),'TRANS'!$D:$D,0)),IFERROR(INDEX('Catalog'!$A:$A,MATCH($B168,'Catalog'!$B:$B,0)),IFERROR(INDEX('Catalog'!$A:$A,MATCH(TRIM(SUBSTITUTE($B168,CHAR(160)," ")),'Catalog'!$C:$C,0)),""))))</f>
        <v>4413496</v>
      </c>
      <c r="H168" s="7" t="str">
        <f aca="false">IFERROR(INDEX('TRANS'!$C:$C,MATCH($B168,'TRANS'!$A:$A,0)),IFERROR(INDEX('Catalog'!$B:$B,MATCH($G168,'Catalog'!$A:$A,0)),$B168))</f>
        <v>45B XL מגן ברך שחור</v>
      </c>
      <c r="I168" s="7" t="str">
        <f aca="false">IF($G168="","Unmatched","Matched")</f>
        <v>Matched</v>
      </c>
      <c r="J168" s="7" t="n">
        <f aca="false">IF($G168&lt;&gt;"",$G168,$B168)</f>
        <v>4413496</v>
      </c>
      <c r="K168" s="7" t="str">
        <f aca="false">IF(COUNTIF($O$2:$O$16,$A168)&gt;0,"Y","N")</f>
        <v>Y</v>
      </c>
    </row>
    <row r="169" customFormat="false" ht="15" hidden="false" customHeight="false" outlineLevel="0" collapsed="false">
      <c r="A169" s="7" t="s">
        <v>31</v>
      </c>
      <c r="B169" s="7" t="s">
        <v>403</v>
      </c>
      <c r="C169" s="8" t="n">
        <v>35</v>
      </c>
      <c r="D169" s="8" t="n">
        <v>423.61</v>
      </c>
      <c r="E169" s="8" t="n">
        <v>0</v>
      </c>
      <c r="F169" s="8" t="n">
        <v>0</v>
      </c>
      <c r="G169" s="7" t="n">
        <f aca="false">IFERROR(INDEX('TRANS'!$B:$B,MATCH($B169,'TRANS'!$A:$A,0)),IFERROR(INDEX('TRANS'!$B:$B,MATCH(TRIM(SUBSTITUTE($B169,CHAR(160)," ")),'TRANS'!$D:$D,0)),IFERROR(INDEX('Catalog'!$A:$A,MATCH($B169,'Catalog'!$B:$B,0)),IFERROR(INDEX('Catalog'!$A:$A,MATCH(TRIM(SUBSTITUTE($B169,CHAR(160)," ")),'Catalog'!$C:$C,0)),""))))</f>
        <v>4413499</v>
      </c>
      <c r="H169" s="7" t="str">
        <f aca="false">IFERROR(INDEX('TRANS'!$C:$C,MATCH($B169,'TRANS'!$A:$A,0)),IFERROR(INDEX('Catalog'!$B:$B,MATCH($G169,'Catalog'!$A:$A,0)),$B169))</f>
        <v>45B XXLמגן ברך שחור</v>
      </c>
      <c r="I169" s="7" t="str">
        <f aca="false">IF($G169="","Unmatched","Matched")</f>
        <v>Matched</v>
      </c>
      <c r="J169" s="7" t="n">
        <f aca="false">IF($G169&lt;&gt;"",$G169,$B169)</f>
        <v>4413499</v>
      </c>
      <c r="K169" s="7" t="str">
        <f aca="false">IF(COUNTIF($O$2:$O$16,$A169)&gt;0,"Y","N")</f>
        <v>Y</v>
      </c>
    </row>
    <row r="170" customFormat="false" ht="15" hidden="false" customHeight="false" outlineLevel="0" collapsed="false">
      <c r="A170" s="7" t="s">
        <v>31</v>
      </c>
      <c r="B170" s="7" t="s">
        <v>181</v>
      </c>
      <c r="C170" s="8" t="n">
        <v>1</v>
      </c>
      <c r="D170" s="8" t="n">
        <v>65.35</v>
      </c>
      <c r="E170" s="8" t="n">
        <v>0</v>
      </c>
      <c r="F170" s="8" t="n">
        <v>0</v>
      </c>
      <c r="G170" s="7" t="str">
        <f aca="false">IFERROR(INDEX('TRANS'!$B:$B,MATCH($B170,'TRANS'!$A:$A,0)),IFERROR(INDEX('TRANS'!$B:$B,MATCH(TRIM(SUBSTITUTE($B170,CHAR(160)," ")),'TRANS'!$D:$D,0)),IFERROR(INDEX('Catalog'!$A:$A,MATCH($B170,'Catalog'!$B:$B,0)),IFERROR(INDEX('Catalog'!$A:$A,MATCH(TRIM(SUBSTITUTE($B170,CHAR(160)," ")),'Catalog'!$C:$C,0)),""))))</f>
        <v/>
      </c>
      <c r="H170" s="7" t="str">
        <f aca="false">IFERROR(INDEX('TRANS'!$C:$C,MATCH($B170,'TRANS'!$A:$A,0)),IFERROR(INDEX('Catalog'!$B:$B,MATCH($G170,'Catalog'!$A:$A,0)),$B170))</f>
        <v>78A XXL</v>
      </c>
      <c r="I170" s="7" t="str">
        <f aca="false">IF($G170="","Unmatched","Matched")</f>
        <v>Unmatched</v>
      </c>
      <c r="J170" s="7" t="str">
        <f aca="false">IF($G170&lt;&gt;"",$G170,$B170)</f>
        <v>78A XXL</v>
      </c>
      <c r="K170" s="7" t="str">
        <f aca="false">IF(COUNTIF($O$2:$O$16,$A170)&gt;0,"Y","N")</f>
        <v>Y</v>
      </c>
    </row>
    <row r="171" customFormat="false" ht="15" hidden="false" customHeight="false" outlineLevel="0" collapsed="false">
      <c r="A171" s="7" t="s">
        <v>31</v>
      </c>
      <c r="B171" s="7" t="s">
        <v>346</v>
      </c>
      <c r="C171" s="8" t="n">
        <v>130</v>
      </c>
      <c r="D171" s="8" t="n">
        <v>1382.91</v>
      </c>
      <c r="E171" s="8" t="n">
        <v>0</v>
      </c>
      <c r="F171" s="8" t="n">
        <v>0</v>
      </c>
      <c r="G171" s="7" t="n">
        <f aca="false">IFERROR(INDEX('TRANS'!$B:$B,MATCH($B171,'TRANS'!$A:$A,0)),IFERROR(INDEX('TRANS'!$B:$B,MATCH(TRIM(SUBSTITUTE($B171,CHAR(160)," ")),'TRANS'!$D:$D,0)),IFERROR(INDEX('Catalog'!$A:$A,MATCH($B171,'Catalog'!$B:$B,0)),IFERROR(INDEX('Catalog'!$A:$A,MATCH(TRIM(SUBSTITUTE($B171,CHAR(160)," ")),'Catalog'!$C:$C,0)),""))))</f>
        <v>4422000</v>
      </c>
      <c r="H171" s="7" t="str">
        <f aca="false">IFERROR(INDEX('TRANS'!$C:$C,MATCH($B171,'TRANS'!$A:$A,0)),IFERROR(INDEX('Catalog'!$B:$B,MATCH($G171,'Catalog'!$A:$A,0)),$B171))</f>
        <v>801  תחבושת אלסטית מקררת</v>
      </c>
      <c r="I171" s="7" t="str">
        <f aca="false">IF($G171="","Unmatched","Matched")</f>
        <v>Matched</v>
      </c>
      <c r="J171" s="7" t="n">
        <f aca="false">IF($G171&lt;&gt;"",$G171,$B171)</f>
        <v>4422000</v>
      </c>
      <c r="K171" s="7" t="str">
        <f aca="false">IF(COUNTIF($O$2:$O$16,$A171)&gt;0,"Y","N")</f>
        <v>Y</v>
      </c>
    </row>
    <row r="172" customFormat="false" ht="15" hidden="false" customHeight="false" outlineLevel="0" collapsed="false">
      <c r="A172" s="7" t="s">
        <v>31</v>
      </c>
      <c r="B172" s="7" t="s">
        <v>355</v>
      </c>
      <c r="C172" s="8" t="n">
        <v>50</v>
      </c>
      <c r="D172" s="8" t="n">
        <v>1050</v>
      </c>
      <c r="E172" s="8" t="n">
        <v>0</v>
      </c>
      <c r="F172" s="8" t="n">
        <v>0</v>
      </c>
      <c r="G172" s="7" t="n">
        <f aca="false">IFERROR(INDEX('TRANS'!$B:$B,MATCH($B172,'TRANS'!$A:$A,0)),IFERROR(INDEX('TRANS'!$B:$B,MATCH(TRIM(SUBSTITUTE($B172,CHAR(160)," ")),'TRANS'!$D:$D,0)),IFERROR(INDEX('Catalog'!$A:$A,MATCH($B172,'Catalog'!$B:$B,0)),IFERROR(INDEX('Catalog'!$A:$A,MATCH(TRIM(SUBSTITUTE($B172,CHAR(160)," ")),'Catalog'!$C:$C,0)),""))))</f>
        <v>4413135</v>
      </c>
      <c r="H172" s="7" t="str">
        <f aca="false">IFERROR(INDEX('TRANS'!$C:$C,MATCH($B172,'TRANS'!$A:$A,0)),IFERROR(INDEX('Catalog'!$B:$B,MATCH($G172,'Catalog'!$A:$A,0)),$B172))</f>
        <v>85 L (מתלה ליד )כיס</v>
      </c>
      <c r="I172" s="7" t="str">
        <f aca="false">IF($G172="","Unmatched","Matched")</f>
        <v>Matched</v>
      </c>
      <c r="J172" s="7" t="n">
        <f aca="false">IF($G172&lt;&gt;"",$G172,$B172)</f>
        <v>4413135</v>
      </c>
      <c r="K172" s="7" t="str">
        <f aca="false">IF(COUNTIF($O$2:$O$16,$A172)&gt;0,"Y","N")</f>
        <v>Y</v>
      </c>
    </row>
    <row r="173" customFormat="false" ht="15" hidden="false" customHeight="false" outlineLevel="0" collapsed="false">
      <c r="A173" s="7" t="s">
        <v>31</v>
      </c>
      <c r="B173" s="7" t="s">
        <v>356</v>
      </c>
      <c r="C173" s="8" t="n">
        <v>50</v>
      </c>
      <c r="D173" s="8" t="n">
        <v>1050</v>
      </c>
      <c r="E173" s="8" t="n">
        <v>0</v>
      </c>
      <c r="F173" s="8" t="n">
        <v>0</v>
      </c>
      <c r="G173" s="7" t="n">
        <f aca="false">IFERROR(INDEX('TRANS'!$B:$B,MATCH($B173,'TRANS'!$A:$A,0)),IFERROR(INDEX('TRANS'!$B:$B,MATCH(TRIM(SUBSTITUTE($B173,CHAR(160)," ")),'TRANS'!$D:$D,0)),IFERROR(INDEX('Catalog'!$A:$A,MATCH($B173,'Catalog'!$B:$B,0)),IFERROR(INDEX('Catalog'!$A:$A,MATCH(TRIM(SUBSTITUTE($B173,CHAR(160)," ")),'Catalog'!$C:$C,0)),""))))</f>
        <v>4413136</v>
      </c>
      <c r="H173" s="7" t="str">
        <f aca="false">IFERROR(INDEX('TRANS'!$C:$C,MATCH($B173,'TRANS'!$A:$A,0)),IFERROR(INDEX('Catalog'!$B:$B,MATCH($G173,'Catalog'!$A:$A,0)),$B173))</f>
        <v>85 M (מתלה ליד )כיס</v>
      </c>
      <c r="I173" s="7" t="str">
        <f aca="false">IF($G173="","Unmatched","Matched")</f>
        <v>Matched</v>
      </c>
      <c r="J173" s="7" t="n">
        <f aca="false">IF($G173&lt;&gt;"",$G173,$B173)</f>
        <v>4413136</v>
      </c>
      <c r="K173" s="7" t="str">
        <f aca="false">IF(COUNTIF($O$2:$O$16,$A173)&gt;0,"Y","N")</f>
        <v>Y</v>
      </c>
    </row>
    <row r="174" customFormat="false" ht="15" hidden="false" customHeight="false" outlineLevel="0" collapsed="false">
      <c r="A174" s="7" t="s">
        <v>31</v>
      </c>
      <c r="B174" s="7" t="s">
        <v>357</v>
      </c>
      <c r="C174" s="8" t="n">
        <v>40</v>
      </c>
      <c r="D174" s="8" t="n">
        <v>846.71</v>
      </c>
      <c r="E174" s="8" t="n">
        <v>0</v>
      </c>
      <c r="F174" s="8" t="n">
        <v>0</v>
      </c>
      <c r="G174" s="7" t="n">
        <f aca="false">IFERROR(INDEX('TRANS'!$B:$B,MATCH($B174,'TRANS'!$A:$A,0)),IFERROR(INDEX('TRANS'!$B:$B,MATCH(TRIM(SUBSTITUTE($B174,CHAR(160)," ")),'TRANS'!$D:$D,0)),IFERROR(INDEX('Catalog'!$A:$A,MATCH($B174,'Catalog'!$B:$B,0)),IFERROR(INDEX('Catalog'!$A:$A,MATCH(TRIM(SUBSTITUTE($B174,CHAR(160)," ")),'Catalog'!$C:$C,0)),""))))</f>
        <v>4413137</v>
      </c>
      <c r="H174" s="7" t="str">
        <f aca="false">IFERROR(INDEX('TRANS'!$C:$C,MATCH($B174,'TRANS'!$A:$A,0)),IFERROR(INDEX('Catalog'!$B:$B,MATCH($G174,'Catalog'!$A:$A,0)),$B174))</f>
        <v>85 S (מתלה ליד )כיס</v>
      </c>
      <c r="I174" s="7" t="str">
        <f aca="false">IF($G174="","Unmatched","Matched")</f>
        <v>Matched</v>
      </c>
      <c r="J174" s="7" t="n">
        <f aca="false">IF($G174&lt;&gt;"",$G174,$B174)</f>
        <v>4413137</v>
      </c>
      <c r="K174" s="7" t="str">
        <f aca="false">IF(COUNTIF($O$2:$O$16,$A174)&gt;0,"Y","N")</f>
        <v>Y</v>
      </c>
    </row>
    <row r="175" customFormat="false" ht="15" hidden="false" customHeight="false" outlineLevel="0" collapsed="false">
      <c r="A175" s="7" t="s">
        <v>31</v>
      </c>
      <c r="B175" s="7" t="s">
        <v>358</v>
      </c>
      <c r="C175" s="8" t="n">
        <v>15</v>
      </c>
      <c r="D175" s="8" t="n">
        <v>304.94</v>
      </c>
      <c r="E175" s="8" t="n">
        <v>0</v>
      </c>
      <c r="F175" s="8" t="n">
        <v>0</v>
      </c>
      <c r="G175" s="7" t="n">
        <f aca="false">IFERROR(INDEX('TRANS'!$B:$B,MATCH($B175,'TRANS'!$A:$A,0)),IFERROR(INDEX('TRANS'!$B:$B,MATCH(TRIM(SUBSTITUTE($B175,CHAR(160)," ")),'TRANS'!$D:$D,0)),IFERROR(INDEX('Catalog'!$A:$A,MATCH($B175,'Catalog'!$B:$B,0)),IFERROR(INDEX('Catalog'!$A:$A,MATCH(TRIM(SUBSTITUTE($B175,CHAR(160)," ")),'Catalog'!$C:$C,0)),""))))</f>
        <v>4413138</v>
      </c>
      <c r="H175" s="7" t="str">
        <f aca="false">IFERROR(INDEX('TRANS'!$C:$C,MATCH($B175,'TRANS'!$A:$A,0)),IFERROR(INDEX('Catalog'!$B:$B,MATCH($G175,'Catalog'!$A:$A,0)),$B175))</f>
        <v>85 XL (מתלה ליד )כיס</v>
      </c>
      <c r="I175" s="7" t="str">
        <f aca="false">IF($G175="","Unmatched","Matched")</f>
        <v>Matched</v>
      </c>
      <c r="J175" s="7" t="n">
        <f aca="false">IF($G175&lt;&gt;"",$G175,$B175)</f>
        <v>4413138</v>
      </c>
      <c r="K175" s="7" t="str">
        <f aca="false">IF(COUNTIF($O$2:$O$16,$A175)&gt;0,"Y","N")</f>
        <v>Y</v>
      </c>
    </row>
    <row r="176" customFormat="false" ht="15" hidden="false" customHeight="false" outlineLevel="0" collapsed="false">
      <c r="A176" s="7" t="s">
        <v>31</v>
      </c>
      <c r="B176" s="7" t="s">
        <v>363</v>
      </c>
      <c r="C176" s="8" t="n">
        <v>10</v>
      </c>
      <c r="D176" s="8" t="n">
        <v>114.58</v>
      </c>
      <c r="E176" s="8" t="n">
        <v>20</v>
      </c>
      <c r="F176" s="8" t="n">
        <v>220.03</v>
      </c>
      <c r="G176" s="7" t="n">
        <f aca="false">IFERROR(INDEX('TRANS'!$B:$B,MATCH($B176,'TRANS'!$A:$A,0)),IFERROR(INDEX('TRANS'!$B:$B,MATCH(TRIM(SUBSTITUTE($B176,CHAR(160)," ")),'TRANS'!$D:$D,0)),IFERROR(INDEX('Catalog'!$A:$A,MATCH($B176,'Catalog'!$B:$B,0)),IFERROR(INDEX('Catalog'!$A:$A,MATCH(TRIM(SUBSTITUTE($B176,CHAR(160)," ")),'Catalog'!$C:$C,0)),""))))</f>
        <v>4413500</v>
      </c>
      <c r="H176" s="7" t="str">
        <f aca="false">IFERROR(INDEX('TRANS'!$C:$C,MATCH($B176,'TRANS'!$A:$A,0)),IFERROR(INDEX('Catalog'!$B:$B,MATCH($G176,'Catalog'!$A:$A,0)),$B176))</f>
        <v>95B L מגן מרפק שחור</v>
      </c>
      <c r="I176" s="7" t="str">
        <f aca="false">IF($G176="","Unmatched","Matched")</f>
        <v>Matched</v>
      </c>
      <c r="J176" s="7" t="n">
        <f aca="false">IF($G176&lt;&gt;"",$G176,$B176)</f>
        <v>4413500</v>
      </c>
      <c r="K176" s="7" t="str">
        <f aca="false">IF(COUNTIF($O$2:$O$16,$A176)&gt;0,"Y","N")</f>
        <v>Y</v>
      </c>
    </row>
    <row r="177" customFormat="false" ht="15" hidden="false" customHeight="false" outlineLevel="0" collapsed="false">
      <c r="A177" s="7" t="s">
        <v>31</v>
      </c>
      <c r="B177" s="7" t="s">
        <v>364</v>
      </c>
      <c r="C177" s="8" t="n">
        <v>0</v>
      </c>
      <c r="D177" s="8" t="n">
        <v>0</v>
      </c>
      <c r="E177" s="8" t="n">
        <v>40</v>
      </c>
      <c r="F177" s="8" t="n">
        <v>440.07</v>
      </c>
      <c r="G177" s="7" t="n">
        <f aca="false">IFERROR(INDEX('TRANS'!$B:$B,MATCH($B177,'TRANS'!$A:$A,0)),IFERROR(INDEX('TRANS'!$B:$B,MATCH(TRIM(SUBSTITUTE($B177,CHAR(160)," ")),'TRANS'!$D:$D,0)),IFERROR(INDEX('Catalog'!$A:$A,MATCH($B177,'Catalog'!$B:$B,0)),IFERROR(INDEX('Catalog'!$A:$A,MATCH(TRIM(SUBSTITUTE($B177,CHAR(160)," ")),'Catalog'!$C:$C,0)),""))))</f>
        <v>4413501</v>
      </c>
      <c r="H177" s="7" t="str">
        <f aca="false">IFERROR(INDEX('TRANS'!$C:$C,MATCH($B177,'TRANS'!$A:$A,0)),IFERROR(INDEX('Catalog'!$B:$B,MATCH($G177,'Catalog'!$A:$A,0)),$B177))</f>
        <v>95B M מגן מרפק שחור</v>
      </c>
      <c r="I177" s="7" t="str">
        <f aca="false">IF($G177="","Unmatched","Matched")</f>
        <v>Matched</v>
      </c>
      <c r="J177" s="7" t="n">
        <f aca="false">IF($G177&lt;&gt;"",$G177,$B177)</f>
        <v>4413501</v>
      </c>
      <c r="K177" s="7" t="str">
        <f aca="false">IF(COUNTIF($O$2:$O$16,$A177)&gt;0,"Y","N")</f>
        <v>Y</v>
      </c>
    </row>
    <row r="178" customFormat="false" ht="15" hidden="false" customHeight="false" outlineLevel="0" collapsed="false">
      <c r="A178" s="7" t="s">
        <v>31</v>
      </c>
      <c r="B178" s="7" t="s">
        <v>366</v>
      </c>
      <c r="C178" s="8" t="n">
        <v>10</v>
      </c>
      <c r="D178" s="8" t="n">
        <v>117.78</v>
      </c>
      <c r="E178" s="8" t="n">
        <v>20</v>
      </c>
      <c r="F178" s="8" t="n">
        <v>220.03</v>
      </c>
      <c r="G178" s="7" t="n">
        <f aca="false">IFERROR(INDEX('TRANS'!$B:$B,MATCH($B178,'TRANS'!$A:$A,0)),IFERROR(INDEX('TRANS'!$B:$B,MATCH(TRIM(SUBSTITUTE($B178,CHAR(160)," ")),'TRANS'!$D:$D,0)),IFERROR(INDEX('Catalog'!$A:$A,MATCH($B178,'Catalog'!$B:$B,0)),IFERROR(INDEX('Catalog'!$A:$A,MATCH(TRIM(SUBSTITUTE($B178,CHAR(160)," ")),'Catalog'!$C:$C,0)),""))))</f>
        <v>4413503</v>
      </c>
      <c r="H178" s="7" t="str">
        <f aca="false">IFERROR(INDEX('TRANS'!$C:$C,MATCH($B178,'TRANS'!$A:$A,0)),IFERROR(INDEX('Catalog'!$B:$B,MATCH($G178,'Catalog'!$A:$A,0)),$B178))</f>
        <v>95B XL מגן מרפק שחור</v>
      </c>
      <c r="I178" s="7" t="str">
        <f aca="false">IF($G178="","Unmatched","Matched")</f>
        <v>Matched</v>
      </c>
      <c r="J178" s="7" t="n">
        <f aca="false">IF($G178&lt;&gt;"",$G178,$B178)</f>
        <v>4413503</v>
      </c>
      <c r="K178" s="7" t="str">
        <f aca="false">IF(COUNTIF($O$2:$O$16,$A178)&gt;0,"Y","N")</f>
        <v>Y</v>
      </c>
    </row>
    <row r="179" customFormat="false" ht="15" hidden="false" customHeight="false" outlineLevel="0" collapsed="false">
      <c r="A179" s="7" t="s">
        <v>31</v>
      </c>
      <c r="B179" s="7" t="s">
        <v>404</v>
      </c>
      <c r="C179" s="8" t="n">
        <v>60</v>
      </c>
      <c r="D179" s="8" t="n">
        <v>2564.02</v>
      </c>
      <c r="E179" s="8" t="n">
        <v>0</v>
      </c>
      <c r="F179" s="8" t="n">
        <v>0</v>
      </c>
      <c r="G179" s="7" t="n">
        <f aca="false">IFERROR(INDEX('TRANS'!$B:$B,MATCH($B179,'TRANS'!$A:$A,0)),IFERROR(INDEX('TRANS'!$B:$B,MATCH(TRIM(SUBSTITUTE($B179,CHAR(160)," ")),'TRANS'!$D:$D,0)),IFERROR(INDEX('Catalog'!$A:$A,MATCH($B179,'Catalog'!$B:$B,0)),IFERROR(INDEX('Catalog'!$A:$A,MATCH(TRIM(SUBSTITUTE($B179,CHAR(160)," ")),'Catalog'!$C:$C,0)),""))))</f>
        <v>4408205</v>
      </c>
      <c r="H179" s="7" t="str">
        <f aca="false">IFERROR(INDEX('TRANS'!$C:$C,MATCH($B179,'TRANS'!$A:$A,0)),IFERROR(INDEX('Catalog'!$B:$B,MATCH($G179,'Catalog'!$A:$A,0)),$B179))</f>
        <v>AC-07 חגורת גב עם תמיכות</v>
      </c>
      <c r="I179" s="7" t="str">
        <f aca="false">IF($G179="","Unmatched","Matched")</f>
        <v>Matched</v>
      </c>
      <c r="J179" s="7" t="n">
        <f aca="false">IF($G179&lt;&gt;"",$G179,$B179)</f>
        <v>4408205</v>
      </c>
      <c r="K179" s="7" t="str">
        <f aca="false">IF(COUNTIF($O$2:$O$16,$A179)&gt;0,"Y","N")</f>
        <v>Y</v>
      </c>
    </row>
    <row r="180" customFormat="false" ht="15" hidden="false" customHeight="false" outlineLevel="0" collapsed="false">
      <c r="A180" s="7" t="s">
        <v>31</v>
      </c>
      <c r="B180" s="7" t="s">
        <v>371</v>
      </c>
      <c r="C180" s="8" t="n">
        <v>450</v>
      </c>
      <c r="D180" s="8" t="n">
        <v>7393.9</v>
      </c>
      <c r="E180" s="8" t="n">
        <v>260</v>
      </c>
      <c r="F180" s="8" t="n">
        <v>3917.19</v>
      </c>
      <c r="G180" s="7" t="n">
        <f aca="false">IFERROR(INDEX('TRANS'!$B:$B,MATCH($B180,'TRANS'!$A:$A,0)),IFERROR(INDEX('TRANS'!$B:$B,MATCH(TRIM(SUBSTITUTE($B180,CHAR(160)," ")),'TRANS'!$D:$D,0)),IFERROR(INDEX('Catalog'!$A:$A,MATCH($B180,'Catalog'!$B:$B,0)),IFERROR(INDEX('Catalog'!$A:$A,MATCH(TRIM(SUBSTITUTE($B180,CHAR(160)," ")),'Catalog'!$C:$C,0)),""))))</f>
        <v>4408207</v>
      </c>
      <c r="H180" s="7" t="str">
        <f aca="false">IFERROR(INDEX('TRANS'!$C:$C,MATCH($B180,'TRANS'!$A:$A,0)),IFERROR(INDEX('Catalog'!$B:$B,MATCH($G180,'Catalog'!$A:$A,0)),$B180))</f>
        <v>AC-25 חבק לשורש כף היד</v>
      </c>
      <c r="I180" s="7" t="str">
        <f aca="false">IF($G180="","Unmatched","Matched")</f>
        <v>Matched</v>
      </c>
      <c r="J180" s="7" t="n">
        <f aca="false">IF($G180&lt;&gt;"",$G180,$B180)</f>
        <v>4408207</v>
      </c>
      <c r="K180" s="7" t="str">
        <f aca="false">IF(COUNTIF($O$2:$O$16,$A180)&gt;0,"Y","N")</f>
        <v>Y</v>
      </c>
    </row>
    <row r="181" customFormat="false" ht="15" hidden="false" customHeight="false" outlineLevel="0" collapsed="false">
      <c r="A181" s="7" t="s">
        <v>31</v>
      </c>
      <c r="B181" s="7" t="s">
        <v>372</v>
      </c>
      <c r="C181" s="8" t="n">
        <v>30</v>
      </c>
      <c r="D181" s="8" t="n">
        <v>934.5</v>
      </c>
      <c r="E181" s="8" t="n">
        <v>0</v>
      </c>
      <c r="F181" s="8" t="n">
        <v>0</v>
      </c>
      <c r="G181" s="7" t="n">
        <f aca="false">IFERROR(INDEX('TRANS'!$B:$B,MATCH($B181,'TRANS'!$A:$A,0)),IFERROR(INDEX('TRANS'!$B:$B,MATCH(TRIM(SUBSTITUTE($B181,CHAR(160)," ")),'TRANS'!$D:$D,0)),IFERROR(INDEX('Catalog'!$A:$A,MATCH($B181,'Catalog'!$B:$B,0)),IFERROR(INDEX('Catalog'!$A:$A,MATCH(TRIM(SUBSTITUTE($B181,CHAR(160)," ")),'Catalog'!$C:$C,0)),""))))</f>
        <v>4415026</v>
      </c>
      <c r="H181" s="7" t="str">
        <f aca="false">IFERROR(INDEX('TRANS'!$C:$C,MATCH($B181,'TRANS'!$A:$A,0)),IFERROR(INDEX('Catalog'!$B:$B,MATCH($G181,'Catalog'!$A:$A,0)),$B181))</f>
        <v>AC-27L סד לש.כף יד שמאל</v>
      </c>
      <c r="I181" s="7" t="str">
        <f aca="false">IF($G181="","Unmatched","Matched")</f>
        <v>Matched</v>
      </c>
      <c r="J181" s="7" t="n">
        <f aca="false">IF($G181&lt;&gt;"",$G181,$B181)</f>
        <v>4415026</v>
      </c>
      <c r="K181" s="7" t="str">
        <f aca="false">IF(COUNTIF($O$2:$O$16,$A181)&gt;0,"Y","N")</f>
        <v>Y</v>
      </c>
    </row>
    <row r="182" customFormat="false" ht="15" hidden="false" customHeight="false" outlineLevel="0" collapsed="false">
      <c r="A182" s="7" t="s">
        <v>31</v>
      </c>
      <c r="B182" s="7" t="s">
        <v>373</v>
      </c>
      <c r="C182" s="8" t="n">
        <v>40</v>
      </c>
      <c r="D182" s="8" t="n">
        <v>1251.74</v>
      </c>
      <c r="E182" s="8" t="n">
        <v>0</v>
      </c>
      <c r="F182" s="8" t="n">
        <v>0</v>
      </c>
      <c r="G182" s="7" t="n">
        <f aca="false">IFERROR(INDEX('TRANS'!$B:$B,MATCH($B182,'TRANS'!$A:$A,0)),IFERROR(INDEX('TRANS'!$B:$B,MATCH(TRIM(SUBSTITUTE($B182,CHAR(160)," ")),'TRANS'!$D:$D,0)),IFERROR(INDEX('Catalog'!$A:$A,MATCH($B182,'Catalog'!$B:$B,0)),IFERROR(INDEX('Catalog'!$A:$A,MATCH(TRIM(SUBSTITUTE($B182,CHAR(160)," ")),'Catalog'!$C:$C,0)),""))))</f>
        <v>4415027</v>
      </c>
      <c r="H182" s="7" t="str">
        <f aca="false">IFERROR(INDEX('TRANS'!$C:$C,MATCH($B182,'TRANS'!$A:$A,0)),IFERROR(INDEX('Catalog'!$B:$B,MATCH($G182,'Catalog'!$A:$A,0)),$B182))</f>
        <v>AC-27R סד לש.כף יד ימין</v>
      </c>
      <c r="I182" s="7" t="str">
        <f aca="false">IF($G182="","Unmatched","Matched")</f>
        <v>Matched</v>
      </c>
      <c r="J182" s="7" t="n">
        <f aca="false">IF($G182&lt;&gt;"",$G182,$B182)</f>
        <v>4415027</v>
      </c>
      <c r="K182" s="7" t="str">
        <f aca="false">IF(COUNTIF($O$2:$O$16,$A182)&gt;0,"Y","N")</f>
        <v>Y</v>
      </c>
    </row>
    <row r="183" customFormat="false" ht="15" hidden="false" customHeight="false" outlineLevel="0" collapsed="false">
      <c r="A183" s="7" t="s">
        <v>31</v>
      </c>
      <c r="B183" s="7" t="s">
        <v>374</v>
      </c>
      <c r="C183" s="8" t="n">
        <v>470</v>
      </c>
      <c r="D183" s="8" t="n">
        <v>7664.64</v>
      </c>
      <c r="E183" s="8" t="n">
        <v>260</v>
      </c>
      <c r="F183" s="8" t="n">
        <v>3917.19</v>
      </c>
      <c r="G183" s="7" t="n">
        <f aca="false">IFERROR(INDEX('TRANS'!$B:$B,MATCH($B183,'TRANS'!$A:$A,0)),IFERROR(INDEX('TRANS'!$B:$B,MATCH(TRIM(SUBSTITUTE($B183,CHAR(160)," ")),'TRANS'!$D:$D,0)),IFERROR(INDEX('Catalog'!$A:$A,MATCH($B183,'Catalog'!$B:$B,0)),IFERROR(INDEX('Catalog'!$A:$A,MATCH(TRIM(SUBSTITUTE($B183,CHAR(160)," ")),'Catalog'!$C:$C,0)),""))))</f>
        <v>4415028</v>
      </c>
      <c r="H183" s="7" t="str">
        <f aca="false">IFERROR(INDEX('TRANS'!$C:$C,MATCH($B183,'TRANS'!$A:$A,0)),IFERROR(INDEX('Catalog'!$B:$B,MATCH($G183,'Catalog'!$A:$A,0)),$B183))</f>
        <v>AC-28 סד לאגודל</v>
      </c>
      <c r="I183" s="7" t="str">
        <f aca="false">IF($G183="","Unmatched","Matched")</f>
        <v>Matched</v>
      </c>
      <c r="J183" s="7" t="n">
        <f aca="false">IF($G183&lt;&gt;"",$G183,$B183)</f>
        <v>4415028</v>
      </c>
      <c r="K183" s="7" t="str">
        <f aca="false">IF(COUNTIF($O$2:$O$16,$A183)&gt;0,"Y","N")</f>
        <v>Y</v>
      </c>
    </row>
    <row r="184" customFormat="false" ht="15" hidden="false" customHeight="false" outlineLevel="0" collapsed="false">
      <c r="A184" s="7" t="s">
        <v>31</v>
      </c>
      <c r="B184" s="7" t="s">
        <v>375</v>
      </c>
      <c r="C184" s="8" t="n">
        <v>30</v>
      </c>
      <c r="D184" s="8" t="n">
        <v>598.37</v>
      </c>
      <c r="E184" s="8" t="n">
        <v>0</v>
      </c>
      <c r="F184" s="8" t="n">
        <v>0</v>
      </c>
      <c r="G184" s="7" t="n">
        <f aca="false">IFERROR(INDEX('TRANS'!$B:$B,MATCH($B184,'TRANS'!$A:$A,0)),IFERROR(INDEX('TRANS'!$B:$B,MATCH(TRIM(SUBSTITUTE($B184,CHAR(160)," ")),'TRANS'!$D:$D,0)),IFERROR(INDEX('Catalog'!$A:$A,MATCH($B184,'Catalog'!$B:$B,0)),IFERROR(INDEX('Catalog'!$A:$A,MATCH(TRIM(SUBSTITUTE($B184,CHAR(160)," ")),'Catalog'!$C:$C,0)),""))))</f>
        <v>4413326</v>
      </c>
      <c r="H184" s="7" t="str">
        <f aca="false">IFERROR(INDEX('TRANS'!$C:$C,MATCH($B184,'TRANS'!$A:$A,0)),IFERROR(INDEX('Catalog'!$B:$B,MATCH($G184,'Catalog'!$A:$A,0)),$B184))</f>
        <v>AC37 מגן קרסול נושם</v>
      </c>
      <c r="I184" s="7" t="str">
        <f aca="false">IF($G184="","Unmatched","Matched")</f>
        <v>Matched</v>
      </c>
      <c r="J184" s="7" t="n">
        <f aca="false">IF($G184&lt;&gt;"",$G184,$B184)</f>
        <v>4413326</v>
      </c>
      <c r="K184" s="7" t="str">
        <f aca="false">IF(COUNTIF($O$2:$O$16,$A184)&gt;0,"Y","N")</f>
        <v>Y</v>
      </c>
    </row>
    <row r="185" customFormat="false" ht="15" hidden="false" customHeight="false" outlineLevel="0" collapsed="false">
      <c r="A185" s="7" t="s">
        <v>31</v>
      </c>
      <c r="B185" s="7" t="s">
        <v>376</v>
      </c>
      <c r="C185" s="8" t="n">
        <v>20</v>
      </c>
      <c r="D185" s="8" t="n">
        <v>959.45</v>
      </c>
      <c r="E185" s="8" t="n">
        <v>0</v>
      </c>
      <c r="F185" s="8" t="n">
        <v>0</v>
      </c>
      <c r="G185" s="7" t="n">
        <f aca="false">IFERROR(INDEX('TRANS'!$B:$B,MATCH($B185,'TRANS'!$A:$A,0)),IFERROR(INDEX('TRANS'!$B:$B,MATCH(TRIM(SUBSTITUTE($B185,CHAR(160)," ")),'TRANS'!$D:$D,0)),IFERROR(INDEX('Catalog'!$A:$A,MATCH($B185,'Catalog'!$B:$B,0)),IFERROR(INDEX('Catalog'!$A:$A,MATCH(TRIM(SUBSTITUTE($B185,CHAR(160)," ")),'Catalog'!$C:$C,0)),""))))</f>
        <v>4413328</v>
      </c>
      <c r="H185" s="7" t="str">
        <f aca="false">IFERROR(INDEX('TRANS'!$C:$C,MATCH($B185,'TRANS'!$A:$A,0)),IFERROR(INDEX('Catalog'!$B:$B,MATCH($G185,'Catalog'!$A:$A,0)),$B185))</f>
        <v>AC43D מגן ברך + צירים</v>
      </c>
      <c r="I185" s="7" t="str">
        <f aca="false">IF($G185="","Unmatched","Matched")</f>
        <v>Matched</v>
      </c>
      <c r="J185" s="7" t="n">
        <f aca="false">IF($G185&lt;&gt;"",$G185,$B185)</f>
        <v>4413328</v>
      </c>
      <c r="K185" s="7" t="str">
        <f aca="false">IF(COUNTIF($O$2:$O$16,$A185)&gt;0,"Y","N")</f>
        <v>Y</v>
      </c>
    </row>
    <row r="186" customFormat="false" ht="15" hidden="false" customHeight="false" outlineLevel="0" collapsed="false">
      <c r="A186" s="7" t="s">
        <v>31</v>
      </c>
      <c r="B186" s="7" t="s">
        <v>377</v>
      </c>
      <c r="C186" s="8" t="n">
        <v>140</v>
      </c>
      <c r="D186" s="8" t="n">
        <v>5088.22</v>
      </c>
      <c r="E186" s="8" t="n">
        <v>100</v>
      </c>
      <c r="F186" s="8" t="n">
        <v>3379.37</v>
      </c>
      <c r="G186" s="7" t="n">
        <f aca="false">IFERROR(INDEX('TRANS'!$B:$B,MATCH($B186,'TRANS'!$A:$A,0)),IFERROR(INDEX('TRANS'!$B:$B,MATCH(TRIM(SUBSTITUTE($B186,CHAR(160)," ")),'TRANS'!$D:$D,0)),IFERROR(INDEX('Catalog'!$A:$A,MATCH($B186,'Catalog'!$B:$B,0)),IFERROR(INDEX('Catalog'!$A:$A,MATCH(TRIM(SUBSTITUTE($B186,CHAR(160)," ")),'Catalog'!$C:$C,0)),""))))</f>
        <v>4413329</v>
      </c>
      <c r="H186" s="7" t="str">
        <f aca="false">IFERROR(INDEX('TRANS'!$C:$C,MATCH($B186,'TRANS'!$A:$A,0)),IFERROR(INDEX('Catalog'!$B:$B,MATCH($G186,'Catalog'!$A:$A,0)),$B186))</f>
        <v>AC45X מגן ברך עם תמיכות</v>
      </c>
      <c r="I186" s="7" t="str">
        <f aca="false">IF($G186="","Unmatched","Matched")</f>
        <v>Matched</v>
      </c>
      <c r="J186" s="7" t="n">
        <f aca="false">IF($G186&lt;&gt;"",$G186,$B186)</f>
        <v>4413329</v>
      </c>
      <c r="K186" s="7" t="str">
        <f aca="false">IF(COUNTIF($O$2:$O$16,$A186)&gt;0,"Y","N")</f>
        <v>Y</v>
      </c>
    </row>
    <row r="187" customFormat="false" ht="15" hidden="false" customHeight="false" outlineLevel="0" collapsed="false">
      <c r="A187" s="7" t="s">
        <v>31</v>
      </c>
      <c r="B187" s="7" t="s">
        <v>380</v>
      </c>
      <c r="C187" s="8" t="n">
        <v>70</v>
      </c>
      <c r="D187" s="8" t="n">
        <v>1192.26</v>
      </c>
      <c r="E187" s="8" t="n">
        <v>20</v>
      </c>
      <c r="F187" s="8" t="n">
        <v>315.86</v>
      </c>
      <c r="G187" s="7" t="n">
        <f aca="false">IFERROR(INDEX('TRANS'!$B:$B,MATCH($B187,'TRANS'!$A:$A,0)),IFERROR(INDEX('TRANS'!$B:$B,MATCH(TRIM(SUBSTITUTE($B187,CHAR(160)," ")),'TRANS'!$D:$D,0)),IFERROR(INDEX('Catalog'!$A:$A,MATCH($B187,'Catalog'!$B:$B,0)),IFERROR(INDEX('Catalog'!$A:$A,MATCH(TRIM(SUBSTITUTE($B187,CHAR(160)," ")),'Catalog'!$C:$C,0)),""))))</f>
        <v>4408208</v>
      </c>
      <c r="H187" s="7" t="str">
        <f aca="false">IFERROR(INDEX('TRANS'!$C:$C,MATCH($B187,'TRANS'!$A:$A,0)),IFERROR(INDEX('Catalog'!$B:$B,MATCH($G187,'Catalog'!$A:$A,0)),$B187))</f>
        <v>AC91 חבק טניס</v>
      </c>
      <c r="I187" s="7" t="str">
        <f aca="false">IF($G187="","Unmatched","Matched")</f>
        <v>Matched</v>
      </c>
      <c r="J187" s="7" t="n">
        <f aca="false">IF($G187&lt;&gt;"",$G187,$B187)</f>
        <v>4408208</v>
      </c>
      <c r="K187" s="7" t="str">
        <f aca="false">IF(COUNTIF($O$2:$O$16,$A187)&gt;0,"Y","N")</f>
        <v>Y</v>
      </c>
    </row>
    <row r="188" customFormat="false" ht="15" hidden="false" customHeight="false" outlineLevel="0" collapsed="false">
      <c r="A188" s="7" t="s">
        <v>31</v>
      </c>
      <c r="B188" s="7" t="s">
        <v>405</v>
      </c>
      <c r="C188" s="8" t="n">
        <v>20</v>
      </c>
      <c r="D188" s="8" t="n">
        <v>348.53</v>
      </c>
      <c r="E188" s="8" t="n">
        <v>20</v>
      </c>
      <c r="F188" s="8" t="n">
        <v>330.05</v>
      </c>
      <c r="G188" s="7" t="n">
        <f aca="false">IFERROR(INDEX('TRANS'!$B:$B,MATCH($B188,'TRANS'!$A:$A,0)),IFERROR(INDEX('TRANS'!$B:$B,MATCH(TRIM(SUBSTITUTE($B188,CHAR(160)," ")),'TRANS'!$D:$D,0)),IFERROR(INDEX('Catalog'!$A:$A,MATCH($B188,'Catalog'!$B:$B,0)),IFERROR(INDEX('Catalog'!$A:$A,MATCH(TRIM(SUBSTITUTE($B188,CHAR(160)," ")),'Catalog'!$C:$C,0)),""))))</f>
        <v>4413331</v>
      </c>
      <c r="H188" s="7" t="str">
        <f aca="false">IFERROR(INDEX('TRANS'!$C:$C,MATCH($B188,'TRANS'!$A:$A,0)),IFERROR(INDEX('Catalog'!$B:$B,MATCH($G188,'Catalog'!$A:$A,0)),$B188))</f>
        <v>AC95 מגן מרפק</v>
      </c>
      <c r="I188" s="7" t="str">
        <f aca="false">IF($G188="","Unmatched","Matched")</f>
        <v>Matched</v>
      </c>
      <c r="J188" s="7" t="n">
        <f aca="false">IF($G188&lt;&gt;"",$G188,$B188)</f>
        <v>4413331</v>
      </c>
      <c r="K188" s="7" t="str">
        <f aca="false">IF(COUNTIF($O$2:$O$16,$A188)&gt;0,"Y","N")</f>
        <v>Y</v>
      </c>
    </row>
    <row r="189" customFormat="false" ht="15" hidden="false" customHeight="false" outlineLevel="0" collapsed="false">
      <c r="A189" s="7" t="s">
        <v>32</v>
      </c>
      <c r="B189" s="7" t="s">
        <v>273</v>
      </c>
      <c r="C189" s="8" t="n">
        <v>12</v>
      </c>
      <c r="D189" s="8" t="n">
        <v>549.38</v>
      </c>
      <c r="E189" s="8" t="n">
        <v>0</v>
      </c>
      <c r="F189" s="8" t="n">
        <v>0</v>
      </c>
      <c r="G189" s="7" t="n">
        <f aca="false">IFERROR(INDEX('TRANS'!$B:$B,MATCH($B189,'TRANS'!$A:$A,0)),IFERROR(INDEX('TRANS'!$B:$B,MATCH(TRIM(SUBSTITUTE($B189,CHAR(160)," ")),'TRANS'!$D:$D,0)),IFERROR(INDEX('Catalog'!$A:$A,MATCH($B189,'Catalog'!$B:$B,0)),IFERROR(INDEX('Catalog'!$A:$A,MATCH(TRIM(SUBSTITUTE($B189,CHAR(160)," ")),'Catalog'!$C:$C,0)),""))))</f>
        <v>4408190</v>
      </c>
      <c r="H189" s="7" t="str">
        <f aca="false">IFERROR(INDEX('TRANS'!$C:$C,MATCH($B189,'TRANS'!$A:$A,0)),IFERROR(INDEX('Catalog'!$B:$B,MATCH($G189,'Catalog'!$A:$A,0)),$B189))</f>
        <v>M078 חגורת גב +סגירה כפולה</v>
      </c>
      <c r="I189" s="7" t="str">
        <f aca="false">IF($G189="","Unmatched","Matched")</f>
        <v>Matched</v>
      </c>
      <c r="J189" s="7" t="n">
        <f aca="false">IF($G189&lt;&gt;"",$G189,$B189)</f>
        <v>4408190</v>
      </c>
      <c r="K189" s="7" t="str">
        <f aca="false">IF(COUNTIF($O$2:$O$16,$A189)&gt;0,"Y","N")</f>
        <v>Y</v>
      </c>
    </row>
    <row r="190" customFormat="false" ht="15" hidden="false" customHeight="false" outlineLevel="0" collapsed="false">
      <c r="A190" s="7" t="s">
        <v>32</v>
      </c>
      <c r="B190" s="7" t="s">
        <v>274</v>
      </c>
      <c r="C190" s="8" t="n">
        <v>6</v>
      </c>
      <c r="D190" s="8" t="n">
        <v>274.69</v>
      </c>
      <c r="E190" s="8" t="n">
        <v>0</v>
      </c>
      <c r="F190" s="8" t="n">
        <v>0</v>
      </c>
      <c r="G190" s="7" t="n">
        <f aca="false">IFERROR(INDEX('TRANS'!$B:$B,MATCH($B190,'TRANS'!$A:$A,0)),IFERROR(INDEX('TRANS'!$B:$B,MATCH(TRIM(SUBSTITUTE($B190,CHAR(160)," ")),'TRANS'!$D:$D,0)),IFERROR(INDEX('Catalog'!$A:$A,MATCH($B190,'Catalog'!$B:$B,0)),IFERROR(INDEX('Catalog'!$A:$A,MATCH(TRIM(SUBSTITUTE($B190,CHAR(160)," ")),'Catalog'!$C:$C,0)),""))))</f>
        <v>4408217</v>
      </c>
      <c r="H190" s="7" t="str">
        <f aca="false">IFERROR(INDEX('TRANS'!$C:$C,MATCH($B190,'TRANS'!$A:$A,0)),IFERROR(INDEX('Catalog'!$B:$B,MATCH($G190,'Catalog'!$A:$A,0)),$B190))</f>
        <v>S078 חגורת גב +סגירה כפולה</v>
      </c>
      <c r="I190" s="7" t="str">
        <f aca="false">IF($G190="","Unmatched","Matched")</f>
        <v>Matched</v>
      </c>
      <c r="J190" s="7" t="n">
        <f aca="false">IF($G190&lt;&gt;"",$G190,$B190)</f>
        <v>4408217</v>
      </c>
      <c r="K190" s="7" t="str">
        <f aca="false">IF(COUNTIF($O$2:$O$16,$A190)&gt;0,"Y","N")</f>
        <v>Y</v>
      </c>
    </row>
    <row r="191" customFormat="false" ht="15" hidden="false" customHeight="false" outlineLevel="0" collapsed="false">
      <c r="A191" s="7" t="s">
        <v>32</v>
      </c>
      <c r="B191" s="7" t="s">
        <v>275</v>
      </c>
      <c r="C191" s="8" t="n">
        <v>10</v>
      </c>
      <c r="D191" s="8" t="n">
        <v>463.53</v>
      </c>
      <c r="E191" s="8" t="n">
        <v>0</v>
      </c>
      <c r="F191" s="8" t="n">
        <v>0</v>
      </c>
      <c r="G191" s="7" t="n">
        <f aca="false">IFERROR(INDEX('TRANS'!$B:$B,MATCH($B191,'TRANS'!$A:$A,0)),IFERROR(INDEX('TRANS'!$B:$B,MATCH(TRIM(SUBSTITUTE($B191,CHAR(160)," ")),'TRANS'!$D:$D,0)),IFERROR(INDEX('Catalog'!$A:$A,MATCH($B191,'Catalog'!$B:$B,0)),IFERROR(INDEX('Catalog'!$A:$A,MATCH(TRIM(SUBSTITUTE($B191,CHAR(160)," ")),'Catalog'!$C:$C,0)),""))))</f>
        <v>4408218</v>
      </c>
      <c r="H191" s="7" t="str">
        <f aca="false">IFERROR(INDEX('TRANS'!$C:$C,MATCH($B191,'TRANS'!$A:$A,0)),IFERROR(INDEX('Catalog'!$B:$B,MATCH($G191,'Catalog'!$A:$A,0)),$B191))</f>
        <v>078XL חגורת גב +סגירה כפולה</v>
      </c>
      <c r="I191" s="7" t="str">
        <f aca="false">IF($G191="","Unmatched","Matched")</f>
        <v>Matched</v>
      </c>
      <c r="J191" s="7" t="n">
        <f aca="false">IF($G191&lt;&gt;"",$G191,$B191)</f>
        <v>4408218</v>
      </c>
      <c r="K191" s="7" t="str">
        <f aca="false">IF(COUNTIF($O$2:$O$16,$A191)&gt;0,"Y","N")</f>
        <v>Y</v>
      </c>
    </row>
    <row r="192" customFormat="false" ht="15" hidden="false" customHeight="false" outlineLevel="0" collapsed="false">
      <c r="A192" s="7" t="s">
        <v>32</v>
      </c>
      <c r="B192" s="7" t="s">
        <v>406</v>
      </c>
      <c r="C192" s="8" t="n">
        <v>6</v>
      </c>
      <c r="D192" s="8" t="n">
        <v>278.12</v>
      </c>
      <c r="E192" s="8" t="n">
        <v>0</v>
      </c>
      <c r="F192" s="8" t="n">
        <v>0</v>
      </c>
      <c r="G192" s="7" t="n">
        <f aca="false">IFERROR(INDEX('TRANS'!$B:$B,MATCH($B192,'TRANS'!$A:$A,0)),IFERROR(INDEX('TRANS'!$B:$B,MATCH(TRIM(SUBSTITUTE($B192,CHAR(160)," ")),'TRANS'!$D:$D,0)),IFERROR(INDEX('Catalog'!$A:$A,MATCH($B192,'Catalog'!$B:$B,0)),IFERROR(INDEX('Catalog'!$A:$A,MATCH(TRIM(SUBSTITUTE($B192,CHAR(160)," ")),'Catalog'!$C:$C,0)),""))))</f>
        <v>4408265</v>
      </c>
      <c r="H192" s="7" t="str">
        <f aca="false">IFERROR(INDEX('TRANS'!$C:$C,MATCH($B192,'TRANS'!$A:$A,0)),IFERROR(INDEX('Catalog'!$B:$B,MATCH($G192,'Catalog'!$A:$A,0)),$B192))</f>
        <v>078XXL חגורת גב +סגירה כפולה</v>
      </c>
      <c r="I192" s="7" t="str">
        <f aca="false">IF($G192="","Unmatched","Matched")</f>
        <v>Matched</v>
      </c>
      <c r="J192" s="7" t="n">
        <f aca="false">IF($G192&lt;&gt;"",$G192,$B192)</f>
        <v>4408265</v>
      </c>
      <c r="K192" s="7" t="str">
        <f aca="false">IF(COUNTIF($O$2:$O$16,$A192)&gt;0,"Y","N")</f>
        <v>Y</v>
      </c>
    </row>
    <row r="193" customFormat="false" ht="15" hidden="false" customHeight="false" outlineLevel="0" collapsed="false">
      <c r="A193" s="7" t="s">
        <v>32</v>
      </c>
      <c r="B193" s="7" t="s">
        <v>276</v>
      </c>
      <c r="C193" s="8" t="n">
        <v>0</v>
      </c>
      <c r="D193" s="8" t="n">
        <v>0</v>
      </c>
      <c r="E193" s="8" t="n">
        <v>3</v>
      </c>
      <c r="F193" s="8" t="n">
        <v>155.04</v>
      </c>
      <c r="G193" s="7" t="n">
        <f aca="false">IFERROR(INDEX('TRANS'!$B:$B,MATCH($B193,'TRANS'!$A:$A,0)),IFERROR(INDEX('TRANS'!$B:$B,MATCH(TRIM(SUBSTITUTE($B193,CHAR(160)," ")),'TRANS'!$D:$D,0)),IFERROR(INDEX('Catalog'!$A:$A,MATCH($B193,'Catalog'!$B:$B,0)),IFERROR(INDEX('Catalog'!$A:$A,MATCH(TRIM(SUBSTITUTE($B193,CHAR(160)," ")),'Catalog'!$C:$C,0)),""))))</f>
        <v>4408221</v>
      </c>
      <c r="H193" s="7" t="str">
        <f aca="false">IFERROR(INDEX('TRANS'!$C:$C,MATCH($B193,'TRANS'!$A:$A,0)),IFERROR(INDEX('Catalog'!$B:$B,MATCH($G193,'Catalog'!$A:$A,0)),$B193))</f>
        <v>078G-L חגורת גב אפורה</v>
      </c>
      <c r="I193" s="7" t="str">
        <f aca="false">IF($G193="","Unmatched","Matched")</f>
        <v>Matched</v>
      </c>
      <c r="J193" s="7" t="n">
        <f aca="false">IF($G193&lt;&gt;"",$G193,$B193)</f>
        <v>4408221</v>
      </c>
      <c r="K193" s="7" t="str">
        <f aca="false">IF(COUNTIF($O$2:$O$16,$A193)&gt;0,"Y","N")</f>
        <v>Y</v>
      </c>
    </row>
    <row r="194" customFormat="false" ht="15" hidden="false" customHeight="false" outlineLevel="0" collapsed="false">
      <c r="A194" s="7" t="s">
        <v>32</v>
      </c>
      <c r="B194" s="7" t="s">
        <v>277</v>
      </c>
      <c r="C194" s="8" t="n">
        <v>6</v>
      </c>
      <c r="D194" s="8" t="n">
        <v>352.91</v>
      </c>
      <c r="E194" s="8" t="n">
        <v>0</v>
      </c>
      <c r="F194" s="8" t="n">
        <v>0</v>
      </c>
      <c r="G194" s="7" t="n">
        <f aca="false">IFERROR(INDEX('TRANS'!$B:$B,MATCH($B194,'TRANS'!$A:$A,0)),IFERROR(INDEX('TRANS'!$B:$B,MATCH(TRIM(SUBSTITUTE($B194,CHAR(160)," ")),'TRANS'!$D:$D,0)),IFERROR(INDEX('Catalog'!$A:$A,MATCH($B194,'Catalog'!$B:$B,0)),IFERROR(INDEX('Catalog'!$A:$A,MATCH(TRIM(SUBSTITUTE($B194,CHAR(160)," ")),'Catalog'!$C:$C,0)),""))))</f>
        <v>4408220</v>
      </c>
      <c r="H194" s="7" t="str">
        <f aca="false">IFERROR(INDEX('TRANS'!$C:$C,MATCH($B194,'TRANS'!$A:$A,0)),IFERROR(INDEX('Catalog'!$B:$B,MATCH($G194,'Catalog'!$A:$A,0)),$B194))</f>
        <v>078G-M חגורת גב אפורה</v>
      </c>
      <c r="I194" s="7" t="str">
        <f aca="false">IF($G194="","Unmatched","Matched")</f>
        <v>Matched</v>
      </c>
      <c r="J194" s="7" t="n">
        <f aca="false">IF($G194&lt;&gt;"",$G194,$B194)</f>
        <v>4408220</v>
      </c>
      <c r="K194" s="7" t="str">
        <f aca="false">IF(COUNTIF($O$2:$O$16,$A194)&gt;0,"Y","N")</f>
        <v>Y</v>
      </c>
    </row>
    <row r="195" customFormat="false" ht="15" hidden="false" customHeight="false" outlineLevel="0" collapsed="false">
      <c r="A195" s="7" t="s">
        <v>32</v>
      </c>
      <c r="B195" s="7" t="s">
        <v>280</v>
      </c>
      <c r="C195" s="8" t="n">
        <v>3</v>
      </c>
      <c r="D195" s="8" t="n">
        <v>172.1</v>
      </c>
      <c r="E195" s="8" t="n">
        <v>0</v>
      </c>
      <c r="F195" s="8" t="n">
        <v>0</v>
      </c>
      <c r="G195" s="7" t="n">
        <f aca="false">IFERROR(INDEX('TRANS'!$B:$B,MATCH($B195,'TRANS'!$A:$A,0)),IFERROR(INDEX('TRANS'!$B:$B,MATCH(TRIM(SUBSTITUTE($B195,CHAR(160)," ")),'TRANS'!$D:$D,0)),IFERROR(INDEX('Catalog'!$A:$A,MATCH($B195,'Catalog'!$B:$B,0)),IFERROR(INDEX('Catalog'!$A:$A,MATCH(TRIM(SUBSTITUTE($B195,CHAR(160)," ")),'Catalog'!$C:$C,0)),""))))</f>
        <v>4408223</v>
      </c>
      <c r="H195" s="7" t="str">
        <f aca="false">IFERROR(INDEX('TRANS'!$C:$C,MATCH($B195,'TRANS'!$A:$A,0)),IFERROR(INDEX('Catalog'!$B:$B,MATCH($G195,'Catalog'!$A:$A,0)),$B195))</f>
        <v>078G-XXLחגורת גב אפורה</v>
      </c>
      <c r="I195" s="7" t="str">
        <f aca="false">IF($G195="","Unmatched","Matched")</f>
        <v>Matched</v>
      </c>
      <c r="J195" s="7" t="n">
        <f aca="false">IF($G195&lt;&gt;"",$G195,$B195)</f>
        <v>4408223</v>
      </c>
      <c r="K195" s="7" t="str">
        <f aca="false">IF(COUNTIF($O$2:$O$16,$A195)&gt;0,"Y","N")</f>
        <v>Y</v>
      </c>
    </row>
    <row r="196" customFormat="false" ht="15" hidden="false" customHeight="false" outlineLevel="0" collapsed="false">
      <c r="A196" s="7" t="s">
        <v>32</v>
      </c>
      <c r="B196" s="7" t="s">
        <v>407</v>
      </c>
      <c r="C196" s="8" t="n">
        <v>10</v>
      </c>
      <c r="D196" s="8" t="n">
        <v>1293.21</v>
      </c>
      <c r="E196" s="8" t="n">
        <v>6</v>
      </c>
      <c r="F196" s="8" t="n">
        <v>731.9</v>
      </c>
      <c r="G196" s="7" t="n">
        <f aca="false">IFERROR(INDEX('TRANS'!$B:$B,MATCH($B196,'TRANS'!$A:$A,0)),IFERROR(INDEX('TRANS'!$B:$B,MATCH(TRIM(SUBSTITUTE($B196,CHAR(160)," ")),'TRANS'!$D:$D,0)),IFERROR(INDEX('Catalog'!$A:$A,MATCH($B196,'Catalog'!$B:$B,0)),IFERROR(INDEX('Catalog'!$A:$A,MATCH(TRIM(SUBSTITUTE($B196,CHAR(160)," ")),'Catalog'!$C:$C,0)),""))))</f>
        <v>4408015</v>
      </c>
      <c r="H196" s="7" t="str">
        <f aca="false">IFERROR(INDEX('TRANS'!$C:$C,MATCH($B196,'TRANS'!$A:$A,0)),IFERROR(INDEX('Catalog'!$B:$B,MATCH($G196,'Catalog'!$A:$A,0)),$B196))</f>
        <v>07AU L ח.גב """"איטלקית"""" אורירית</v>
      </c>
      <c r="I196" s="7" t="str">
        <f aca="false">IF($G196="","Unmatched","Matched")</f>
        <v>Matched</v>
      </c>
      <c r="J196" s="7" t="n">
        <f aca="false">IF($G196&lt;&gt;"",$G196,$B196)</f>
        <v>4408015</v>
      </c>
      <c r="K196" s="7" t="str">
        <f aca="false">IF(COUNTIF($O$2:$O$16,$A196)&gt;0,"Y","N")</f>
        <v>Y</v>
      </c>
    </row>
    <row r="197" customFormat="false" ht="15" hidden="false" customHeight="false" outlineLevel="0" collapsed="false">
      <c r="A197" s="7" t="s">
        <v>32</v>
      </c>
      <c r="B197" s="7" t="s">
        <v>408</v>
      </c>
      <c r="C197" s="8" t="n">
        <v>3</v>
      </c>
      <c r="D197" s="8" t="n">
        <v>387.96</v>
      </c>
      <c r="E197" s="8" t="n">
        <v>3</v>
      </c>
      <c r="F197" s="8" t="n">
        <v>365.95</v>
      </c>
      <c r="G197" s="7" t="n">
        <f aca="false">IFERROR(INDEX('TRANS'!$B:$B,MATCH($B197,'TRANS'!$A:$A,0)),IFERROR(INDEX('TRANS'!$B:$B,MATCH(TRIM(SUBSTITUTE($B197,CHAR(160)," ")),'TRANS'!$D:$D,0)),IFERROR(INDEX('Catalog'!$A:$A,MATCH($B197,'Catalog'!$B:$B,0)),IFERROR(INDEX('Catalog'!$A:$A,MATCH(TRIM(SUBSTITUTE($B197,CHAR(160)," ")),'Catalog'!$C:$C,0)),""))))</f>
        <v>4408016</v>
      </c>
      <c r="H197" s="7" t="str">
        <f aca="false">IFERROR(INDEX('TRANS'!$C:$C,MATCH($B197,'TRANS'!$A:$A,0)),IFERROR(INDEX('Catalog'!$B:$B,MATCH($G197,'Catalog'!$A:$A,0)),$B197))</f>
        <v>07AU M ח.גב """"איטלקית"""" אורירית</v>
      </c>
      <c r="I197" s="7" t="str">
        <f aca="false">IF($G197="","Unmatched","Matched")</f>
        <v>Matched</v>
      </c>
      <c r="J197" s="7" t="n">
        <f aca="false">IF($G197&lt;&gt;"",$G197,$B197)</f>
        <v>4408016</v>
      </c>
      <c r="K197" s="7" t="str">
        <f aca="false">IF(COUNTIF($O$2:$O$16,$A197)&gt;0,"Y","N")</f>
        <v>Y</v>
      </c>
    </row>
    <row r="198" customFormat="false" ht="15" hidden="false" customHeight="false" outlineLevel="0" collapsed="false">
      <c r="A198" s="7" t="s">
        <v>32</v>
      </c>
      <c r="B198" s="7" t="s">
        <v>409</v>
      </c>
      <c r="C198" s="8" t="n">
        <v>2</v>
      </c>
      <c r="D198" s="8" t="n">
        <v>258.64</v>
      </c>
      <c r="E198" s="8" t="n">
        <v>3</v>
      </c>
      <c r="F198" s="8" t="n">
        <v>365.95</v>
      </c>
      <c r="G198" s="7" t="n">
        <f aca="false">IFERROR(INDEX('TRANS'!$B:$B,MATCH($B198,'TRANS'!$A:$A,0)),IFERROR(INDEX('TRANS'!$B:$B,MATCH(TRIM(SUBSTITUTE($B198,CHAR(160)," ")),'TRANS'!$D:$D,0)),IFERROR(INDEX('Catalog'!$A:$A,MATCH($B198,'Catalog'!$B:$B,0)),IFERROR(INDEX('Catalog'!$A:$A,MATCH(TRIM(SUBSTITUTE($B198,CHAR(160)," ")),'Catalog'!$C:$C,0)),""))))</f>
        <v>4408014</v>
      </c>
      <c r="H198" s="7" t="str">
        <f aca="false">IFERROR(INDEX('TRANS'!$C:$C,MATCH($B198,'TRANS'!$A:$A,0)),IFERROR(INDEX('Catalog'!$B:$B,MATCH($G198,'Catalog'!$A:$A,0)),$B198))</f>
        <v>07AU S ח.גב """"איטלקית"""" אורירית</v>
      </c>
      <c r="I198" s="7" t="str">
        <f aca="false">IF($G198="","Unmatched","Matched")</f>
        <v>Matched</v>
      </c>
      <c r="J198" s="7" t="n">
        <f aca="false">IF($G198&lt;&gt;"",$G198,$B198)</f>
        <v>4408014</v>
      </c>
      <c r="K198" s="7" t="str">
        <f aca="false">IF(COUNTIF($O$2:$O$16,$A198)&gt;0,"Y","N")</f>
        <v>Y</v>
      </c>
    </row>
    <row r="199" customFormat="false" ht="15" hidden="false" customHeight="false" outlineLevel="0" collapsed="false">
      <c r="A199" s="7" t="s">
        <v>32</v>
      </c>
      <c r="B199" s="7" t="s">
        <v>410</v>
      </c>
      <c r="C199" s="8" t="n">
        <v>12</v>
      </c>
      <c r="D199" s="8" t="n">
        <v>1570.91</v>
      </c>
      <c r="E199" s="8" t="n">
        <v>6</v>
      </c>
      <c r="F199" s="8" t="n">
        <v>731.9</v>
      </c>
      <c r="G199" s="7" t="n">
        <f aca="false">IFERROR(INDEX('TRANS'!$B:$B,MATCH($B199,'TRANS'!$A:$A,0)),IFERROR(INDEX('TRANS'!$B:$B,MATCH(TRIM(SUBSTITUTE($B199,CHAR(160)," ")),'TRANS'!$D:$D,0)),IFERROR(INDEX('Catalog'!$A:$A,MATCH($B199,'Catalog'!$B:$B,0)),IFERROR(INDEX('Catalog'!$A:$A,MATCH(TRIM(SUBSTITUTE($B199,CHAR(160)," ")),'Catalog'!$C:$C,0)),""))))</f>
        <v>4408017</v>
      </c>
      <c r="H199" s="7" t="str">
        <f aca="false">IFERROR(INDEX('TRANS'!$C:$C,MATCH($B199,'TRANS'!$A:$A,0)),IFERROR(INDEX('Catalog'!$B:$B,MATCH($G199,'Catalog'!$A:$A,0)),$B199))</f>
        <v>07AU XL ח.גב """"איטלקית"""" אורירית</v>
      </c>
      <c r="I199" s="7" t="str">
        <f aca="false">IF($G199="","Unmatched","Matched")</f>
        <v>Matched</v>
      </c>
      <c r="J199" s="7" t="n">
        <f aca="false">IF($G199&lt;&gt;"",$G199,$B199)</f>
        <v>4408017</v>
      </c>
      <c r="K199" s="7" t="str">
        <f aca="false">IF(COUNTIF($O$2:$O$16,$A199)&gt;0,"Y","N")</f>
        <v>Y</v>
      </c>
    </row>
    <row r="200" customFormat="false" ht="15" hidden="false" customHeight="false" outlineLevel="0" collapsed="false">
      <c r="A200" s="7" t="s">
        <v>32</v>
      </c>
      <c r="B200" s="7" t="s">
        <v>411</v>
      </c>
      <c r="C200" s="8" t="n">
        <v>3</v>
      </c>
      <c r="D200" s="8" t="n">
        <v>387.96</v>
      </c>
      <c r="E200" s="8" t="n">
        <v>0</v>
      </c>
      <c r="F200" s="8" t="n">
        <v>0</v>
      </c>
      <c r="G200" s="7" t="n">
        <f aca="false">IFERROR(INDEX('TRANS'!$B:$B,MATCH($B200,'TRANS'!$A:$A,0)),IFERROR(INDEX('TRANS'!$B:$B,MATCH(TRIM(SUBSTITUTE($B200,CHAR(160)," ")),'TRANS'!$D:$D,0)),IFERROR(INDEX('Catalog'!$A:$A,MATCH($B200,'Catalog'!$B:$B,0)),IFERROR(INDEX('Catalog'!$A:$A,MATCH(TRIM(SUBSTITUTE($B200,CHAR(160)," ")),'Catalog'!$C:$C,0)),""))))</f>
        <v>4408018</v>
      </c>
      <c r="H200" s="7" t="str">
        <f aca="false">IFERROR(INDEX('TRANS'!$C:$C,MATCH($B200,'TRANS'!$A:$A,0)),IFERROR(INDEX('Catalog'!$B:$B,MATCH($G200,'Catalog'!$A:$A,0)),$B200))</f>
        <v>07AU XXL.ח.גב """"איטלקית"""" אוריר</v>
      </c>
      <c r="I200" s="7" t="str">
        <f aca="false">IF($G200="","Unmatched","Matched")</f>
        <v>Matched</v>
      </c>
      <c r="J200" s="7" t="n">
        <f aca="false">IF($G200&lt;&gt;"",$G200,$B200)</f>
        <v>4408018</v>
      </c>
      <c r="K200" s="7" t="str">
        <f aca="false">IF(COUNTIF($O$2:$O$16,$A200)&gt;0,"Y","N")</f>
        <v>Y</v>
      </c>
    </row>
    <row r="201" customFormat="false" ht="15" hidden="false" customHeight="false" outlineLevel="0" collapsed="false">
      <c r="A201" s="7" t="s">
        <v>32</v>
      </c>
      <c r="B201" s="7" t="s">
        <v>412</v>
      </c>
      <c r="C201" s="8" t="n">
        <v>12</v>
      </c>
      <c r="D201" s="8" t="n">
        <v>949.91</v>
      </c>
      <c r="E201" s="8" t="n">
        <v>0</v>
      </c>
      <c r="F201" s="8" t="n">
        <v>0</v>
      </c>
      <c r="G201" s="7" t="n">
        <f aca="false">IFERROR(INDEX('TRANS'!$B:$B,MATCH($B201,'TRANS'!$A:$A,0)),IFERROR(INDEX('TRANS'!$B:$B,MATCH(TRIM(SUBSTITUTE($B201,CHAR(160)," ")),'TRANS'!$D:$D,0)),IFERROR(INDEX('Catalog'!$A:$A,MATCH($B201,'Catalog'!$B:$B,0)),IFERROR(INDEX('Catalog'!$A:$A,MATCH(TRIM(SUBSTITUTE($B201,CHAR(160)," ")),'Catalog'!$C:$C,0)),""))))</f>
        <v>4408028</v>
      </c>
      <c r="H201" s="7" t="str">
        <f aca="false">IFERROR(INDEX('TRANS'!$C:$C,MATCH($B201,'TRANS'!$A:$A,0)),IFERROR(INDEX('Catalog'!$B:$B,MATCH($G201,'Catalog'!$A:$A,0)),$B201))</f>
        <v>10 M """"חגורת גב """"לומבו</v>
      </c>
      <c r="I201" s="7" t="str">
        <f aca="false">IF($G201="","Unmatched","Matched")</f>
        <v>Matched</v>
      </c>
      <c r="J201" s="7" t="n">
        <f aca="false">IF($G201&lt;&gt;"",$G201,$B201)</f>
        <v>4408028</v>
      </c>
      <c r="K201" s="7" t="str">
        <f aca="false">IF(COUNTIF($O$2:$O$16,$A201)&gt;0,"Y","N")</f>
        <v>Y</v>
      </c>
    </row>
    <row r="202" customFormat="false" ht="15" hidden="false" customHeight="false" outlineLevel="0" collapsed="false">
      <c r="A202" s="7" t="s">
        <v>32</v>
      </c>
      <c r="B202" s="7" t="s">
        <v>281</v>
      </c>
      <c r="C202" s="8" t="n">
        <v>6</v>
      </c>
      <c r="D202" s="8" t="n">
        <v>299.15</v>
      </c>
      <c r="E202" s="8" t="n">
        <v>12</v>
      </c>
      <c r="F202" s="8" t="n">
        <v>545.03</v>
      </c>
      <c r="G202" s="7" t="n">
        <f aca="false">IFERROR(INDEX('TRANS'!$B:$B,MATCH($B202,'TRANS'!$A:$A,0)),IFERROR(INDEX('TRANS'!$B:$B,MATCH(TRIM(SUBSTITUTE($B202,CHAR(160)," ")),'TRANS'!$D:$D,0)),IFERROR(INDEX('Catalog'!$A:$A,MATCH($B202,'Catalog'!$B:$B,0)),IFERROR(INDEX('Catalog'!$A:$A,MATCH(TRIM(SUBSTITUTE($B202,CHAR(160)," ")),'Catalog'!$C:$C,0)),""))))</f>
        <v>4408032</v>
      </c>
      <c r="H202" s="7" t="str">
        <f aca="false">IFERROR(INDEX('TRANS'!$C:$C,MATCH($B202,'TRANS'!$A:$A,0)),IFERROR(INDEX('Catalog'!$B:$B,MATCH($G202,'Catalog'!$A:$A,0)),$B202))</f>
        <v>11 L""""חגורת בטן""""אורירית</v>
      </c>
      <c r="I202" s="7" t="str">
        <f aca="false">IF($G202="","Unmatched","Matched")</f>
        <v>Matched</v>
      </c>
      <c r="J202" s="7" t="n">
        <f aca="false">IF($G202&lt;&gt;"",$G202,$B202)</f>
        <v>4408032</v>
      </c>
      <c r="K202" s="7" t="str">
        <f aca="false">IF(COUNTIF($O$2:$O$16,$A202)&gt;0,"Y","N")</f>
        <v>Y</v>
      </c>
    </row>
    <row r="203" customFormat="false" ht="15" hidden="false" customHeight="false" outlineLevel="0" collapsed="false">
      <c r="A203" s="7" t="s">
        <v>32</v>
      </c>
      <c r="B203" s="7" t="s">
        <v>282</v>
      </c>
      <c r="C203" s="8" t="n">
        <v>0</v>
      </c>
      <c r="D203" s="8" t="n">
        <v>0</v>
      </c>
      <c r="E203" s="8" t="n">
        <v>6</v>
      </c>
      <c r="F203" s="8" t="n">
        <v>282.18</v>
      </c>
      <c r="G203" s="7" t="n">
        <f aca="false">IFERROR(INDEX('TRANS'!$B:$B,MATCH($B203,'TRANS'!$A:$A,0)),IFERROR(INDEX('TRANS'!$B:$B,MATCH(TRIM(SUBSTITUTE($B203,CHAR(160)," ")),'TRANS'!$D:$D,0)),IFERROR(INDEX('Catalog'!$A:$A,MATCH($B203,'Catalog'!$B:$B,0)),IFERROR(INDEX('Catalog'!$A:$A,MATCH(TRIM(SUBSTITUTE($B203,CHAR(160)," ")),'Catalog'!$C:$C,0)),""))))</f>
        <v>4408033</v>
      </c>
      <c r="H203" s="7" t="str">
        <f aca="false">IFERROR(INDEX('TRANS'!$C:$C,MATCH($B203,'TRANS'!$A:$A,0)),IFERROR(INDEX('Catalog'!$B:$B,MATCH($G203,'Catalog'!$A:$A,0)),$B203))</f>
        <v>11 M""""חגורת בטן""""אורירית</v>
      </c>
      <c r="I203" s="7" t="str">
        <f aca="false">IF($G203="","Unmatched","Matched")</f>
        <v>Matched</v>
      </c>
      <c r="J203" s="7" t="n">
        <f aca="false">IF($G203&lt;&gt;"",$G203,$B203)</f>
        <v>4408033</v>
      </c>
      <c r="K203" s="7" t="str">
        <f aca="false">IF(COUNTIF($O$2:$O$16,$A203)&gt;0,"Y","N")</f>
        <v>Y</v>
      </c>
    </row>
    <row r="204" customFormat="false" ht="15" hidden="false" customHeight="false" outlineLevel="0" collapsed="false">
      <c r="A204" s="7" t="s">
        <v>32</v>
      </c>
      <c r="B204" s="7" t="s">
        <v>283</v>
      </c>
      <c r="C204" s="8" t="n">
        <v>0</v>
      </c>
      <c r="D204" s="8" t="n">
        <v>0</v>
      </c>
      <c r="E204" s="8" t="n">
        <v>6</v>
      </c>
      <c r="F204" s="8" t="n">
        <v>282.18</v>
      </c>
      <c r="G204" s="7" t="n">
        <f aca="false">IFERROR(INDEX('TRANS'!$B:$B,MATCH($B204,'TRANS'!$A:$A,0)),IFERROR(INDEX('TRANS'!$B:$B,MATCH(TRIM(SUBSTITUTE($B204,CHAR(160)," ")),'TRANS'!$D:$D,0)),IFERROR(INDEX('Catalog'!$A:$A,MATCH($B204,'Catalog'!$B:$B,0)),IFERROR(INDEX('Catalog'!$A:$A,MATCH(TRIM(SUBSTITUTE($B204,CHAR(160)," ")),'Catalog'!$C:$C,0)),""))))</f>
        <v>4408031</v>
      </c>
      <c r="H204" s="7" t="str">
        <f aca="false">IFERROR(INDEX('TRANS'!$C:$C,MATCH($B204,'TRANS'!$A:$A,0)),IFERROR(INDEX('Catalog'!$B:$B,MATCH($G204,'Catalog'!$A:$A,0)),$B204))</f>
        <v>11 S""""חגורת בטן""""אורירית</v>
      </c>
      <c r="I204" s="7" t="str">
        <f aca="false">IF($G204="","Unmatched","Matched")</f>
        <v>Matched</v>
      </c>
      <c r="J204" s="7" t="n">
        <f aca="false">IF($G204&lt;&gt;"",$G204,$B204)</f>
        <v>4408031</v>
      </c>
      <c r="K204" s="7" t="str">
        <f aca="false">IF(COUNTIF($O$2:$O$16,$A204)&gt;0,"Y","N")</f>
        <v>Y</v>
      </c>
    </row>
    <row r="205" customFormat="false" ht="15" hidden="false" customHeight="false" outlineLevel="0" collapsed="false">
      <c r="A205" s="7" t="s">
        <v>32</v>
      </c>
      <c r="B205" s="7" t="s">
        <v>284</v>
      </c>
      <c r="C205" s="8" t="n">
        <v>0</v>
      </c>
      <c r="D205" s="8" t="n">
        <v>0</v>
      </c>
      <c r="E205" s="8" t="n">
        <v>6</v>
      </c>
      <c r="F205" s="8" t="n">
        <v>282.18</v>
      </c>
      <c r="G205" s="7" t="n">
        <f aca="false">IFERROR(INDEX('TRANS'!$B:$B,MATCH($B205,'TRANS'!$A:$A,0)),IFERROR(INDEX('TRANS'!$B:$B,MATCH(TRIM(SUBSTITUTE($B205,CHAR(160)," ")),'TRANS'!$D:$D,0)),IFERROR(INDEX('Catalog'!$A:$A,MATCH($B205,'Catalog'!$B:$B,0)),IFERROR(INDEX('Catalog'!$A:$A,MATCH(TRIM(SUBSTITUTE($B205,CHAR(160)," ")),'Catalog'!$C:$C,0)),""))))</f>
        <v>4408034</v>
      </c>
      <c r="H205" s="7" t="str">
        <f aca="false">IFERROR(INDEX('TRANS'!$C:$C,MATCH($B205,'TRANS'!$A:$A,0)),IFERROR(INDEX('Catalog'!$B:$B,MATCH($G205,'Catalog'!$A:$A,0)),$B205))</f>
        <v>11 XL""""חגורת בטן""""אורירית</v>
      </c>
      <c r="I205" s="7" t="str">
        <f aca="false">IF($G205="","Unmatched","Matched")</f>
        <v>Matched</v>
      </c>
      <c r="J205" s="7" t="n">
        <f aca="false">IF($G205&lt;&gt;"",$G205,$B205)</f>
        <v>4408034</v>
      </c>
      <c r="K205" s="7" t="str">
        <f aca="false">IF(COUNTIF($O$2:$O$16,$A205)&gt;0,"Y","N")</f>
        <v>Y</v>
      </c>
    </row>
    <row r="206" customFormat="false" ht="15" hidden="false" customHeight="false" outlineLevel="0" collapsed="false">
      <c r="A206" s="7" t="s">
        <v>32</v>
      </c>
      <c r="B206" s="7" t="s">
        <v>413</v>
      </c>
      <c r="C206" s="8" t="n">
        <v>6</v>
      </c>
      <c r="D206" s="8" t="n">
        <v>299.15</v>
      </c>
      <c r="E206" s="8" t="n">
        <v>3</v>
      </c>
      <c r="F206" s="8" t="n">
        <v>131.42</v>
      </c>
      <c r="G206" s="7" t="n">
        <f aca="false">IFERROR(INDEX('TRANS'!$B:$B,MATCH($B206,'TRANS'!$A:$A,0)),IFERROR(INDEX('TRANS'!$B:$B,MATCH(TRIM(SUBSTITUTE($B206,CHAR(160)," ")),'TRANS'!$D:$D,0)),IFERROR(INDEX('Catalog'!$A:$A,MATCH($B206,'Catalog'!$B:$B,0)),IFERROR(INDEX('Catalog'!$A:$A,MATCH(TRIM(SUBSTITUTE($B206,CHAR(160)," ")),'Catalog'!$C:$C,0)),""))))</f>
        <v>4408035</v>
      </c>
      <c r="H206" s="7" t="str">
        <f aca="false">IFERROR(INDEX('TRANS'!$C:$C,MATCH($B206,'TRANS'!$A:$A,0)),IFERROR(INDEX('Catalog'!$B:$B,MATCH($G206,'Catalog'!$A:$A,0)),$B206))</f>
        <v>11 XXL""""חגורת בטן""""אורירית</v>
      </c>
      <c r="I206" s="7" t="str">
        <f aca="false">IF($G206="","Unmatched","Matched")</f>
        <v>Matched</v>
      </c>
      <c r="J206" s="7" t="n">
        <f aca="false">IF($G206&lt;&gt;"",$G206,$B206)</f>
        <v>4408035</v>
      </c>
      <c r="K206" s="7" t="str">
        <f aca="false">IF(COUNTIF($O$2:$O$16,$A206)&gt;0,"Y","N")</f>
        <v>Y</v>
      </c>
    </row>
    <row r="207" customFormat="false" ht="15" hidden="false" customHeight="false" outlineLevel="0" collapsed="false">
      <c r="A207" s="7" t="s">
        <v>32</v>
      </c>
      <c r="B207" s="7" t="s">
        <v>414</v>
      </c>
      <c r="C207" s="8" t="n">
        <v>0</v>
      </c>
      <c r="D207" s="8" t="n">
        <v>0</v>
      </c>
      <c r="E207" s="8" t="n">
        <v>6</v>
      </c>
      <c r="F207" s="8" t="n">
        <v>273.36</v>
      </c>
      <c r="G207" s="7" t="n">
        <f aca="false">IFERROR(INDEX('TRANS'!$B:$B,MATCH($B207,'TRANS'!$A:$A,0)),IFERROR(INDEX('TRANS'!$B:$B,MATCH(TRIM(SUBSTITUTE($B207,CHAR(160)," ")),'TRANS'!$D:$D,0)),IFERROR(INDEX('Catalog'!$A:$A,MATCH($B207,'Catalog'!$B:$B,0)),IFERROR(INDEX('Catalog'!$A:$A,MATCH(TRIM(SUBSTITUTE($B207,CHAR(160)," ")),'Catalog'!$C:$C,0)),""))))</f>
        <v>4408115</v>
      </c>
      <c r="H207" s="7" t="str">
        <f aca="false">IFERROR(INDEX('TRANS'!$C:$C,MATCH($B207,'TRANS'!$A:$A,0)),IFERROR(INDEX('Catalog'!$B:$B,MATCH($G207,'Catalog'!$A:$A,0)),$B207))</f>
        <v>11EU L ח.בטן לאחר ניתוח</v>
      </c>
      <c r="I207" s="7" t="str">
        <f aca="false">IF($G207="","Unmatched","Matched")</f>
        <v>Matched</v>
      </c>
      <c r="J207" s="7" t="n">
        <f aca="false">IF($G207&lt;&gt;"",$G207,$B207)</f>
        <v>4408115</v>
      </c>
      <c r="K207" s="7" t="str">
        <f aca="false">IF(COUNTIF($O$2:$O$16,$A207)&gt;0,"Y","N")</f>
        <v>Y</v>
      </c>
    </row>
    <row r="208" customFormat="false" ht="15" hidden="false" customHeight="false" outlineLevel="0" collapsed="false">
      <c r="A208" s="7" t="s">
        <v>32</v>
      </c>
      <c r="B208" s="7" t="s">
        <v>415</v>
      </c>
      <c r="C208" s="8" t="n">
        <v>3</v>
      </c>
      <c r="D208" s="8" t="n">
        <v>141.33</v>
      </c>
      <c r="E208" s="8" t="n">
        <v>0</v>
      </c>
      <c r="F208" s="8" t="n">
        <v>0</v>
      </c>
      <c r="G208" s="7" t="n">
        <f aca="false">IFERROR(INDEX('TRANS'!$B:$B,MATCH($B208,'TRANS'!$A:$A,0)),IFERROR(INDEX('TRANS'!$B:$B,MATCH(TRIM(SUBSTITUTE($B208,CHAR(160)," ")),'TRANS'!$D:$D,0)),IFERROR(INDEX('Catalog'!$A:$A,MATCH($B208,'Catalog'!$B:$B,0)),IFERROR(INDEX('Catalog'!$A:$A,MATCH(TRIM(SUBSTITUTE($B208,CHAR(160)," ")),'Catalog'!$C:$C,0)),""))))</f>
        <v>4408114</v>
      </c>
      <c r="H208" s="7" t="str">
        <f aca="false">IFERROR(INDEX('TRANS'!$C:$C,MATCH($B208,'TRANS'!$A:$A,0)),IFERROR(INDEX('Catalog'!$B:$B,MATCH($G208,'Catalog'!$A:$A,0)),$B208))</f>
        <v>11EU M ח.בטן לאחר ניתוח</v>
      </c>
      <c r="I208" s="7" t="str">
        <f aca="false">IF($G208="","Unmatched","Matched")</f>
        <v>Matched</v>
      </c>
      <c r="J208" s="7" t="n">
        <f aca="false">IF($G208&lt;&gt;"",$G208,$B208)</f>
        <v>4408114</v>
      </c>
      <c r="K208" s="7" t="str">
        <f aca="false">IF(COUNTIF($O$2:$O$16,$A208)&gt;0,"Y","N")</f>
        <v>Y</v>
      </c>
    </row>
    <row r="209" customFormat="false" ht="15" hidden="false" customHeight="false" outlineLevel="0" collapsed="false">
      <c r="A209" s="7" t="s">
        <v>32</v>
      </c>
      <c r="B209" s="7" t="s">
        <v>416</v>
      </c>
      <c r="C209" s="8" t="n">
        <v>6</v>
      </c>
      <c r="D209" s="8" t="n">
        <v>282.66</v>
      </c>
      <c r="E209" s="8" t="n">
        <v>6</v>
      </c>
      <c r="F209" s="8" t="n">
        <v>273.36</v>
      </c>
      <c r="G209" s="7" t="n">
        <f aca="false">IFERROR(INDEX('TRANS'!$B:$B,MATCH($B209,'TRANS'!$A:$A,0)),IFERROR(INDEX('TRANS'!$B:$B,MATCH(TRIM(SUBSTITUTE($B209,CHAR(160)," ")),'TRANS'!$D:$D,0)),IFERROR(INDEX('Catalog'!$A:$A,MATCH($B209,'Catalog'!$B:$B,0)),IFERROR(INDEX('Catalog'!$A:$A,MATCH(TRIM(SUBSTITUTE($B209,CHAR(160)," ")),'Catalog'!$C:$C,0)),""))))</f>
        <v>4408116</v>
      </c>
      <c r="H209" s="7" t="str">
        <f aca="false">IFERROR(INDEX('TRANS'!$C:$C,MATCH($B209,'TRANS'!$A:$A,0)),IFERROR(INDEX('Catalog'!$B:$B,MATCH($G209,'Catalog'!$A:$A,0)),$B209))</f>
        <v>11EU XLח.בטן לאחר ניתוח</v>
      </c>
      <c r="I209" s="7" t="str">
        <f aca="false">IF($G209="","Unmatched","Matched")</f>
        <v>Matched</v>
      </c>
      <c r="J209" s="7" t="n">
        <f aca="false">IF($G209&lt;&gt;"",$G209,$B209)</f>
        <v>4408116</v>
      </c>
      <c r="K209" s="7" t="str">
        <f aca="false">IF(COUNTIF($O$2:$O$16,$A209)&gt;0,"Y","N")</f>
        <v>Y</v>
      </c>
    </row>
    <row r="210" customFormat="false" ht="15" hidden="false" customHeight="false" outlineLevel="0" collapsed="false">
      <c r="A210" s="7" t="s">
        <v>32</v>
      </c>
      <c r="B210" s="7" t="s">
        <v>417</v>
      </c>
      <c r="C210" s="8" t="n">
        <v>0</v>
      </c>
      <c r="D210" s="8" t="n">
        <v>0</v>
      </c>
      <c r="E210" s="8" t="n">
        <v>6</v>
      </c>
      <c r="F210" s="8" t="n">
        <v>273.36</v>
      </c>
      <c r="G210" s="7" t="n">
        <f aca="false">IFERROR(INDEX('TRANS'!$B:$B,MATCH($B210,'TRANS'!$A:$A,0)),IFERROR(INDEX('TRANS'!$B:$B,MATCH(TRIM(SUBSTITUTE($B210,CHAR(160)," ")),'TRANS'!$D:$D,0)),IFERROR(INDEX('Catalog'!$A:$A,MATCH($B210,'Catalog'!$B:$B,0)),IFERROR(INDEX('Catalog'!$A:$A,MATCH(TRIM(SUBSTITUTE($B210,CHAR(160)," ")),'Catalog'!$C:$C,0)),""))))</f>
        <v>4408132</v>
      </c>
      <c r="H210" s="7" t="str">
        <f aca="false">IFERROR(INDEX('TRANS'!$C:$C,MATCH($B210,'TRANS'!$A:$A,0)),IFERROR(INDEX('Catalog'!$B:$B,MATCH($G210,'Catalog'!$A:$A,0)),$B210))</f>
        <v>11EU XXL חגורת בטןלאחר ניתוח</v>
      </c>
      <c r="I210" s="7" t="str">
        <f aca="false">IF($G210="","Unmatched","Matched")</f>
        <v>Matched</v>
      </c>
      <c r="J210" s="7" t="n">
        <f aca="false">IF($G210&lt;&gt;"",$G210,$B210)</f>
        <v>4408132</v>
      </c>
      <c r="K210" s="7" t="str">
        <f aca="false">IF(COUNTIF($O$2:$O$16,$A210)&gt;0,"Y","N")</f>
        <v>Y</v>
      </c>
    </row>
    <row r="211" customFormat="false" ht="15" hidden="false" customHeight="false" outlineLevel="0" collapsed="false">
      <c r="A211" s="7" t="s">
        <v>32</v>
      </c>
      <c r="B211" s="7" t="s">
        <v>418</v>
      </c>
      <c r="C211" s="8" t="n">
        <v>3</v>
      </c>
      <c r="D211" s="8" t="n">
        <v>150.16</v>
      </c>
      <c r="E211" s="8" t="n">
        <v>3</v>
      </c>
      <c r="F211" s="8" t="n">
        <v>131.94</v>
      </c>
      <c r="G211" s="7" t="n">
        <f aca="false">IFERROR(INDEX('TRANS'!$B:$B,MATCH($B211,'TRANS'!$A:$A,0)),IFERROR(INDEX('TRANS'!$B:$B,MATCH(TRIM(SUBSTITUTE($B211,CHAR(160)," ")),'TRANS'!$D:$D,0)),IFERROR(INDEX('Catalog'!$A:$A,MATCH($B211,'Catalog'!$B:$B,0)),IFERROR(INDEX('Catalog'!$A:$A,MATCH(TRIM(SUBSTITUTE($B211,CHAR(160)," ")),'Catalog'!$C:$C,0)),""))))</f>
        <v>4408232</v>
      </c>
      <c r="H211" s="7" t="str">
        <f aca="false">IFERROR(INDEX('TRANS'!$C:$C,MATCH($B211,'TRANS'!$A:$A,0)),IFERROR(INDEX('Catalog'!$B:$B,MATCH($G211,'Catalog'!$A:$A,0)),$B211))</f>
        <v>16 XXL חגורת הריון</v>
      </c>
      <c r="I211" s="7" t="str">
        <f aca="false">IF($G211="","Unmatched","Matched")</f>
        <v>Matched</v>
      </c>
      <c r="J211" s="7" t="n">
        <f aca="false">IF($G211&lt;&gt;"",$G211,$B211)</f>
        <v>4408232</v>
      </c>
      <c r="K211" s="7" t="str">
        <f aca="false">IF(COUNTIF($O$2:$O$16,$A211)&gt;0,"Y","N")</f>
        <v>Y</v>
      </c>
    </row>
    <row r="212" customFormat="false" ht="15" hidden="false" customHeight="false" outlineLevel="0" collapsed="false">
      <c r="A212" s="7" t="s">
        <v>32</v>
      </c>
      <c r="B212" s="7" t="s">
        <v>285</v>
      </c>
      <c r="C212" s="8" t="n">
        <v>3</v>
      </c>
      <c r="D212" s="8" t="n">
        <v>150.16</v>
      </c>
      <c r="E212" s="8" t="n">
        <v>7</v>
      </c>
      <c r="F212" s="8" t="n">
        <v>307.86</v>
      </c>
      <c r="G212" s="7" t="n">
        <f aca="false">IFERROR(INDEX('TRANS'!$B:$B,MATCH($B212,'TRANS'!$A:$A,0)),IFERROR(INDEX('TRANS'!$B:$B,MATCH(TRIM(SUBSTITUTE($B212,CHAR(160)," ")),'TRANS'!$D:$D,0)),IFERROR(INDEX('Catalog'!$A:$A,MATCH($B212,'Catalog'!$B:$B,0)),IFERROR(INDEX('Catalog'!$A:$A,MATCH(TRIM(SUBSTITUTE($B212,CHAR(160)," ")),'Catalog'!$C:$C,0)),""))))</f>
        <v>4408230</v>
      </c>
      <c r="H212" s="7" t="str">
        <f aca="false">IFERROR(INDEX('TRANS'!$C:$C,MATCH($B212,'TRANS'!$A:$A,0)),IFERROR(INDEX('Catalog'!$B:$B,MATCH($G212,'Catalog'!$A:$A,0)),$B212))</f>
        <v>16 L-XL חגורת הריון</v>
      </c>
      <c r="I212" s="7" t="str">
        <f aca="false">IF($G212="","Unmatched","Matched")</f>
        <v>Matched</v>
      </c>
      <c r="J212" s="7" t="n">
        <f aca="false">IF($G212&lt;&gt;"",$G212,$B212)</f>
        <v>4408230</v>
      </c>
      <c r="K212" s="7" t="str">
        <f aca="false">IF(COUNTIF($O$2:$O$16,$A212)&gt;0,"Y","N")</f>
        <v>Y</v>
      </c>
    </row>
    <row r="213" customFormat="false" ht="15" hidden="false" customHeight="false" outlineLevel="0" collapsed="false">
      <c r="A213" s="7" t="s">
        <v>32</v>
      </c>
      <c r="B213" s="7" t="s">
        <v>286</v>
      </c>
      <c r="C213" s="8" t="n">
        <v>5</v>
      </c>
      <c r="D213" s="8" t="n">
        <v>257.64</v>
      </c>
      <c r="E213" s="8" t="n">
        <v>3</v>
      </c>
      <c r="F213" s="8" t="n">
        <v>131.94</v>
      </c>
      <c r="G213" s="7" t="n">
        <f aca="false">IFERROR(INDEX('TRANS'!$B:$B,MATCH($B213,'TRANS'!$A:$A,0)),IFERROR(INDEX('TRANS'!$B:$B,MATCH(TRIM(SUBSTITUTE($B213,CHAR(160)," ")),'TRANS'!$D:$D,0)),IFERROR(INDEX('Catalog'!$A:$A,MATCH($B213,'Catalog'!$B:$B,0)),IFERROR(INDEX('Catalog'!$A:$A,MATCH(TRIM(SUBSTITUTE($B213,CHAR(160)," ")),'Catalog'!$C:$C,0)),""))))</f>
        <v>4408231</v>
      </c>
      <c r="H213" s="7" t="str">
        <f aca="false">IFERROR(INDEX('TRANS'!$C:$C,MATCH($B213,'TRANS'!$A:$A,0)),IFERROR(INDEX('Catalog'!$B:$B,MATCH($G213,'Catalog'!$A:$A,0)),$B213))</f>
        <v>16 S-M חגורת הריון</v>
      </c>
      <c r="I213" s="7" t="str">
        <f aca="false">IF($G213="","Unmatched","Matched")</f>
        <v>Matched</v>
      </c>
      <c r="J213" s="7" t="n">
        <f aca="false">IF($G213&lt;&gt;"",$G213,$B213)</f>
        <v>4408231</v>
      </c>
      <c r="K213" s="7" t="str">
        <f aca="false">IF(COUNTIF($O$2:$O$16,$A213)&gt;0,"Y","N")</f>
        <v>Y</v>
      </c>
    </row>
    <row r="214" customFormat="false" ht="15" hidden="false" customHeight="false" outlineLevel="0" collapsed="false">
      <c r="A214" s="7" t="s">
        <v>32</v>
      </c>
      <c r="B214" s="7" t="s">
        <v>287</v>
      </c>
      <c r="C214" s="8" t="n">
        <v>0</v>
      </c>
      <c r="D214" s="8" t="n">
        <v>0</v>
      </c>
      <c r="E214" s="8" t="n">
        <v>6</v>
      </c>
      <c r="F214" s="8" t="n">
        <v>97</v>
      </c>
      <c r="G214" s="7" t="n">
        <f aca="false">IFERROR(INDEX('TRANS'!$B:$B,MATCH($B214,'TRANS'!$A:$A,0)),IFERROR(INDEX('TRANS'!$B:$B,MATCH(TRIM(SUBSTITUTE($B214,CHAR(160)," ")),'TRANS'!$D:$D,0)),IFERROR(INDEX('Catalog'!$A:$A,MATCH($B214,'Catalog'!$B:$B,0)),IFERROR(INDEX('Catalog'!$A:$A,MATCH(TRIM(SUBSTITUTE($B214,CHAR(160)," ")),'Catalog'!$C:$C,0)),""))))</f>
        <v>4408046</v>
      </c>
      <c r="H214" s="7" t="str">
        <f aca="false">IFERROR(INDEX('TRANS'!$C:$C,MATCH($B214,'TRANS'!$A:$A,0)),IFERROR(INDEX('Catalog'!$B:$B,MATCH($G214,'Catalog'!$A:$A,0)),$B214))</f>
        <v>20 L חבק יד מתכוון עם צמדן</v>
      </c>
      <c r="I214" s="7" t="str">
        <f aca="false">IF($G214="","Unmatched","Matched")</f>
        <v>Matched</v>
      </c>
      <c r="J214" s="7" t="n">
        <f aca="false">IF($G214&lt;&gt;"",$G214,$B214)</f>
        <v>4408046</v>
      </c>
      <c r="K214" s="7" t="str">
        <f aca="false">IF(COUNTIF($O$2:$O$16,$A214)&gt;0,"Y","N")</f>
        <v>Y</v>
      </c>
    </row>
    <row r="215" customFormat="false" ht="15" hidden="false" customHeight="false" outlineLevel="0" collapsed="false">
      <c r="A215" s="7" t="s">
        <v>32</v>
      </c>
      <c r="B215" s="7" t="s">
        <v>288</v>
      </c>
      <c r="C215" s="8" t="n">
        <v>10</v>
      </c>
      <c r="D215" s="8" t="n">
        <v>171.39</v>
      </c>
      <c r="E215" s="8" t="n">
        <v>6</v>
      </c>
      <c r="F215" s="8" t="n">
        <v>97</v>
      </c>
      <c r="G215" s="7" t="n">
        <f aca="false">IFERROR(INDEX('TRANS'!$B:$B,MATCH($B215,'TRANS'!$A:$A,0)),IFERROR(INDEX('TRANS'!$B:$B,MATCH(TRIM(SUBSTITUTE($B215,CHAR(160)," ")),'TRANS'!$D:$D,0)),IFERROR(INDEX('Catalog'!$A:$A,MATCH($B215,'Catalog'!$B:$B,0)),IFERROR(INDEX('Catalog'!$A:$A,MATCH(TRIM(SUBSTITUTE($B215,CHAR(160)," ")),'Catalog'!$C:$C,0)),""))))</f>
        <v>4408047</v>
      </c>
      <c r="H215" s="7" t="str">
        <f aca="false">IFERROR(INDEX('TRANS'!$C:$C,MATCH($B215,'TRANS'!$A:$A,0)),IFERROR(INDEX('Catalog'!$B:$B,MATCH($G215,'Catalog'!$A:$A,0)),$B215))</f>
        <v>20 M חבק יד מתכוון עם צמדן</v>
      </c>
      <c r="I215" s="7" t="str">
        <f aca="false">IF($G215="","Unmatched","Matched")</f>
        <v>Matched</v>
      </c>
      <c r="J215" s="7" t="n">
        <f aca="false">IF($G215&lt;&gt;"",$G215,$B215)</f>
        <v>4408047</v>
      </c>
      <c r="K215" s="7" t="str">
        <f aca="false">IF(COUNTIF($O$2:$O$16,$A215)&gt;0,"Y","N")</f>
        <v>Y</v>
      </c>
    </row>
    <row r="216" customFormat="false" ht="15" hidden="false" customHeight="false" outlineLevel="0" collapsed="false">
      <c r="A216" s="7" t="s">
        <v>32</v>
      </c>
      <c r="B216" s="7" t="s">
        <v>419</v>
      </c>
      <c r="C216" s="8" t="n">
        <v>6</v>
      </c>
      <c r="D216" s="8" t="n">
        <v>102.83</v>
      </c>
      <c r="E216" s="8" t="n">
        <v>0</v>
      </c>
      <c r="F216" s="8" t="n">
        <v>0</v>
      </c>
      <c r="G216" s="7" t="n">
        <f aca="false">IFERROR(INDEX('TRANS'!$B:$B,MATCH($B216,'TRANS'!$A:$A,0)),IFERROR(INDEX('TRANS'!$B:$B,MATCH(TRIM(SUBSTITUTE($B216,CHAR(160)," ")),'TRANS'!$D:$D,0)),IFERROR(INDEX('Catalog'!$A:$A,MATCH($B216,'Catalog'!$B:$B,0)),IFERROR(INDEX('Catalog'!$A:$A,MATCH(TRIM(SUBSTITUTE($B216,CHAR(160)," ")),'Catalog'!$C:$C,0)),""))))</f>
        <v>4408050</v>
      </c>
      <c r="H216" s="7" t="str">
        <f aca="false">IFERROR(INDEX('TRANS'!$C:$C,MATCH($B216,'TRANS'!$A:$A,0)),IFERROR(INDEX('Catalog'!$B:$B,MATCH($G216,'Catalog'!$A:$A,0)),$B216))</f>
        <v>20 XXL חבק יד מתכוון עם צמדן</v>
      </c>
      <c r="I216" s="7" t="str">
        <f aca="false">IF($G216="","Unmatched","Matched")</f>
        <v>Matched</v>
      </c>
      <c r="J216" s="7" t="n">
        <f aca="false">IF($G216&lt;&gt;"",$G216,$B216)</f>
        <v>4408050</v>
      </c>
      <c r="K216" s="7" t="str">
        <f aca="false">IF(COUNTIF($O$2:$O$16,$A216)&gt;0,"Y","N")</f>
        <v>Y</v>
      </c>
    </row>
    <row r="217" customFormat="false" ht="15" hidden="false" customHeight="false" outlineLevel="0" collapsed="false">
      <c r="A217" s="7" t="s">
        <v>32</v>
      </c>
      <c r="B217" s="7" t="s">
        <v>291</v>
      </c>
      <c r="C217" s="8" t="n">
        <v>10</v>
      </c>
      <c r="D217" s="8" t="n">
        <v>179.18</v>
      </c>
      <c r="E217" s="8" t="n">
        <v>9</v>
      </c>
      <c r="F217" s="8" t="n">
        <v>148.64</v>
      </c>
      <c r="G217" s="7" t="n">
        <f aca="false">IFERROR(INDEX('TRANS'!$B:$B,MATCH($B217,'TRANS'!$A:$A,0)),IFERROR(INDEX('TRANS'!$B:$B,MATCH(TRIM(SUBSTITUTE($B217,CHAR(160)," ")),'TRANS'!$D:$D,0)),IFERROR(INDEX('Catalog'!$A:$A,MATCH($B217,'Catalog'!$B:$B,0)),IFERROR(INDEX('Catalog'!$A:$A,MATCH(TRIM(SUBSTITUTE($B217,CHAR(160)," ")),'Catalog'!$C:$C,0)),""))))</f>
        <v>4408052</v>
      </c>
      <c r="H217" s="7" t="str">
        <f aca="false">IFERROR(INDEX('TRANS'!$C:$C,MATCH($B217,'TRANS'!$A:$A,0)),IFERROR(INDEX('Catalog'!$B:$B,MATCH($G217,'Catalog'!$A:$A,0)),$B217))</f>
        <v>21 L  חבק יד ארוך</v>
      </c>
      <c r="I217" s="7" t="str">
        <f aca="false">IF($G217="","Unmatched","Matched")</f>
        <v>Matched</v>
      </c>
      <c r="J217" s="7" t="n">
        <f aca="false">IF($G217&lt;&gt;"",$G217,$B217)</f>
        <v>4408052</v>
      </c>
      <c r="K217" s="7" t="str">
        <f aca="false">IF(COUNTIF($O$2:$O$16,$A217)&gt;0,"Y","N")</f>
        <v>Y</v>
      </c>
    </row>
    <row r="218" customFormat="false" ht="15" hidden="false" customHeight="false" outlineLevel="0" collapsed="false">
      <c r="A218" s="7" t="s">
        <v>32</v>
      </c>
      <c r="B218" s="7" t="s">
        <v>292</v>
      </c>
      <c r="C218" s="8" t="n">
        <v>12</v>
      </c>
      <c r="D218" s="8" t="n">
        <v>222.94</v>
      </c>
      <c r="E218" s="8" t="n">
        <v>20</v>
      </c>
      <c r="F218" s="8" t="n">
        <v>321.82</v>
      </c>
      <c r="G218" s="7" t="n">
        <f aca="false">IFERROR(INDEX('TRANS'!$B:$B,MATCH($B218,'TRANS'!$A:$A,0)),IFERROR(INDEX('TRANS'!$B:$B,MATCH(TRIM(SUBSTITUTE($B218,CHAR(160)," ")),'TRANS'!$D:$D,0)),IFERROR(INDEX('Catalog'!$A:$A,MATCH($B218,'Catalog'!$B:$B,0)),IFERROR(INDEX('Catalog'!$A:$A,MATCH(TRIM(SUBSTITUTE($B218,CHAR(160)," ")),'Catalog'!$C:$C,0)),""))))</f>
        <v>4408053</v>
      </c>
      <c r="H218" s="7" t="str">
        <f aca="false">IFERROR(INDEX('TRANS'!$C:$C,MATCH($B218,'TRANS'!$A:$A,0)),IFERROR(INDEX('Catalog'!$B:$B,MATCH($G218,'Catalog'!$A:$A,0)),$B218))</f>
        <v>21 M  חבק יד ארוך</v>
      </c>
      <c r="I218" s="7" t="str">
        <f aca="false">IF($G218="","Unmatched","Matched")</f>
        <v>Matched</v>
      </c>
      <c r="J218" s="7" t="n">
        <f aca="false">IF($G218&lt;&gt;"",$G218,$B218)</f>
        <v>4408053</v>
      </c>
      <c r="K218" s="7" t="str">
        <f aca="false">IF(COUNTIF($O$2:$O$16,$A218)&gt;0,"Y","N")</f>
        <v>Y</v>
      </c>
    </row>
    <row r="219" customFormat="false" ht="15" hidden="false" customHeight="false" outlineLevel="0" collapsed="false">
      <c r="A219" s="7" t="s">
        <v>32</v>
      </c>
      <c r="B219" s="7" t="s">
        <v>293</v>
      </c>
      <c r="C219" s="8" t="n">
        <v>6</v>
      </c>
      <c r="D219" s="8" t="n">
        <v>107.51</v>
      </c>
      <c r="E219" s="8" t="n">
        <v>0</v>
      </c>
      <c r="F219" s="8" t="n">
        <v>0</v>
      </c>
      <c r="G219" s="7" t="n">
        <f aca="false">IFERROR(INDEX('TRANS'!$B:$B,MATCH($B219,'TRANS'!$A:$A,0)),IFERROR(INDEX('TRANS'!$B:$B,MATCH(TRIM(SUBSTITUTE($B219,CHAR(160)," ")),'TRANS'!$D:$D,0)),IFERROR(INDEX('Catalog'!$A:$A,MATCH($B219,'Catalog'!$B:$B,0)),IFERROR(INDEX('Catalog'!$A:$A,MATCH(TRIM(SUBSTITUTE($B219,CHAR(160)," ")),'Catalog'!$C:$C,0)),""))))</f>
        <v>4408051</v>
      </c>
      <c r="H219" s="7" t="str">
        <f aca="false">IFERROR(INDEX('TRANS'!$C:$C,MATCH($B219,'TRANS'!$A:$A,0)),IFERROR(INDEX('Catalog'!$B:$B,MATCH($G219,'Catalog'!$A:$A,0)),$B219))</f>
        <v>21 S  חבק יד ארוך</v>
      </c>
      <c r="I219" s="7" t="str">
        <f aca="false">IF($G219="","Unmatched","Matched")</f>
        <v>Matched</v>
      </c>
      <c r="J219" s="7" t="n">
        <f aca="false">IF($G219&lt;&gt;"",$G219,$B219)</f>
        <v>4408051</v>
      </c>
      <c r="K219" s="7" t="str">
        <f aca="false">IF(COUNTIF($O$2:$O$16,$A219)&gt;0,"Y","N")</f>
        <v>Y</v>
      </c>
    </row>
    <row r="220" customFormat="false" ht="15" hidden="false" customHeight="false" outlineLevel="0" collapsed="false">
      <c r="A220" s="7" t="s">
        <v>32</v>
      </c>
      <c r="B220" s="7" t="s">
        <v>420</v>
      </c>
      <c r="C220" s="8" t="n">
        <v>3</v>
      </c>
      <c r="D220" s="8" t="n">
        <v>53.75</v>
      </c>
      <c r="E220" s="8" t="n">
        <v>0</v>
      </c>
      <c r="F220" s="8" t="n">
        <v>0</v>
      </c>
      <c r="G220" s="7" t="n">
        <f aca="false">IFERROR(INDEX('TRANS'!$B:$B,MATCH($B220,'TRANS'!$A:$A,0)),IFERROR(INDEX('TRANS'!$B:$B,MATCH(TRIM(SUBSTITUTE($B220,CHAR(160)," ")),'TRANS'!$D:$D,0)),IFERROR(INDEX('Catalog'!$A:$A,MATCH($B220,'Catalog'!$B:$B,0)),IFERROR(INDEX('Catalog'!$A:$A,MATCH(TRIM(SUBSTITUTE($B220,CHAR(160)," ")),'Catalog'!$C:$C,0)),""))))</f>
        <v>4408054</v>
      </c>
      <c r="H220" s="7" t="str">
        <f aca="false">IFERROR(INDEX('TRANS'!$C:$C,MATCH($B220,'TRANS'!$A:$A,0)),IFERROR(INDEX('Catalog'!$B:$B,MATCH($G220,'Catalog'!$A:$A,0)),$B220))</f>
        <v>21 XL חבק יד ארוך</v>
      </c>
      <c r="I220" s="7" t="str">
        <f aca="false">IF($G220="","Unmatched","Matched")</f>
        <v>Matched</v>
      </c>
      <c r="J220" s="7" t="n">
        <f aca="false">IF($G220&lt;&gt;"",$G220,$B220)</f>
        <v>4408054</v>
      </c>
      <c r="K220" s="7" t="str">
        <f aca="false">IF(COUNTIF($O$2:$O$16,$A220)&gt;0,"Y","N")</f>
        <v>Y</v>
      </c>
    </row>
    <row r="221" customFormat="false" ht="15" hidden="false" customHeight="false" outlineLevel="0" collapsed="false">
      <c r="A221" s="7" t="s">
        <v>32</v>
      </c>
      <c r="B221" s="7" t="s">
        <v>421</v>
      </c>
      <c r="C221" s="8" t="n">
        <v>0</v>
      </c>
      <c r="D221" s="8" t="n">
        <v>0</v>
      </c>
      <c r="E221" s="8" t="n">
        <v>10</v>
      </c>
      <c r="F221" s="8" t="n">
        <v>431.72</v>
      </c>
      <c r="G221" s="7" t="n">
        <f aca="false">IFERROR(INDEX('TRANS'!$B:$B,MATCH($B221,'TRANS'!$A:$A,0)),IFERROR(INDEX('TRANS'!$B:$B,MATCH(TRIM(SUBSTITUTE($B221,CHAR(160)," ")),'TRANS'!$D:$D,0)),IFERROR(INDEX('Catalog'!$A:$A,MATCH($B221,'Catalog'!$B:$B,0)),IFERROR(INDEX('Catalog'!$A:$A,MATCH(TRIM(SUBSTITUTE($B221,CHAR(160)," ")),'Catalog'!$C:$C,0)),""))))</f>
        <v>4411026</v>
      </c>
      <c r="H221" s="7" t="str">
        <f aca="false">IFERROR(INDEX('TRANS'!$C:$C,MATCH($B221,'TRANS'!$A:$A,0)),IFERROR(INDEX('Catalog'!$B:$B,MATCH($G221,'Catalog'!$A:$A,0)),$B221))</f>
        <v>213CTSL L שמאל CTS כפפות</v>
      </c>
      <c r="I221" s="7" t="str">
        <f aca="false">IF($G221="","Unmatched","Matched")</f>
        <v>Matched</v>
      </c>
      <c r="J221" s="7" t="n">
        <f aca="false">IF($G221&lt;&gt;"",$G221,$B221)</f>
        <v>4411026</v>
      </c>
      <c r="K221" s="7" t="str">
        <f aca="false">IF(COUNTIF($O$2:$O$16,$A221)&gt;0,"Y","N")</f>
        <v>Y</v>
      </c>
    </row>
    <row r="222" customFormat="false" ht="15" hidden="false" customHeight="false" outlineLevel="0" collapsed="false">
      <c r="A222" s="7" t="s">
        <v>32</v>
      </c>
      <c r="B222" s="7" t="s">
        <v>422</v>
      </c>
      <c r="C222" s="8" t="n">
        <v>0</v>
      </c>
      <c r="D222" s="8" t="n">
        <v>0</v>
      </c>
      <c r="E222" s="8" t="n">
        <v>20</v>
      </c>
      <c r="F222" s="8" t="n">
        <v>863.44</v>
      </c>
      <c r="G222" s="7" t="n">
        <f aca="false">IFERROR(INDEX('TRANS'!$B:$B,MATCH($B222,'TRANS'!$A:$A,0)),IFERROR(INDEX('TRANS'!$B:$B,MATCH(TRIM(SUBSTITUTE($B222,CHAR(160)," ")),'TRANS'!$D:$D,0)),IFERROR(INDEX('Catalog'!$A:$A,MATCH($B222,'Catalog'!$B:$B,0)),IFERROR(INDEX('Catalog'!$A:$A,MATCH(TRIM(SUBSTITUTE($B222,CHAR(160)," ")),'Catalog'!$C:$C,0)),""))))</f>
        <v>4411027</v>
      </c>
      <c r="H222" s="7" t="str">
        <f aca="false">IFERROR(INDEX('TRANS'!$C:$C,MATCH($B222,'TRANS'!$A:$A,0)),IFERROR(INDEX('Catalog'!$B:$B,MATCH($G222,'Catalog'!$A:$A,0)),$B222))</f>
        <v>213CTSL M שמאל CTS כפפות</v>
      </c>
      <c r="I222" s="7" t="str">
        <f aca="false">IF($G222="","Unmatched","Matched")</f>
        <v>Matched</v>
      </c>
      <c r="J222" s="7" t="n">
        <f aca="false">IF($G222&lt;&gt;"",$G222,$B222)</f>
        <v>4411027</v>
      </c>
      <c r="K222" s="7" t="str">
        <f aca="false">IF(COUNTIF($O$2:$O$16,$A222)&gt;0,"Y","N")</f>
        <v>Y</v>
      </c>
    </row>
    <row r="223" customFormat="false" ht="15" hidden="false" customHeight="false" outlineLevel="0" collapsed="false">
      <c r="A223" s="7" t="s">
        <v>32</v>
      </c>
      <c r="B223" s="7" t="s">
        <v>423</v>
      </c>
      <c r="C223" s="8" t="n">
        <v>0</v>
      </c>
      <c r="D223" s="8" t="n">
        <v>0</v>
      </c>
      <c r="E223" s="8" t="n">
        <v>20</v>
      </c>
      <c r="F223" s="8" t="n">
        <v>863.44</v>
      </c>
      <c r="G223" s="7" t="n">
        <f aca="false">IFERROR(INDEX('TRANS'!$B:$B,MATCH($B223,'TRANS'!$A:$A,0)),IFERROR(INDEX('TRANS'!$B:$B,MATCH(TRIM(SUBSTITUTE($B223,CHAR(160)," ")),'TRANS'!$D:$D,0)),IFERROR(INDEX('Catalog'!$A:$A,MATCH($B223,'Catalog'!$B:$B,0)),IFERROR(INDEX('Catalog'!$A:$A,MATCH(TRIM(SUBSTITUTE($B223,CHAR(160)," ")),'Catalog'!$C:$C,0)),""))))</f>
        <v>4411028</v>
      </c>
      <c r="H223" s="7" t="str">
        <f aca="false">IFERROR(INDEX('TRANS'!$C:$C,MATCH($B223,'TRANS'!$A:$A,0)),IFERROR(INDEX('Catalog'!$B:$B,MATCH($G223,'Catalog'!$A:$A,0)),$B223))</f>
        <v>213CTSL S שמאל CTS כפפות</v>
      </c>
      <c r="I223" s="7" t="str">
        <f aca="false">IF($G223="","Unmatched","Matched")</f>
        <v>Matched</v>
      </c>
      <c r="J223" s="7" t="n">
        <f aca="false">IF($G223&lt;&gt;"",$G223,$B223)</f>
        <v>4411028</v>
      </c>
      <c r="K223" s="7" t="str">
        <f aca="false">IF(COUNTIF($O$2:$O$16,$A223)&gt;0,"Y","N")</f>
        <v>Y</v>
      </c>
    </row>
    <row r="224" customFormat="false" ht="15" hidden="false" customHeight="false" outlineLevel="0" collapsed="false">
      <c r="A224" s="7" t="s">
        <v>32</v>
      </c>
      <c r="B224" s="7" t="s">
        <v>424</v>
      </c>
      <c r="C224" s="8" t="n">
        <v>0</v>
      </c>
      <c r="D224" s="8" t="n">
        <v>0</v>
      </c>
      <c r="E224" s="8" t="n">
        <v>10</v>
      </c>
      <c r="F224" s="8" t="n">
        <v>431.72</v>
      </c>
      <c r="G224" s="7" t="n">
        <f aca="false">IFERROR(INDEX('TRANS'!$B:$B,MATCH($B224,'TRANS'!$A:$A,0)),IFERROR(INDEX('TRANS'!$B:$B,MATCH(TRIM(SUBSTITUTE($B224,CHAR(160)," ")),'TRANS'!$D:$D,0)),IFERROR(INDEX('Catalog'!$A:$A,MATCH($B224,'Catalog'!$B:$B,0)),IFERROR(INDEX('Catalog'!$A:$A,MATCH(TRIM(SUBSTITUTE($B224,CHAR(160)," ")),'Catalog'!$C:$C,0)),""))))</f>
        <v>4411029</v>
      </c>
      <c r="H224" s="7" t="str">
        <f aca="false">IFERROR(INDEX('TRANS'!$C:$C,MATCH($B224,'TRANS'!$A:$A,0)),IFERROR(INDEX('Catalog'!$B:$B,MATCH($G224,'Catalog'!$A:$A,0)),$B224))</f>
        <v>213CTSR L ימין CTS כפפות</v>
      </c>
      <c r="I224" s="7" t="str">
        <f aca="false">IF($G224="","Unmatched","Matched")</f>
        <v>Matched</v>
      </c>
      <c r="J224" s="7" t="n">
        <f aca="false">IF($G224&lt;&gt;"",$G224,$B224)</f>
        <v>4411029</v>
      </c>
      <c r="K224" s="7" t="str">
        <f aca="false">IF(COUNTIF($O$2:$O$16,$A224)&gt;0,"Y","N")</f>
        <v>Y</v>
      </c>
    </row>
    <row r="225" customFormat="false" ht="15" hidden="false" customHeight="false" outlineLevel="0" collapsed="false">
      <c r="A225" s="7" t="s">
        <v>32</v>
      </c>
      <c r="B225" s="7" t="s">
        <v>425</v>
      </c>
      <c r="C225" s="8" t="n">
        <v>0</v>
      </c>
      <c r="D225" s="8" t="n">
        <v>0</v>
      </c>
      <c r="E225" s="8" t="n">
        <v>20</v>
      </c>
      <c r="F225" s="8" t="n">
        <v>863.44</v>
      </c>
      <c r="G225" s="7" t="n">
        <f aca="false">IFERROR(INDEX('TRANS'!$B:$B,MATCH($B225,'TRANS'!$A:$A,0)),IFERROR(INDEX('TRANS'!$B:$B,MATCH(TRIM(SUBSTITUTE($B225,CHAR(160)," ")),'TRANS'!$D:$D,0)),IFERROR(INDEX('Catalog'!$A:$A,MATCH($B225,'Catalog'!$B:$B,0)),IFERROR(INDEX('Catalog'!$A:$A,MATCH(TRIM(SUBSTITUTE($B225,CHAR(160)," ")),'Catalog'!$C:$C,0)),""))))</f>
        <v>4411030</v>
      </c>
      <c r="H225" s="7" t="str">
        <f aca="false">IFERROR(INDEX('TRANS'!$C:$C,MATCH($B225,'TRANS'!$A:$A,0)),IFERROR(INDEX('Catalog'!$B:$B,MATCH($G225,'Catalog'!$A:$A,0)),$B225))</f>
        <v>213CTSR M ימין CTS כפפות</v>
      </c>
      <c r="I225" s="7" t="str">
        <f aca="false">IF($G225="","Unmatched","Matched")</f>
        <v>Matched</v>
      </c>
      <c r="J225" s="7" t="n">
        <f aca="false">IF($G225&lt;&gt;"",$G225,$B225)</f>
        <v>4411030</v>
      </c>
      <c r="K225" s="7" t="str">
        <f aca="false">IF(COUNTIF($O$2:$O$16,$A225)&gt;0,"Y","N")</f>
        <v>Y</v>
      </c>
    </row>
    <row r="226" customFormat="false" ht="15" hidden="false" customHeight="false" outlineLevel="0" collapsed="false">
      <c r="A226" s="7" t="s">
        <v>32</v>
      </c>
      <c r="B226" s="7" t="s">
        <v>426</v>
      </c>
      <c r="C226" s="8" t="n">
        <v>0</v>
      </c>
      <c r="D226" s="8" t="n">
        <v>0</v>
      </c>
      <c r="E226" s="8" t="n">
        <v>20</v>
      </c>
      <c r="F226" s="8" t="n">
        <v>863.44</v>
      </c>
      <c r="G226" s="7" t="n">
        <f aca="false">IFERROR(INDEX('TRANS'!$B:$B,MATCH($B226,'TRANS'!$A:$A,0)),IFERROR(INDEX('TRANS'!$B:$B,MATCH(TRIM(SUBSTITUTE($B226,CHAR(160)," ")),'TRANS'!$D:$D,0)),IFERROR(INDEX('Catalog'!$A:$A,MATCH($B226,'Catalog'!$B:$B,0)),IFERROR(INDEX('Catalog'!$A:$A,MATCH(TRIM(SUBSTITUTE($B226,CHAR(160)," ")),'Catalog'!$C:$C,0)),""))))</f>
        <v>4411031</v>
      </c>
      <c r="H226" s="7" t="str">
        <f aca="false">IFERROR(INDEX('TRANS'!$C:$C,MATCH($B226,'TRANS'!$A:$A,0)),IFERROR(INDEX('Catalog'!$B:$B,MATCH($G226,'Catalog'!$A:$A,0)),$B226))</f>
        <v>213CTS  S ימין CTS כפפות</v>
      </c>
      <c r="I226" s="7" t="str">
        <f aca="false">IF($G226="","Unmatched","Matched")</f>
        <v>Matched</v>
      </c>
      <c r="J226" s="7" t="n">
        <f aca="false">IF($G226&lt;&gt;"",$G226,$B226)</f>
        <v>4411031</v>
      </c>
      <c r="K226" s="7" t="str">
        <f aca="false">IF(COUNTIF($O$2:$O$16,$A226)&gt;0,"Y","N")</f>
        <v>Y</v>
      </c>
    </row>
    <row r="227" customFormat="false" ht="15" hidden="false" customHeight="false" outlineLevel="0" collapsed="false">
      <c r="A227" s="7" t="s">
        <v>32</v>
      </c>
      <c r="B227" s="7" t="s">
        <v>427</v>
      </c>
      <c r="C227" s="8" t="n">
        <v>0</v>
      </c>
      <c r="D227" s="8" t="n">
        <v>0</v>
      </c>
      <c r="E227" s="8" t="n">
        <v>10</v>
      </c>
      <c r="F227" s="8" t="n">
        <v>133.48</v>
      </c>
      <c r="G227" s="7" t="n">
        <f aca="false">IFERROR(INDEX('TRANS'!$B:$B,MATCH($B227,'TRANS'!$A:$A,0)),IFERROR(INDEX('TRANS'!$B:$B,MATCH(TRIM(SUBSTITUTE($B227,CHAR(160)," ")),'TRANS'!$D:$D,0)),IFERROR(INDEX('Catalog'!$A:$A,MATCH($B227,'Catalog'!$B:$B,0)),IFERROR(INDEX('Catalog'!$A:$A,MATCH(TRIM(SUBSTITUTE($B227,CHAR(160)," ")),'Catalog'!$C:$C,0)),""))))</f>
        <v>4415029</v>
      </c>
      <c r="H227" s="7" t="str">
        <f aca="false">IFERROR(INDEX('TRANS'!$C:$C,MATCH($B227,'TRANS'!$A:$A,0)),IFERROR(INDEX('Catalog'!$B:$B,MATCH($G227,'Catalog'!$A:$A,0)),$B227))</f>
        <v>סד קיבוע לאצבע הדק</v>
      </c>
      <c r="I227" s="7" t="str">
        <f aca="false">IF($G227="","Unmatched","Matched")</f>
        <v>Matched</v>
      </c>
      <c r="J227" s="7" t="n">
        <f aca="false">IF($G227&lt;&gt;"",$G227,$B227)</f>
        <v>4415029</v>
      </c>
      <c r="K227" s="7" t="str">
        <f aca="false">IF(COUNTIF($O$2:$O$16,$A227)&gt;0,"Y","N")</f>
        <v>Y</v>
      </c>
    </row>
    <row r="228" customFormat="false" ht="15" hidden="false" customHeight="false" outlineLevel="0" collapsed="false">
      <c r="A228" s="7" t="s">
        <v>32</v>
      </c>
      <c r="B228" s="7" t="s">
        <v>428</v>
      </c>
      <c r="C228" s="8" t="n">
        <v>0</v>
      </c>
      <c r="D228" s="8" t="n">
        <v>0</v>
      </c>
      <c r="E228" s="8" t="n">
        <v>10</v>
      </c>
      <c r="F228" s="8" t="n">
        <v>82.14</v>
      </c>
      <c r="G228" s="7" t="n">
        <f aca="false">IFERROR(INDEX('TRANS'!$B:$B,MATCH($B228,'TRANS'!$A:$A,0)),IFERROR(INDEX('TRANS'!$B:$B,MATCH(TRIM(SUBSTITUTE($B228,CHAR(160)," ")),'TRANS'!$D:$D,0)),IFERROR(INDEX('Catalog'!$A:$A,MATCH($B228,'Catalog'!$B:$B,0)),IFERROR(INDEX('Catalog'!$A:$A,MATCH(TRIM(SUBSTITUTE($B228,CHAR(160)," ")),'Catalog'!$C:$C,0)),""))))</f>
        <v>4415162</v>
      </c>
      <c r="H228" s="7" t="str">
        <f aca="false">IFERROR(INDEX('TRANS'!$C:$C,MATCH($B228,'TRANS'!$A:$A,0)),IFERROR(INDEX('Catalog'!$B:$B,MATCH($G228,'Catalog'!$A:$A,0)),$B228))</f>
        <v>238L סד ליישור אצבע</v>
      </c>
      <c r="I228" s="7" t="str">
        <f aca="false">IF($G228="","Unmatched","Matched")</f>
        <v>Matched</v>
      </c>
      <c r="J228" s="7" t="n">
        <f aca="false">IF($G228&lt;&gt;"",$G228,$B228)</f>
        <v>4415162</v>
      </c>
      <c r="K228" s="7" t="str">
        <f aca="false">IF(COUNTIF($O$2:$O$16,$A228)&gt;0,"Y","N")</f>
        <v>Y</v>
      </c>
    </row>
    <row r="229" customFormat="false" ht="15" hidden="false" customHeight="false" outlineLevel="0" collapsed="false">
      <c r="A229" s="7" t="s">
        <v>32</v>
      </c>
      <c r="B229" s="7" t="s">
        <v>429</v>
      </c>
      <c r="C229" s="8" t="n">
        <v>12</v>
      </c>
      <c r="D229" s="8" t="n">
        <v>120.45</v>
      </c>
      <c r="E229" s="8" t="n">
        <v>0</v>
      </c>
      <c r="F229" s="8" t="n">
        <v>0</v>
      </c>
      <c r="G229" s="7" t="n">
        <f aca="false">IFERROR(INDEX('TRANS'!$B:$B,MATCH($B229,'TRANS'!$A:$A,0)),IFERROR(INDEX('TRANS'!$B:$B,MATCH(TRIM(SUBSTITUTE($B229,CHAR(160)," ")),'TRANS'!$D:$D,0)),IFERROR(INDEX('Catalog'!$A:$A,MATCH($B229,'Catalog'!$B:$B,0)),IFERROR(INDEX('Catalog'!$A:$A,MATCH(TRIM(SUBSTITUTE($B229,CHAR(160)," ")),'Catalog'!$C:$C,0)),""))))</f>
        <v>4415161</v>
      </c>
      <c r="H229" s="7" t="str">
        <f aca="false">IFERROR(INDEX('TRANS'!$C:$C,MATCH($B229,'TRANS'!$A:$A,0)),IFERROR(INDEX('Catalog'!$B:$B,MATCH($G229,'Catalog'!$A:$A,0)),$B229))</f>
        <v>238M סד ליישור אצבע</v>
      </c>
      <c r="I229" s="7" t="str">
        <f aca="false">IF($G229="","Unmatched","Matched")</f>
        <v>Matched</v>
      </c>
      <c r="J229" s="7" t="n">
        <f aca="false">IF($G229&lt;&gt;"",$G229,$B229)</f>
        <v>4415161</v>
      </c>
      <c r="K229" s="7" t="str">
        <f aca="false">IF(COUNTIF($O$2:$O$16,$A229)&gt;0,"Y","N")</f>
        <v>Y</v>
      </c>
    </row>
    <row r="230" customFormat="false" ht="15" hidden="false" customHeight="false" outlineLevel="0" collapsed="false">
      <c r="A230" s="7" t="s">
        <v>32</v>
      </c>
      <c r="B230" s="7" t="s">
        <v>430</v>
      </c>
      <c r="C230" s="8" t="n">
        <v>6</v>
      </c>
      <c r="D230" s="8" t="n">
        <v>54.71</v>
      </c>
      <c r="E230" s="8" t="n">
        <v>27</v>
      </c>
      <c r="F230" s="8" t="n">
        <v>229.03</v>
      </c>
      <c r="G230" s="7" t="n">
        <f aca="false">IFERROR(INDEX('TRANS'!$B:$B,MATCH($B230,'TRANS'!$A:$A,0)),IFERROR(INDEX('TRANS'!$B:$B,MATCH(TRIM(SUBSTITUTE($B230,CHAR(160)," ")),'TRANS'!$D:$D,0)),IFERROR(INDEX('Catalog'!$A:$A,MATCH($B230,'Catalog'!$B:$B,0)),IFERROR(INDEX('Catalog'!$A:$A,MATCH(TRIM(SUBSTITUTE($B230,CHAR(160)," ")),'Catalog'!$C:$C,0)),""))))</f>
        <v>4415160</v>
      </c>
      <c r="H230" s="7" t="str">
        <f aca="false">IFERROR(INDEX('TRANS'!$C:$C,MATCH($B230,'TRANS'!$A:$A,0)),IFERROR(INDEX('Catalog'!$B:$B,MATCH($G230,'Catalog'!$A:$A,0)),$B230))</f>
        <v>238S סד ליישור אצבע</v>
      </c>
      <c r="I230" s="7" t="str">
        <f aca="false">IF($G230="","Unmatched","Matched")</f>
        <v>Matched</v>
      </c>
      <c r="J230" s="7" t="n">
        <f aca="false">IF($G230&lt;&gt;"",$G230,$B230)</f>
        <v>4415160</v>
      </c>
      <c r="K230" s="7" t="str">
        <f aca="false">IF(COUNTIF($O$2:$O$16,$A230)&gt;0,"Y","N")</f>
        <v>Y</v>
      </c>
    </row>
    <row r="231" customFormat="false" ht="15" hidden="false" customHeight="false" outlineLevel="0" collapsed="false">
      <c r="A231" s="7" t="s">
        <v>32</v>
      </c>
      <c r="B231" s="7" t="s">
        <v>431</v>
      </c>
      <c r="C231" s="8" t="n">
        <v>30</v>
      </c>
      <c r="D231" s="8" t="n">
        <v>301.12</v>
      </c>
      <c r="E231" s="8" t="n">
        <v>0</v>
      </c>
      <c r="F231" s="8" t="n">
        <v>0</v>
      </c>
      <c r="G231" s="7" t="n">
        <f aca="false">IFERROR(INDEX('TRANS'!$B:$B,MATCH($B231,'TRANS'!$A:$A,0)),IFERROR(INDEX('TRANS'!$B:$B,MATCH(TRIM(SUBSTITUTE($B231,CHAR(160)," ")),'TRANS'!$D:$D,0)),IFERROR(INDEX('Catalog'!$A:$A,MATCH($B231,'Catalog'!$B:$B,0)),IFERROR(INDEX('Catalog'!$A:$A,MATCH(TRIM(SUBSTITUTE($B231,CHAR(160)," ")),'Catalog'!$C:$C,0)),""))))</f>
        <v>4415163</v>
      </c>
      <c r="H231" s="7" t="str">
        <f aca="false">IFERROR(INDEX('TRANS'!$C:$C,MATCH($B231,'TRANS'!$A:$A,0)),IFERROR(INDEX('Catalog'!$B:$B,MATCH($G231,'Catalog'!$A:$A,0)),$B231))</f>
        <v>238XL סד ליישור אצבע</v>
      </c>
      <c r="I231" s="7" t="str">
        <f aca="false">IF($G231="","Unmatched","Matched")</f>
        <v>Matched</v>
      </c>
      <c r="J231" s="7" t="n">
        <f aca="false">IF($G231&lt;&gt;"",$G231,$B231)</f>
        <v>4415163</v>
      </c>
      <c r="K231" s="7" t="str">
        <f aca="false">IF(COUNTIF($O$2:$O$16,$A231)&gt;0,"Y","N")</f>
        <v>Y</v>
      </c>
    </row>
    <row r="232" customFormat="false" ht="15" hidden="false" customHeight="false" outlineLevel="0" collapsed="false">
      <c r="A232" s="7" t="s">
        <v>32</v>
      </c>
      <c r="B232" s="7" t="s">
        <v>432</v>
      </c>
      <c r="C232" s="8" t="n">
        <v>20</v>
      </c>
      <c r="D232" s="8" t="n">
        <v>411.65</v>
      </c>
      <c r="E232" s="8" t="n">
        <v>12</v>
      </c>
      <c r="F232" s="8" t="n">
        <v>219.72</v>
      </c>
      <c r="G232" s="7" t="n">
        <f aca="false">IFERROR(INDEX('TRANS'!$B:$B,MATCH($B232,'TRANS'!$A:$A,0)),IFERROR(INDEX('TRANS'!$B:$B,MATCH(TRIM(SUBSTITUTE($B232,CHAR(160)," ")),'TRANS'!$D:$D,0)),IFERROR(INDEX('Catalog'!$A:$A,MATCH($B232,'Catalog'!$B:$B,0)),IFERROR(INDEX('Catalog'!$A:$A,MATCH(TRIM(SUBSTITUTE($B232,CHAR(160)," ")),'Catalog'!$C:$C,0)),""))))</f>
        <v>4421005</v>
      </c>
      <c r="H232" s="7" t="str">
        <f aca="false">IFERROR(INDEX('TRANS'!$C:$C,MATCH($B232,'TRANS'!$A:$A,0)),IFERROR(INDEX('Catalog'!$B:$B,MATCH($G232,'Catalog'!$A:$A,0)),$B232))</f>
        <v>שרוול לגבס קצר יד</v>
      </c>
      <c r="I232" s="7" t="str">
        <f aca="false">IF($G232="","Unmatched","Matched")</f>
        <v>Matched</v>
      </c>
      <c r="J232" s="7" t="n">
        <f aca="false">IF($G232&lt;&gt;"",$G232,$B232)</f>
        <v>4421005</v>
      </c>
      <c r="K232" s="7" t="str">
        <f aca="false">IF(COUNTIF($O$2:$O$16,$A232)&gt;0,"Y","N")</f>
        <v>Y</v>
      </c>
    </row>
    <row r="233" customFormat="false" ht="15" hidden="false" customHeight="false" outlineLevel="0" collapsed="false">
      <c r="A233" s="7" t="s">
        <v>32</v>
      </c>
      <c r="B233" s="7" t="s">
        <v>433</v>
      </c>
      <c r="C233" s="8" t="n">
        <v>30</v>
      </c>
      <c r="D233" s="8" t="n">
        <v>689.16</v>
      </c>
      <c r="E233" s="8" t="n">
        <v>20</v>
      </c>
      <c r="F233" s="8" t="n">
        <v>415.16</v>
      </c>
      <c r="G233" s="7" t="n">
        <f aca="false">IFERROR(INDEX('TRANS'!$B:$B,MATCH($B233,'TRANS'!$A:$A,0)),IFERROR(INDEX('TRANS'!$B:$B,MATCH(TRIM(SUBSTITUTE($B233,CHAR(160)," ")),'TRANS'!$D:$D,0)),IFERROR(INDEX('Catalog'!$A:$A,MATCH($B233,'Catalog'!$B:$B,0)),IFERROR(INDEX('Catalog'!$A:$A,MATCH(TRIM(SUBSTITUTE($B233,CHAR(160)," ")),'Catalog'!$C:$C,0)),""))))</f>
        <v>4421006</v>
      </c>
      <c r="H233" s="7" t="str">
        <f aca="false">IFERROR(INDEX('TRANS'!$C:$C,MATCH($B233,'TRANS'!$A:$A,0)),IFERROR(INDEX('Catalog'!$B:$B,MATCH($G233,'Catalog'!$A:$A,0)),$B233))</f>
        <v>שרוול לגבס ארוך יד</v>
      </c>
      <c r="I233" s="7" t="str">
        <f aca="false">IF($G233="","Unmatched","Matched")</f>
        <v>Matched</v>
      </c>
      <c r="J233" s="7" t="n">
        <f aca="false">IF($G233&lt;&gt;"",$G233,$B233)</f>
        <v>4421006</v>
      </c>
      <c r="K233" s="7" t="str">
        <f aca="false">IF(COUNTIF($O$2:$O$16,$A233)&gt;0,"Y","N")</f>
        <v>Y</v>
      </c>
    </row>
    <row r="234" customFormat="false" ht="15" hidden="false" customHeight="false" outlineLevel="0" collapsed="false">
      <c r="A234" s="7" t="s">
        <v>32</v>
      </c>
      <c r="B234" s="7" t="s">
        <v>393</v>
      </c>
      <c r="C234" s="8" t="n">
        <v>20</v>
      </c>
      <c r="D234" s="8" t="n">
        <v>484.75</v>
      </c>
      <c r="E234" s="8" t="n">
        <v>30</v>
      </c>
      <c r="F234" s="8" t="n">
        <v>662.71</v>
      </c>
      <c r="G234" s="7" t="n">
        <f aca="false">IFERROR(INDEX('TRANS'!$B:$B,MATCH($B234,'TRANS'!$A:$A,0)),IFERROR(INDEX('TRANS'!$B:$B,MATCH(TRIM(SUBSTITUTE($B234,CHAR(160)," ")),'TRANS'!$D:$D,0)),IFERROR(INDEX('Catalog'!$A:$A,MATCH($B234,'Catalog'!$B:$B,0)),IFERROR(INDEX('Catalog'!$A:$A,MATCH(TRIM(SUBSTITUTE($B234,CHAR(160)," ")),'Catalog'!$C:$C,0)),""))))</f>
        <v>4415158</v>
      </c>
      <c r="H234" s="7" t="str">
        <f aca="false">IFERROR(INDEX('TRANS'!$C:$C,MATCH($B234,'TRANS'!$A:$A,0)),IFERROR(INDEX('Catalog'!$B:$B,MATCH($G234,'Catalog'!$A:$A,0)),$B234))</f>
        <v>266 סד ליד דו צדדי</v>
      </c>
      <c r="I234" s="7" t="str">
        <f aca="false">IF($G234="","Unmatched","Matched")</f>
        <v>Matched</v>
      </c>
      <c r="J234" s="7" t="n">
        <f aca="false">IF($G234&lt;&gt;"",$G234,$B234)</f>
        <v>4415158</v>
      </c>
      <c r="K234" s="7" t="str">
        <f aca="false">IF(COUNTIF($O$2:$O$16,$A234)&gt;0,"Y","N")</f>
        <v>Y</v>
      </c>
    </row>
    <row r="235" customFormat="false" ht="15" hidden="false" customHeight="false" outlineLevel="0" collapsed="false">
      <c r="A235" s="7" t="s">
        <v>32</v>
      </c>
      <c r="B235" s="7" t="s">
        <v>434</v>
      </c>
      <c r="C235" s="8" t="n">
        <v>10</v>
      </c>
      <c r="D235" s="8" t="n">
        <v>379.78</v>
      </c>
      <c r="E235" s="8" t="n">
        <v>10</v>
      </c>
      <c r="F235" s="8" t="n">
        <v>358.23</v>
      </c>
      <c r="G235" s="7" t="n">
        <f aca="false">IFERROR(INDEX('TRANS'!$B:$B,MATCH($B235,'TRANS'!$A:$A,0)),IFERROR(INDEX('TRANS'!$B:$B,MATCH(TRIM(SUBSTITUTE($B235,CHAR(160)," ")),'TRANS'!$D:$D,0)),IFERROR(INDEX('Catalog'!$A:$A,MATCH($B235,'Catalog'!$B:$B,0)),IFERROR(INDEX('Catalog'!$A:$A,MATCH(TRIM(SUBSTITUTE($B235,CHAR(160)," ")),'Catalog'!$C:$C,0)),""))))</f>
        <v>4415159</v>
      </c>
      <c r="H235" s="7" t="str">
        <f aca="false">IFERROR(INDEX('TRANS'!$C:$C,MATCH($B235,'TRANS'!$A:$A,0)),IFERROR(INDEX('Catalog'!$B:$B,MATCH($G235,'Catalog'!$A:$A,0)),$B235))</f>
        <v>268 סד לאגודל</v>
      </c>
      <c r="I235" s="7" t="str">
        <f aca="false">IF($G235="","Unmatched","Matched")</f>
        <v>Matched</v>
      </c>
      <c r="J235" s="7" t="n">
        <f aca="false">IF($G235&lt;&gt;"",$G235,$B235)</f>
        <v>4415159</v>
      </c>
      <c r="K235" s="7" t="str">
        <f aca="false">IF(COUNTIF($O$2:$O$16,$A235)&gt;0,"Y","N")</f>
        <v>Y</v>
      </c>
    </row>
    <row r="236" customFormat="false" ht="15" hidden="false" customHeight="false" outlineLevel="0" collapsed="false">
      <c r="A236" s="7" t="s">
        <v>32</v>
      </c>
      <c r="B236" s="7" t="s">
        <v>435</v>
      </c>
      <c r="C236" s="8" t="n">
        <v>3</v>
      </c>
      <c r="D236" s="8" t="n">
        <v>120.36</v>
      </c>
      <c r="E236" s="8" t="n">
        <v>3</v>
      </c>
      <c r="F236" s="8" t="n">
        <v>105.76</v>
      </c>
      <c r="G236" s="7" t="n">
        <f aca="false">IFERROR(INDEX('TRANS'!$B:$B,MATCH($B236,'TRANS'!$A:$A,0)),IFERROR(INDEX('TRANS'!$B:$B,MATCH(TRIM(SUBSTITUTE($B236,CHAR(160)," ")),'TRANS'!$D:$D,0)),IFERROR(INDEX('Catalog'!$A:$A,MATCH($B236,'Catalog'!$B:$B,0)),IFERROR(INDEX('Catalog'!$A:$A,MATCH(TRIM(SUBSTITUTE($B236,CHAR(160)," ")),'Catalog'!$C:$C,0)),""))))</f>
        <v>4415005</v>
      </c>
      <c r="H236" s="7" t="str">
        <f aca="false">IFERROR(INDEX('TRANS'!$C:$C,MATCH($B236,'TRANS'!$A:$A,0)),IFERROR(INDEX('Catalog'!$B:$B,MATCH($G236,'Catalog'!$A:$A,0)),$B236))</f>
        <v>28 L סד לאגודל לאחר שבר</v>
      </c>
      <c r="I236" s="7" t="str">
        <f aca="false">IF($G236="","Unmatched","Matched")</f>
        <v>Matched</v>
      </c>
      <c r="J236" s="7" t="n">
        <f aca="false">IF($G236&lt;&gt;"",$G236,$B236)</f>
        <v>4415005</v>
      </c>
      <c r="K236" s="7" t="str">
        <f aca="false">IF(COUNTIF($O$2:$O$16,$A236)&gt;0,"Y","N")</f>
        <v>Y</v>
      </c>
    </row>
    <row r="237" customFormat="false" ht="15" hidden="false" customHeight="false" outlineLevel="0" collapsed="false">
      <c r="A237" s="7" t="s">
        <v>32</v>
      </c>
      <c r="B237" s="7" t="s">
        <v>436</v>
      </c>
      <c r="C237" s="8" t="n">
        <v>9</v>
      </c>
      <c r="D237" s="8" t="n">
        <v>375.86</v>
      </c>
      <c r="E237" s="8" t="n">
        <v>0</v>
      </c>
      <c r="F237" s="8" t="n">
        <v>0</v>
      </c>
      <c r="G237" s="7" t="n">
        <f aca="false">IFERROR(INDEX('TRANS'!$B:$B,MATCH($B237,'TRANS'!$A:$A,0)),IFERROR(INDEX('TRANS'!$B:$B,MATCH(TRIM(SUBSTITUTE($B237,CHAR(160)," ")),'TRANS'!$D:$D,0)),IFERROR(INDEX('Catalog'!$A:$A,MATCH($B237,'Catalog'!$B:$B,0)),IFERROR(INDEX('Catalog'!$A:$A,MATCH(TRIM(SUBSTITUTE($B237,CHAR(160)," ")),'Catalog'!$C:$C,0)),""))))</f>
        <v>4415006</v>
      </c>
      <c r="H237" s="7" t="str">
        <f aca="false">IFERROR(INDEX('TRANS'!$C:$C,MATCH($B237,'TRANS'!$A:$A,0)),IFERROR(INDEX('Catalog'!$B:$B,MATCH($G237,'Catalog'!$A:$A,0)),$B237))</f>
        <v>28 M סד לאגודל לאחר שבר</v>
      </c>
      <c r="I237" s="7" t="str">
        <f aca="false">IF($G237="","Unmatched","Matched")</f>
        <v>Matched</v>
      </c>
      <c r="J237" s="7" t="n">
        <f aca="false">IF($G237&lt;&gt;"",$G237,$B237)</f>
        <v>4415006</v>
      </c>
      <c r="K237" s="7" t="str">
        <f aca="false">IF(COUNTIF($O$2:$O$16,$A237)&gt;0,"Y","N")</f>
        <v>Y</v>
      </c>
    </row>
    <row r="238" customFormat="false" ht="15" hidden="false" customHeight="false" outlineLevel="0" collapsed="false">
      <c r="A238" s="7" t="s">
        <v>32</v>
      </c>
      <c r="B238" s="7" t="s">
        <v>437</v>
      </c>
      <c r="C238" s="8" t="n">
        <v>10</v>
      </c>
      <c r="D238" s="8" t="n">
        <v>401.21</v>
      </c>
      <c r="E238" s="8" t="n">
        <v>6</v>
      </c>
      <c r="F238" s="8" t="n">
        <v>227.07</v>
      </c>
      <c r="G238" s="7" t="n">
        <f aca="false">IFERROR(INDEX('TRANS'!$B:$B,MATCH($B238,'TRANS'!$A:$A,0)),IFERROR(INDEX('TRANS'!$B:$B,MATCH(TRIM(SUBSTITUTE($B238,CHAR(160)," ")),'TRANS'!$D:$D,0)),IFERROR(INDEX('Catalog'!$A:$A,MATCH($B238,'Catalog'!$B:$B,0)),IFERROR(INDEX('Catalog'!$A:$A,MATCH(TRIM(SUBSTITUTE($B238,CHAR(160)," ")),'Catalog'!$C:$C,0)),""))))</f>
        <v>4415007</v>
      </c>
      <c r="H238" s="7" t="str">
        <f aca="false">IFERROR(INDEX('TRANS'!$C:$C,MATCH($B238,'TRANS'!$A:$A,0)),IFERROR(INDEX('Catalog'!$B:$B,MATCH($G238,'Catalog'!$A:$A,0)),$B238))</f>
        <v>28 S סד לאגודל לאחר שבר</v>
      </c>
      <c r="I238" s="7" t="str">
        <f aca="false">IF($G238="","Unmatched","Matched")</f>
        <v>Matched</v>
      </c>
      <c r="J238" s="7" t="n">
        <f aca="false">IF($G238&lt;&gt;"",$G238,$B238)</f>
        <v>4415007</v>
      </c>
      <c r="K238" s="7" t="str">
        <f aca="false">IF(COUNTIF($O$2:$O$16,$A238)&gt;0,"Y","N")</f>
        <v>Y</v>
      </c>
    </row>
    <row r="239" customFormat="false" ht="15" hidden="false" customHeight="false" outlineLevel="0" collapsed="false">
      <c r="A239" s="7" t="s">
        <v>32</v>
      </c>
      <c r="B239" s="7" t="s">
        <v>438</v>
      </c>
      <c r="C239" s="8" t="n">
        <v>3</v>
      </c>
      <c r="D239" s="8" t="n">
        <v>117.4</v>
      </c>
      <c r="E239" s="8" t="n">
        <v>0</v>
      </c>
      <c r="F239" s="8" t="n">
        <v>0</v>
      </c>
      <c r="G239" s="7" t="n">
        <f aca="false">IFERROR(INDEX('TRANS'!$B:$B,MATCH($B239,'TRANS'!$A:$A,0)),IFERROR(INDEX('TRANS'!$B:$B,MATCH(TRIM(SUBSTITUTE($B239,CHAR(160)," ")),'TRANS'!$D:$D,0)),IFERROR(INDEX('Catalog'!$A:$A,MATCH($B239,'Catalog'!$B:$B,0)),IFERROR(INDEX('Catalog'!$A:$A,MATCH(TRIM(SUBSTITUTE($B239,CHAR(160)," ")),'Catalog'!$C:$C,0)),""))))</f>
        <v>4415008</v>
      </c>
      <c r="H239" s="7" t="str">
        <f aca="false">IFERROR(INDEX('TRANS'!$C:$C,MATCH($B239,'TRANS'!$A:$A,0)),IFERROR(INDEX('Catalog'!$B:$B,MATCH($G239,'Catalog'!$A:$A,0)),$B239))</f>
        <v>28 XL סד לאגודל לאחר שבר</v>
      </c>
      <c r="I239" s="7" t="str">
        <f aca="false">IF($G239="","Unmatched","Matched")</f>
        <v>Matched</v>
      </c>
      <c r="J239" s="7" t="n">
        <f aca="false">IF($G239&lt;&gt;"",$G239,$B239)</f>
        <v>4415008</v>
      </c>
      <c r="K239" s="7" t="str">
        <f aca="false">IF(COUNTIF($O$2:$O$16,$A239)&gt;0,"Y","N")</f>
        <v>Y</v>
      </c>
    </row>
    <row r="240" customFormat="false" ht="15" hidden="false" customHeight="false" outlineLevel="0" collapsed="false">
      <c r="A240" s="7" t="s">
        <v>32</v>
      </c>
      <c r="B240" s="7" t="s">
        <v>439</v>
      </c>
      <c r="C240" s="8" t="n">
        <v>0</v>
      </c>
      <c r="D240" s="8" t="n">
        <v>0</v>
      </c>
      <c r="E240" s="8" t="n">
        <v>3</v>
      </c>
      <c r="F240" s="8" t="n">
        <v>113.53</v>
      </c>
      <c r="G240" s="7" t="n">
        <f aca="false">IFERROR(INDEX('TRANS'!$B:$B,MATCH($B240,'TRANS'!$A:$A,0)),IFERROR(INDEX('TRANS'!$B:$B,MATCH(TRIM(SUBSTITUTE($B240,CHAR(160)," ")),'TRANS'!$D:$D,0)),IFERROR(INDEX('Catalog'!$A:$A,MATCH($B240,'Catalog'!$B:$B,0)),IFERROR(INDEX('Catalog'!$A:$A,MATCH(TRIM(SUBSTITUTE($B240,CHAR(160)," ")),'Catalog'!$C:$C,0)),""))))</f>
        <v>4415025</v>
      </c>
      <c r="H240" s="7" t="str">
        <f aca="false">IFERROR(INDEX('TRANS'!$C:$C,MATCH($B240,'TRANS'!$A:$A,0)),IFERROR(INDEX('Catalog'!$B:$B,MATCH($G240,'Catalog'!$A:$A,0)),$B240))</f>
        <v>28-XS סד לאגודל לאחר שבר</v>
      </c>
      <c r="I240" s="7" t="str">
        <f aca="false">IF($G240="","Unmatched","Matched")</f>
        <v>Matched</v>
      </c>
      <c r="J240" s="7" t="n">
        <f aca="false">IF($G240&lt;&gt;"",$G240,$B240)</f>
        <v>4415025</v>
      </c>
      <c r="K240" s="7" t="str">
        <f aca="false">IF(COUNTIF($O$2:$O$16,$A240)&gt;0,"Y","N")</f>
        <v>Y</v>
      </c>
    </row>
    <row r="241" customFormat="false" ht="15" hidden="false" customHeight="false" outlineLevel="0" collapsed="false">
      <c r="A241" s="7" t="s">
        <v>32</v>
      </c>
      <c r="B241" s="7" t="s">
        <v>440</v>
      </c>
      <c r="C241" s="8" t="n">
        <v>10</v>
      </c>
      <c r="D241" s="8" t="n">
        <v>338.76</v>
      </c>
      <c r="E241" s="8" t="n">
        <v>0</v>
      </c>
      <c r="F241" s="8" t="n">
        <v>0</v>
      </c>
      <c r="G241" s="7" t="n">
        <f aca="false">IFERROR(INDEX('TRANS'!$B:$B,MATCH($B241,'TRANS'!$A:$A,0)),IFERROR(INDEX('TRANS'!$B:$B,MATCH(TRIM(SUBSTITUTE($B241,CHAR(160)," ")),'TRANS'!$D:$D,0)),IFERROR(INDEX('Catalog'!$A:$A,MATCH($B241,'Catalog'!$B:$B,0)),IFERROR(INDEX('Catalog'!$A:$A,MATCH(TRIM(SUBSTITUTE($B241,CHAR(160)," ")),'Catalog'!$C:$C,0)),""))))</f>
        <v>4420035</v>
      </c>
      <c r="H241" s="7" t="str">
        <f aca="false">IFERROR(INDEX('TRANS'!$C:$C,MATCH($B241,'TRANS'!$A:$A,0)),IFERROR(INDEX('Catalog'!$B:$B,MATCH($G241,'Catalog'!$A:$A,0)),$B241))</f>
        <v>301CW 36-40 'רפידת ג'ל בז</v>
      </c>
      <c r="I241" s="7" t="str">
        <f aca="false">IF($G241="","Unmatched","Matched")</f>
        <v>Matched</v>
      </c>
      <c r="J241" s="7" t="n">
        <f aca="false">IF($G241&lt;&gt;"",$G241,$B241)</f>
        <v>4420035</v>
      </c>
      <c r="K241" s="7" t="str">
        <f aca="false">IF(COUNTIF($O$2:$O$16,$A241)&gt;0,"Y","N")</f>
        <v>Y</v>
      </c>
    </row>
    <row r="242" customFormat="false" ht="15" hidden="false" customHeight="false" outlineLevel="0" collapsed="false">
      <c r="A242" s="7" t="s">
        <v>32</v>
      </c>
      <c r="B242" s="7" t="s">
        <v>294</v>
      </c>
      <c r="C242" s="8" t="n">
        <v>32</v>
      </c>
      <c r="D242" s="8" t="n">
        <v>1005.51</v>
      </c>
      <c r="E242" s="8" t="n">
        <v>30</v>
      </c>
      <c r="F242" s="8" t="n">
        <v>806</v>
      </c>
      <c r="G242" s="7" t="n">
        <f aca="false">IFERROR(INDEX('TRANS'!$B:$B,MATCH($B242,'TRANS'!$A:$A,0)),IFERROR(INDEX('TRANS'!$B:$B,MATCH(TRIM(SUBSTITUTE($B242,CHAR(160)," ")),'TRANS'!$D:$D,0)),IFERROR(INDEX('Catalog'!$A:$A,MATCH($B242,'Catalog'!$B:$B,0)),IFERROR(INDEX('Catalog'!$A:$A,MATCH(TRIM(SUBSTITUTE($B242,CHAR(160)," ")),'Catalog'!$C:$C,0)),""))))</f>
        <v>4413348</v>
      </c>
      <c r="H242" s="7" t="str">
        <f aca="false">IFERROR(INDEX('TRANS'!$C:$C,MATCH($B242,'TRANS'!$A:$A,0)),IFERROR(INDEX('Catalog'!$B:$B,MATCH($G242,'Catalog'!$A:$A,0)),$B242))</f>
        <v>302 מדרס ג'ל לגבר</v>
      </c>
      <c r="I242" s="7" t="str">
        <f aca="false">IF($G242="","Unmatched","Matched")</f>
        <v>Matched</v>
      </c>
      <c r="J242" s="7" t="n">
        <f aca="false">IF($G242&lt;&gt;"",$G242,$B242)</f>
        <v>4413348</v>
      </c>
      <c r="K242" s="7" t="str">
        <f aca="false">IF(COUNTIF($O$2:$O$16,$A242)&gt;0,"Y","N")</f>
        <v>Y</v>
      </c>
    </row>
    <row r="243" customFormat="false" ht="15" hidden="false" customHeight="false" outlineLevel="0" collapsed="false">
      <c r="A243" s="7" t="s">
        <v>32</v>
      </c>
      <c r="B243" s="7" t="s">
        <v>295</v>
      </c>
      <c r="C243" s="8" t="n">
        <v>20</v>
      </c>
      <c r="D243" s="8" t="n">
        <v>572.59</v>
      </c>
      <c r="E243" s="8" t="n">
        <v>0</v>
      </c>
      <c r="F243" s="8" t="n">
        <v>0</v>
      </c>
      <c r="G243" s="7" t="n">
        <f aca="false">IFERROR(INDEX('TRANS'!$B:$B,MATCH($B243,'TRANS'!$A:$A,0)),IFERROR(INDEX('TRANS'!$B:$B,MATCH(TRIM(SUBSTITUTE($B243,CHAR(160)," ")),'TRANS'!$D:$D,0)),IFERROR(INDEX('Catalog'!$A:$A,MATCH($B243,'Catalog'!$B:$B,0)),IFERROR(INDEX('Catalog'!$A:$A,MATCH(TRIM(SUBSTITUTE($B243,CHAR(160)," ")),'Catalog'!$C:$C,0)),""))))</f>
        <v>4413372</v>
      </c>
      <c r="H243" s="7" t="str">
        <f aca="false">IFERROR(INDEX('TRANS'!$C:$C,MATCH($B243,'TRANS'!$A:$A,0)),IFERROR(INDEX('Catalog'!$B:$B,MATCH($G243,'Catalog'!$A:$A,0)),$B243))</f>
        <v>302 W מדרס לאישה</v>
      </c>
      <c r="I243" s="7" t="str">
        <f aca="false">IF($G243="","Unmatched","Matched")</f>
        <v>Matched</v>
      </c>
      <c r="J243" s="7" t="n">
        <f aca="false">IF($G243&lt;&gt;"",$G243,$B243)</f>
        <v>4413372</v>
      </c>
      <c r="K243" s="7" t="str">
        <f aca="false">IF(COUNTIF($O$2:$O$16,$A243)&gt;0,"Y","N")</f>
        <v>Y</v>
      </c>
    </row>
    <row r="244" customFormat="false" ht="15" hidden="false" customHeight="false" outlineLevel="0" collapsed="false">
      <c r="A244" s="7" t="s">
        <v>32</v>
      </c>
      <c r="B244" s="7" t="s">
        <v>91</v>
      </c>
      <c r="C244" s="8" t="n">
        <v>0</v>
      </c>
      <c r="D244" s="8" t="n">
        <v>0</v>
      </c>
      <c r="E244" s="8" t="n">
        <v>2</v>
      </c>
      <c r="F244" s="8" t="n">
        <v>67.77</v>
      </c>
      <c r="G244" s="7" t="str">
        <f aca="false">IFERROR(INDEX('TRANS'!$B:$B,MATCH($B244,'TRANS'!$A:$A,0)),IFERROR(INDEX('TRANS'!$B:$B,MATCH(TRIM(SUBSTITUTE($B244,CHAR(160)," ")),'TRANS'!$D:$D,0)),IFERROR(INDEX('Catalog'!$A:$A,MATCH($B244,'Catalog'!$B:$B,0)),IFERROR(INDEX('Catalog'!$A:$A,MATCH(TRIM(SUBSTITUTE($B244,CHAR(160)," ")),'Catalog'!$C:$C,0)),""))))</f>
        <v/>
      </c>
      <c r="H244" s="7" t="str">
        <f aca="false">IFERROR(INDEX('TRANS'!$C:$C,MATCH($B244,'TRANS'!$A:$A,0)),IFERROR(INDEX('Catalog'!$B:$B,MATCH($G244,'Catalog'!$A:$A,0)),$B244))</f>
        <v>305-35-36</v>
      </c>
      <c r="I244" s="7" t="str">
        <f aca="false">IF($G244="","Unmatched","Matched")</f>
        <v>Unmatched</v>
      </c>
      <c r="J244" s="7" t="str">
        <f aca="false">IF($G244&lt;&gt;"",$G244,$B244)</f>
        <v>305-35-36</v>
      </c>
      <c r="K244" s="7" t="str">
        <f aca="false">IF(COUNTIF($O$2:$O$16,$A244)&gt;0,"Y","N")</f>
        <v>Y</v>
      </c>
    </row>
    <row r="245" customFormat="false" ht="15" hidden="false" customHeight="false" outlineLevel="0" collapsed="false">
      <c r="A245" s="7" t="s">
        <v>32</v>
      </c>
      <c r="B245" s="7" t="s">
        <v>74</v>
      </c>
      <c r="C245" s="8" t="n">
        <v>12</v>
      </c>
      <c r="D245" s="8" t="n">
        <v>474.09</v>
      </c>
      <c r="E245" s="8" t="n">
        <v>22</v>
      </c>
      <c r="F245" s="8" t="n">
        <v>760.37</v>
      </c>
      <c r="G245" s="7" t="str">
        <f aca="false">IFERROR(INDEX('TRANS'!$B:$B,MATCH($B245,'TRANS'!$A:$A,0)),IFERROR(INDEX('TRANS'!$B:$B,MATCH(TRIM(SUBSTITUTE($B245,CHAR(160)," ")),'TRANS'!$D:$D,0)),IFERROR(INDEX('Catalog'!$A:$A,MATCH($B245,'Catalog'!$B:$B,0)),IFERROR(INDEX('Catalog'!$A:$A,MATCH(TRIM(SUBSTITUTE($B245,CHAR(160)," ")),'Catalog'!$C:$C,0)),""))))</f>
        <v/>
      </c>
      <c r="H245" s="7" t="str">
        <f aca="false">IFERROR(INDEX('TRANS'!$C:$C,MATCH($B245,'TRANS'!$A:$A,0)),IFERROR(INDEX('Catalog'!$B:$B,MATCH($G245,'Catalog'!$A:$A,0)),$B245))</f>
        <v>305-37-38</v>
      </c>
      <c r="I245" s="7" t="str">
        <f aca="false">IF($G245="","Unmatched","Matched")</f>
        <v>Unmatched</v>
      </c>
      <c r="J245" s="7" t="str">
        <f aca="false">IF($G245&lt;&gt;"",$G245,$B245)</f>
        <v>305-37-38</v>
      </c>
      <c r="K245" s="7" t="str">
        <f aca="false">IF(COUNTIF($O$2:$O$16,$A245)&gt;0,"Y","N")</f>
        <v>Y</v>
      </c>
    </row>
    <row r="246" customFormat="false" ht="15" hidden="false" customHeight="false" outlineLevel="0" collapsed="false">
      <c r="A246" s="7" t="s">
        <v>32</v>
      </c>
      <c r="B246" s="7" t="s">
        <v>67</v>
      </c>
      <c r="C246" s="8" t="n">
        <v>25</v>
      </c>
      <c r="D246" s="8" t="n">
        <v>961.17</v>
      </c>
      <c r="E246" s="8" t="n">
        <v>10</v>
      </c>
      <c r="F246" s="8" t="n">
        <v>363.75</v>
      </c>
      <c r="G246" s="7" t="str">
        <f aca="false">IFERROR(INDEX('TRANS'!$B:$B,MATCH($B246,'TRANS'!$A:$A,0)),IFERROR(INDEX('TRANS'!$B:$B,MATCH(TRIM(SUBSTITUTE($B246,CHAR(160)," ")),'TRANS'!$D:$D,0)),IFERROR(INDEX('Catalog'!$A:$A,MATCH($B246,'Catalog'!$B:$B,0)),IFERROR(INDEX('Catalog'!$A:$A,MATCH(TRIM(SUBSTITUTE($B246,CHAR(160)," ")),'Catalog'!$C:$C,0)),""))))</f>
        <v/>
      </c>
      <c r="H246" s="7" t="str">
        <f aca="false">IFERROR(INDEX('TRANS'!$C:$C,MATCH($B246,'TRANS'!$A:$A,0)),IFERROR(INDEX('Catalog'!$B:$B,MATCH($G246,'Catalog'!$A:$A,0)),$B246))</f>
        <v>305-39-40</v>
      </c>
      <c r="I246" s="7" t="str">
        <f aca="false">IF($G246="","Unmatched","Matched")</f>
        <v>Unmatched</v>
      </c>
      <c r="J246" s="7" t="str">
        <f aca="false">IF($G246&lt;&gt;"",$G246,$B246)</f>
        <v>305-39-40</v>
      </c>
      <c r="K246" s="7" t="str">
        <f aca="false">IF(COUNTIF($O$2:$O$16,$A246)&gt;0,"Y","N")</f>
        <v>Y</v>
      </c>
    </row>
    <row r="247" customFormat="false" ht="15" hidden="false" customHeight="false" outlineLevel="0" collapsed="false">
      <c r="A247" s="7" t="s">
        <v>32</v>
      </c>
      <c r="B247" s="7" t="s">
        <v>68</v>
      </c>
      <c r="C247" s="8" t="n">
        <v>22</v>
      </c>
      <c r="D247" s="8" t="n">
        <v>836.96</v>
      </c>
      <c r="E247" s="8" t="n">
        <v>20</v>
      </c>
      <c r="F247" s="8" t="n">
        <v>727.49</v>
      </c>
      <c r="G247" s="7" t="str">
        <f aca="false">IFERROR(INDEX('TRANS'!$B:$B,MATCH($B247,'TRANS'!$A:$A,0)),IFERROR(INDEX('TRANS'!$B:$B,MATCH(TRIM(SUBSTITUTE($B247,CHAR(160)," ")),'TRANS'!$D:$D,0)),IFERROR(INDEX('Catalog'!$A:$A,MATCH($B247,'Catalog'!$B:$B,0)),IFERROR(INDEX('Catalog'!$A:$A,MATCH(TRIM(SUBSTITUTE($B247,CHAR(160)," ")),'Catalog'!$C:$C,0)),""))))</f>
        <v/>
      </c>
      <c r="H247" s="7" t="str">
        <f aca="false">IFERROR(INDEX('TRANS'!$C:$C,MATCH($B247,'TRANS'!$A:$A,0)),IFERROR(INDEX('Catalog'!$B:$B,MATCH($G247,'Catalog'!$A:$A,0)),$B247))</f>
        <v>305-41-42</v>
      </c>
      <c r="I247" s="7" t="str">
        <f aca="false">IF($G247="","Unmatched","Matched")</f>
        <v>Unmatched</v>
      </c>
      <c r="J247" s="7" t="str">
        <f aca="false">IF($G247&lt;&gt;"",$G247,$B247)</f>
        <v>305-41-42</v>
      </c>
      <c r="K247" s="7" t="str">
        <f aca="false">IF(COUNTIF($O$2:$O$16,$A247)&gt;0,"Y","N")</f>
        <v>Y</v>
      </c>
    </row>
    <row r="248" customFormat="false" ht="15" hidden="false" customHeight="false" outlineLevel="0" collapsed="false">
      <c r="A248" s="7" t="s">
        <v>32</v>
      </c>
      <c r="B248" s="7" t="s">
        <v>66</v>
      </c>
      <c r="C248" s="8" t="n">
        <v>26</v>
      </c>
      <c r="D248" s="8" t="n">
        <v>1010.16</v>
      </c>
      <c r="E248" s="8" t="n">
        <v>36</v>
      </c>
      <c r="F248" s="8" t="n">
        <v>1234.73</v>
      </c>
      <c r="G248" s="7" t="str">
        <f aca="false">IFERROR(INDEX('TRANS'!$B:$B,MATCH($B248,'TRANS'!$A:$A,0)),IFERROR(INDEX('TRANS'!$B:$B,MATCH(TRIM(SUBSTITUTE($B248,CHAR(160)," ")),'TRANS'!$D:$D,0)),IFERROR(INDEX('Catalog'!$A:$A,MATCH($B248,'Catalog'!$B:$B,0)),IFERROR(INDEX('Catalog'!$A:$A,MATCH(TRIM(SUBSTITUTE($B248,CHAR(160)," ")),'Catalog'!$C:$C,0)),""))))</f>
        <v/>
      </c>
      <c r="H248" s="7" t="str">
        <f aca="false">IFERROR(INDEX('TRANS'!$C:$C,MATCH($B248,'TRANS'!$A:$A,0)),IFERROR(INDEX('Catalog'!$B:$B,MATCH($G248,'Catalog'!$A:$A,0)),$B248))</f>
        <v>305-43-44</v>
      </c>
      <c r="I248" s="7" t="str">
        <f aca="false">IF($G248="","Unmatched","Matched")</f>
        <v>Unmatched</v>
      </c>
      <c r="J248" s="7" t="str">
        <f aca="false">IF($G248&lt;&gt;"",$G248,$B248)</f>
        <v>305-43-44</v>
      </c>
      <c r="K248" s="7" t="str">
        <f aca="false">IF(COUNTIF($O$2:$O$16,$A248)&gt;0,"Y","N")</f>
        <v>Y</v>
      </c>
    </row>
    <row r="249" customFormat="false" ht="15" hidden="false" customHeight="false" outlineLevel="0" collapsed="false">
      <c r="A249" s="7" t="s">
        <v>32</v>
      </c>
      <c r="B249" s="7" t="s">
        <v>76</v>
      </c>
      <c r="C249" s="8" t="n">
        <v>13</v>
      </c>
      <c r="D249" s="8" t="n">
        <v>500.33</v>
      </c>
      <c r="E249" s="8" t="n">
        <v>10</v>
      </c>
      <c r="F249" s="8" t="n">
        <v>363.75</v>
      </c>
      <c r="G249" s="7" t="str">
        <f aca="false">IFERROR(INDEX('TRANS'!$B:$B,MATCH($B249,'TRANS'!$A:$A,0)),IFERROR(INDEX('TRANS'!$B:$B,MATCH(TRIM(SUBSTITUTE($B249,CHAR(160)," ")),'TRANS'!$D:$D,0)),IFERROR(INDEX('Catalog'!$A:$A,MATCH($B249,'Catalog'!$B:$B,0)),IFERROR(INDEX('Catalog'!$A:$A,MATCH(TRIM(SUBSTITUTE($B249,CHAR(160)," ")),'Catalog'!$C:$C,0)),""))))</f>
        <v/>
      </c>
      <c r="H249" s="7" t="str">
        <f aca="false">IFERROR(INDEX('TRANS'!$C:$C,MATCH($B249,'TRANS'!$A:$A,0)),IFERROR(INDEX('Catalog'!$B:$B,MATCH($G249,'Catalog'!$A:$A,0)),$B249))</f>
        <v>305-45-46</v>
      </c>
      <c r="I249" s="7" t="str">
        <f aca="false">IF($G249="","Unmatched","Matched")</f>
        <v>Unmatched</v>
      </c>
      <c r="J249" s="7" t="str">
        <f aca="false">IF($G249&lt;&gt;"",$G249,$B249)</f>
        <v>305-45-46</v>
      </c>
      <c r="K249" s="7" t="str">
        <f aca="false">IF(COUNTIF($O$2:$O$16,$A249)&gt;0,"Y","N")</f>
        <v>Y</v>
      </c>
    </row>
    <row r="250" customFormat="false" ht="15" hidden="false" customHeight="false" outlineLevel="0" collapsed="false">
      <c r="A250" s="7" t="s">
        <v>32</v>
      </c>
      <c r="B250" s="7" t="s">
        <v>297</v>
      </c>
      <c r="C250" s="8" t="n">
        <v>12</v>
      </c>
      <c r="D250" s="8" t="n">
        <v>393.96</v>
      </c>
      <c r="E250" s="8" t="n">
        <v>0</v>
      </c>
      <c r="F250" s="8" t="n">
        <v>0</v>
      </c>
      <c r="G250" s="7" t="n">
        <f aca="false">IFERROR(INDEX('TRANS'!$B:$B,MATCH($B250,'TRANS'!$A:$A,0)),IFERROR(INDEX('TRANS'!$B:$B,MATCH(TRIM(SUBSTITUTE($B250,CHAR(160)," ")),'TRANS'!$D:$D,0)),IFERROR(INDEX('Catalog'!$A:$A,MATCH($B250,'Catalog'!$B:$B,0)),IFERROR(INDEX('Catalog'!$A:$A,MATCH(TRIM(SUBSTITUTE($B250,CHAR(160)," ")),'Catalog'!$C:$C,0)),""))))</f>
        <v>4416001</v>
      </c>
      <c r="H250" s="7" t="str">
        <f aca="false">IFERROR(INDEX('TRANS'!$C:$C,MATCH($B250,'TRANS'!$A:$A,0)),IFERROR(INDEX('Catalog'!$B:$B,MATCH($G250,'Catalog'!$A:$A,0)),$B250))</f>
        <v>307 M עקבים לדורבן-זוג כריות</v>
      </c>
      <c r="I250" s="7" t="str">
        <f aca="false">IF($G250="","Unmatched","Matched")</f>
        <v>Matched</v>
      </c>
      <c r="J250" s="7" t="n">
        <f aca="false">IF($G250&lt;&gt;"",$G250,$B250)</f>
        <v>4416001</v>
      </c>
      <c r="K250" s="7" t="str">
        <f aca="false">IF(COUNTIF($O$2:$O$16,$A250)&gt;0,"Y","N")</f>
        <v>Y</v>
      </c>
    </row>
    <row r="251" customFormat="false" ht="15" hidden="false" customHeight="false" outlineLevel="0" collapsed="false">
      <c r="A251" s="7" t="s">
        <v>32</v>
      </c>
      <c r="B251" s="7" t="s">
        <v>298</v>
      </c>
      <c r="C251" s="8" t="n">
        <v>3</v>
      </c>
      <c r="D251" s="8" t="n">
        <v>98.49</v>
      </c>
      <c r="E251" s="8" t="n">
        <v>0</v>
      </c>
      <c r="F251" s="8" t="n">
        <v>0</v>
      </c>
      <c r="G251" s="7" t="n">
        <f aca="false">IFERROR(INDEX('TRANS'!$B:$B,MATCH($B251,'TRANS'!$A:$A,0)),IFERROR(INDEX('TRANS'!$B:$B,MATCH(TRIM(SUBSTITUTE($B251,CHAR(160)," ")),'TRANS'!$D:$D,0)),IFERROR(INDEX('Catalog'!$A:$A,MATCH($B251,'Catalog'!$B:$B,0)),IFERROR(INDEX('Catalog'!$A:$A,MATCH(TRIM(SUBSTITUTE($B251,CHAR(160)," ")),'Catalog'!$C:$C,0)),""))))</f>
        <v>4416002</v>
      </c>
      <c r="H251" s="7" t="str">
        <f aca="false">IFERROR(INDEX('TRANS'!$C:$C,MATCH($B251,'TRANS'!$A:$A,0)),IFERROR(INDEX('Catalog'!$B:$B,MATCH($G251,'Catalog'!$A:$A,0)),$B251))</f>
        <v>307 S עקבים לדורבן-זוג כריות</v>
      </c>
      <c r="I251" s="7" t="str">
        <f aca="false">IF($G251="","Unmatched","Matched")</f>
        <v>Matched</v>
      </c>
      <c r="J251" s="7" t="n">
        <f aca="false">IF($G251&lt;&gt;"",$G251,$B251)</f>
        <v>4416002</v>
      </c>
      <c r="K251" s="7" t="str">
        <f aca="false">IF(COUNTIF($O$2:$O$16,$A251)&gt;0,"Y","N")</f>
        <v>Y</v>
      </c>
    </row>
    <row r="252" customFormat="false" ht="15" hidden="false" customHeight="false" outlineLevel="0" collapsed="false">
      <c r="A252" s="7" t="s">
        <v>32</v>
      </c>
      <c r="B252" s="7" t="s">
        <v>299</v>
      </c>
      <c r="C252" s="8" t="n">
        <v>10</v>
      </c>
      <c r="D252" s="8" t="n">
        <v>108.28</v>
      </c>
      <c r="E252" s="8" t="n">
        <v>10</v>
      </c>
      <c r="F252" s="8" t="n">
        <v>104.71</v>
      </c>
      <c r="G252" s="7" t="n">
        <f aca="false">IFERROR(INDEX('TRANS'!$B:$B,MATCH($B252,'TRANS'!$A:$A,0)),IFERROR(INDEX('TRANS'!$B:$B,MATCH(TRIM(SUBSTITUTE($B252,CHAR(160)," ")),'TRANS'!$D:$D,0)),IFERROR(INDEX('Catalog'!$A:$A,MATCH($B252,'Catalog'!$B:$B,0)),IFERROR(INDEX('Catalog'!$A:$A,MATCH(TRIM(SUBSTITUTE($B252,CHAR(160)," ")),'Catalog'!$C:$C,0)),""))))</f>
        <v>4413033</v>
      </c>
      <c r="H252" s="7" t="str">
        <f aca="false">IFERROR(INDEX('TRANS'!$C:$C,MATCH($B252,'TRANS'!$A:$A,0)),IFERROR(INDEX('Catalog'!$B:$B,MATCH($G252,'Catalog'!$A:$A,0)),$B252))</f>
        <v>311'מדב.ג'ל למניעת שפשוף 5 יח</v>
      </c>
      <c r="I252" s="7" t="str">
        <f aca="false">IF($G252="","Unmatched","Matched")</f>
        <v>Matched</v>
      </c>
      <c r="J252" s="7" t="n">
        <f aca="false">IF($G252&lt;&gt;"",$G252,$B252)</f>
        <v>4413033</v>
      </c>
      <c r="K252" s="7" t="str">
        <f aca="false">IF(COUNTIF($O$2:$O$16,$A252)&gt;0,"Y","N")</f>
        <v>Y</v>
      </c>
    </row>
    <row r="253" customFormat="false" ht="15" hidden="false" customHeight="false" outlineLevel="0" collapsed="false">
      <c r="A253" s="7" t="s">
        <v>32</v>
      </c>
      <c r="B253" s="7" t="s">
        <v>441</v>
      </c>
      <c r="C253" s="8" t="n">
        <v>10</v>
      </c>
      <c r="D253" s="8" t="n">
        <v>138.28</v>
      </c>
      <c r="E253" s="8" t="n">
        <v>10</v>
      </c>
      <c r="F253" s="8" t="n">
        <v>130.43</v>
      </c>
      <c r="G253" s="7" t="n">
        <f aca="false">IFERROR(INDEX('TRANS'!$B:$B,MATCH($B253,'TRANS'!$A:$A,0)),IFERROR(INDEX('TRANS'!$B:$B,MATCH(TRIM(SUBSTITUTE($B253,CHAR(160)," ")),'TRANS'!$D:$D,0)),IFERROR(INDEX('Catalog'!$A:$A,MATCH($B253,'Catalog'!$B:$B,0)),IFERROR(INDEX('Catalog'!$A:$A,MATCH(TRIM(SUBSTITUTE($B253,CHAR(160)," ")),'Catalog'!$C:$C,0)),""))))</f>
        <v>4415297</v>
      </c>
      <c r="H253" s="7" t="str">
        <f aca="false">IFERROR(INDEX('TRANS'!$C:$C,MATCH($B253,'TRANS'!$A:$A,0)),IFERROR(INDEX('Catalog'!$B:$B,MATCH($G253,'Catalog'!$A:$A,0)),$B253))</f>
        <v>313 סט פלסטרים נגד שפשופים</v>
      </c>
      <c r="I253" s="7" t="str">
        <f aca="false">IF($G253="","Unmatched","Matched")</f>
        <v>Matched</v>
      </c>
      <c r="J253" s="7" t="n">
        <f aca="false">IF($G253&lt;&gt;"",$G253,$B253)</f>
        <v>4415297</v>
      </c>
      <c r="K253" s="7" t="str">
        <f aca="false">IF(COUNTIF($O$2:$O$16,$A253)&gt;0,"Y","N")</f>
        <v>Y</v>
      </c>
    </row>
    <row r="254" customFormat="false" ht="15" hidden="false" customHeight="false" outlineLevel="0" collapsed="false">
      <c r="A254" s="7" t="s">
        <v>32</v>
      </c>
      <c r="B254" s="7" t="s">
        <v>442</v>
      </c>
      <c r="C254" s="8" t="n">
        <v>0</v>
      </c>
      <c r="D254" s="8" t="n">
        <v>0</v>
      </c>
      <c r="E254" s="8" t="n">
        <v>10</v>
      </c>
      <c r="F254" s="8" t="n">
        <v>69.81</v>
      </c>
      <c r="G254" s="7" t="n">
        <f aca="false">IFERROR(INDEX('TRANS'!$B:$B,MATCH($B254,'TRANS'!$A:$A,0)),IFERROR(INDEX('TRANS'!$B:$B,MATCH(TRIM(SUBSTITUTE($B254,CHAR(160)," ")),'TRANS'!$D:$D,0)),IFERROR(INDEX('Catalog'!$A:$A,MATCH($B254,'Catalog'!$B:$B,0)),IFERROR(INDEX('Catalog'!$A:$A,MATCH(TRIM(SUBSTITUTE($B254,CHAR(160)," ")),'Catalog'!$C:$C,0)),""))))</f>
        <v>4402007</v>
      </c>
      <c r="H254" s="7" t="str">
        <f aca="false">IFERROR(INDEX('TRANS'!$C:$C,MATCH($B254,'TRANS'!$A:$A,0)),IFERROR(INDEX('Catalog'!$B:$B,MATCH($G254,'Catalog'!$A:$A,0)),$B254))</f>
        <v>320 בליסטר פלסטר</v>
      </c>
      <c r="I254" s="7" t="str">
        <f aca="false">IF($G254="","Unmatched","Matched")</f>
        <v>Matched</v>
      </c>
      <c r="J254" s="7" t="n">
        <f aca="false">IF($G254&lt;&gt;"",$G254,$B254)</f>
        <v>4402007</v>
      </c>
      <c r="K254" s="7" t="str">
        <f aca="false">IF(COUNTIF($O$2:$O$16,$A254)&gt;0,"Y","N")</f>
        <v>Y</v>
      </c>
    </row>
    <row r="255" customFormat="false" ht="15" hidden="false" customHeight="false" outlineLevel="0" collapsed="false">
      <c r="A255" s="7" t="s">
        <v>32</v>
      </c>
      <c r="B255" s="7" t="s">
        <v>443</v>
      </c>
      <c r="C255" s="8" t="n">
        <v>13</v>
      </c>
      <c r="D255" s="8" t="n">
        <v>308.99</v>
      </c>
      <c r="E255" s="8" t="n">
        <v>10</v>
      </c>
      <c r="F255" s="8" t="n">
        <v>220.45</v>
      </c>
      <c r="G255" s="7" t="n">
        <f aca="false">IFERROR(INDEX('TRANS'!$B:$B,MATCH($B255,'TRANS'!$A:$A,0)),IFERROR(INDEX('TRANS'!$B:$B,MATCH(TRIM(SUBSTITUTE($B255,CHAR(160)," ")),'TRANS'!$D:$D,0)),IFERROR(INDEX('Catalog'!$A:$A,MATCH($B255,'Catalog'!$B:$B,0)),IFERROR(INDEX('Catalog'!$A:$A,MATCH(TRIM(SUBSTITUTE($B255,CHAR(160)," ")),'Catalog'!$C:$C,0)),""))))</f>
        <v>4413043</v>
      </c>
      <c r="H255" s="7" t="str">
        <f aca="false">IFERROR(INDEX('TRANS'!$C:$C,MATCH($B255,'TRANS'!$A:$A,0)),IFERROR(INDEX('Catalog'!$B:$B,MATCH($G255,'Catalog'!$A:$A,0)),$B255))</f>
        <v>34  L מגן קרסול עקב סגור</v>
      </c>
      <c r="I255" s="7" t="str">
        <f aca="false">IF($G255="","Unmatched","Matched")</f>
        <v>Matched</v>
      </c>
      <c r="J255" s="7" t="n">
        <f aca="false">IF($G255&lt;&gt;"",$G255,$B255)</f>
        <v>4413043</v>
      </c>
      <c r="K255" s="7" t="str">
        <f aca="false">IF(COUNTIF($O$2:$O$16,$A255)&gt;0,"Y","N")</f>
        <v>Y</v>
      </c>
    </row>
    <row r="256" customFormat="false" ht="15" hidden="false" customHeight="false" outlineLevel="0" collapsed="false">
      <c r="A256" s="7" t="s">
        <v>32</v>
      </c>
      <c r="B256" s="7" t="s">
        <v>444</v>
      </c>
      <c r="C256" s="8" t="n">
        <v>3</v>
      </c>
      <c r="D256" s="8" t="n">
        <v>75.28</v>
      </c>
      <c r="E256" s="8" t="n">
        <v>6</v>
      </c>
      <c r="F256" s="8" t="n">
        <v>123.21</v>
      </c>
      <c r="G256" s="7" t="n">
        <f aca="false">IFERROR(INDEX('TRANS'!$B:$B,MATCH($B256,'TRANS'!$A:$A,0)),IFERROR(INDEX('TRANS'!$B:$B,MATCH(TRIM(SUBSTITUTE($B256,CHAR(160)," ")),'TRANS'!$D:$D,0)),IFERROR(INDEX('Catalog'!$A:$A,MATCH($B256,'Catalog'!$B:$B,0)),IFERROR(INDEX('Catalog'!$A:$A,MATCH(TRIM(SUBSTITUTE($B256,CHAR(160)," ")),'Catalog'!$C:$C,0)),""))))</f>
        <v>4413041</v>
      </c>
      <c r="H256" s="7" t="str">
        <f aca="false">IFERROR(INDEX('TRANS'!$C:$C,MATCH($B256,'TRANS'!$A:$A,0)),IFERROR(INDEX('Catalog'!$B:$B,MATCH($G256,'Catalog'!$A:$A,0)),$B256))</f>
        <v>34  M מגן קרסול עקב סגור</v>
      </c>
      <c r="I256" s="7" t="str">
        <f aca="false">IF($G256="","Unmatched","Matched")</f>
        <v>Matched</v>
      </c>
      <c r="J256" s="7" t="n">
        <f aca="false">IF($G256&lt;&gt;"",$G256,$B256)</f>
        <v>4413041</v>
      </c>
      <c r="K256" s="7" t="str">
        <f aca="false">IF(COUNTIF($O$2:$O$16,$A256)&gt;0,"Y","N")</f>
        <v>Y</v>
      </c>
    </row>
    <row r="257" customFormat="false" ht="15" hidden="false" customHeight="false" outlineLevel="0" collapsed="false">
      <c r="A257" s="7" t="s">
        <v>32</v>
      </c>
      <c r="B257" s="7" t="s">
        <v>445</v>
      </c>
      <c r="C257" s="8" t="n">
        <v>13</v>
      </c>
      <c r="D257" s="8" t="n">
        <v>303.23</v>
      </c>
      <c r="E257" s="8" t="n">
        <v>0</v>
      </c>
      <c r="F257" s="8" t="n">
        <v>0</v>
      </c>
      <c r="G257" s="7" t="n">
        <f aca="false">IFERROR(INDEX('TRANS'!$B:$B,MATCH($B257,'TRANS'!$A:$A,0)),IFERROR(INDEX('TRANS'!$B:$B,MATCH(TRIM(SUBSTITUTE($B257,CHAR(160)," ")),'TRANS'!$D:$D,0)),IFERROR(INDEX('Catalog'!$A:$A,MATCH($B257,'Catalog'!$B:$B,0)),IFERROR(INDEX('Catalog'!$A:$A,MATCH(TRIM(SUBSTITUTE($B257,CHAR(160)," ")),'Catalog'!$C:$C,0)),""))))</f>
        <v>4413042</v>
      </c>
      <c r="H257" s="7" t="str">
        <f aca="false">IFERROR(INDEX('TRANS'!$C:$C,MATCH($B257,'TRANS'!$A:$A,0)),IFERROR(INDEX('Catalog'!$B:$B,MATCH($G257,'Catalog'!$A:$A,0)),$B257))</f>
        <v>34  S מגן קרסול עקב סגור</v>
      </c>
      <c r="I257" s="7" t="str">
        <f aca="false">IF($G257="","Unmatched","Matched")</f>
        <v>Matched</v>
      </c>
      <c r="J257" s="7" t="n">
        <f aca="false">IF($G257&lt;&gt;"",$G257,$B257)</f>
        <v>4413042</v>
      </c>
      <c r="K257" s="7" t="str">
        <f aca="false">IF(COUNTIF($O$2:$O$16,$A257)&gt;0,"Y","N")</f>
        <v>Y</v>
      </c>
    </row>
    <row r="258" customFormat="false" ht="15" hidden="false" customHeight="false" outlineLevel="0" collapsed="false">
      <c r="A258" s="7" t="s">
        <v>32</v>
      </c>
      <c r="B258" s="7" t="s">
        <v>446</v>
      </c>
      <c r="C258" s="8" t="n">
        <v>10</v>
      </c>
      <c r="D258" s="8" t="n">
        <v>233.71</v>
      </c>
      <c r="E258" s="8" t="n">
        <v>0</v>
      </c>
      <c r="F258" s="8" t="n">
        <v>0</v>
      </c>
      <c r="G258" s="7" t="n">
        <f aca="false">IFERROR(INDEX('TRANS'!$B:$B,MATCH($B258,'TRANS'!$A:$A,0)),IFERROR(INDEX('TRANS'!$B:$B,MATCH(TRIM(SUBSTITUTE($B258,CHAR(160)," ")),'TRANS'!$D:$D,0)),IFERROR(INDEX('Catalog'!$A:$A,MATCH($B258,'Catalog'!$B:$B,0)),IFERROR(INDEX('Catalog'!$A:$A,MATCH(TRIM(SUBSTITUTE($B258,CHAR(160)," ")),'Catalog'!$C:$C,0)),""))))</f>
        <v>4413044</v>
      </c>
      <c r="H258" s="7" t="str">
        <f aca="false">IFERROR(INDEX('TRANS'!$C:$C,MATCH($B258,'TRANS'!$A:$A,0)),IFERROR(INDEX('Catalog'!$B:$B,MATCH($G258,'Catalog'!$A:$A,0)),$B258))</f>
        <v>34 XL מגן קרסול עקב סגור</v>
      </c>
      <c r="I258" s="7" t="str">
        <f aca="false">IF($G258="","Unmatched","Matched")</f>
        <v>Matched</v>
      </c>
      <c r="J258" s="7" t="n">
        <f aca="false">IF($G258&lt;&gt;"",$G258,$B258)</f>
        <v>4413044</v>
      </c>
      <c r="K258" s="7" t="str">
        <f aca="false">IF(COUNTIF($O$2:$O$16,$A258)&gt;0,"Y","N")</f>
        <v>Y</v>
      </c>
    </row>
    <row r="259" customFormat="false" ht="15" hidden="false" customHeight="false" outlineLevel="0" collapsed="false">
      <c r="A259" s="7" t="s">
        <v>32</v>
      </c>
      <c r="B259" s="7" t="s">
        <v>134</v>
      </c>
      <c r="C259" s="8" t="n">
        <v>6</v>
      </c>
      <c r="D259" s="8" t="n">
        <v>140.23</v>
      </c>
      <c r="E259" s="8" t="n">
        <v>0</v>
      </c>
      <c r="F259" s="8" t="n">
        <v>0</v>
      </c>
      <c r="G259" s="7" t="str">
        <f aca="false">IFERROR(INDEX('TRANS'!$B:$B,MATCH($B259,'TRANS'!$A:$A,0)),IFERROR(INDEX('TRANS'!$B:$B,MATCH(TRIM(SUBSTITUTE($B259,CHAR(160)," ")),'TRANS'!$D:$D,0)),IFERROR(INDEX('Catalog'!$A:$A,MATCH($B259,'Catalog'!$B:$B,0)),IFERROR(INDEX('Catalog'!$A:$A,MATCH(TRIM(SUBSTITUTE($B259,CHAR(160)," ")),'Catalog'!$C:$C,0)),""))))</f>
        <v/>
      </c>
      <c r="H259" s="7" t="str">
        <f aca="false">IFERROR(INDEX('TRANS'!$C:$C,MATCH($B259,'TRANS'!$A:$A,0)),IFERROR(INDEX('Catalog'!$B:$B,MATCH($G259,'Catalog'!$A:$A,0)),$B259))</f>
        <v>34 XS</v>
      </c>
      <c r="I259" s="7" t="str">
        <f aca="false">IF($G259="","Unmatched","Matched")</f>
        <v>Unmatched</v>
      </c>
      <c r="J259" s="7" t="str">
        <f aca="false">IF($G259&lt;&gt;"",$G259,$B259)</f>
        <v>34 XS</v>
      </c>
      <c r="K259" s="7" t="str">
        <f aca="false">IF(COUNTIF($O$2:$O$16,$A259)&gt;0,"Y","N")</f>
        <v>Y</v>
      </c>
    </row>
    <row r="260" customFormat="false" ht="15" hidden="false" customHeight="false" outlineLevel="0" collapsed="false">
      <c r="A260" s="7" t="s">
        <v>32</v>
      </c>
      <c r="B260" s="7" t="s">
        <v>447</v>
      </c>
      <c r="C260" s="8" t="n">
        <v>6</v>
      </c>
      <c r="D260" s="8" t="n">
        <v>140.23</v>
      </c>
      <c r="E260" s="8" t="n">
        <v>0</v>
      </c>
      <c r="F260" s="8" t="n">
        <v>0</v>
      </c>
      <c r="G260" s="7" t="n">
        <f aca="false">IFERROR(INDEX('TRANS'!$B:$B,MATCH($B260,'TRANS'!$A:$A,0)),IFERROR(INDEX('TRANS'!$B:$B,MATCH(TRIM(SUBSTITUTE($B260,CHAR(160)," ")),'TRANS'!$D:$D,0)),IFERROR(INDEX('Catalog'!$A:$A,MATCH($B260,'Catalog'!$B:$B,0)),IFERROR(INDEX('Catalog'!$A:$A,MATCH(TRIM(SUBSTITUTE($B260,CHAR(160)," ")),'Catalog'!$C:$C,0)),""))))</f>
        <v>4413046</v>
      </c>
      <c r="H260" s="7" t="str">
        <f aca="false">IFERROR(INDEX('TRANS'!$C:$C,MATCH($B260,'TRANS'!$A:$A,0)),IFERROR(INDEX('Catalog'!$B:$B,MATCH($G260,'Catalog'!$A:$A,0)),$B260))</f>
        <v>34 XXL מגן קרסול עקב סגור</v>
      </c>
      <c r="I260" s="7" t="str">
        <f aca="false">IF($G260="","Unmatched","Matched")</f>
        <v>Matched</v>
      </c>
      <c r="J260" s="7" t="n">
        <f aca="false">IF($G260&lt;&gt;"",$G260,$B260)</f>
        <v>4413046</v>
      </c>
      <c r="K260" s="7" t="str">
        <f aca="false">IF(COUNTIF($O$2:$O$16,$A260)&gt;0,"Y","N")</f>
        <v>Y</v>
      </c>
    </row>
    <row r="261" customFormat="false" ht="15" hidden="false" customHeight="false" outlineLevel="0" collapsed="false">
      <c r="A261" s="7" t="s">
        <v>32</v>
      </c>
      <c r="B261" s="7" t="s">
        <v>448</v>
      </c>
      <c r="C261" s="8" t="n">
        <v>0</v>
      </c>
      <c r="D261" s="8" t="n">
        <v>0</v>
      </c>
      <c r="E261" s="8" t="n">
        <v>20</v>
      </c>
      <c r="F261" s="8" t="n">
        <v>635.64</v>
      </c>
      <c r="G261" s="7" t="n">
        <f aca="false">IFERROR(INDEX('TRANS'!$B:$B,MATCH($B261,'TRANS'!$A:$A,0)),IFERROR(INDEX('TRANS'!$B:$B,MATCH(TRIM(SUBSTITUTE($B261,CHAR(160)," ")),'TRANS'!$D:$D,0)),IFERROR(INDEX('Catalog'!$A:$A,MATCH($B261,'Catalog'!$B:$B,0)),IFERROR(INDEX('Catalog'!$A:$A,MATCH(TRIM(SUBSTITUTE($B261,CHAR(160)," ")),'Catalog'!$C:$C,0)),""))))</f>
        <v>4413161</v>
      </c>
      <c r="H261" s="7" t="str">
        <f aca="false">IFERROR(INDEX('TRANS'!$C:$C,MATCH($B261,'TRANS'!$A:$A,0)),IFERROR(INDEX('Catalog'!$B:$B,MATCH($G261,'Catalog'!$A:$A,0)),$B261))</f>
        <v>34+ L מגן קרסול עקב סגור+רצוע</v>
      </c>
      <c r="I261" s="7" t="str">
        <f aca="false">IF($G261="","Unmatched","Matched")</f>
        <v>Matched</v>
      </c>
      <c r="J261" s="7" t="n">
        <f aca="false">IF($G261&lt;&gt;"",$G261,$B261)</f>
        <v>4413161</v>
      </c>
      <c r="K261" s="7" t="str">
        <f aca="false">IF(COUNTIF($O$2:$O$16,$A261)&gt;0,"Y","N")</f>
        <v>Y</v>
      </c>
    </row>
    <row r="262" customFormat="false" ht="15" hidden="false" customHeight="false" outlineLevel="0" collapsed="false">
      <c r="A262" s="7" t="s">
        <v>32</v>
      </c>
      <c r="B262" s="7" t="s">
        <v>449</v>
      </c>
      <c r="C262" s="8" t="n">
        <v>10</v>
      </c>
      <c r="D262" s="8" t="n">
        <v>328.63</v>
      </c>
      <c r="E262" s="8" t="n">
        <v>20</v>
      </c>
      <c r="F262" s="8" t="n">
        <v>592.1</v>
      </c>
      <c r="G262" s="7" t="n">
        <f aca="false">IFERROR(INDEX('TRANS'!$B:$B,MATCH($B262,'TRANS'!$A:$A,0)),IFERROR(INDEX('TRANS'!$B:$B,MATCH(TRIM(SUBSTITUTE($B262,CHAR(160)," ")),'TRANS'!$D:$D,0)),IFERROR(INDEX('Catalog'!$A:$A,MATCH($B262,'Catalog'!$B:$B,0)),IFERROR(INDEX('Catalog'!$A:$A,MATCH(TRIM(SUBSTITUTE($B262,CHAR(160)," ")),'Catalog'!$C:$C,0)),""))))</f>
        <v>4413160</v>
      </c>
      <c r="H262" s="7" t="str">
        <f aca="false">IFERROR(INDEX('TRANS'!$C:$C,MATCH($B262,'TRANS'!$A:$A,0)),IFERROR(INDEX('Catalog'!$B:$B,MATCH($G262,'Catalog'!$A:$A,0)),$B262))</f>
        <v>34+ M מגן קרסול עקב סגור+רצוע</v>
      </c>
      <c r="I262" s="7" t="str">
        <f aca="false">IF($G262="","Unmatched","Matched")</f>
        <v>Matched</v>
      </c>
      <c r="J262" s="7" t="n">
        <f aca="false">IF($G262&lt;&gt;"",$G262,$B262)</f>
        <v>4413160</v>
      </c>
      <c r="K262" s="7" t="str">
        <f aca="false">IF(COUNTIF($O$2:$O$16,$A262)&gt;0,"Y","N")</f>
        <v>Y</v>
      </c>
    </row>
    <row r="263" customFormat="false" ht="15" hidden="false" customHeight="false" outlineLevel="0" collapsed="false">
      <c r="A263" s="7" t="s">
        <v>32</v>
      </c>
      <c r="B263" s="7" t="s">
        <v>450</v>
      </c>
      <c r="C263" s="8" t="n">
        <v>0</v>
      </c>
      <c r="D263" s="8" t="n">
        <v>0</v>
      </c>
      <c r="E263" s="8" t="n">
        <v>12</v>
      </c>
      <c r="F263" s="8" t="n">
        <v>368.32</v>
      </c>
      <c r="G263" s="7" t="n">
        <f aca="false">IFERROR(INDEX('TRANS'!$B:$B,MATCH($B263,'TRANS'!$A:$A,0)),IFERROR(INDEX('TRANS'!$B:$B,MATCH(TRIM(SUBSTITUTE($B263,CHAR(160)," ")),'TRANS'!$D:$D,0)),IFERROR(INDEX('Catalog'!$A:$A,MATCH($B263,'Catalog'!$B:$B,0)),IFERROR(INDEX('Catalog'!$A:$A,MATCH(TRIM(SUBSTITUTE($B263,CHAR(160)," ")),'Catalog'!$C:$C,0)),""))))</f>
        <v>4413159</v>
      </c>
      <c r="H263" s="7" t="str">
        <f aca="false">IFERROR(INDEX('TRANS'!$C:$C,MATCH($B263,'TRANS'!$A:$A,0)),IFERROR(INDEX('Catalog'!$B:$B,MATCH($G263,'Catalog'!$A:$A,0)),$B263))</f>
        <v>34+ S מגן קרסול עקב סגור+רצוע</v>
      </c>
      <c r="I263" s="7" t="str">
        <f aca="false">IF($G263="","Unmatched","Matched")</f>
        <v>Matched</v>
      </c>
      <c r="J263" s="7" t="n">
        <f aca="false">IF($G263&lt;&gt;"",$G263,$B263)</f>
        <v>4413159</v>
      </c>
      <c r="K263" s="7" t="str">
        <f aca="false">IF(COUNTIF($O$2:$O$16,$A263)&gt;0,"Y","N")</f>
        <v>Y</v>
      </c>
    </row>
    <row r="264" customFormat="false" ht="15" hidden="false" customHeight="false" outlineLevel="0" collapsed="false">
      <c r="A264" s="7" t="s">
        <v>32</v>
      </c>
      <c r="B264" s="7" t="s">
        <v>451</v>
      </c>
      <c r="C264" s="8" t="n">
        <v>10</v>
      </c>
      <c r="D264" s="8" t="n">
        <v>336.93</v>
      </c>
      <c r="E264" s="8" t="n">
        <v>6</v>
      </c>
      <c r="F264" s="8" t="n">
        <v>190.69</v>
      </c>
      <c r="G264" s="7" t="n">
        <f aca="false">IFERROR(INDEX('TRANS'!$B:$B,MATCH($B264,'TRANS'!$A:$A,0)),IFERROR(INDEX('TRANS'!$B:$B,MATCH(TRIM(SUBSTITUTE($B264,CHAR(160)," ")),'TRANS'!$D:$D,0)),IFERROR(INDEX('Catalog'!$A:$A,MATCH($B264,'Catalog'!$B:$B,0)),IFERROR(INDEX('Catalog'!$A:$A,MATCH(TRIM(SUBSTITUTE($B264,CHAR(160)," ")),'Catalog'!$C:$C,0)),""))))</f>
        <v>4413162</v>
      </c>
      <c r="H264" s="7" t="str">
        <f aca="false">IFERROR(INDEX('TRANS'!$C:$C,MATCH($B264,'TRANS'!$A:$A,0)),IFERROR(INDEX('Catalog'!$B:$B,MATCH($G264,'Catalog'!$A:$A,0)),$B264))</f>
        <v>34+XL מגן קרסול עקב סגור+רצוע</v>
      </c>
      <c r="I264" s="7" t="str">
        <f aca="false">IF($G264="","Unmatched","Matched")</f>
        <v>Matched</v>
      </c>
      <c r="J264" s="7" t="n">
        <f aca="false">IF($G264&lt;&gt;"",$G264,$B264)</f>
        <v>4413162</v>
      </c>
      <c r="K264" s="7" t="str">
        <f aca="false">IF(COUNTIF($O$2:$O$16,$A264)&gt;0,"Y","N")</f>
        <v>Y</v>
      </c>
    </row>
    <row r="265" customFormat="false" ht="15" hidden="false" customHeight="false" outlineLevel="0" collapsed="false">
      <c r="A265" s="7" t="s">
        <v>32</v>
      </c>
      <c r="B265" s="7" t="s">
        <v>300</v>
      </c>
      <c r="C265" s="8" t="n">
        <v>10</v>
      </c>
      <c r="D265" s="8" t="n">
        <v>112.96</v>
      </c>
      <c r="E265" s="8" t="n">
        <v>0</v>
      </c>
      <c r="F265" s="8" t="n">
        <v>0</v>
      </c>
      <c r="G265" s="7" t="n">
        <f aca="false">IFERROR(INDEX('TRANS'!$B:$B,MATCH($B265,'TRANS'!$A:$A,0)),IFERROR(INDEX('TRANS'!$B:$B,MATCH(TRIM(SUBSTITUTE($B265,CHAR(160)," ")),'TRANS'!$D:$D,0)),IFERROR(INDEX('Catalog'!$A:$A,MATCH($B265,'Catalog'!$B:$B,0)),IFERROR(INDEX('Catalog'!$A:$A,MATCH(TRIM(SUBSTITUTE($B265,CHAR(160)," ")),'Catalog'!$C:$C,0)),""))))</f>
        <v>4413048</v>
      </c>
      <c r="H265" s="7" t="str">
        <f aca="false">IFERROR(INDEX('TRANS'!$C:$C,MATCH($B265,'TRANS'!$A:$A,0)),IFERROR(INDEX('Catalog'!$B:$B,MATCH($G265,'Catalog'!$A:$A,0)),$B265))</f>
        <v>35 L מגן קרסול לבן</v>
      </c>
      <c r="I265" s="7" t="str">
        <f aca="false">IF($G265="","Unmatched","Matched")</f>
        <v>Matched</v>
      </c>
      <c r="J265" s="7" t="n">
        <f aca="false">IF($G265&lt;&gt;"",$G265,$B265)</f>
        <v>4413048</v>
      </c>
      <c r="K265" s="7" t="str">
        <f aca="false">IF(COUNTIF($O$2:$O$16,$A265)&gt;0,"Y","N")</f>
        <v>Y</v>
      </c>
    </row>
    <row r="266" customFormat="false" ht="15" hidden="false" customHeight="false" outlineLevel="0" collapsed="false">
      <c r="A266" s="7" t="s">
        <v>32</v>
      </c>
      <c r="B266" s="7" t="s">
        <v>301</v>
      </c>
      <c r="C266" s="8" t="n">
        <v>10</v>
      </c>
      <c r="D266" s="8" t="n">
        <v>112.96</v>
      </c>
      <c r="E266" s="8" t="n">
        <v>0</v>
      </c>
      <c r="F266" s="8" t="n">
        <v>0</v>
      </c>
      <c r="G266" s="7" t="n">
        <f aca="false">IFERROR(INDEX('TRANS'!$B:$B,MATCH($B266,'TRANS'!$A:$A,0)),IFERROR(INDEX('TRANS'!$B:$B,MATCH(TRIM(SUBSTITUTE($B266,CHAR(160)," ")),'TRANS'!$D:$D,0)),IFERROR(INDEX('Catalog'!$A:$A,MATCH($B266,'Catalog'!$B:$B,0)),IFERROR(INDEX('Catalog'!$A:$A,MATCH(TRIM(SUBSTITUTE($B266,CHAR(160)," ")),'Catalog'!$C:$C,0)),""))))</f>
        <v>4413049</v>
      </c>
      <c r="H266" s="7" t="str">
        <f aca="false">IFERROR(INDEX('TRANS'!$C:$C,MATCH($B266,'TRANS'!$A:$A,0)),IFERROR(INDEX('Catalog'!$B:$B,MATCH($G266,'Catalog'!$A:$A,0)),$B266))</f>
        <v>35 M מגן קרסול לבן</v>
      </c>
      <c r="I266" s="7" t="str">
        <f aca="false">IF($G266="","Unmatched","Matched")</f>
        <v>Matched</v>
      </c>
      <c r="J266" s="7" t="n">
        <f aca="false">IF($G266&lt;&gt;"",$G266,$B266)</f>
        <v>4413049</v>
      </c>
      <c r="K266" s="7" t="str">
        <f aca="false">IF(COUNTIF($O$2:$O$16,$A266)&gt;0,"Y","N")</f>
        <v>Y</v>
      </c>
    </row>
    <row r="267" customFormat="false" ht="15" hidden="false" customHeight="false" outlineLevel="0" collapsed="false">
      <c r="A267" s="7" t="s">
        <v>32</v>
      </c>
      <c r="B267" s="7" t="s">
        <v>452</v>
      </c>
      <c r="C267" s="8" t="n">
        <v>6</v>
      </c>
      <c r="D267" s="8" t="n">
        <v>67.78</v>
      </c>
      <c r="E267" s="8" t="n">
        <v>0</v>
      </c>
      <c r="F267" s="8" t="n">
        <v>0</v>
      </c>
      <c r="G267" s="7" t="n">
        <f aca="false">IFERROR(INDEX('TRANS'!$B:$B,MATCH($B267,'TRANS'!$A:$A,0)),IFERROR(INDEX('TRANS'!$B:$B,MATCH(TRIM(SUBSTITUTE($B267,CHAR(160)," ")),'TRANS'!$D:$D,0)),IFERROR(INDEX('Catalog'!$A:$A,MATCH($B267,'Catalog'!$B:$B,0)),IFERROR(INDEX('Catalog'!$A:$A,MATCH(TRIM(SUBSTITUTE($B267,CHAR(160)," ")),'Catalog'!$C:$C,0)),""))))</f>
        <v>4413051</v>
      </c>
      <c r="H267" s="7" t="str">
        <f aca="false">IFERROR(INDEX('TRANS'!$C:$C,MATCH($B267,'TRANS'!$A:$A,0)),IFERROR(INDEX('Catalog'!$B:$B,MATCH($G267,'Catalog'!$A:$A,0)),$B267))</f>
        <v>35 XXL מגן קרסול לבן</v>
      </c>
      <c r="I267" s="7" t="str">
        <f aca="false">IF($G267="","Unmatched","Matched")</f>
        <v>Matched</v>
      </c>
      <c r="J267" s="7" t="n">
        <f aca="false">IF($G267&lt;&gt;"",$G267,$B267)</f>
        <v>4413051</v>
      </c>
      <c r="K267" s="7" t="str">
        <f aca="false">IF(COUNTIF($O$2:$O$16,$A267)&gt;0,"Y","N")</f>
        <v>Y</v>
      </c>
    </row>
    <row r="268" customFormat="false" ht="15" hidden="false" customHeight="false" outlineLevel="0" collapsed="false">
      <c r="A268" s="7" t="s">
        <v>32</v>
      </c>
      <c r="B268" s="7" t="s">
        <v>304</v>
      </c>
      <c r="C268" s="8" t="n">
        <v>0</v>
      </c>
      <c r="D268" s="8" t="n">
        <v>0</v>
      </c>
      <c r="E268" s="8" t="n">
        <v>10</v>
      </c>
      <c r="F268" s="8" t="n">
        <v>113.9</v>
      </c>
      <c r="G268" s="7" t="n">
        <f aca="false">IFERROR(INDEX('TRANS'!$B:$B,MATCH($B268,'TRANS'!$A:$A,0)),IFERROR(INDEX('TRANS'!$B:$B,MATCH(TRIM(SUBSTITUTE($B268,CHAR(160)," ")),'TRANS'!$D:$D,0)),IFERROR(INDEX('Catalog'!$A:$A,MATCH($B268,'Catalog'!$B:$B,0)),IFERROR(INDEX('Catalog'!$A:$A,MATCH(TRIM(SUBSTITUTE($B268,CHAR(160)," ")),'Catalog'!$C:$C,0)),""))))</f>
        <v>4413490</v>
      </c>
      <c r="H268" s="7" t="str">
        <f aca="false">IFERROR(INDEX('TRANS'!$C:$C,MATCH($B268,'TRANS'!$A:$A,0)),IFERROR(INDEX('Catalog'!$B:$B,MATCH($G268,'Catalog'!$A:$A,0)),$B268))</f>
        <v>35B L מגן קרסול שחור</v>
      </c>
      <c r="I268" s="7" t="str">
        <f aca="false">IF($G268="","Unmatched","Matched")</f>
        <v>Matched</v>
      </c>
      <c r="J268" s="7" t="n">
        <f aca="false">IF($G268&lt;&gt;"",$G268,$B268)</f>
        <v>4413490</v>
      </c>
      <c r="K268" s="7" t="str">
        <f aca="false">IF(COUNTIF($O$2:$O$16,$A268)&gt;0,"Y","N")</f>
        <v>Y</v>
      </c>
    </row>
    <row r="269" customFormat="false" ht="15" hidden="false" customHeight="false" outlineLevel="0" collapsed="false">
      <c r="A269" s="7" t="s">
        <v>32</v>
      </c>
      <c r="B269" s="7" t="s">
        <v>305</v>
      </c>
      <c r="C269" s="8" t="n">
        <v>15</v>
      </c>
      <c r="D269" s="8" t="n">
        <v>194.47</v>
      </c>
      <c r="E269" s="8" t="n">
        <v>20</v>
      </c>
      <c r="F269" s="8" t="n">
        <v>220</v>
      </c>
      <c r="G269" s="7" t="n">
        <f aca="false">IFERROR(INDEX('TRANS'!$B:$B,MATCH($B269,'TRANS'!$A:$A,0)),IFERROR(INDEX('TRANS'!$B:$B,MATCH(TRIM(SUBSTITUTE($B269,CHAR(160)," ")),'TRANS'!$D:$D,0)),IFERROR(INDEX('Catalog'!$A:$A,MATCH($B269,'Catalog'!$B:$B,0)),IFERROR(INDEX('Catalog'!$A:$A,MATCH(TRIM(SUBSTITUTE($B269,CHAR(160)," ")),'Catalog'!$C:$C,0)),""))))</f>
        <v>4413492</v>
      </c>
      <c r="H269" s="7" t="str">
        <f aca="false">IFERROR(INDEX('TRANS'!$C:$C,MATCH($B269,'TRANS'!$A:$A,0)),IFERROR(INDEX('Catalog'!$B:$B,MATCH($G269,'Catalog'!$A:$A,0)),$B269))</f>
        <v>35B M מגן קרסול שחור</v>
      </c>
      <c r="I269" s="7" t="str">
        <f aca="false">IF($G269="","Unmatched","Matched")</f>
        <v>Matched</v>
      </c>
      <c r="J269" s="7" t="n">
        <f aca="false">IF($G269&lt;&gt;"",$G269,$B269)</f>
        <v>4413492</v>
      </c>
      <c r="K269" s="7" t="str">
        <f aca="false">IF(COUNTIF($O$2:$O$16,$A269)&gt;0,"Y","N")</f>
        <v>Y</v>
      </c>
    </row>
    <row r="270" customFormat="false" ht="15" hidden="false" customHeight="false" outlineLevel="0" collapsed="false">
      <c r="A270" s="7" t="s">
        <v>32</v>
      </c>
      <c r="B270" s="7" t="s">
        <v>306</v>
      </c>
      <c r="C270" s="8" t="n">
        <v>10</v>
      </c>
      <c r="D270" s="8" t="n">
        <v>117.78</v>
      </c>
      <c r="E270" s="8" t="n">
        <v>0</v>
      </c>
      <c r="F270" s="8" t="n">
        <v>0</v>
      </c>
      <c r="G270" s="7" t="n">
        <f aca="false">IFERROR(INDEX('TRANS'!$B:$B,MATCH($B270,'TRANS'!$A:$A,0)),IFERROR(INDEX('TRANS'!$B:$B,MATCH(TRIM(SUBSTITUTE($B270,CHAR(160)," ")),'TRANS'!$D:$D,0)),IFERROR(INDEX('Catalog'!$A:$A,MATCH($B270,'Catalog'!$B:$B,0)),IFERROR(INDEX('Catalog'!$A:$A,MATCH(TRIM(SUBSTITUTE($B270,CHAR(160)," ")),'Catalog'!$C:$C,0)),""))))</f>
        <v>4413493</v>
      </c>
      <c r="H270" s="7" t="str">
        <f aca="false">IFERROR(INDEX('TRANS'!$C:$C,MATCH($B270,'TRANS'!$A:$A,0)),IFERROR(INDEX('Catalog'!$B:$B,MATCH($G270,'Catalog'!$A:$A,0)),$B270))</f>
        <v>35B S מגן קרסול שחור</v>
      </c>
      <c r="I270" s="7" t="str">
        <f aca="false">IF($G270="","Unmatched","Matched")</f>
        <v>Matched</v>
      </c>
      <c r="J270" s="7" t="n">
        <f aca="false">IF($G270&lt;&gt;"",$G270,$B270)</f>
        <v>4413493</v>
      </c>
      <c r="K270" s="7" t="str">
        <f aca="false">IF(COUNTIF($O$2:$O$16,$A270)&gt;0,"Y","N")</f>
        <v>Y</v>
      </c>
    </row>
    <row r="271" customFormat="false" ht="15" hidden="false" customHeight="false" outlineLevel="0" collapsed="false">
      <c r="A271" s="7" t="s">
        <v>32</v>
      </c>
      <c r="B271" s="7" t="s">
        <v>307</v>
      </c>
      <c r="C271" s="8" t="n">
        <v>6</v>
      </c>
      <c r="D271" s="8" t="n">
        <v>77.79</v>
      </c>
      <c r="E271" s="8" t="n">
        <v>3</v>
      </c>
      <c r="F271" s="8" t="n">
        <v>31.83</v>
      </c>
      <c r="G271" s="7" t="n">
        <f aca="false">IFERROR(INDEX('TRANS'!$B:$B,MATCH($B271,'TRANS'!$A:$A,0)),IFERROR(INDEX('TRANS'!$B:$B,MATCH(TRIM(SUBSTITUTE($B271,CHAR(160)," ")),'TRANS'!$D:$D,0)),IFERROR(INDEX('Catalog'!$A:$A,MATCH($B271,'Catalog'!$B:$B,0)),IFERROR(INDEX('Catalog'!$A:$A,MATCH(TRIM(SUBSTITUTE($B271,CHAR(160)," ")),'Catalog'!$C:$C,0)),""))))</f>
        <v>4413491</v>
      </c>
      <c r="H271" s="7" t="str">
        <f aca="false">IFERROR(INDEX('TRANS'!$C:$C,MATCH($B271,'TRANS'!$A:$A,0)),IFERROR(INDEX('Catalog'!$B:$B,MATCH($G271,'Catalog'!$A:$A,0)),$B271))</f>
        <v>35B XL מגן קרסול שחור</v>
      </c>
      <c r="I271" s="7" t="str">
        <f aca="false">IF($G271="","Unmatched","Matched")</f>
        <v>Matched</v>
      </c>
      <c r="J271" s="7" t="n">
        <f aca="false">IF($G271&lt;&gt;"",$G271,$B271)</f>
        <v>4413491</v>
      </c>
      <c r="K271" s="7" t="str">
        <f aca="false">IF(COUNTIF($O$2:$O$16,$A271)&gt;0,"Y","N")</f>
        <v>Y</v>
      </c>
    </row>
    <row r="272" customFormat="false" ht="15" hidden="false" customHeight="false" outlineLevel="0" collapsed="false">
      <c r="A272" s="7" t="s">
        <v>32</v>
      </c>
      <c r="B272" s="7" t="s">
        <v>396</v>
      </c>
      <c r="C272" s="8" t="n">
        <v>10</v>
      </c>
      <c r="D272" s="8" t="n">
        <v>120.75</v>
      </c>
      <c r="E272" s="8" t="n">
        <v>0</v>
      </c>
      <c r="F272" s="8" t="n">
        <v>0</v>
      </c>
      <c r="G272" s="7" t="n">
        <f aca="false">IFERROR(INDEX('TRANS'!$B:$B,MATCH($B272,'TRANS'!$A:$A,0)),IFERROR(INDEX('TRANS'!$B:$B,MATCH(TRIM(SUBSTITUTE($B272,CHAR(160)," ")),'TRANS'!$D:$D,0)),IFERROR(INDEX('Catalog'!$A:$A,MATCH($B272,'Catalog'!$B:$B,0)),IFERROR(INDEX('Catalog'!$A:$A,MATCH(TRIM(SUBSTITUTE($B272,CHAR(160)," ")),'Catalog'!$C:$C,0)),""))))</f>
        <v>4413494</v>
      </c>
      <c r="H272" s="7" t="str">
        <f aca="false">IFERROR(INDEX('TRANS'!$C:$C,MATCH($B272,'TRANS'!$A:$A,0)),IFERROR(INDEX('Catalog'!$B:$B,MATCH($G272,'Catalog'!$A:$A,0)),$B272))</f>
        <v>35B XXL מגן קרסול שחור</v>
      </c>
      <c r="I272" s="7" t="str">
        <f aca="false">IF($G272="","Unmatched","Matched")</f>
        <v>Matched</v>
      </c>
      <c r="J272" s="7" t="n">
        <f aca="false">IF($G272&lt;&gt;"",$G272,$B272)</f>
        <v>4413494</v>
      </c>
      <c r="K272" s="7" t="str">
        <f aca="false">IF(COUNTIF($O$2:$O$16,$A272)&gt;0,"Y","N")</f>
        <v>Y</v>
      </c>
    </row>
    <row r="273" customFormat="false" ht="15" hidden="false" customHeight="false" outlineLevel="0" collapsed="false">
      <c r="A273" s="7" t="s">
        <v>32</v>
      </c>
      <c r="B273" s="7" t="s">
        <v>308</v>
      </c>
      <c r="C273" s="8" t="n">
        <v>0</v>
      </c>
      <c r="D273" s="8" t="n">
        <v>0</v>
      </c>
      <c r="E273" s="8" t="n">
        <v>10</v>
      </c>
      <c r="F273" s="8" t="n">
        <v>108.39</v>
      </c>
      <c r="G273" s="7" t="n">
        <f aca="false">IFERROR(INDEX('TRANS'!$B:$B,MATCH($B273,'TRANS'!$A:$A,0)),IFERROR(INDEX('TRANS'!$B:$B,MATCH(TRIM(SUBSTITUTE($B273,CHAR(160)," ")),'TRANS'!$D:$D,0)),IFERROR(INDEX('Catalog'!$A:$A,MATCH($B273,'Catalog'!$B:$B,0)),IFERROR(INDEX('Catalog'!$A:$A,MATCH(TRIM(SUBSTITUTE($B273,CHAR(160)," ")),'Catalog'!$C:$C,0)),""))))</f>
        <v>4413053</v>
      </c>
      <c r="H273" s="7" t="str">
        <f aca="false">IFERROR(INDEX('TRANS'!$C:$C,MATCH($B273,'TRANS'!$A:$A,0)),IFERROR(INDEX('Catalog'!$B:$B,MATCH($G273,'Catalog'!$A:$A,0)),$B273))</f>
        <v>35C L מגן קרסול חום</v>
      </c>
      <c r="I273" s="7" t="str">
        <f aca="false">IF($G273="","Unmatched","Matched")</f>
        <v>Matched</v>
      </c>
      <c r="J273" s="7" t="n">
        <f aca="false">IF($G273&lt;&gt;"",$G273,$B273)</f>
        <v>4413053</v>
      </c>
      <c r="K273" s="7" t="str">
        <f aca="false">IF(COUNTIF($O$2:$O$16,$A273)&gt;0,"Y","N")</f>
        <v>Y</v>
      </c>
    </row>
    <row r="274" customFormat="false" ht="15" hidden="false" customHeight="false" outlineLevel="0" collapsed="false">
      <c r="A274" s="7" t="s">
        <v>32</v>
      </c>
      <c r="B274" s="7" t="s">
        <v>311</v>
      </c>
      <c r="C274" s="8" t="n">
        <v>6</v>
      </c>
      <c r="D274" s="8" t="n">
        <v>67.25</v>
      </c>
      <c r="E274" s="8" t="n">
        <v>0</v>
      </c>
      <c r="F274" s="8" t="n">
        <v>0</v>
      </c>
      <c r="G274" s="7" t="n">
        <f aca="false">IFERROR(INDEX('TRANS'!$B:$B,MATCH($B274,'TRANS'!$A:$A,0)),IFERROR(INDEX('TRANS'!$B:$B,MATCH(TRIM(SUBSTITUTE($B274,CHAR(160)," ")),'TRANS'!$D:$D,0)),IFERROR(INDEX('Catalog'!$A:$A,MATCH($B274,'Catalog'!$B:$B,0)),IFERROR(INDEX('Catalog'!$A:$A,MATCH(TRIM(SUBSTITUTE($B274,CHAR(160)," ")),'Catalog'!$C:$C,0)),""))))</f>
        <v>4413055</v>
      </c>
      <c r="H274" s="7" t="str">
        <f aca="false">IFERROR(INDEX('TRANS'!$C:$C,MATCH($B274,'TRANS'!$A:$A,0)),IFERROR(INDEX('Catalog'!$B:$B,MATCH($G274,'Catalog'!$A:$A,0)),$B274))</f>
        <v>35C XL מגן קרסול חום</v>
      </c>
      <c r="I274" s="7" t="str">
        <f aca="false">IF($G274="","Unmatched","Matched")</f>
        <v>Matched</v>
      </c>
      <c r="J274" s="7" t="n">
        <f aca="false">IF($G274&lt;&gt;"",$G274,$B274)</f>
        <v>4413055</v>
      </c>
      <c r="K274" s="7" t="str">
        <f aca="false">IF(COUNTIF($O$2:$O$16,$A274)&gt;0,"Y","N")</f>
        <v>Y</v>
      </c>
    </row>
    <row r="275" customFormat="false" ht="15" hidden="false" customHeight="false" outlineLevel="0" collapsed="false">
      <c r="A275" s="7" t="s">
        <v>32</v>
      </c>
      <c r="B275" s="7" t="s">
        <v>453</v>
      </c>
      <c r="C275" s="8" t="n">
        <v>10</v>
      </c>
      <c r="D275" s="8" t="n">
        <v>269.74</v>
      </c>
      <c r="E275" s="8" t="n">
        <v>16</v>
      </c>
      <c r="F275" s="8" t="n">
        <v>388.8</v>
      </c>
      <c r="G275" s="7" t="n">
        <f aca="false">IFERROR(INDEX('TRANS'!$B:$B,MATCH($B275,'TRANS'!$A:$A,0)),IFERROR(INDEX('TRANS'!$B:$B,MATCH(TRIM(SUBSTITUTE($B275,CHAR(160)," ")),'TRANS'!$D:$D,0)),IFERROR(INDEX('Catalog'!$A:$A,MATCH($B275,'Catalog'!$B:$B,0)),IFERROR(INDEX('Catalog'!$A:$A,MATCH(TRIM(SUBSTITUTE($B275,CHAR(160)," ")),'Catalog'!$C:$C,0)),""))))</f>
        <v>4421007</v>
      </c>
      <c r="H275" s="7" t="str">
        <f aca="false">IFERROR(INDEX('TRANS'!$C:$C,MATCH($B275,'TRANS'!$A:$A,0)),IFERROR(INDEX('Catalog'!$B:$B,MATCH($G275,'Catalog'!$A:$A,0)),$B275))</f>
        <v>שרוול לגבס קצר רגל</v>
      </c>
      <c r="I275" s="7" t="str">
        <f aca="false">IF($G275="","Unmatched","Matched")</f>
        <v>Matched</v>
      </c>
      <c r="J275" s="7" t="n">
        <f aca="false">IF($G275&lt;&gt;"",$G275,$B275)</f>
        <v>4421007</v>
      </c>
      <c r="K275" s="7" t="str">
        <f aca="false">IF(COUNTIF($O$2:$O$16,$A275)&gt;0,"Y","N")</f>
        <v>Y</v>
      </c>
    </row>
    <row r="276" customFormat="false" ht="15" hidden="false" customHeight="false" outlineLevel="0" collapsed="false">
      <c r="A276" s="7" t="s">
        <v>32</v>
      </c>
      <c r="B276" s="7" t="s">
        <v>454</v>
      </c>
      <c r="C276" s="8" t="n">
        <v>30</v>
      </c>
      <c r="D276" s="8" t="n">
        <v>919.47</v>
      </c>
      <c r="E276" s="8" t="n">
        <v>50</v>
      </c>
      <c r="F276" s="8" t="n">
        <v>1340.08</v>
      </c>
      <c r="G276" s="7" t="n">
        <f aca="false">IFERROR(INDEX('TRANS'!$B:$B,MATCH($B276,'TRANS'!$A:$A,0)),IFERROR(INDEX('TRANS'!$B:$B,MATCH(TRIM(SUBSTITUTE($B276,CHAR(160)," ")),'TRANS'!$D:$D,0)),IFERROR(INDEX('Catalog'!$A:$A,MATCH($B276,'Catalog'!$B:$B,0)),IFERROR(INDEX('Catalog'!$A:$A,MATCH(TRIM(SUBSTITUTE($B276,CHAR(160)," ")),'Catalog'!$C:$C,0)),""))))</f>
        <v>4421008</v>
      </c>
      <c r="H276" s="7" t="str">
        <f aca="false">IFERROR(INDEX('TRANS'!$C:$C,MATCH($B276,'TRANS'!$A:$A,0)),IFERROR(INDEX('Catalog'!$B:$B,MATCH($G276,'Catalog'!$A:$A,0)),$B276))</f>
        <v>שרוול לגבס ארוך רגל</v>
      </c>
      <c r="I276" s="7" t="str">
        <f aca="false">IF($G276="","Unmatched","Matched")</f>
        <v>Matched</v>
      </c>
      <c r="J276" s="7" t="n">
        <f aca="false">IF($G276&lt;&gt;"",$G276,$B276)</f>
        <v>4421008</v>
      </c>
      <c r="K276" s="7" t="str">
        <f aca="false">IF(COUNTIF($O$2:$O$16,$A276)&gt;0,"Y","N")</f>
        <v>Y</v>
      </c>
    </row>
    <row r="277" customFormat="false" ht="15" hidden="false" customHeight="false" outlineLevel="0" collapsed="false">
      <c r="A277" s="7" t="s">
        <v>32</v>
      </c>
      <c r="B277" s="7" t="s">
        <v>455</v>
      </c>
      <c r="C277" s="8" t="n">
        <v>10</v>
      </c>
      <c r="D277" s="8" t="n">
        <v>341.93</v>
      </c>
      <c r="E277" s="8" t="n">
        <v>0</v>
      </c>
      <c r="F277" s="8" t="n">
        <v>0</v>
      </c>
      <c r="G277" s="7" t="n">
        <f aca="false">IFERROR(INDEX('TRANS'!$B:$B,MATCH($B277,'TRANS'!$A:$A,0)),IFERROR(INDEX('TRANS'!$B:$B,MATCH(TRIM(SUBSTITUTE($B277,CHAR(160)," ")),'TRANS'!$D:$D,0)),IFERROR(INDEX('Catalog'!$A:$A,MATCH($B277,'Catalog'!$B:$B,0)),IFERROR(INDEX('Catalog'!$A:$A,MATCH(TRIM(SUBSTITUTE($B277,CHAR(160)," ")),'Catalog'!$C:$C,0)),""))))</f>
        <v>4421001</v>
      </c>
      <c r="H277" s="7" t="str">
        <f aca="false">IFERROR(INDEX('TRANS'!$C:$C,MATCH($B277,'TRANS'!$A:$A,0)),IFERROR(INDEX('Catalog'!$B:$B,MATCH($G277,'Catalog'!$A:$A,0)),$B277))</f>
        <v>3611 שרוול מטטרזלי מסיליקון</v>
      </c>
      <c r="I277" s="7" t="str">
        <f aca="false">IF($G277="","Unmatched","Matched")</f>
        <v>Matched</v>
      </c>
      <c r="J277" s="7" t="n">
        <f aca="false">IF($G277&lt;&gt;"",$G277,$B277)</f>
        <v>4421001</v>
      </c>
      <c r="K277" s="7" t="str">
        <f aca="false">IF(COUNTIF($O$2:$O$16,$A277)&gt;0,"Y","N")</f>
        <v>Y</v>
      </c>
    </row>
    <row r="278" customFormat="false" ht="15" hidden="false" customHeight="false" outlineLevel="0" collapsed="false">
      <c r="A278" s="7" t="s">
        <v>32</v>
      </c>
      <c r="B278" s="7" t="s">
        <v>456</v>
      </c>
      <c r="C278" s="8" t="n">
        <v>21</v>
      </c>
      <c r="D278" s="8" t="n">
        <v>344.41</v>
      </c>
      <c r="E278" s="8" t="n">
        <v>10</v>
      </c>
      <c r="F278" s="8" t="n">
        <v>136.9</v>
      </c>
      <c r="G278" s="7" t="n">
        <f aca="false">IFERROR(INDEX('TRANS'!$B:$B,MATCH($B278,'TRANS'!$A:$A,0)),IFERROR(INDEX('TRANS'!$B:$B,MATCH(TRIM(SUBSTITUTE($B278,CHAR(160)," ")),'TRANS'!$D:$D,0)),IFERROR(INDEX('Catalog'!$A:$A,MATCH($B278,'Catalog'!$B:$B,0)),IFERROR(INDEX('Catalog'!$A:$A,MATCH(TRIM(SUBSTITUTE($B278,CHAR(160)," ")),'Catalog'!$C:$C,0)),""))))</f>
        <v>4411000</v>
      </c>
      <c r="H278" s="7" t="str">
        <f aca="false">IFERROR(INDEX('TRANS'!$C:$C,MATCH($B278,'TRANS'!$A:$A,0)),IFERROR(INDEX('Catalog'!$B:$B,MATCH($G278,'Catalog'!$A:$A,0)),$B278))</f>
        <v>כרית מטטרזלי סיליקון362</v>
      </c>
      <c r="I278" s="7" t="str">
        <f aca="false">IF($G278="","Unmatched","Matched")</f>
        <v>Matched</v>
      </c>
      <c r="J278" s="7" t="n">
        <f aca="false">IF($G278&lt;&gt;"",$G278,$B278)</f>
        <v>4411000</v>
      </c>
      <c r="K278" s="7" t="str">
        <f aca="false">IF(COUNTIF($O$2:$O$16,$A278)&gt;0,"Y","N")</f>
        <v>Y</v>
      </c>
    </row>
    <row r="279" customFormat="false" ht="15" hidden="false" customHeight="false" outlineLevel="0" collapsed="false">
      <c r="A279" s="7" t="s">
        <v>32</v>
      </c>
      <c r="B279" s="7" t="s">
        <v>312</v>
      </c>
      <c r="C279" s="8" t="n">
        <v>10</v>
      </c>
      <c r="D279" s="8" t="n">
        <v>171.39</v>
      </c>
      <c r="E279" s="8" t="n">
        <v>0</v>
      </c>
      <c r="F279" s="8" t="n">
        <v>0</v>
      </c>
      <c r="G279" s="7" t="n">
        <f aca="false">IFERROR(INDEX('TRANS'!$B:$B,MATCH($B279,'TRANS'!$A:$A,0)),IFERROR(INDEX('TRANS'!$B:$B,MATCH(TRIM(SUBSTITUTE($B279,CHAR(160)," ")),'TRANS'!$D:$D,0)),IFERROR(INDEX('Catalog'!$A:$A,MATCH($B279,'Catalog'!$B:$B,0)),IFERROR(INDEX('Catalog'!$A:$A,MATCH(TRIM(SUBSTITUTE($B279,CHAR(160)," ")),'Catalog'!$C:$C,0)),""))))</f>
        <v>4411001</v>
      </c>
      <c r="H279" s="7" t="str">
        <f aca="false">IFERROR(INDEX('TRANS'!$C:$C,MATCH($B279,'TRANS'!$A:$A,0)),IFERROR(INDEX('Catalog'!$B:$B,MATCH($G279,'Catalog'!$A:$A,0)),$B279))</f>
        <v>3623 כרית ליישור אצבע פטיש</v>
      </c>
      <c r="I279" s="7" t="str">
        <f aca="false">IF($G279="","Unmatched","Matched")</f>
        <v>Matched</v>
      </c>
      <c r="J279" s="7" t="n">
        <f aca="false">IF($G279&lt;&gt;"",$G279,$B279)</f>
        <v>4411001</v>
      </c>
      <c r="K279" s="7" t="str">
        <f aca="false">IF(COUNTIF($O$2:$O$16,$A279)&gt;0,"Y","N")</f>
        <v>Y</v>
      </c>
    </row>
    <row r="280" customFormat="false" ht="15" hidden="false" customHeight="false" outlineLevel="0" collapsed="false">
      <c r="A280" s="7" t="s">
        <v>32</v>
      </c>
      <c r="B280" s="7" t="s">
        <v>313</v>
      </c>
      <c r="C280" s="8" t="n">
        <v>10</v>
      </c>
      <c r="D280" s="8" t="n">
        <v>66.22</v>
      </c>
      <c r="E280" s="8" t="n">
        <v>6</v>
      </c>
      <c r="F280" s="8" t="n">
        <v>37.48</v>
      </c>
      <c r="G280" s="7" t="n">
        <f aca="false">IFERROR(INDEX('TRANS'!$B:$B,MATCH($B280,'TRANS'!$A:$A,0)),IFERROR(INDEX('TRANS'!$B:$B,MATCH(TRIM(SUBSTITUTE($B280,CHAR(160)," ")),'TRANS'!$D:$D,0)),IFERROR(INDEX('Catalog'!$A:$A,MATCH($B280,'Catalog'!$B:$B,0)),IFERROR(INDEX('Catalog'!$A:$A,MATCH(TRIM(SUBSTITUTE($B280,CHAR(160)," ")),'Catalog'!$C:$C,0)),""))))</f>
        <v>4413059</v>
      </c>
      <c r="H280" s="7" t="str">
        <f aca="false">IFERROR(INDEX('TRANS'!$C:$C,MATCH($B280,'TRANS'!$A:$A,0)),IFERROR(INDEX('Catalog'!$B:$B,MATCH($G280,'Catalog'!$A:$A,0)),$B280))</f>
        <v>364S Lמפר.אצבע סיליק. ליבל.זוג</v>
      </c>
      <c r="I280" s="7" t="str">
        <f aca="false">IF($G280="","Unmatched","Matched")</f>
        <v>Matched</v>
      </c>
      <c r="J280" s="7" t="n">
        <f aca="false">IF($G280&lt;&gt;"",$G280,$B280)</f>
        <v>4413059</v>
      </c>
      <c r="K280" s="7" t="str">
        <f aca="false">IF(COUNTIF($O$2:$O$16,$A280)&gt;0,"Y","N")</f>
        <v>Y</v>
      </c>
    </row>
    <row r="281" customFormat="false" ht="15" hidden="false" customHeight="false" outlineLevel="0" collapsed="false">
      <c r="A281" s="7" t="s">
        <v>32</v>
      </c>
      <c r="B281" s="7" t="s">
        <v>315</v>
      </c>
      <c r="C281" s="8" t="n">
        <v>10</v>
      </c>
      <c r="D281" s="8" t="n">
        <v>68.39</v>
      </c>
      <c r="E281" s="8" t="n">
        <v>10</v>
      </c>
      <c r="F281" s="8" t="n">
        <v>61.61</v>
      </c>
      <c r="G281" s="7" t="n">
        <f aca="false">IFERROR(INDEX('TRANS'!$B:$B,MATCH($B281,'TRANS'!$A:$A,0)),IFERROR(INDEX('TRANS'!$B:$B,MATCH(TRIM(SUBSTITUTE($B281,CHAR(160)," ")),'TRANS'!$D:$D,0)),IFERROR(INDEX('Catalog'!$A:$A,MATCH($B281,'Catalog'!$B:$B,0)),IFERROR(INDEX('Catalog'!$A:$A,MATCH(TRIM(SUBSTITUTE($B281,CHAR(160)," ")),'Catalog'!$C:$C,0)),""))))</f>
        <v>4409000</v>
      </c>
      <c r="H281" s="7" t="str">
        <f aca="false">IFERROR(INDEX('TRANS'!$C:$C,MATCH($B281,'TRANS'!$A:$A,0)),IFERROR(INDEX('Catalog'!$B:$B,MATCH($G281,'Catalog'!$A:$A,0)),$B281))</f>
        <v>365 S-Lטבעת אלסטית מסיליקון</v>
      </c>
      <c r="I281" s="7" t="str">
        <f aca="false">IF($G281="","Unmatched","Matched")</f>
        <v>Matched</v>
      </c>
      <c r="J281" s="7" t="n">
        <f aca="false">IF($G281&lt;&gt;"",$G281,$B281)</f>
        <v>4409000</v>
      </c>
      <c r="K281" s="7" t="str">
        <f aca="false">IF(COUNTIF($O$2:$O$16,$A281)&gt;0,"Y","N")</f>
        <v>Y</v>
      </c>
    </row>
    <row r="282" customFormat="false" ht="15" hidden="false" customHeight="false" outlineLevel="0" collapsed="false">
      <c r="A282" s="7" t="s">
        <v>32</v>
      </c>
      <c r="B282" s="7" t="s">
        <v>316</v>
      </c>
      <c r="C282" s="8" t="n">
        <v>10</v>
      </c>
      <c r="D282" s="8" t="n">
        <v>41.41</v>
      </c>
      <c r="E282" s="8" t="n">
        <v>0</v>
      </c>
      <c r="F282" s="8" t="n">
        <v>0</v>
      </c>
      <c r="G282" s="7" t="n">
        <f aca="false">IFERROR(INDEX('TRANS'!$B:$B,MATCH($B282,'TRANS'!$A:$A,0)),IFERROR(INDEX('TRANS'!$B:$B,MATCH(TRIM(SUBSTITUTE($B282,CHAR(160)," ")),'TRANS'!$D:$D,0)),IFERROR(INDEX('Catalog'!$A:$A,MATCH($B282,'Catalog'!$B:$B,0)),IFERROR(INDEX('Catalog'!$A:$A,MATCH(TRIM(SUBSTITUTE($B282,CHAR(160)," ")),'Catalog'!$C:$C,0)),""))))</f>
        <v>4409001</v>
      </c>
      <c r="H282" s="7" t="str">
        <f aca="false">IFERROR(INDEX('TRANS'!$C:$C,MATCH($B282,'TRANS'!$A:$A,0)),IFERROR(INDEX('Catalog'!$B:$B,MATCH($G282,'Catalog'!$A:$A,0)),$B282))</f>
        <v>365  X-Lטבעת אלסטית מסיליקון</v>
      </c>
      <c r="I282" s="7" t="str">
        <f aca="false">IF($G282="","Unmatched","Matched")</f>
        <v>Matched</v>
      </c>
      <c r="J282" s="7" t="n">
        <f aca="false">IF($G282&lt;&gt;"",$G282,$B282)</f>
        <v>4409001</v>
      </c>
      <c r="K282" s="7" t="str">
        <f aca="false">IF(COUNTIF($O$2:$O$16,$A282)&gt;0,"Y","N")</f>
        <v>Y</v>
      </c>
    </row>
    <row r="283" customFormat="false" ht="15" hidden="false" customHeight="false" outlineLevel="0" collapsed="false">
      <c r="A283" s="7" t="s">
        <v>32</v>
      </c>
      <c r="B283" s="7" t="s">
        <v>399</v>
      </c>
      <c r="C283" s="8" t="n">
        <v>0</v>
      </c>
      <c r="D283" s="8" t="n">
        <v>0</v>
      </c>
      <c r="E283" s="8" t="n">
        <v>10</v>
      </c>
      <c r="F283" s="8" t="n">
        <v>170.85</v>
      </c>
      <c r="G283" s="7" t="n">
        <f aca="false">IFERROR(INDEX('TRANS'!$B:$B,MATCH($B283,'TRANS'!$A:$A,0)),IFERROR(INDEX('TRANS'!$B:$B,MATCH(TRIM(SUBSTITUTE($B283,CHAR(160)," ")),'TRANS'!$D:$D,0)),IFERROR(INDEX('Catalog'!$A:$A,MATCH($B283,'Catalog'!$B:$B,0)),IFERROR(INDEX('Catalog'!$A:$A,MATCH(TRIM(SUBSTITUTE($B283,CHAR(160)," ")),'Catalog'!$C:$C,0)),""))))</f>
        <v>4413370</v>
      </c>
      <c r="H283" s="7" t="str">
        <f aca="false">IFERROR(INDEX('TRANS'!$C:$C,MATCH($B283,'TRANS'!$A:$A,0)),IFERROR(INDEX('Catalog'!$B:$B,MATCH($G283,'Catalog'!$A:$A,0)),$B283))</f>
        <v>3674 0 מ.בוניון+מפריד אצבע</v>
      </c>
      <c r="I283" s="7" t="str">
        <f aca="false">IF($G283="","Unmatched","Matched")</f>
        <v>Matched</v>
      </c>
      <c r="J283" s="7" t="n">
        <f aca="false">IF($G283&lt;&gt;"",$G283,$B283)</f>
        <v>4413370</v>
      </c>
      <c r="K283" s="7" t="str">
        <f aca="false">IF(COUNTIF($O$2:$O$16,$A283)&gt;0,"Y","N")</f>
        <v>Y</v>
      </c>
    </row>
    <row r="284" customFormat="false" ht="15" hidden="false" customHeight="false" outlineLevel="0" collapsed="false">
      <c r="A284" s="7" t="s">
        <v>32</v>
      </c>
      <c r="B284" s="7" t="s">
        <v>400</v>
      </c>
      <c r="C284" s="8" t="n">
        <v>10</v>
      </c>
      <c r="D284" s="8" t="n">
        <v>148.02</v>
      </c>
      <c r="E284" s="8" t="n">
        <v>0</v>
      </c>
      <c r="F284" s="8" t="n">
        <v>0</v>
      </c>
      <c r="G284" s="7" t="n">
        <f aca="false">IFERROR(INDEX('TRANS'!$B:$B,MATCH($B284,'TRANS'!$A:$A,0)),IFERROR(INDEX('TRANS'!$B:$B,MATCH(TRIM(SUBSTITUTE($B284,CHAR(160)," ")),'TRANS'!$D:$D,0)),IFERROR(INDEX('Catalog'!$A:$A,MATCH($B284,'Catalog'!$B:$B,0)),IFERROR(INDEX('Catalog'!$A:$A,MATCH(TRIM(SUBSTITUTE($B284,CHAR(160)," ")),'Catalog'!$C:$C,0)),""))))</f>
        <v>4413371</v>
      </c>
      <c r="H284" s="7" t="str">
        <f aca="false">IFERROR(INDEX('TRANS'!$C:$C,MATCH($B284,'TRANS'!$A:$A,0)),IFERROR(INDEX('Catalog'!$B:$B,MATCH($G284,'Catalog'!$A:$A,0)),$B284))</f>
        <v>3675    מגן זרת מסיליקון</v>
      </c>
      <c r="I284" s="7" t="str">
        <f aca="false">IF($G284="","Unmatched","Matched")</f>
        <v>Matched</v>
      </c>
      <c r="J284" s="7" t="n">
        <f aca="false">IF($G284&lt;&gt;"",$G284,$B284)</f>
        <v>4413371</v>
      </c>
      <c r="K284" s="7" t="str">
        <f aca="false">IF(COUNTIF($O$2:$O$16,$A284)&gt;0,"Y","N")</f>
        <v>Y</v>
      </c>
    </row>
    <row r="285" customFormat="false" ht="15" hidden="false" customHeight="false" outlineLevel="0" collapsed="false">
      <c r="A285" s="7" t="s">
        <v>32</v>
      </c>
      <c r="B285" s="7" t="s">
        <v>321</v>
      </c>
      <c r="C285" s="8" t="n">
        <v>0</v>
      </c>
      <c r="D285" s="8" t="n">
        <v>0</v>
      </c>
      <c r="E285" s="8" t="n">
        <v>6</v>
      </c>
      <c r="F285" s="8" t="n">
        <v>179.54</v>
      </c>
      <c r="G285" s="7" t="n">
        <f aca="false">IFERROR(INDEX('TRANS'!$B:$B,MATCH($B285,'TRANS'!$A:$A,0)),IFERROR(INDEX('TRANS'!$B:$B,MATCH(TRIM(SUBSTITUTE($B285,CHAR(160)," ")),'TRANS'!$D:$D,0)),IFERROR(INDEX('Catalog'!$A:$A,MATCH($B285,'Catalog'!$B:$B,0)),IFERROR(INDEX('Catalog'!$A:$A,MATCH(TRIM(SUBSTITUTE($B285,CHAR(160)," ")),'Catalog'!$C:$C,0)),""))))</f>
        <v>4401001</v>
      </c>
      <c r="H285" s="7" t="str">
        <f aca="false">IFERROR(INDEX('TRANS'!$C:$C,MATCH($B285,'TRANS'!$A:$A,0)),IFERROR(INDEX('Catalog'!$B:$B,MATCH($G285,'Catalog'!$A:$A,0)),$B285))</f>
        <v>369   XL אצבעון מסיליקון יחידה</v>
      </c>
      <c r="I285" s="7" t="str">
        <f aca="false">IF($G285="","Unmatched","Matched")</f>
        <v>Matched</v>
      </c>
      <c r="J285" s="7" t="n">
        <f aca="false">IF($G285&lt;&gt;"",$G285,$B285)</f>
        <v>4401001</v>
      </c>
      <c r="K285" s="7" t="str">
        <f aca="false">IF(COUNTIF($O$2:$O$16,$A285)&gt;0,"Y","N")</f>
        <v>Y</v>
      </c>
    </row>
    <row r="286" customFormat="false" ht="15" hidden="false" customHeight="false" outlineLevel="0" collapsed="false">
      <c r="A286" s="7" t="s">
        <v>32</v>
      </c>
      <c r="B286" s="7" t="s">
        <v>322</v>
      </c>
      <c r="C286" s="8" t="n">
        <v>50</v>
      </c>
      <c r="D286" s="8" t="n">
        <v>376.4</v>
      </c>
      <c r="E286" s="8" t="n">
        <v>100</v>
      </c>
      <c r="F286" s="8" t="n">
        <v>661.36</v>
      </c>
      <c r="G286" s="7" t="n">
        <f aca="false">IFERROR(INDEX('TRANS'!$B:$B,MATCH($B286,'TRANS'!$A:$A,0)),IFERROR(INDEX('TRANS'!$B:$B,MATCH(TRIM(SUBSTITUTE($B286,CHAR(160)," ")),'TRANS'!$D:$D,0)),IFERROR(INDEX('Catalog'!$A:$A,MATCH($B286,'Catalog'!$B:$B,0)),IFERROR(INDEX('Catalog'!$A:$A,MATCH(TRIM(SUBSTITUTE($B286,CHAR(160)," ")),'Catalog'!$C:$C,0)),""))))</f>
        <v>4420000</v>
      </c>
      <c r="H286" s="7" t="str">
        <f aca="false">IFERROR(INDEX('TRANS'!$C:$C,MATCH($B286,'TRANS'!$A:$A,0)),IFERROR(INDEX('Catalog'!$B:$B,MATCH($G286,'Catalog'!$A:$A,0)),$B286))</f>
        <v>370  רפידת נוחות-זוג</v>
      </c>
      <c r="I286" s="7" t="str">
        <f aca="false">IF($G286="","Unmatched","Matched")</f>
        <v>Matched</v>
      </c>
      <c r="J286" s="7" t="n">
        <f aca="false">IF($G286&lt;&gt;"",$G286,$B286)</f>
        <v>4420000</v>
      </c>
      <c r="K286" s="7" t="str">
        <f aca="false">IF(COUNTIF($O$2:$O$16,$A286)&gt;0,"Y","N")</f>
        <v>Y</v>
      </c>
    </row>
    <row r="287" customFormat="false" ht="15" hidden="false" customHeight="false" outlineLevel="0" collapsed="false">
      <c r="A287" s="7" t="s">
        <v>32</v>
      </c>
      <c r="B287" s="7" t="s">
        <v>324</v>
      </c>
      <c r="C287" s="8" t="n">
        <v>150</v>
      </c>
      <c r="D287" s="8" t="n">
        <v>1254.66</v>
      </c>
      <c r="E287" s="8" t="n">
        <v>50</v>
      </c>
      <c r="F287" s="8" t="n">
        <v>367.42</v>
      </c>
      <c r="G287" s="7" t="n">
        <f aca="false">IFERROR(INDEX('TRANS'!$B:$B,MATCH($B287,'TRANS'!$A:$A,0)),IFERROR(INDEX('TRANS'!$B:$B,MATCH(TRIM(SUBSTITUTE($B287,CHAR(160)," ")),'TRANS'!$D:$D,0)),IFERROR(INDEX('Catalog'!$A:$A,MATCH($B287,'Catalog'!$B:$B,0)),IFERROR(INDEX('Catalog'!$A:$A,MATCH(TRIM(SUBSTITUTE($B287,CHAR(160)," ")),'Catalog'!$C:$C,0)),""))))</f>
        <v>4420002</v>
      </c>
      <c r="H287" s="7" t="str">
        <f aca="false">IFERROR(INDEX('TRANS'!$C:$C,MATCH($B287,'TRANS'!$A:$A,0)),IFERROR(INDEX('Catalog'!$B:$B,MATCH($G287,'Catalog'!$A:$A,0)),$B287))</f>
        <v>372 רפידת אנטי ריח -זוג</v>
      </c>
      <c r="I287" s="7" t="str">
        <f aca="false">IF($G287="","Unmatched","Matched")</f>
        <v>Matched</v>
      </c>
      <c r="J287" s="7" t="n">
        <f aca="false">IF($G287&lt;&gt;"",$G287,$B287)</f>
        <v>4420002</v>
      </c>
      <c r="K287" s="7" t="str">
        <f aca="false">IF(COUNTIF($O$2:$O$16,$A287)&gt;0,"Y","N")</f>
        <v>Y</v>
      </c>
    </row>
    <row r="288" customFormat="false" ht="15" hidden="false" customHeight="false" outlineLevel="0" collapsed="false">
      <c r="A288" s="7" t="s">
        <v>32</v>
      </c>
      <c r="B288" s="7" t="s">
        <v>325</v>
      </c>
      <c r="C288" s="8" t="n">
        <v>50</v>
      </c>
      <c r="D288" s="8" t="n">
        <v>467.42</v>
      </c>
      <c r="E288" s="8" t="n">
        <v>0</v>
      </c>
      <c r="F288" s="8" t="n">
        <v>0</v>
      </c>
      <c r="G288" s="7" t="n">
        <f aca="false">IFERROR(INDEX('TRANS'!$B:$B,MATCH($B288,'TRANS'!$A:$A,0)),IFERROR(INDEX('TRANS'!$B:$B,MATCH(TRIM(SUBSTITUTE($B288,CHAR(160)," ")),'TRANS'!$D:$D,0)),IFERROR(INDEX('Catalog'!$A:$A,MATCH($B288,'Catalog'!$B:$B,0)),IFERROR(INDEX('Catalog'!$A:$A,MATCH(TRIM(SUBSTITUTE($B288,CHAR(160)," ")),'Catalog'!$C:$C,0)),""))))</f>
        <v>4420003</v>
      </c>
      <c r="H288" s="7" t="str">
        <f aca="false">IFERROR(INDEX('TRANS'!$C:$C,MATCH($B288,'TRANS'!$A:$A,0)),IFERROR(INDEX('Catalog'!$B:$B,MATCH($G288,'Catalog'!$A:$A,0)),$B288))</f>
        <v>374 רפידת בולמת זעזועים -זוג</v>
      </c>
      <c r="I288" s="7" t="str">
        <f aca="false">IF($G288="","Unmatched","Matched")</f>
        <v>Matched</v>
      </c>
      <c r="J288" s="7" t="n">
        <f aca="false">IF($G288&lt;&gt;"",$G288,$B288)</f>
        <v>4420003</v>
      </c>
      <c r="K288" s="7" t="str">
        <f aca="false">IF(COUNTIF($O$2:$O$16,$A288)&gt;0,"Y","N")</f>
        <v>Y</v>
      </c>
    </row>
    <row r="289" customFormat="false" ht="15" hidden="false" customHeight="false" outlineLevel="0" collapsed="false">
      <c r="A289" s="7" t="s">
        <v>32</v>
      </c>
      <c r="B289" s="7" t="s">
        <v>78</v>
      </c>
      <c r="C289" s="8" t="n">
        <v>22</v>
      </c>
      <c r="D289" s="8" t="n">
        <v>370.35</v>
      </c>
      <c r="E289" s="8" t="n">
        <v>6</v>
      </c>
      <c r="F289" s="8" t="n">
        <v>86.25</v>
      </c>
      <c r="G289" s="7" t="str">
        <f aca="false">IFERROR(INDEX('TRANS'!$B:$B,MATCH($B289,'TRANS'!$A:$A,0)),IFERROR(INDEX('TRANS'!$B:$B,MATCH(TRIM(SUBSTITUTE($B289,CHAR(160)," ")),'TRANS'!$D:$D,0)),IFERROR(INDEX('Catalog'!$A:$A,MATCH($B289,'Catalog'!$B:$B,0)),IFERROR(INDEX('Catalog'!$A:$A,MATCH(TRIM(SUBSTITUTE($B289,CHAR(160)," ")),'Catalog'!$C:$C,0)),""))))</f>
        <v/>
      </c>
      <c r="H289" s="7" t="str">
        <f aca="false">IFERROR(INDEX('TRANS'!$C:$C,MATCH($B289,'TRANS'!$A:$A,0)),IFERROR(INDEX('Catalog'!$B:$B,MATCH($G289,'Catalog'!$A:$A,0)),$B289))</f>
        <v>376-35-37</v>
      </c>
      <c r="I289" s="7" t="str">
        <f aca="false">IF($G289="","Unmatched","Matched")</f>
        <v>Unmatched</v>
      </c>
      <c r="J289" s="7" t="str">
        <f aca="false">IF($G289&lt;&gt;"",$G289,$B289)</f>
        <v>376-35-37</v>
      </c>
      <c r="K289" s="7" t="str">
        <f aca="false">IF(COUNTIF($O$2:$O$16,$A289)&gt;0,"Y","N")</f>
        <v>Y</v>
      </c>
    </row>
    <row r="290" customFormat="false" ht="15" hidden="false" customHeight="false" outlineLevel="0" collapsed="false">
      <c r="A290" s="7" t="s">
        <v>32</v>
      </c>
      <c r="B290" s="7" t="s">
        <v>72</v>
      </c>
      <c r="C290" s="8" t="n">
        <v>28</v>
      </c>
      <c r="D290" s="8" t="n">
        <v>475.74</v>
      </c>
      <c r="E290" s="8" t="n">
        <v>20</v>
      </c>
      <c r="F290" s="8" t="n">
        <v>308.63</v>
      </c>
      <c r="G290" s="7" t="str">
        <f aca="false">IFERROR(INDEX('TRANS'!$B:$B,MATCH($B290,'TRANS'!$A:$A,0)),IFERROR(INDEX('TRANS'!$B:$B,MATCH(TRIM(SUBSTITUTE($B290,CHAR(160)," ")),'TRANS'!$D:$D,0)),IFERROR(INDEX('Catalog'!$A:$A,MATCH($B290,'Catalog'!$B:$B,0)),IFERROR(INDEX('Catalog'!$A:$A,MATCH(TRIM(SUBSTITUTE($B290,CHAR(160)," ")),'Catalog'!$C:$C,0)),""))))</f>
        <v/>
      </c>
      <c r="H290" s="7" t="str">
        <f aca="false">IFERROR(INDEX('TRANS'!$C:$C,MATCH($B290,'TRANS'!$A:$A,0)),IFERROR(INDEX('Catalog'!$B:$B,MATCH($G290,'Catalog'!$A:$A,0)),$B290))</f>
        <v>376-38-40</v>
      </c>
      <c r="I290" s="7" t="str">
        <f aca="false">IF($G290="","Unmatched","Matched")</f>
        <v>Unmatched</v>
      </c>
      <c r="J290" s="7" t="str">
        <f aca="false">IF($G290&lt;&gt;"",$G290,$B290)</f>
        <v>376-38-40</v>
      </c>
      <c r="K290" s="7" t="str">
        <f aca="false">IF(COUNTIF($O$2:$O$16,$A290)&gt;0,"Y","N")</f>
        <v>Y</v>
      </c>
    </row>
    <row r="291" customFormat="false" ht="15" hidden="false" customHeight="false" outlineLevel="0" collapsed="false">
      <c r="A291" s="7" t="s">
        <v>32</v>
      </c>
      <c r="B291" s="7" t="s">
        <v>69</v>
      </c>
      <c r="C291" s="8" t="n">
        <v>56</v>
      </c>
      <c r="D291" s="8" t="n">
        <v>951.48</v>
      </c>
      <c r="E291" s="8" t="n">
        <v>40</v>
      </c>
      <c r="F291" s="8" t="n">
        <v>606.7</v>
      </c>
      <c r="G291" s="7" t="str">
        <f aca="false">IFERROR(INDEX('TRANS'!$B:$B,MATCH($B291,'TRANS'!$A:$A,0)),IFERROR(INDEX('TRANS'!$B:$B,MATCH(TRIM(SUBSTITUTE($B291,CHAR(160)," ")),'TRANS'!$D:$D,0)),IFERROR(INDEX('Catalog'!$A:$A,MATCH($B291,'Catalog'!$B:$B,0)),IFERROR(INDEX('Catalog'!$A:$A,MATCH(TRIM(SUBSTITUTE($B291,CHAR(160)," ")),'Catalog'!$C:$C,0)),""))))</f>
        <v/>
      </c>
      <c r="H291" s="7" t="str">
        <f aca="false">IFERROR(INDEX('TRANS'!$C:$C,MATCH($B291,'TRANS'!$A:$A,0)),IFERROR(INDEX('Catalog'!$B:$B,MATCH($G291,'Catalog'!$A:$A,0)),$B291))</f>
        <v>376-41-43</v>
      </c>
      <c r="I291" s="7" t="str">
        <f aca="false">IF($G291="","Unmatched","Matched")</f>
        <v>Unmatched</v>
      </c>
      <c r="J291" s="7" t="str">
        <f aca="false">IF($G291&lt;&gt;"",$G291,$B291)</f>
        <v>376-41-43</v>
      </c>
      <c r="K291" s="7" t="str">
        <f aca="false">IF(COUNTIF($O$2:$O$16,$A291)&gt;0,"Y","N")</f>
        <v>Y</v>
      </c>
    </row>
    <row r="292" customFormat="false" ht="15" hidden="false" customHeight="false" outlineLevel="0" collapsed="false">
      <c r="A292" s="7" t="s">
        <v>32</v>
      </c>
      <c r="B292" s="7" t="s">
        <v>73</v>
      </c>
      <c r="C292" s="8" t="n">
        <v>76</v>
      </c>
      <c r="D292" s="8" t="n">
        <v>1270.62</v>
      </c>
      <c r="E292" s="8" t="n">
        <v>10</v>
      </c>
      <c r="F292" s="8" t="n">
        <v>143.75</v>
      </c>
      <c r="G292" s="7" t="str">
        <f aca="false">IFERROR(INDEX('TRANS'!$B:$B,MATCH($B292,'TRANS'!$A:$A,0)),IFERROR(INDEX('TRANS'!$B:$B,MATCH(TRIM(SUBSTITUTE($B292,CHAR(160)," ")),'TRANS'!$D:$D,0)),IFERROR(INDEX('Catalog'!$A:$A,MATCH($B292,'Catalog'!$B:$B,0)),IFERROR(INDEX('Catalog'!$A:$A,MATCH(TRIM(SUBSTITUTE($B292,CHAR(160)," ")),'Catalog'!$C:$C,0)),""))))</f>
        <v/>
      </c>
      <c r="H292" s="7" t="str">
        <f aca="false">IFERROR(INDEX('TRANS'!$C:$C,MATCH($B292,'TRANS'!$A:$A,0)),IFERROR(INDEX('Catalog'!$B:$B,MATCH($G292,'Catalog'!$A:$A,0)),$B292))</f>
        <v>376-44-45</v>
      </c>
      <c r="I292" s="7" t="str">
        <f aca="false">IF($G292="","Unmatched","Matched")</f>
        <v>Unmatched</v>
      </c>
      <c r="J292" s="7" t="str">
        <f aca="false">IF($G292&lt;&gt;"",$G292,$B292)</f>
        <v>376-44-45</v>
      </c>
      <c r="K292" s="7" t="str">
        <f aca="false">IF(COUNTIF($O$2:$O$16,$A292)&gt;0,"Y","N")</f>
        <v>Y</v>
      </c>
    </row>
    <row r="293" customFormat="false" ht="15" hidden="false" customHeight="false" outlineLevel="0" collapsed="false">
      <c r="A293" s="7" t="s">
        <v>32</v>
      </c>
      <c r="B293" s="7" t="s">
        <v>326</v>
      </c>
      <c r="C293" s="8" t="n">
        <v>22</v>
      </c>
      <c r="D293" s="8" t="n">
        <v>370.35</v>
      </c>
      <c r="E293" s="8" t="n">
        <v>6</v>
      </c>
      <c r="F293" s="8" t="n">
        <v>92.59</v>
      </c>
      <c r="G293" s="7" t="n">
        <f aca="false">IFERROR(INDEX('TRANS'!$B:$B,MATCH($B293,'TRANS'!$A:$A,0)),IFERROR(INDEX('TRANS'!$B:$B,MATCH(TRIM(SUBSTITUTE($B293,CHAR(160)," ")),'TRANS'!$D:$D,0)),IFERROR(INDEX('Catalog'!$A:$A,MATCH($B293,'Catalog'!$B:$B,0)),IFERROR(INDEX('Catalog'!$A:$A,MATCH(TRIM(SUBSTITUTE($B293,CHAR(160)," ")),'Catalog'!$C:$C,0)),""))))</f>
        <v>4420032</v>
      </c>
      <c r="H293" s="7" t="str">
        <f aca="false">IFERROR(INDEX('TRANS'!$C:$C,MATCH($B293,'TRANS'!$A:$A,0)),IFERROR(INDEX('Catalog'!$B:$B,MATCH($G293,'Catalog'!$A:$A,0)),$B293))</f>
        <v>46-47 רפידת ספורט 376 מידה</v>
      </c>
      <c r="I293" s="7" t="str">
        <f aca="false">IF($G293="","Unmatched","Matched")</f>
        <v>Matched</v>
      </c>
      <c r="J293" s="7" t="n">
        <f aca="false">IF($G293&lt;&gt;"",$G293,$B293)</f>
        <v>4420032</v>
      </c>
      <c r="K293" s="7" t="str">
        <f aca="false">IF(COUNTIF($O$2:$O$16,$A293)&gt;0,"Y","N")</f>
        <v>Y</v>
      </c>
    </row>
    <row r="294" customFormat="false" ht="15" hidden="false" customHeight="false" outlineLevel="0" collapsed="false">
      <c r="A294" s="7" t="s">
        <v>32</v>
      </c>
      <c r="B294" s="7" t="s">
        <v>457</v>
      </c>
      <c r="C294" s="8" t="n">
        <v>35</v>
      </c>
      <c r="D294" s="8" t="n">
        <v>1637.11</v>
      </c>
      <c r="E294" s="8" t="n">
        <v>0</v>
      </c>
      <c r="F294" s="8" t="n">
        <v>0</v>
      </c>
      <c r="G294" s="7" t="n">
        <f aca="false">IFERROR(INDEX('TRANS'!$B:$B,MATCH($B294,'TRANS'!$A:$A,0)),IFERROR(INDEX('TRANS'!$B:$B,MATCH(TRIM(SUBSTITUTE($B294,CHAR(160)," ")),'TRANS'!$D:$D,0)),IFERROR(INDEX('Catalog'!$A:$A,MATCH($B294,'Catalog'!$B:$B,0)),IFERROR(INDEX('Catalog'!$A:$A,MATCH(TRIM(SUBSTITUTE($B294,CHAR(160)," ")),'Catalog'!$C:$C,0)),""))))</f>
        <v>4413523</v>
      </c>
      <c r="H294" s="7" t="str">
        <f aca="false">IFERROR(INDEX('TRANS'!$C:$C,MATCH($B294,'TRANS'!$A:$A,0)),IFERROR(INDEX('Catalog'!$B:$B,MATCH($G294,'Catalog'!$A:$A,0)),$B294))</f>
        <v>35-38 מדרסי אפיק ג'ל נוחות</v>
      </c>
      <c r="I294" s="7" t="str">
        <f aca="false">IF($G294="","Unmatched","Matched")</f>
        <v>Matched</v>
      </c>
      <c r="J294" s="7" t="n">
        <f aca="false">IF($G294&lt;&gt;"",$G294,$B294)</f>
        <v>4413523</v>
      </c>
      <c r="K294" s="7" t="str">
        <f aca="false">IF(COUNTIF($O$2:$O$16,$A294)&gt;0,"Y","N")</f>
        <v>Y</v>
      </c>
    </row>
    <row r="295" customFormat="false" ht="15" hidden="false" customHeight="false" outlineLevel="0" collapsed="false">
      <c r="A295" s="7" t="s">
        <v>32</v>
      </c>
      <c r="B295" s="7" t="s">
        <v>458</v>
      </c>
      <c r="C295" s="8" t="n">
        <v>44</v>
      </c>
      <c r="D295" s="8" t="n">
        <v>2094.75</v>
      </c>
      <c r="E295" s="8" t="n">
        <v>0</v>
      </c>
      <c r="F295" s="8" t="n">
        <v>0</v>
      </c>
      <c r="G295" s="7" t="n">
        <f aca="false">IFERROR(INDEX('TRANS'!$B:$B,MATCH($B295,'TRANS'!$A:$A,0)),IFERROR(INDEX('TRANS'!$B:$B,MATCH(TRIM(SUBSTITUTE($B295,CHAR(160)," ")),'TRANS'!$D:$D,0)),IFERROR(INDEX('Catalog'!$A:$A,MATCH($B295,'Catalog'!$B:$B,0)),IFERROR(INDEX('Catalog'!$A:$A,MATCH(TRIM(SUBSTITUTE($B295,CHAR(160)," ")),'Catalog'!$C:$C,0)),""))))</f>
        <v>4413524</v>
      </c>
      <c r="H295" s="7" t="str">
        <f aca="false">IFERROR(INDEX('TRANS'!$C:$C,MATCH($B295,'TRANS'!$A:$A,0)),IFERROR(INDEX('Catalog'!$B:$B,MATCH($G295,'Catalog'!$A:$A,0)),$B295))</f>
        <v>39-42 מדרסי אפיק ג'ל נוחות</v>
      </c>
      <c r="I295" s="7" t="str">
        <f aca="false">IF($G295="","Unmatched","Matched")</f>
        <v>Matched</v>
      </c>
      <c r="J295" s="7" t="n">
        <f aca="false">IF($G295&lt;&gt;"",$G295,$B295)</f>
        <v>4413524</v>
      </c>
      <c r="K295" s="7" t="str">
        <f aca="false">IF(COUNTIF($O$2:$O$16,$A295)&gt;0,"Y","N")</f>
        <v>Y</v>
      </c>
    </row>
    <row r="296" customFormat="false" ht="15" hidden="false" customHeight="false" outlineLevel="0" collapsed="false">
      <c r="A296" s="7" t="s">
        <v>32</v>
      </c>
      <c r="B296" s="7" t="s">
        <v>459</v>
      </c>
      <c r="C296" s="8" t="n">
        <v>64</v>
      </c>
      <c r="D296" s="8" t="n">
        <v>2987.56</v>
      </c>
      <c r="E296" s="8" t="n">
        <v>0</v>
      </c>
      <c r="F296" s="8" t="n">
        <v>0</v>
      </c>
      <c r="G296" s="7" t="n">
        <f aca="false">IFERROR(INDEX('TRANS'!$B:$B,MATCH($B296,'TRANS'!$A:$A,0)),IFERROR(INDEX('TRANS'!$B:$B,MATCH(TRIM(SUBSTITUTE($B296,CHAR(160)," ")),'TRANS'!$D:$D,0)),IFERROR(INDEX('Catalog'!$A:$A,MATCH($B296,'Catalog'!$B:$B,0)),IFERROR(INDEX('Catalog'!$A:$A,MATCH(TRIM(SUBSTITUTE($B296,CHAR(160)," ")),'Catalog'!$C:$C,0)),""))))</f>
        <v>4413525</v>
      </c>
      <c r="H296" s="7" t="str">
        <f aca="false">IFERROR(INDEX('TRANS'!$C:$C,MATCH($B296,'TRANS'!$A:$A,0)),IFERROR(INDEX('Catalog'!$B:$B,MATCH($G296,'Catalog'!$A:$A,0)),$B296))</f>
        <v>43-47 מדרסי אפיק ג'ל נוחות</v>
      </c>
      <c r="I296" s="7" t="str">
        <f aca="false">IF($G296="","Unmatched","Matched")</f>
        <v>Matched</v>
      </c>
      <c r="J296" s="7" t="n">
        <f aca="false">IF($G296&lt;&gt;"",$G296,$B296)</f>
        <v>4413525</v>
      </c>
      <c r="K296" s="7" t="str">
        <f aca="false">IF(COUNTIF($O$2:$O$16,$A296)&gt;0,"Y","N")</f>
        <v>Y</v>
      </c>
    </row>
    <row r="297" customFormat="false" ht="15" hidden="false" customHeight="false" outlineLevel="0" collapsed="false">
      <c r="A297" s="7" t="s">
        <v>32</v>
      </c>
      <c r="B297" s="7" t="s">
        <v>401</v>
      </c>
      <c r="C297" s="8" t="n">
        <v>34</v>
      </c>
      <c r="D297" s="8" t="n">
        <v>1637.07</v>
      </c>
      <c r="E297" s="8" t="n">
        <v>0</v>
      </c>
      <c r="F297" s="8" t="n">
        <v>0</v>
      </c>
      <c r="G297" s="7" t="n">
        <f aca="false">IFERROR(INDEX('TRANS'!$B:$B,MATCH($B297,'TRANS'!$A:$A,0)),IFERROR(INDEX('TRANS'!$B:$B,MATCH(TRIM(SUBSTITUTE($B297,CHAR(160)," ")),'TRANS'!$D:$D,0)),IFERROR(INDEX('Catalog'!$A:$A,MATCH($B297,'Catalog'!$B:$B,0)),IFERROR(INDEX('Catalog'!$A:$A,MATCH(TRIM(SUBSTITUTE($B297,CHAR(160)," ")),'Catalog'!$C:$C,0)),""))))</f>
        <v>4413520</v>
      </c>
      <c r="H297" s="7" t="str">
        <f aca="false">IFERROR(INDEX('TRANS'!$C:$C,MATCH($B297,'TRANS'!$A:$A,0)),IFERROR(INDEX('Catalog'!$B:$B,MATCH($G297,'Catalog'!$A:$A,0)),$B297))</f>
        <v>מדרסי אפיק ג'ל מולט.ספורט35-38</v>
      </c>
      <c r="I297" s="7" t="str">
        <f aca="false">IF($G297="","Unmatched","Matched")</f>
        <v>Matched</v>
      </c>
      <c r="J297" s="7" t="n">
        <f aca="false">IF($G297&lt;&gt;"",$G297,$B297)</f>
        <v>4413520</v>
      </c>
      <c r="K297" s="7" t="str">
        <f aca="false">IF(COUNTIF($O$2:$O$16,$A297)&gt;0,"Y","N")</f>
        <v>Y</v>
      </c>
    </row>
    <row r="298" customFormat="false" ht="15" hidden="false" customHeight="false" outlineLevel="0" collapsed="false">
      <c r="A298" s="7" t="s">
        <v>32</v>
      </c>
      <c r="B298" s="7" t="s">
        <v>402</v>
      </c>
      <c r="C298" s="8" t="n">
        <v>54</v>
      </c>
      <c r="D298" s="8" t="n">
        <v>2541.16</v>
      </c>
      <c r="E298" s="8" t="n">
        <v>0</v>
      </c>
      <c r="F298" s="8" t="n">
        <v>0</v>
      </c>
      <c r="G298" s="7" t="n">
        <f aca="false">IFERROR(INDEX('TRANS'!$B:$B,MATCH($B298,'TRANS'!$A:$A,0)),IFERROR(INDEX('TRANS'!$B:$B,MATCH(TRIM(SUBSTITUTE($B298,CHAR(160)," ")),'TRANS'!$D:$D,0)),IFERROR(INDEX('Catalog'!$A:$A,MATCH($B298,'Catalog'!$B:$B,0)),IFERROR(INDEX('Catalog'!$A:$A,MATCH(TRIM(SUBSTITUTE($B298,CHAR(160)," ")),'Catalog'!$C:$C,0)),""))))</f>
        <v>4413521</v>
      </c>
      <c r="H298" s="7" t="str">
        <f aca="false">IFERROR(INDEX('TRANS'!$C:$C,MATCH($B298,'TRANS'!$A:$A,0)),IFERROR(INDEX('Catalog'!$B:$B,MATCH($G298,'Catalog'!$A:$A,0)),$B298))</f>
        <v>מדרסי אפיק ג'ל מולטי ספור39-42</v>
      </c>
      <c r="I298" s="7" t="str">
        <f aca="false">IF($G298="","Unmatched","Matched")</f>
        <v>Matched</v>
      </c>
      <c r="J298" s="7" t="n">
        <f aca="false">IF($G298&lt;&gt;"",$G298,$B298)</f>
        <v>4413521</v>
      </c>
      <c r="K298" s="7" t="str">
        <f aca="false">IF(COUNTIF($O$2:$O$16,$A298)&gt;0,"Y","N")</f>
        <v>Y</v>
      </c>
    </row>
    <row r="299" customFormat="false" ht="15" hidden="false" customHeight="false" outlineLevel="0" collapsed="false">
      <c r="A299" s="7" t="s">
        <v>32</v>
      </c>
      <c r="B299" s="7" t="s">
        <v>460</v>
      </c>
      <c r="C299" s="8" t="n">
        <v>44</v>
      </c>
      <c r="D299" s="8" t="n">
        <v>2094.75</v>
      </c>
      <c r="E299" s="8" t="n">
        <v>0</v>
      </c>
      <c r="F299" s="8" t="n">
        <v>0</v>
      </c>
      <c r="G299" s="7" t="n">
        <f aca="false">IFERROR(INDEX('TRANS'!$B:$B,MATCH($B299,'TRANS'!$A:$A,0)),IFERROR(INDEX('TRANS'!$B:$B,MATCH(TRIM(SUBSTITUTE($B299,CHAR(160)," ")),'TRANS'!$D:$D,0)),IFERROR(INDEX('Catalog'!$A:$A,MATCH($B299,'Catalog'!$B:$B,0)),IFERROR(INDEX('Catalog'!$A:$A,MATCH(TRIM(SUBSTITUTE($B299,CHAR(160)," ")),'Catalog'!$C:$C,0)),""))))</f>
        <v>4413522</v>
      </c>
      <c r="H299" s="7" t="str">
        <f aca="false">IFERROR(INDEX('TRANS'!$C:$C,MATCH($B299,'TRANS'!$A:$A,0)),IFERROR(INDEX('Catalog'!$B:$B,MATCH($G299,'Catalog'!$A:$A,0)),$B299))</f>
        <v>מדרסי אפיק ג'ל מולט.ספורט43-47</v>
      </c>
      <c r="I299" s="7" t="str">
        <f aca="false">IF($G299="","Unmatched","Matched")</f>
        <v>Matched</v>
      </c>
      <c r="J299" s="7" t="n">
        <f aca="false">IF($G299&lt;&gt;"",$G299,$B299)</f>
        <v>4413522</v>
      </c>
      <c r="K299" s="7" t="str">
        <f aca="false">IF(COUNTIF($O$2:$O$16,$A299)&gt;0,"Y","N")</f>
        <v>Y</v>
      </c>
    </row>
    <row r="300" customFormat="false" ht="15" hidden="false" customHeight="false" outlineLevel="0" collapsed="false">
      <c r="A300" s="7" t="s">
        <v>32</v>
      </c>
      <c r="B300" s="7" t="s">
        <v>461</v>
      </c>
      <c r="C300" s="8" t="n">
        <v>44</v>
      </c>
      <c r="D300" s="8" t="n">
        <v>2083.48</v>
      </c>
      <c r="E300" s="8" t="n">
        <v>0</v>
      </c>
      <c r="F300" s="8" t="n">
        <v>0</v>
      </c>
      <c r="G300" s="7" t="n">
        <f aca="false">IFERROR(INDEX('TRANS'!$B:$B,MATCH($B300,'TRANS'!$A:$A,0)),IFERROR(INDEX('TRANS'!$B:$B,MATCH(TRIM(SUBSTITUTE($B300,CHAR(160)," ")),'TRANS'!$D:$D,0)),IFERROR(INDEX('Catalog'!$A:$A,MATCH($B300,'Catalog'!$B:$B,0)),IFERROR(INDEX('Catalog'!$A:$A,MATCH(TRIM(SUBSTITUTE($B300,CHAR(160)," ")),'Catalog'!$C:$C,0)),""))))</f>
        <v>4413527</v>
      </c>
      <c r="H300" s="7" t="str">
        <f aca="false">IFERROR(INDEX('TRANS'!$C:$C,MATCH($B300,'TRANS'!$A:$A,0)),IFERROR(INDEX('Catalog'!$B:$B,MATCH($G300,'Catalog'!$A:$A,0)),$B300))</f>
        <v>35-38 מדרסי אפיק ג'ל עבודה</v>
      </c>
      <c r="I300" s="7" t="str">
        <f aca="false">IF($G300="","Unmatched","Matched")</f>
        <v>Matched</v>
      </c>
      <c r="J300" s="7" t="n">
        <f aca="false">IF($G300&lt;&gt;"",$G300,$B300)</f>
        <v>4413527</v>
      </c>
      <c r="K300" s="7" t="str">
        <f aca="false">IF(COUNTIF($O$2:$O$16,$A300)&gt;0,"Y","N")</f>
        <v>Y</v>
      </c>
    </row>
    <row r="301" customFormat="false" ht="15" hidden="false" customHeight="false" outlineLevel="0" collapsed="false">
      <c r="A301" s="7" t="s">
        <v>32</v>
      </c>
      <c r="B301" s="7" t="s">
        <v>462</v>
      </c>
      <c r="C301" s="8" t="n">
        <v>65</v>
      </c>
      <c r="D301" s="8" t="n">
        <v>2987.6</v>
      </c>
      <c r="E301" s="8" t="n">
        <v>0</v>
      </c>
      <c r="F301" s="8" t="n">
        <v>0</v>
      </c>
      <c r="G301" s="7" t="n">
        <f aca="false">IFERROR(INDEX('TRANS'!$B:$B,MATCH($B301,'TRANS'!$A:$A,0)),IFERROR(INDEX('TRANS'!$B:$B,MATCH(TRIM(SUBSTITUTE($B301,CHAR(160)," ")),'TRANS'!$D:$D,0)),IFERROR(INDEX('Catalog'!$A:$A,MATCH($B301,'Catalog'!$B:$B,0)),IFERROR(INDEX('Catalog'!$A:$A,MATCH(TRIM(SUBSTITUTE($B301,CHAR(160)," ")),'Catalog'!$C:$C,0)),""))))</f>
        <v>4413528</v>
      </c>
      <c r="H301" s="7" t="str">
        <f aca="false">IFERROR(INDEX('TRANS'!$C:$C,MATCH($B301,'TRANS'!$A:$A,0)),IFERROR(INDEX('Catalog'!$B:$B,MATCH($G301,'Catalog'!$A:$A,0)),$B301))</f>
        <v>39-42 מדרסי אפיק ג'ל עבודה</v>
      </c>
      <c r="I301" s="7" t="str">
        <f aca="false">IF($G301="","Unmatched","Matched")</f>
        <v>Matched</v>
      </c>
      <c r="J301" s="7" t="n">
        <f aca="false">IF($G301&lt;&gt;"",$G301,$B301)</f>
        <v>4413528</v>
      </c>
      <c r="K301" s="7" t="str">
        <f aca="false">IF(COUNTIF($O$2:$O$16,$A301)&gt;0,"Y","N")</f>
        <v>Y</v>
      </c>
    </row>
    <row r="302" customFormat="false" ht="15" hidden="false" customHeight="false" outlineLevel="0" collapsed="false">
      <c r="A302" s="7" t="s">
        <v>32</v>
      </c>
      <c r="B302" s="7" t="s">
        <v>463</v>
      </c>
      <c r="C302" s="8" t="n">
        <v>83</v>
      </c>
      <c r="D302" s="8" t="n">
        <v>3823.33</v>
      </c>
      <c r="E302" s="8" t="n">
        <v>0</v>
      </c>
      <c r="F302" s="8" t="n">
        <v>0</v>
      </c>
      <c r="G302" s="7" t="n">
        <f aca="false">IFERROR(INDEX('TRANS'!$B:$B,MATCH($B302,'TRANS'!$A:$A,0)),IFERROR(INDEX('TRANS'!$B:$B,MATCH(TRIM(SUBSTITUTE($B302,CHAR(160)," ")),'TRANS'!$D:$D,0)),IFERROR(INDEX('Catalog'!$A:$A,MATCH($B302,'Catalog'!$B:$B,0)),IFERROR(INDEX('Catalog'!$A:$A,MATCH(TRIM(SUBSTITUTE($B302,CHAR(160)," ")),'Catalog'!$C:$C,0)),""))))</f>
        <v>4413529</v>
      </c>
      <c r="H302" s="7" t="str">
        <f aca="false">IFERROR(INDEX('TRANS'!$C:$C,MATCH($B302,'TRANS'!$A:$A,0)),IFERROR(INDEX('Catalog'!$B:$B,MATCH($G302,'Catalog'!$A:$A,0)),$B302))</f>
        <v>43-47 מדרסי אפיק ג'ל עבודה</v>
      </c>
      <c r="I302" s="7" t="str">
        <f aca="false">IF($G302="","Unmatched","Matched")</f>
        <v>Matched</v>
      </c>
      <c r="J302" s="7" t="n">
        <f aca="false">IF($G302&lt;&gt;"",$G302,$B302)</f>
        <v>4413529</v>
      </c>
      <c r="K302" s="7" t="str">
        <f aca="false">IF(COUNTIF($O$2:$O$16,$A302)&gt;0,"Y","N")</f>
        <v>Y</v>
      </c>
    </row>
    <row r="303" customFormat="false" ht="15" hidden="false" customHeight="false" outlineLevel="0" collapsed="false">
      <c r="A303" s="7" t="s">
        <v>32</v>
      </c>
      <c r="B303" s="7" t="s">
        <v>464</v>
      </c>
      <c r="C303" s="8" t="n">
        <v>25</v>
      </c>
      <c r="D303" s="8" t="n">
        <v>913.43</v>
      </c>
      <c r="E303" s="8" t="n">
        <v>10</v>
      </c>
      <c r="F303" s="8" t="n">
        <v>311.45</v>
      </c>
      <c r="G303" s="7" t="n">
        <f aca="false">IFERROR(INDEX('TRANS'!$B:$B,MATCH($B303,'TRANS'!$A:$A,0)),IFERROR(INDEX('TRANS'!$B:$B,MATCH(TRIM(SUBSTITUTE($B303,CHAR(160)," ")),'TRANS'!$D:$D,0)),IFERROR(INDEX('Catalog'!$A:$A,MATCH($B303,'Catalog'!$B:$B,0)),IFERROR(INDEX('Catalog'!$A:$A,MATCH(TRIM(SUBSTITUTE($B303,CHAR(160)," ")),'Catalog'!$C:$C,0)),""))))</f>
        <v>4415298</v>
      </c>
      <c r="H303" s="7" t="str">
        <f aca="false">IFERROR(INDEX('TRANS'!$C:$C,MATCH($B303,'TRANS'!$A:$A,0)),IFERROR(INDEX('Catalog'!$B:$B,MATCH($G303,'Catalog'!$A:$A,0)),$B303))</f>
        <v>388B L סד לילה שחור לבוהן שמאל</v>
      </c>
      <c r="I303" s="7" t="str">
        <f aca="false">IF($G303="","Unmatched","Matched")</f>
        <v>Matched</v>
      </c>
      <c r="J303" s="7" t="n">
        <f aca="false">IF($G303&lt;&gt;"",$G303,$B303)</f>
        <v>4415298</v>
      </c>
      <c r="K303" s="7" t="str">
        <f aca="false">IF(COUNTIF($O$2:$O$16,$A303)&gt;0,"Y","N")</f>
        <v>Y</v>
      </c>
    </row>
    <row r="304" customFormat="false" ht="15" hidden="false" customHeight="false" outlineLevel="0" collapsed="false">
      <c r="A304" s="7" t="s">
        <v>32</v>
      </c>
      <c r="B304" s="7" t="s">
        <v>465</v>
      </c>
      <c r="C304" s="8" t="n">
        <v>34</v>
      </c>
      <c r="D304" s="8" t="n">
        <v>1862.47</v>
      </c>
      <c r="E304" s="8" t="n">
        <v>0</v>
      </c>
      <c r="F304" s="8" t="n">
        <v>0</v>
      </c>
      <c r="G304" s="7" t="n">
        <f aca="false">IFERROR(INDEX('TRANS'!$B:$B,MATCH($B304,'TRANS'!$A:$A,0)),IFERROR(INDEX('TRANS'!$B:$B,MATCH(TRIM(SUBSTITUTE($B304,CHAR(160)," ")),'TRANS'!$D:$D,0)),IFERROR(INDEX('Catalog'!$A:$A,MATCH($B304,'Catalog'!$B:$B,0)),IFERROR(INDEX('Catalog'!$A:$A,MATCH(TRIM(SUBSTITUTE($B304,CHAR(160)," ")),'Catalog'!$C:$C,0)),""))))</f>
        <v>4415299</v>
      </c>
      <c r="H304" s="7" t="str">
        <f aca="false">IFERROR(INDEX('TRANS'!$C:$C,MATCH($B304,'TRANS'!$A:$A,0)),IFERROR(INDEX('Catalog'!$B:$B,MATCH($G304,'Catalog'!$A:$A,0)),$B304))</f>
        <v>388B L סד לילה שחור לבוהן ימין</v>
      </c>
      <c r="I304" s="7" t="str">
        <f aca="false">IF($G304="","Unmatched","Matched")</f>
        <v>Matched</v>
      </c>
      <c r="J304" s="7" t="n">
        <f aca="false">IF($G304&lt;&gt;"",$G304,$B304)</f>
        <v>4415299</v>
      </c>
      <c r="K304" s="7" t="str">
        <f aca="false">IF(COUNTIF($O$2:$O$16,$A304)&gt;0,"Y","N")</f>
        <v>Y</v>
      </c>
    </row>
    <row r="305" customFormat="false" ht="15" hidden="false" customHeight="false" outlineLevel="0" collapsed="false">
      <c r="A305" s="7" t="s">
        <v>32</v>
      </c>
      <c r="B305" s="7" t="s">
        <v>466</v>
      </c>
      <c r="C305" s="8" t="n">
        <v>10</v>
      </c>
      <c r="D305" s="8" t="n">
        <v>263.48</v>
      </c>
      <c r="E305" s="8" t="n">
        <v>0</v>
      </c>
      <c r="F305" s="8" t="n">
        <v>0</v>
      </c>
      <c r="G305" s="7" t="n">
        <f aca="false">IFERROR(INDEX('TRANS'!$B:$B,MATCH($B305,'TRANS'!$A:$A,0)),IFERROR(INDEX('TRANS'!$B:$B,MATCH(TRIM(SUBSTITUTE($B305,CHAR(160)," ")),'TRANS'!$D:$D,0)),IFERROR(INDEX('Catalog'!$A:$A,MATCH($B305,'Catalog'!$B:$B,0)),IFERROR(INDEX('Catalog'!$A:$A,MATCH(TRIM(SUBSTITUTE($B305,CHAR(160)," ")),'Catalog'!$C:$C,0)),""))))</f>
        <v>4403005</v>
      </c>
      <c r="H305" s="7" t="str">
        <f aca="false">IFERROR(INDEX('TRANS'!$C:$C,MATCH($B305,'TRANS'!$A:$A,0)),IFERROR(INDEX('Catalog'!$B:$B,MATCH($G305,'Catalog'!$A:$A,0)),$B305))</f>
        <v>G390.43-46 גרבי כסף לסכרת מידה</v>
      </c>
      <c r="I305" s="7" t="str">
        <f aca="false">IF($G305="","Unmatched","Matched")</f>
        <v>Matched</v>
      </c>
      <c r="J305" s="7" t="n">
        <f aca="false">IF($G305&lt;&gt;"",$G305,$B305)</f>
        <v>4403005</v>
      </c>
      <c r="K305" s="7" t="str">
        <f aca="false">IF(COUNTIF($O$2:$O$16,$A305)&gt;0,"Y","N")</f>
        <v>Y</v>
      </c>
    </row>
    <row r="306" customFormat="false" ht="15" hidden="false" customHeight="false" outlineLevel="0" collapsed="false">
      <c r="A306" s="7" t="s">
        <v>32</v>
      </c>
      <c r="B306" s="7" t="s">
        <v>467</v>
      </c>
      <c r="C306" s="8" t="n">
        <v>10</v>
      </c>
      <c r="D306" s="8" t="n">
        <v>263.48</v>
      </c>
      <c r="E306" s="8" t="n">
        <v>0</v>
      </c>
      <c r="F306" s="8" t="n">
        <v>0</v>
      </c>
      <c r="G306" s="7" t="n">
        <f aca="false">IFERROR(INDEX('TRANS'!$B:$B,MATCH($B306,'TRANS'!$A:$A,0)),IFERROR(INDEX('TRANS'!$B:$B,MATCH(TRIM(SUBSTITUTE($B306,CHAR(160)," ")),'TRANS'!$D:$D,0)),IFERROR(INDEX('Catalog'!$A:$A,MATCH($B306,'Catalog'!$B:$B,0)),IFERROR(INDEX('Catalog'!$A:$A,MATCH(TRIM(SUBSTITUTE($B306,CHAR(160)," ")),'Catalog'!$C:$C,0)),""))))</f>
        <v>4403006</v>
      </c>
      <c r="H306" s="7" t="str">
        <f aca="false">IFERROR(INDEX('TRANS'!$C:$C,MATCH($B306,'TRANS'!$A:$A,0)),IFERROR(INDEX('Catalog'!$B:$B,MATCH($G306,'Catalog'!$A:$A,0)),$B306))</f>
        <v>390W גרב כסף לסכרתיים לבן35-38</v>
      </c>
      <c r="I306" s="7" t="str">
        <f aca="false">IF($G306="","Unmatched","Matched")</f>
        <v>Matched</v>
      </c>
      <c r="J306" s="7" t="n">
        <f aca="false">IF($G306&lt;&gt;"",$G306,$B306)</f>
        <v>4403006</v>
      </c>
      <c r="K306" s="7" t="str">
        <f aca="false">IF(COUNTIF($O$2:$O$16,$A306)&gt;0,"Y","N")</f>
        <v>Y</v>
      </c>
    </row>
    <row r="307" customFormat="false" ht="15" hidden="false" customHeight="false" outlineLevel="0" collapsed="false">
      <c r="A307" s="7" t="s">
        <v>32</v>
      </c>
      <c r="B307" s="7" t="s">
        <v>468</v>
      </c>
      <c r="C307" s="8" t="n">
        <v>10</v>
      </c>
      <c r="D307" s="8" t="n">
        <v>263.48</v>
      </c>
      <c r="E307" s="8" t="n">
        <v>0</v>
      </c>
      <c r="F307" s="8" t="n">
        <v>0</v>
      </c>
      <c r="G307" s="7" t="n">
        <f aca="false">IFERROR(INDEX('TRANS'!$B:$B,MATCH($B307,'TRANS'!$A:$A,0)),IFERROR(INDEX('TRANS'!$B:$B,MATCH(TRIM(SUBSTITUTE($B307,CHAR(160)," ")),'TRANS'!$D:$D,0)),IFERROR(INDEX('Catalog'!$A:$A,MATCH($B307,'Catalog'!$B:$B,0)),IFERROR(INDEX('Catalog'!$A:$A,MATCH(TRIM(SUBSTITUTE($B307,CHAR(160)," ")),'Catalog'!$C:$C,0)),""))))</f>
        <v>4403008</v>
      </c>
      <c r="H307" s="7" t="str">
        <f aca="false">IFERROR(INDEX('TRANS'!$C:$C,MATCH($B307,'TRANS'!$A:$A,0)),IFERROR(INDEX('Catalog'!$B:$B,MATCH($G307,'Catalog'!$A:$A,0)),$B307))</f>
        <v>390W גרב.כסף לסכרתיים לבן43-46</v>
      </c>
      <c r="I307" s="7" t="str">
        <f aca="false">IF($G307="","Unmatched","Matched")</f>
        <v>Matched</v>
      </c>
      <c r="J307" s="7" t="n">
        <f aca="false">IF($G307&lt;&gt;"",$G307,$B307)</f>
        <v>4403008</v>
      </c>
      <c r="K307" s="7" t="str">
        <f aca="false">IF(COUNTIF($O$2:$O$16,$A307)&gt;0,"Y","N")</f>
        <v>Y</v>
      </c>
    </row>
    <row r="308" customFormat="false" ht="15" hidden="false" customHeight="false" outlineLevel="0" collapsed="false">
      <c r="A308" s="7" t="s">
        <v>32</v>
      </c>
      <c r="B308" s="7" t="s">
        <v>182</v>
      </c>
      <c r="C308" s="8" t="n">
        <v>1</v>
      </c>
      <c r="D308" s="8" t="n">
        <v>0.04</v>
      </c>
      <c r="E308" s="8" t="n">
        <v>0</v>
      </c>
      <c r="F308" s="8" t="n">
        <v>0</v>
      </c>
      <c r="G308" s="7" t="str">
        <f aca="false">IFERROR(INDEX('TRANS'!$B:$B,MATCH($B308,'TRANS'!$A:$A,0)),IFERROR(INDEX('TRANS'!$B:$B,MATCH(TRIM(SUBSTITUTE($B308,CHAR(160)," ")),'TRANS'!$D:$D,0)),IFERROR(INDEX('Catalog'!$A:$A,MATCH($B308,'Catalog'!$B:$B,0)),IFERROR(INDEX('Catalog'!$A:$A,MATCH(TRIM(SUBSTITUTE($B308,CHAR(160)," ")),'Catalog'!$C:$C,0)),""))))</f>
        <v/>
      </c>
      <c r="H308" s="7" t="str">
        <f aca="false">IFERROR(INDEX('TRANS'!$C:$C,MATCH($B308,'TRANS'!$A:$A,0)),IFERROR(INDEX('Catalog'!$B:$B,MATCH($G308,'Catalog'!$A:$A,0)),$B308))</f>
        <v>391W-35-38</v>
      </c>
      <c r="I308" s="7" t="str">
        <f aca="false">IF($G308="","Unmatched","Matched")</f>
        <v>Unmatched</v>
      </c>
      <c r="J308" s="7" t="str">
        <f aca="false">IF($G308&lt;&gt;"",$G308,$B308)</f>
        <v>391W-35-38</v>
      </c>
      <c r="K308" s="7" t="str">
        <f aca="false">IF(COUNTIF($O$2:$O$16,$A308)&gt;0,"Y","N")</f>
        <v>Y</v>
      </c>
    </row>
    <row r="309" customFormat="false" ht="15" hidden="false" customHeight="false" outlineLevel="0" collapsed="false">
      <c r="A309" s="7" t="s">
        <v>32</v>
      </c>
      <c r="B309" s="7" t="s">
        <v>469</v>
      </c>
      <c r="C309" s="8" t="n">
        <v>10</v>
      </c>
      <c r="D309" s="8" t="n">
        <v>225.92</v>
      </c>
      <c r="E309" s="8" t="n">
        <v>0</v>
      </c>
      <c r="F309" s="8" t="n">
        <v>0</v>
      </c>
      <c r="G309" s="7" t="n">
        <f aca="false">IFERROR(INDEX('TRANS'!$B:$B,MATCH($B309,'TRANS'!$A:$A,0)),IFERROR(INDEX('TRANS'!$B:$B,MATCH(TRIM(SUBSTITUTE($B309,CHAR(160)," ")),'TRANS'!$D:$D,0)),IFERROR(INDEX('Catalog'!$A:$A,MATCH($B309,'Catalog'!$B:$B,0)),IFERROR(INDEX('Catalog'!$A:$A,MATCH(TRIM(SUBSTITUTE($B309,CHAR(160)," ")),'Catalog'!$C:$C,0)),""))))</f>
        <v>4403017</v>
      </c>
      <c r="H309" s="7" t="str">
        <f aca="false">IFERROR(INDEX('TRANS'!$C:$C,MATCH($B309,'TRANS'!$A:$A,0)),IFERROR(INDEX('Catalog'!$B:$B,MATCH($G309,'Catalog'!$A:$A,0)),$B309))</f>
        <v>394B גרב.כסף לסכרתים שחור35-38</v>
      </c>
      <c r="I309" s="7" t="str">
        <f aca="false">IF($G309="","Unmatched","Matched")</f>
        <v>Matched</v>
      </c>
      <c r="J309" s="7" t="n">
        <f aca="false">IF($G309&lt;&gt;"",$G309,$B309)</f>
        <v>4403017</v>
      </c>
      <c r="K309" s="7" t="str">
        <f aca="false">IF(COUNTIF($O$2:$O$16,$A309)&gt;0,"Y","N")</f>
        <v>Y</v>
      </c>
    </row>
    <row r="310" customFormat="false" ht="15" hidden="false" customHeight="false" outlineLevel="0" collapsed="false">
      <c r="A310" s="7" t="s">
        <v>32</v>
      </c>
      <c r="B310" s="7" t="s">
        <v>470</v>
      </c>
      <c r="C310" s="8" t="n">
        <v>10</v>
      </c>
      <c r="D310" s="8" t="n">
        <v>225.92</v>
      </c>
      <c r="E310" s="8" t="n">
        <v>0</v>
      </c>
      <c r="F310" s="8" t="n">
        <v>0</v>
      </c>
      <c r="G310" s="7" t="n">
        <f aca="false">IFERROR(INDEX('TRANS'!$B:$B,MATCH($B310,'TRANS'!$A:$A,0)),IFERROR(INDEX('TRANS'!$B:$B,MATCH(TRIM(SUBSTITUTE($B310,CHAR(160)," ")),'TRANS'!$D:$D,0)),IFERROR(INDEX('Catalog'!$A:$A,MATCH($B310,'Catalog'!$B:$B,0)),IFERROR(INDEX('Catalog'!$A:$A,MATCH(TRIM(SUBSTITUTE($B310,CHAR(160)," ")),'Catalog'!$C:$C,0)),""))))</f>
        <v>4403018</v>
      </c>
      <c r="H310" s="7" t="str">
        <f aca="false">IFERROR(INDEX('TRANS'!$C:$C,MATCH($B310,'TRANS'!$A:$A,0)),IFERROR(INDEX('Catalog'!$B:$B,MATCH($G310,'Catalog'!$A:$A,0)),$B310))</f>
        <v>394B גרב.כסף לסכרתים שחור39-42</v>
      </c>
      <c r="I310" s="7" t="str">
        <f aca="false">IF($G310="","Unmatched","Matched")</f>
        <v>Matched</v>
      </c>
      <c r="J310" s="7" t="n">
        <f aca="false">IF($G310&lt;&gt;"",$G310,$B310)</f>
        <v>4403018</v>
      </c>
      <c r="K310" s="7" t="str">
        <f aca="false">IF(COUNTIF($O$2:$O$16,$A310)&gt;0,"Y","N")</f>
        <v>Y</v>
      </c>
    </row>
    <row r="311" customFormat="false" ht="15" hidden="false" customHeight="false" outlineLevel="0" collapsed="false">
      <c r="A311" s="7" t="s">
        <v>32</v>
      </c>
      <c r="B311" s="7" t="s">
        <v>471</v>
      </c>
      <c r="C311" s="8" t="n">
        <v>10</v>
      </c>
      <c r="D311" s="8" t="n">
        <v>225.92</v>
      </c>
      <c r="E311" s="8" t="n">
        <v>0</v>
      </c>
      <c r="F311" s="8" t="n">
        <v>0</v>
      </c>
      <c r="G311" s="7" t="n">
        <f aca="false">IFERROR(INDEX('TRANS'!$B:$B,MATCH($B311,'TRANS'!$A:$A,0)),IFERROR(INDEX('TRANS'!$B:$B,MATCH(TRIM(SUBSTITUTE($B311,CHAR(160)," ")),'TRANS'!$D:$D,0)),IFERROR(INDEX('Catalog'!$A:$A,MATCH($B311,'Catalog'!$B:$B,0)),IFERROR(INDEX('Catalog'!$A:$A,MATCH(TRIM(SUBSTITUTE($B311,CHAR(160)," ")),'Catalog'!$C:$C,0)),""))))</f>
        <v>4403019</v>
      </c>
      <c r="H311" s="7" t="str">
        <f aca="false">IFERROR(INDEX('TRANS'!$C:$C,MATCH($B311,'TRANS'!$A:$A,0)),IFERROR(INDEX('Catalog'!$B:$B,MATCH($G311,'Catalog'!$A:$A,0)),$B311))</f>
        <v>394B גרב.כסף לסכרתים שחור43-46</v>
      </c>
      <c r="I311" s="7" t="str">
        <f aca="false">IF($G311="","Unmatched","Matched")</f>
        <v>Matched</v>
      </c>
      <c r="J311" s="7" t="n">
        <f aca="false">IF($G311&lt;&gt;"",$G311,$B311)</f>
        <v>4403019</v>
      </c>
      <c r="K311" s="7" t="str">
        <f aca="false">IF(COUNTIF($O$2:$O$16,$A311)&gt;0,"Y","N")</f>
        <v>Y</v>
      </c>
    </row>
    <row r="312" customFormat="false" ht="15" hidden="false" customHeight="false" outlineLevel="0" collapsed="false">
      <c r="A312" s="7" t="s">
        <v>32</v>
      </c>
      <c r="B312" s="7" t="s">
        <v>472</v>
      </c>
      <c r="C312" s="8" t="n">
        <v>1</v>
      </c>
      <c r="D312" s="8" t="n">
        <v>0.04</v>
      </c>
      <c r="E312" s="8" t="n">
        <v>0</v>
      </c>
      <c r="F312" s="8" t="n">
        <v>0</v>
      </c>
      <c r="G312" s="7" t="n">
        <f aca="false">IFERROR(INDEX('TRANS'!$B:$B,MATCH($B312,'TRANS'!$A:$A,0)),IFERROR(INDEX('TRANS'!$B:$B,MATCH(TRIM(SUBSTITUTE($B312,CHAR(160)," ")),'TRANS'!$D:$D,0)),IFERROR(INDEX('Catalog'!$A:$A,MATCH($B312,'Catalog'!$B:$B,0)),IFERROR(INDEX('Catalog'!$A:$A,MATCH(TRIM(SUBSTITUTE($B312,CHAR(160)," ")),'Catalog'!$C:$C,0)),""))))</f>
        <v>4403045</v>
      </c>
      <c r="H312" s="7" t="str">
        <f aca="false">IFERROR(INDEX('TRANS'!$C:$C,MATCH($B312,'TRANS'!$A:$A,0)),IFERROR(INDEX('Catalog'!$B:$B,MATCH($G312,'Catalog'!$A:$A,0)),$B312))</f>
        <v>395B גרבי קיץ אנטי בקטריא43-46</v>
      </c>
      <c r="I312" s="7" t="str">
        <f aca="false">IF($G312="","Unmatched","Matched")</f>
        <v>Matched</v>
      </c>
      <c r="J312" s="7" t="n">
        <f aca="false">IF($G312&lt;&gt;"",$G312,$B312)</f>
        <v>4403045</v>
      </c>
      <c r="K312" s="7" t="str">
        <f aca="false">IF(COUNTIF($O$2:$O$16,$A312)&gt;0,"Y","N")</f>
        <v>Y</v>
      </c>
    </row>
    <row r="313" customFormat="false" ht="15" hidden="false" customHeight="false" outlineLevel="0" collapsed="false">
      <c r="A313" s="7" t="s">
        <v>32</v>
      </c>
      <c r="B313" s="7" t="s">
        <v>179</v>
      </c>
      <c r="C313" s="8" t="n">
        <v>20</v>
      </c>
      <c r="D313" s="8" t="n">
        <v>654.27</v>
      </c>
      <c r="E313" s="8" t="n">
        <v>0</v>
      </c>
      <c r="F313" s="8" t="n">
        <v>0</v>
      </c>
      <c r="G313" s="7" t="str">
        <f aca="false">IFERROR(INDEX('TRANS'!$B:$B,MATCH($B313,'TRANS'!$A:$A,0)),IFERROR(INDEX('TRANS'!$B:$B,MATCH(TRIM(SUBSTITUTE($B313,CHAR(160)," ")),'TRANS'!$D:$D,0)),IFERROR(INDEX('Catalog'!$A:$A,MATCH($B313,'Catalog'!$B:$B,0)),IFERROR(INDEX('Catalog'!$A:$A,MATCH(TRIM(SUBSTITUTE($B313,CHAR(160)," ")),'Catalog'!$C:$C,0)),""))))</f>
        <v/>
      </c>
      <c r="H313" s="7" t="str">
        <f aca="false">IFERROR(INDEX('TRANS'!$C:$C,MATCH($B313,'TRANS'!$A:$A,0)),IFERROR(INDEX('Catalog'!$B:$B,MATCH($G313,'Catalog'!$A:$A,0)),$B313))</f>
        <v>397-35-38</v>
      </c>
      <c r="I313" s="7" t="str">
        <f aca="false">IF($G313="","Unmatched","Matched")</f>
        <v>Unmatched</v>
      </c>
      <c r="J313" s="7" t="str">
        <f aca="false">IF($G313&lt;&gt;"",$G313,$B313)</f>
        <v>397-35-38</v>
      </c>
      <c r="K313" s="7" t="str">
        <f aca="false">IF(COUNTIF($O$2:$O$16,$A313)&gt;0,"Y","N")</f>
        <v>Y</v>
      </c>
    </row>
    <row r="314" customFormat="false" ht="15" hidden="false" customHeight="false" outlineLevel="0" collapsed="false">
      <c r="A314" s="7" t="s">
        <v>32</v>
      </c>
      <c r="B314" s="7" t="s">
        <v>329</v>
      </c>
      <c r="C314" s="8" t="n">
        <v>16</v>
      </c>
      <c r="D314" s="8" t="n">
        <v>528.07</v>
      </c>
      <c r="E314" s="8" t="n">
        <v>0</v>
      </c>
      <c r="F314" s="8" t="n">
        <v>0</v>
      </c>
      <c r="G314" s="7" t="n">
        <f aca="false">IFERROR(INDEX('TRANS'!$B:$B,MATCH($B314,'TRANS'!$A:$A,0)),IFERROR(INDEX('TRANS'!$B:$B,MATCH(TRIM(SUBSTITUTE($B314,CHAR(160)," ")),'TRANS'!$D:$D,0)),IFERROR(INDEX('Catalog'!$A:$A,MATCH($B314,'Catalog'!$B:$B,0)),IFERROR(INDEX('Catalog'!$A:$A,MATCH(TRIM(SUBSTITUTE($B314,CHAR(160)," ")),'Catalog'!$C:$C,0)),""))))</f>
        <v>4403029</v>
      </c>
      <c r="H314" s="7" t="str">
        <f aca="false">IFERROR(INDEX('TRANS'!$C:$C,MATCH($B314,'TRANS'!$A:$A,0)),IFERROR(INDEX('Catalog'!$B:$B,MATCH($G314,'Catalog'!$A:$A,0)),$B314))</f>
        <v>397 39-42 גרבי טיסה מידה</v>
      </c>
      <c r="I314" s="7" t="str">
        <f aca="false">IF($G314="","Unmatched","Matched")</f>
        <v>Matched</v>
      </c>
      <c r="J314" s="7" t="n">
        <f aca="false">IF($G314&lt;&gt;"",$G314,$B314)</f>
        <v>4403029</v>
      </c>
      <c r="K314" s="7" t="str">
        <f aca="false">IF(COUNTIF($O$2:$O$16,$A314)&gt;0,"Y","N")</f>
        <v>Y</v>
      </c>
    </row>
    <row r="315" customFormat="false" ht="15" hidden="false" customHeight="false" outlineLevel="0" collapsed="false">
      <c r="A315" s="7" t="s">
        <v>32</v>
      </c>
      <c r="B315" s="7" t="s">
        <v>180</v>
      </c>
      <c r="C315" s="8" t="n">
        <v>10</v>
      </c>
      <c r="D315" s="8" t="n">
        <v>315.51</v>
      </c>
      <c r="E315" s="8" t="n">
        <v>0</v>
      </c>
      <c r="F315" s="8" t="n">
        <v>0</v>
      </c>
      <c r="G315" s="7" t="str">
        <f aca="false">IFERROR(INDEX('TRANS'!$B:$B,MATCH($B315,'TRANS'!$A:$A,0)),IFERROR(INDEX('TRANS'!$B:$B,MATCH(TRIM(SUBSTITUTE($B315,CHAR(160)," ")),'TRANS'!$D:$D,0)),IFERROR(INDEX('Catalog'!$A:$A,MATCH($B315,'Catalog'!$B:$B,0)),IFERROR(INDEX('Catalog'!$A:$A,MATCH(TRIM(SUBSTITUTE($B315,CHAR(160)," ")),'Catalog'!$C:$C,0)),""))))</f>
        <v/>
      </c>
      <c r="H315" s="7" t="str">
        <f aca="false">IFERROR(INDEX('TRANS'!$C:$C,MATCH($B315,'TRANS'!$A:$A,0)),IFERROR(INDEX('Catalog'!$B:$B,MATCH($G315,'Catalog'!$A:$A,0)),$B315))</f>
        <v>397-43-46</v>
      </c>
      <c r="I315" s="7" t="str">
        <f aca="false">IF($G315="","Unmatched","Matched")</f>
        <v>Unmatched</v>
      </c>
      <c r="J315" s="7" t="str">
        <f aca="false">IF($G315&lt;&gt;"",$G315,$B315)</f>
        <v>397-43-46</v>
      </c>
      <c r="K315" s="7" t="str">
        <f aca="false">IF(COUNTIF($O$2:$O$16,$A315)&gt;0,"Y","N")</f>
        <v>Y</v>
      </c>
    </row>
    <row r="316" customFormat="false" ht="15" hidden="false" customHeight="false" outlineLevel="0" collapsed="false">
      <c r="A316" s="7" t="s">
        <v>32</v>
      </c>
      <c r="B316" s="7" t="s">
        <v>330</v>
      </c>
      <c r="C316" s="8" t="n">
        <v>0</v>
      </c>
      <c r="D316" s="8" t="n">
        <v>0</v>
      </c>
      <c r="E316" s="8" t="n">
        <v>24</v>
      </c>
      <c r="F316" s="8" t="n">
        <v>689.8</v>
      </c>
      <c r="G316" s="7" t="n">
        <f aca="false">IFERROR(INDEX('TRANS'!$B:$B,MATCH($B316,'TRANS'!$A:$A,0)),IFERROR(INDEX('TRANS'!$B:$B,MATCH(TRIM(SUBSTITUTE($B316,CHAR(160)," ")),'TRANS'!$D:$D,0)),IFERROR(INDEX('Catalog'!$A:$A,MATCH($B316,'Catalog'!$B:$B,0)),IFERROR(INDEX('Catalog'!$A:$A,MATCH(TRIM(SUBSTITUTE($B316,CHAR(160)," ")),'Catalog'!$C:$C,0)),""))))</f>
        <v>4403041</v>
      </c>
      <c r="H316" s="7" t="str">
        <f aca="false">IFERROR(INDEX('TRANS'!$C:$C,MATCH($B316,'TRANS'!$A:$A,0)),IFERROR(INDEX('Catalog'!$B:$B,MATCH($G316,'Catalog'!$A:$A,0)),$B316))</f>
        <v>397A-גרבי טיסה אנטי בקטרי35-38</v>
      </c>
      <c r="I316" s="7" t="str">
        <f aca="false">IF($G316="","Unmatched","Matched")</f>
        <v>Matched</v>
      </c>
      <c r="J316" s="7" t="n">
        <f aca="false">IF($G316&lt;&gt;"",$G316,$B316)</f>
        <v>4403041</v>
      </c>
      <c r="K316" s="7" t="str">
        <f aca="false">IF(COUNTIF($O$2:$O$16,$A316)&gt;0,"Y","N")</f>
        <v>Y</v>
      </c>
    </row>
    <row r="317" customFormat="false" ht="15" hidden="false" customHeight="false" outlineLevel="0" collapsed="false">
      <c r="A317" s="7" t="s">
        <v>32</v>
      </c>
      <c r="B317" s="7" t="s">
        <v>331</v>
      </c>
      <c r="C317" s="8" t="n">
        <v>0</v>
      </c>
      <c r="D317" s="8" t="n">
        <v>0</v>
      </c>
      <c r="E317" s="8" t="n">
        <v>32</v>
      </c>
      <c r="F317" s="8" t="n">
        <v>911.58</v>
      </c>
      <c r="G317" s="7" t="n">
        <f aca="false">IFERROR(INDEX('TRANS'!$B:$B,MATCH($B317,'TRANS'!$A:$A,0)),IFERROR(INDEX('TRANS'!$B:$B,MATCH(TRIM(SUBSTITUTE($B317,CHAR(160)," ")),'TRANS'!$D:$D,0)),IFERROR(INDEX('Catalog'!$A:$A,MATCH($B317,'Catalog'!$B:$B,0)),IFERROR(INDEX('Catalog'!$A:$A,MATCH(TRIM(SUBSTITUTE($B317,CHAR(160)," ")),'Catalog'!$C:$C,0)),""))))</f>
        <v>4403042</v>
      </c>
      <c r="H317" s="7" t="str">
        <f aca="false">IFERROR(INDEX('TRANS'!$C:$C,MATCH($B317,'TRANS'!$A:$A,0)),IFERROR(INDEX('Catalog'!$B:$B,MATCH($G317,'Catalog'!$A:$A,0)),$B317))</f>
        <v>397A-גרבי טיסה אנטי בקטרי39-42</v>
      </c>
      <c r="I317" s="7" t="str">
        <f aca="false">IF($G317="","Unmatched","Matched")</f>
        <v>Matched</v>
      </c>
      <c r="J317" s="7" t="n">
        <f aca="false">IF($G317&lt;&gt;"",$G317,$B317)</f>
        <v>4403042</v>
      </c>
      <c r="K317" s="7" t="str">
        <f aca="false">IF(COUNTIF($O$2:$O$16,$A317)&gt;0,"Y","N")</f>
        <v>Y</v>
      </c>
    </row>
    <row r="318" customFormat="false" ht="15" hidden="false" customHeight="false" outlineLevel="0" collapsed="false">
      <c r="A318" s="7" t="s">
        <v>32</v>
      </c>
      <c r="B318" s="7" t="s">
        <v>332</v>
      </c>
      <c r="C318" s="8" t="n">
        <v>1</v>
      </c>
      <c r="D318" s="8" t="n">
        <v>0.04</v>
      </c>
      <c r="E318" s="8" t="n">
        <v>24</v>
      </c>
      <c r="F318" s="8" t="n">
        <v>689.8</v>
      </c>
      <c r="G318" s="7" t="n">
        <f aca="false">IFERROR(INDEX('TRANS'!$B:$B,MATCH($B318,'TRANS'!$A:$A,0)),IFERROR(INDEX('TRANS'!$B:$B,MATCH(TRIM(SUBSTITUTE($B318,CHAR(160)," ")),'TRANS'!$D:$D,0)),IFERROR(INDEX('Catalog'!$A:$A,MATCH($B318,'Catalog'!$B:$B,0)),IFERROR(INDEX('Catalog'!$A:$A,MATCH(TRIM(SUBSTITUTE($B318,CHAR(160)," ")),'Catalog'!$C:$C,0)),""))))</f>
        <v>4403043</v>
      </c>
      <c r="H318" s="7" t="str">
        <f aca="false">IFERROR(INDEX('TRANS'!$C:$C,MATCH($B318,'TRANS'!$A:$A,0)),IFERROR(INDEX('Catalog'!$B:$B,MATCH($G318,'Catalog'!$A:$A,0)),$B318))</f>
        <v>397A-גרבי טיסה אנטי בקטרי43-46</v>
      </c>
      <c r="I318" s="7" t="str">
        <f aca="false">IF($G318="","Unmatched","Matched")</f>
        <v>Matched</v>
      </c>
      <c r="J318" s="7" t="n">
        <f aca="false">IF($G318&lt;&gt;"",$G318,$B318)</f>
        <v>4403043</v>
      </c>
      <c r="K318" s="7" t="str">
        <f aca="false">IF(COUNTIF($O$2:$O$16,$A318)&gt;0,"Y","N")</f>
        <v>Y</v>
      </c>
    </row>
    <row r="319" customFormat="false" ht="15" hidden="false" customHeight="false" outlineLevel="0" collapsed="false">
      <c r="A319" s="7" t="s">
        <v>32</v>
      </c>
      <c r="B319" s="7" t="s">
        <v>473</v>
      </c>
      <c r="C319" s="8" t="n">
        <v>6</v>
      </c>
      <c r="D319" s="8" t="n">
        <v>141.33</v>
      </c>
      <c r="E319" s="8" t="n">
        <v>9</v>
      </c>
      <c r="F319" s="8" t="n">
        <v>200.34</v>
      </c>
      <c r="G319" s="7" t="n">
        <f aca="false">IFERROR(INDEX('TRANS'!$B:$B,MATCH($B319,'TRANS'!$A:$A,0)),IFERROR(INDEX('TRANS'!$B:$B,MATCH(TRIM(SUBSTITUTE($B319,CHAR(160)," ")),'TRANS'!$D:$D,0)),IFERROR(INDEX('Catalog'!$A:$A,MATCH($B319,'Catalog'!$B:$B,0)),IFERROR(INDEX('Catalog'!$A:$A,MATCH(TRIM(SUBSTITUTE($B319,CHAR(160)," ")),'Catalog'!$C:$C,0)),""))))</f>
        <v>4420016</v>
      </c>
      <c r="H319" s="7" t="str">
        <f aca="false">IFERROR(INDEX('TRANS'!$C:$C,MATCH($B319,'TRANS'!$A:$A,0)),IFERROR(INDEX('Catalog'!$B:$B,MATCH($G319,'Catalog'!$A:$A,0)),$B319))</f>
        <v>40-רצועת פיקה לברך</v>
      </c>
      <c r="I319" s="7" t="str">
        <f aca="false">IF($G319="","Unmatched","Matched")</f>
        <v>Matched</v>
      </c>
      <c r="J319" s="7" t="n">
        <f aca="false">IF($G319&lt;&gt;"",$G319,$B319)</f>
        <v>4420016</v>
      </c>
      <c r="K319" s="7" t="str">
        <f aca="false">IF(COUNTIF($O$2:$O$16,$A319)&gt;0,"Y","N")</f>
        <v>Y</v>
      </c>
    </row>
    <row r="320" customFormat="false" ht="15" hidden="false" customHeight="false" outlineLevel="0" collapsed="false">
      <c r="A320" s="7" t="s">
        <v>32</v>
      </c>
      <c r="B320" s="7" t="s">
        <v>333</v>
      </c>
      <c r="C320" s="8" t="n">
        <v>6</v>
      </c>
      <c r="D320" s="8" t="n">
        <v>275.78</v>
      </c>
      <c r="E320" s="8" t="n">
        <v>3</v>
      </c>
      <c r="F320" s="8" t="n">
        <v>121.16</v>
      </c>
      <c r="G320" s="7" t="n">
        <f aca="false">IFERROR(INDEX('TRANS'!$B:$B,MATCH($B320,'TRANS'!$A:$A,0)),IFERROR(INDEX('TRANS'!$B:$B,MATCH(TRIM(SUBSTITUTE($B320,CHAR(160)," ")),'TRANS'!$D:$D,0)),IFERROR(INDEX('Catalog'!$A:$A,MATCH($B320,'Catalog'!$B:$B,0)),IFERROR(INDEX('Catalog'!$A:$A,MATCH(TRIM(SUBSTITUTE($B320,CHAR(160)," ")),'Catalog'!$C:$C,0)),""))))</f>
        <v>4420017</v>
      </c>
      <c r="H320" s="7" t="str">
        <f aca="false">IFERROR(INDEX('TRANS'!$C:$C,MATCH($B320,'TRANS'!$A:$A,0)),IFERROR(INDEX('Catalog'!$B:$B,MATCH($G320,'Catalog'!$A:$A,0)),$B320))</f>
        <v>4022 רצועת """"פיקה""""+כרית</v>
      </c>
      <c r="I320" s="7" t="str">
        <f aca="false">IF($G320="","Unmatched","Matched")</f>
        <v>Matched</v>
      </c>
      <c r="J320" s="7" t="n">
        <f aca="false">IF($G320&lt;&gt;"",$G320,$B320)</f>
        <v>4420017</v>
      </c>
      <c r="K320" s="7" t="str">
        <f aca="false">IF(COUNTIF($O$2:$O$16,$A320)&gt;0,"Y","N")</f>
        <v>Y</v>
      </c>
    </row>
    <row r="321" customFormat="false" ht="15" hidden="false" customHeight="false" outlineLevel="0" collapsed="false">
      <c r="A321" s="7" t="s">
        <v>32</v>
      </c>
      <c r="B321" s="7" t="s">
        <v>334</v>
      </c>
      <c r="C321" s="8" t="n">
        <v>9</v>
      </c>
      <c r="D321" s="8" t="n">
        <v>105.96</v>
      </c>
      <c r="E321" s="8" t="n">
        <v>0</v>
      </c>
      <c r="F321" s="8" t="n">
        <v>0</v>
      </c>
      <c r="G321" s="7" t="n">
        <f aca="false">IFERROR(INDEX('TRANS'!$B:$B,MATCH($B321,'TRANS'!$A:$A,0)),IFERROR(INDEX('TRANS'!$B:$B,MATCH(TRIM(SUBSTITUTE($B321,CHAR(160)," ")),'TRANS'!$D:$D,0)),IFERROR(INDEX('Catalog'!$A:$A,MATCH($B321,'Catalog'!$B:$B,0)),IFERROR(INDEX('Catalog'!$A:$A,MATCH(TRIM(SUBSTITUTE($B321,CHAR(160)," ")),'Catalog'!$C:$C,0)),""))))</f>
        <v>4413092</v>
      </c>
      <c r="H321" s="7" t="str">
        <f aca="false">IFERROR(INDEX('TRANS'!$C:$C,MATCH($B321,'TRANS'!$A:$A,0)),IFERROR(INDEX('Catalog'!$B:$B,MATCH($G321,'Catalog'!$A:$A,0)),$B321))</f>
        <v>45 L מגן ברך לבן</v>
      </c>
      <c r="I321" s="7" t="str">
        <f aca="false">IF($G321="","Unmatched","Matched")</f>
        <v>Matched</v>
      </c>
      <c r="J321" s="7" t="n">
        <f aca="false">IF($G321&lt;&gt;"",$G321,$B321)</f>
        <v>4413092</v>
      </c>
      <c r="K321" s="7" t="str">
        <f aca="false">IF(COUNTIF($O$2:$O$16,$A321)&gt;0,"Y","N")</f>
        <v>Y</v>
      </c>
    </row>
    <row r="322" customFormat="false" ht="15" hidden="false" customHeight="false" outlineLevel="0" collapsed="false">
      <c r="A322" s="7" t="s">
        <v>32</v>
      </c>
      <c r="B322" s="7" t="s">
        <v>335</v>
      </c>
      <c r="C322" s="8" t="n">
        <v>0</v>
      </c>
      <c r="D322" s="8" t="n">
        <v>0</v>
      </c>
      <c r="E322" s="8" t="n">
        <v>3</v>
      </c>
      <c r="F322" s="8" t="n">
        <v>30.29</v>
      </c>
      <c r="G322" s="7" t="n">
        <f aca="false">IFERROR(INDEX('TRANS'!$B:$B,MATCH($B322,'TRANS'!$A:$A,0)),IFERROR(INDEX('TRANS'!$B:$B,MATCH(TRIM(SUBSTITUTE($B322,CHAR(160)," ")),'TRANS'!$D:$D,0)),IFERROR(INDEX('Catalog'!$A:$A,MATCH($B322,'Catalog'!$B:$B,0)),IFERROR(INDEX('Catalog'!$A:$A,MATCH(TRIM(SUBSTITUTE($B322,CHAR(160)," ")),'Catalog'!$C:$C,0)),""))))</f>
        <v>4413093</v>
      </c>
      <c r="H322" s="7" t="str">
        <f aca="false">IFERROR(INDEX('TRANS'!$C:$C,MATCH($B322,'TRANS'!$A:$A,0)),IFERROR(INDEX('Catalog'!$B:$B,MATCH($G322,'Catalog'!$A:$A,0)),$B322))</f>
        <v>45 M מגן ברך לבן</v>
      </c>
      <c r="I322" s="7" t="str">
        <f aca="false">IF($G322="","Unmatched","Matched")</f>
        <v>Matched</v>
      </c>
      <c r="J322" s="7" t="n">
        <f aca="false">IF($G322&lt;&gt;"",$G322,$B322)</f>
        <v>4413093</v>
      </c>
      <c r="K322" s="7" t="str">
        <f aca="false">IF(COUNTIF($O$2:$O$16,$A322)&gt;0,"Y","N")</f>
        <v>Y</v>
      </c>
    </row>
    <row r="323" customFormat="false" ht="15" hidden="false" customHeight="false" outlineLevel="0" collapsed="false">
      <c r="A323" s="7" t="s">
        <v>32</v>
      </c>
      <c r="B323" s="7" t="s">
        <v>336</v>
      </c>
      <c r="C323" s="8" t="n">
        <v>0</v>
      </c>
      <c r="D323" s="8" t="n">
        <v>0</v>
      </c>
      <c r="E323" s="8" t="n">
        <v>2</v>
      </c>
      <c r="F323" s="8" t="n">
        <v>20.19</v>
      </c>
      <c r="G323" s="7" t="n">
        <f aca="false">IFERROR(INDEX('TRANS'!$B:$B,MATCH($B323,'TRANS'!$A:$A,0)),IFERROR(INDEX('TRANS'!$B:$B,MATCH(TRIM(SUBSTITUTE($B323,CHAR(160)," ")),'TRANS'!$D:$D,0)),IFERROR(INDEX('Catalog'!$A:$A,MATCH($B323,'Catalog'!$B:$B,0)),IFERROR(INDEX('Catalog'!$A:$A,MATCH(TRIM(SUBSTITUTE($B323,CHAR(160)," ")),'Catalog'!$C:$C,0)),""))))</f>
        <v>4413094</v>
      </c>
      <c r="H323" s="7" t="str">
        <f aca="false">IFERROR(INDEX('TRANS'!$C:$C,MATCH($B323,'TRANS'!$A:$A,0)),IFERROR(INDEX('Catalog'!$B:$B,MATCH($G323,'Catalog'!$A:$A,0)),$B323))</f>
        <v>45 S מגן ברך לבן</v>
      </c>
      <c r="I323" s="7" t="str">
        <f aca="false">IF($G323="","Unmatched","Matched")</f>
        <v>Matched</v>
      </c>
      <c r="J323" s="7" t="n">
        <f aca="false">IF($G323&lt;&gt;"",$G323,$B323)</f>
        <v>4413094</v>
      </c>
      <c r="K323" s="7" t="str">
        <f aca="false">IF(COUNTIF($O$2:$O$16,$A323)&gt;0,"Y","N")</f>
        <v>Y</v>
      </c>
    </row>
    <row r="324" customFormat="false" ht="15" hidden="false" customHeight="false" outlineLevel="0" collapsed="false">
      <c r="A324" s="7" t="s">
        <v>32</v>
      </c>
      <c r="B324" s="7" t="s">
        <v>337</v>
      </c>
      <c r="C324" s="8" t="n">
        <v>3</v>
      </c>
      <c r="D324" s="8" t="n">
        <v>34.47</v>
      </c>
      <c r="E324" s="8" t="n">
        <v>0</v>
      </c>
      <c r="F324" s="8" t="n">
        <v>0</v>
      </c>
      <c r="G324" s="7" t="n">
        <f aca="false">IFERROR(INDEX('TRANS'!$B:$B,MATCH($B324,'TRANS'!$A:$A,0)),IFERROR(INDEX('TRANS'!$B:$B,MATCH(TRIM(SUBSTITUTE($B324,CHAR(160)," ")),'TRANS'!$D:$D,0)),IFERROR(INDEX('Catalog'!$A:$A,MATCH($B324,'Catalog'!$B:$B,0)),IFERROR(INDEX('Catalog'!$A:$A,MATCH(TRIM(SUBSTITUTE($B324,CHAR(160)," ")),'Catalog'!$C:$C,0)),""))))</f>
        <v>4413095</v>
      </c>
      <c r="H324" s="7" t="str">
        <f aca="false">IFERROR(INDEX('TRANS'!$C:$C,MATCH($B324,'TRANS'!$A:$A,0)),IFERROR(INDEX('Catalog'!$B:$B,MATCH($G324,'Catalog'!$A:$A,0)),$B324))</f>
        <v>45 XL מגן ברך לבן</v>
      </c>
      <c r="I324" s="7" t="str">
        <f aca="false">IF($G324="","Unmatched","Matched")</f>
        <v>Matched</v>
      </c>
      <c r="J324" s="7" t="n">
        <f aca="false">IF($G324&lt;&gt;"",$G324,$B324)</f>
        <v>4413095</v>
      </c>
      <c r="K324" s="7" t="str">
        <f aca="false">IF(COUNTIF($O$2:$O$16,$A324)&gt;0,"Y","N")</f>
        <v>Y</v>
      </c>
    </row>
    <row r="325" customFormat="false" ht="15" hidden="false" customHeight="false" outlineLevel="0" collapsed="false">
      <c r="A325" s="7" t="s">
        <v>32</v>
      </c>
      <c r="B325" s="7" t="s">
        <v>339</v>
      </c>
      <c r="C325" s="8" t="n">
        <v>12</v>
      </c>
      <c r="D325" s="8" t="n">
        <v>152.66</v>
      </c>
      <c r="E325" s="8" t="n">
        <v>0</v>
      </c>
      <c r="F325" s="8" t="n">
        <v>0</v>
      </c>
      <c r="G325" s="7" t="n">
        <f aca="false">IFERROR(INDEX('TRANS'!$B:$B,MATCH($B325,'TRANS'!$A:$A,0)),IFERROR(INDEX('TRANS'!$B:$B,MATCH(TRIM(SUBSTITUTE($B325,CHAR(160)," ")),'TRANS'!$D:$D,0)),IFERROR(INDEX('Catalog'!$A:$A,MATCH($B325,'Catalog'!$B:$B,0)),IFERROR(INDEX('Catalog'!$A:$A,MATCH(TRIM(SUBSTITUTE($B325,CHAR(160)," ")),'Catalog'!$C:$C,0)),""))))</f>
        <v>4413497</v>
      </c>
      <c r="H325" s="7" t="str">
        <f aca="false">IFERROR(INDEX('TRANS'!$C:$C,MATCH($B325,'TRANS'!$A:$A,0)),IFERROR(INDEX('Catalog'!$B:$B,MATCH($G325,'Catalog'!$A:$A,0)),$B325))</f>
        <v>45B M מגן ברך שחור</v>
      </c>
      <c r="I325" s="7" t="str">
        <f aca="false">IF($G325="","Unmatched","Matched")</f>
        <v>Matched</v>
      </c>
      <c r="J325" s="7" t="n">
        <f aca="false">IF($G325&lt;&gt;"",$G325,$B325)</f>
        <v>4413497</v>
      </c>
      <c r="K325" s="7" t="str">
        <f aca="false">IF(COUNTIF($O$2:$O$16,$A325)&gt;0,"Y","N")</f>
        <v>Y</v>
      </c>
    </row>
    <row r="326" customFormat="false" ht="15" hidden="false" customHeight="false" outlineLevel="0" collapsed="false">
      <c r="A326" s="7" t="s">
        <v>32</v>
      </c>
      <c r="B326" s="7" t="s">
        <v>340</v>
      </c>
      <c r="C326" s="8" t="n">
        <v>6</v>
      </c>
      <c r="D326" s="8" t="n">
        <v>71.8</v>
      </c>
      <c r="E326" s="8" t="n">
        <v>0</v>
      </c>
      <c r="F326" s="8" t="n">
        <v>0</v>
      </c>
      <c r="G326" s="7" t="n">
        <f aca="false">IFERROR(INDEX('TRANS'!$B:$B,MATCH($B326,'TRANS'!$A:$A,0)),IFERROR(INDEX('TRANS'!$B:$B,MATCH(TRIM(SUBSTITUTE($B326,CHAR(160)," ")),'TRANS'!$D:$D,0)),IFERROR(INDEX('Catalog'!$A:$A,MATCH($B326,'Catalog'!$B:$B,0)),IFERROR(INDEX('Catalog'!$A:$A,MATCH(TRIM(SUBSTITUTE($B326,CHAR(160)," ")),'Catalog'!$C:$C,0)),""))))</f>
        <v>4413498</v>
      </c>
      <c r="H326" s="7" t="str">
        <f aca="false">IFERROR(INDEX('TRANS'!$C:$C,MATCH($B326,'TRANS'!$A:$A,0)),IFERROR(INDEX('Catalog'!$B:$B,MATCH($G326,'Catalog'!$A:$A,0)),$B326))</f>
        <v>45B S מגן ברך שחור</v>
      </c>
      <c r="I326" s="7" t="str">
        <f aca="false">IF($G326="","Unmatched","Matched")</f>
        <v>Matched</v>
      </c>
      <c r="J326" s="7" t="n">
        <f aca="false">IF($G326&lt;&gt;"",$G326,$B326)</f>
        <v>4413498</v>
      </c>
      <c r="K326" s="7" t="str">
        <f aca="false">IF(COUNTIF($O$2:$O$16,$A326)&gt;0,"Y","N")</f>
        <v>Y</v>
      </c>
    </row>
    <row r="327" customFormat="false" ht="15" hidden="false" customHeight="false" outlineLevel="0" collapsed="false">
      <c r="A327" s="7" t="s">
        <v>32</v>
      </c>
      <c r="B327" s="7" t="s">
        <v>342</v>
      </c>
      <c r="C327" s="8" t="n">
        <v>0</v>
      </c>
      <c r="D327" s="8" t="n">
        <v>0</v>
      </c>
      <c r="E327" s="8" t="n">
        <v>16</v>
      </c>
      <c r="F327" s="8" t="n">
        <v>165.99</v>
      </c>
      <c r="G327" s="7" t="n">
        <f aca="false">IFERROR(INDEX('TRANS'!$B:$B,MATCH($B327,'TRANS'!$A:$A,0)),IFERROR(INDEX('TRANS'!$B:$B,MATCH(TRIM(SUBSTITUTE($B327,CHAR(160)," ")),'TRANS'!$D:$D,0)),IFERROR(INDEX('Catalog'!$A:$A,MATCH($B327,'Catalog'!$B:$B,0)),IFERROR(INDEX('Catalog'!$A:$A,MATCH(TRIM(SUBSTITUTE($B327,CHAR(160)," ")),'Catalog'!$C:$C,0)),""))))</f>
        <v>4413098</v>
      </c>
      <c r="H327" s="7" t="str">
        <f aca="false">IFERROR(INDEX('TRANS'!$C:$C,MATCH($B327,'TRANS'!$A:$A,0)),IFERROR(INDEX('Catalog'!$B:$B,MATCH($G327,'Catalog'!$A:$A,0)),$B327))</f>
        <v>45C L מגן ברך חום</v>
      </c>
      <c r="I327" s="7" t="str">
        <f aca="false">IF($G327="","Unmatched","Matched")</f>
        <v>Matched</v>
      </c>
      <c r="J327" s="7" t="n">
        <f aca="false">IF($G327&lt;&gt;"",$G327,$B327)</f>
        <v>4413098</v>
      </c>
      <c r="K327" s="7" t="str">
        <f aca="false">IF(COUNTIF($O$2:$O$16,$A327)&gt;0,"Y","N")</f>
        <v>Y</v>
      </c>
    </row>
    <row r="328" customFormat="false" ht="15" hidden="false" customHeight="false" outlineLevel="0" collapsed="false">
      <c r="A328" s="7" t="s">
        <v>32</v>
      </c>
      <c r="B328" s="7" t="s">
        <v>343</v>
      </c>
      <c r="C328" s="8" t="n">
        <v>10</v>
      </c>
      <c r="D328" s="8" t="n">
        <v>112.08</v>
      </c>
      <c r="E328" s="8" t="n">
        <v>3</v>
      </c>
      <c r="F328" s="8" t="n">
        <v>30.29</v>
      </c>
      <c r="G328" s="7" t="n">
        <f aca="false">IFERROR(INDEX('TRANS'!$B:$B,MATCH($B328,'TRANS'!$A:$A,0)),IFERROR(INDEX('TRANS'!$B:$B,MATCH(TRIM(SUBSTITUTE($B328,CHAR(160)," ")),'TRANS'!$D:$D,0)),IFERROR(INDEX('Catalog'!$A:$A,MATCH($B328,'Catalog'!$B:$B,0)),IFERROR(INDEX('Catalog'!$A:$A,MATCH(TRIM(SUBSTITUTE($B328,CHAR(160)," ")),'Catalog'!$C:$C,0)),""))))</f>
        <v>4413099</v>
      </c>
      <c r="H328" s="7" t="str">
        <f aca="false">IFERROR(INDEX('TRANS'!$C:$C,MATCH($B328,'TRANS'!$A:$A,0)),IFERROR(INDEX('Catalog'!$B:$B,MATCH($G328,'Catalog'!$A:$A,0)),$B328))</f>
        <v>45C M מגן ברך חום</v>
      </c>
      <c r="I328" s="7" t="str">
        <f aca="false">IF($G328="","Unmatched","Matched")</f>
        <v>Matched</v>
      </c>
      <c r="J328" s="7" t="n">
        <f aca="false">IF($G328&lt;&gt;"",$G328,$B328)</f>
        <v>4413099</v>
      </c>
      <c r="K328" s="7" t="str">
        <f aca="false">IF(COUNTIF($O$2:$O$16,$A328)&gt;0,"Y","N")</f>
        <v>Y</v>
      </c>
    </row>
    <row r="329" customFormat="false" ht="15" hidden="false" customHeight="false" outlineLevel="0" collapsed="false">
      <c r="A329" s="7" t="s">
        <v>32</v>
      </c>
      <c r="B329" s="7" t="s">
        <v>345</v>
      </c>
      <c r="C329" s="8" t="n">
        <v>10</v>
      </c>
      <c r="D329" s="8" t="n">
        <v>114.91</v>
      </c>
      <c r="E329" s="8" t="n">
        <v>6</v>
      </c>
      <c r="F329" s="8" t="n">
        <v>65.03</v>
      </c>
      <c r="G329" s="7" t="n">
        <f aca="false">IFERROR(INDEX('TRANS'!$B:$B,MATCH($B329,'TRANS'!$A:$A,0)),IFERROR(INDEX('TRANS'!$B:$B,MATCH(TRIM(SUBSTITUTE($B329,CHAR(160)," ")),'TRANS'!$D:$D,0)),IFERROR(INDEX('Catalog'!$A:$A,MATCH($B329,'Catalog'!$B:$B,0)),IFERROR(INDEX('Catalog'!$A:$A,MATCH(TRIM(SUBSTITUTE($B329,CHAR(160)," ")),'Catalog'!$C:$C,0)),""))))</f>
        <v>4413100</v>
      </c>
      <c r="H329" s="7" t="str">
        <f aca="false">IFERROR(INDEX('TRANS'!$C:$C,MATCH($B329,'TRANS'!$A:$A,0)),IFERROR(INDEX('Catalog'!$B:$B,MATCH($G329,'Catalog'!$A:$A,0)),$B329))</f>
        <v>45C XL מגן ברך חום</v>
      </c>
      <c r="I329" s="7" t="str">
        <f aca="false">IF($G329="","Unmatched","Matched")</f>
        <v>Matched</v>
      </c>
      <c r="J329" s="7" t="n">
        <f aca="false">IF($G329&lt;&gt;"",$G329,$B329)</f>
        <v>4413100</v>
      </c>
      <c r="K329" s="7" t="str">
        <f aca="false">IF(COUNTIF($O$2:$O$16,$A329)&gt;0,"Y","N")</f>
        <v>Y</v>
      </c>
    </row>
    <row r="330" customFormat="false" ht="15" hidden="false" customHeight="false" outlineLevel="0" collapsed="false">
      <c r="A330" s="7" t="s">
        <v>32</v>
      </c>
      <c r="B330" s="7" t="s">
        <v>128</v>
      </c>
      <c r="C330" s="8" t="n">
        <v>0</v>
      </c>
      <c r="D330" s="8" t="n">
        <v>0</v>
      </c>
      <c r="E330" s="8" t="n">
        <v>6</v>
      </c>
      <c r="F330" s="8" t="n">
        <v>60.58</v>
      </c>
      <c r="G330" s="7" t="str">
        <f aca="false">IFERROR(INDEX('TRANS'!$B:$B,MATCH($B330,'TRANS'!$A:$A,0)),IFERROR(INDEX('TRANS'!$B:$B,MATCH(TRIM(SUBSTITUTE($B330,CHAR(160)," ")),'TRANS'!$D:$D,0)),IFERROR(INDEX('Catalog'!$A:$A,MATCH($B330,'Catalog'!$B:$B,0)),IFERROR(INDEX('Catalog'!$A:$A,MATCH(TRIM(SUBSTITUTE($B330,CHAR(160)," ")),'Catalog'!$C:$C,0)),""))))</f>
        <v/>
      </c>
      <c r="H330" s="7" t="str">
        <f aca="false">IFERROR(INDEX('TRANS'!$C:$C,MATCH($B330,'TRANS'!$A:$A,0)),IFERROR(INDEX('Catalog'!$B:$B,MATCH($G330,'Catalog'!$A:$A,0)),$B330))</f>
        <v>45C XS</v>
      </c>
      <c r="I330" s="7" t="str">
        <f aca="false">IF($G330="","Unmatched","Matched")</f>
        <v>Unmatched</v>
      </c>
      <c r="J330" s="7" t="str">
        <f aca="false">IF($G330&lt;&gt;"",$G330,$B330)</f>
        <v>45C XS</v>
      </c>
      <c r="K330" s="7" t="str">
        <f aca="false">IF(COUNTIF($O$2:$O$16,$A330)&gt;0,"Y","N")</f>
        <v>Y</v>
      </c>
    </row>
    <row r="331" customFormat="false" ht="15" hidden="false" customHeight="false" outlineLevel="0" collapsed="false">
      <c r="A331" s="7" t="s">
        <v>32</v>
      </c>
      <c r="B331" s="7" t="s">
        <v>474</v>
      </c>
      <c r="C331" s="8" t="n">
        <v>6</v>
      </c>
      <c r="D331" s="8" t="n">
        <v>82.81</v>
      </c>
      <c r="E331" s="8" t="n">
        <v>0</v>
      </c>
      <c r="F331" s="8" t="n">
        <v>0</v>
      </c>
      <c r="G331" s="7" t="n">
        <f aca="false">IFERROR(INDEX('TRANS'!$B:$B,MATCH($B331,'TRANS'!$A:$A,0)),IFERROR(INDEX('TRANS'!$B:$B,MATCH(TRIM(SUBSTITUTE($B331,CHAR(160)," ")),'TRANS'!$D:$D,0)),IFERROR(INDEX('Catalog'!$A:$A,MATCH($B331,'Catalog'!$B:$B,0)),IFERROR(INDEX('Catalog'!$A:$A,MATCH(TRIM(SUBSTITUTE($B331,CHAR(160)," ")),'Catalog'!$C:$C,0)),""))))</f>
        <v>4413103</v>
      </c>
      <c r="H331" s="7" t="str">
        <f aca="false">IFERROR(INDEX('TRANS'!$C:$C,MATCH($B331,'TRANS'!$A:$A,0)),IFERROR(INDEX('Catalog'!$B:$B,MATCH($G331,'Catalog'!$A:$A,0)),$B331))</f>
        <v>45E Mמגן ברך ארוך לבן</v>
      </c>
      <c r="I331" s="7" t="str">
        <f aca="false">IF($G331="","Unmatched","Matched")</f>
        <v>Matched</v>
      </c>
      <c r="J331" s="7" t="n">
        <f aca="false">IF($G331&lt;&gt;"",$G331,$B331)</f>
        <v>4413103</v>
      </c>
      <c r="K331" s="7" t="str">
        <f aca="false">IF(COUNTIF($O$2:$O$16,$A331)&gt;0,"Y","N")</f>
        <v>Y</v>
      </c>
    </row>
    <row r="332" customFormat="false" ht="15" hidden="false" customHeight="false" outlineLevel="0" collapsed="false">
      <c r="A332" s="7" t="s">
        <v>32</v>
      </c>
      <c r="B332" s="7" t="s">
        <v>475</v>
      </c>
      <c r="C332" s="8" t="n">
        <v>9</v>
      </c>
      <c r="D332" s="8" t="n">
        <v>114.86</v>
      </c>
      <c r="E332" s="8" t="n">
        <v>0</v>
      </c>
      <c r="F332" s="8" t="n">
        <v>0</v>
      </c>
      <c r="G332" s="7" t="n">
        <f aca="false">IFERROR(INDEX('TRANS'!$B:$B,MATCH($B332,'TRANS'!$A:$A,0)),IFERROR(INDEX('TRANS'!$B:$B,MATCH(TRIM(SUBSTITUTE($B332,CHAR(160)," ")),'TRANS'!$D:$D,0)),IFERROR(INDEX('Catalog'!$A:$A,MATCH($B332,'Catalog'!$B:$B,0)),IFERROR(INDEX('Catalog'!$A:$A,MATCH(TRIM(SUBSTITUTE($B332,CHAR(160)," ")),'Catalog'!$C:$C,0)),""))))</f>
        <v>4413396</v>
      </c>
      <c r="H332" s="7" t="str">
        <f aca="false">IFERROR(INDEX('TRANS'!$C:$C,MATCH($B332,'TRANS'!$A:$A,0)),IFERROR(INDEX('Catalog'!$B:$B,MATCH($G332,'Catalog'!$A:$A,0)),$B332))</f>
        <v>45EC L 'מגן ברך ארוך בז</v>
      </c>
      <c r="I332" s="7" t="str">
        <f aca="false">IF($G332="","Unmatched","Matched")</f>
        <v>Matched</v>
      </c>
      <c r="J332" s="7" t="n">
        <f aca="false">IF($G332&lt;&gt;"",$G332,$B332)</f>
        <v>4413396</v>
      </c>
      <c r="K332" s="7" t="str">
        <f aca="false">IF(COUNTIF($O$2:$O$16,$A332)&gt;0,"Y","N")</f>
        <v>Y</v>
      </c>
    </row>
    <row r="333" customFormat="false" ht="15" hidden="false" customHeight="false" outlineLevel="0" collapsed="false">
      <c r="A333" s="7" t="s">
        <v>32</v>
      </c>
      <c r="B333" s="7" t="s">
        <v>476</v>
      </c>
      <c r="C333" s="8" t="n">
        <v>10</v>
      </c>
      <c r="D333" s="8" t="n">
        <v>126.59</v>
      </c>
      <c r="E333" s="8" t="n">
        <v>16</v>
      </c>
      <c r="F333" s="8" t="n">
        <v>186.15</v>
      </c>
      <c r="G333" s="7" t="n">
        <f aca="false">IFERROR(INDEX('TRANS'!$B:$B,MATCH($B333,'TRANS'!$A:$A,0)),IFERROR(INDEX('TRANS'!$B:$B,MATCH(TRIM(SUBSTITUTE($B333,CHAR(160)," ")),'TRANS'!$D:$D,0)),IFERROR(INDEX('Catalog'!$A:$A,MATCH($B333,'Catalog'!$B:$B,0)),IFERROR(INDEX('Catalog'!$A:$A,MATCH(TRIM(SUBSTITUTE($B333,CHAR(160)," ")),'Catalog'!$C:$C,0)),""))))</f>
        <v>4413395</v>
      </c>
      <c r="H333" s="7" t="str">
        <f aca="false">IFERROR(INDEX('TRANS'!$C:$C,MATCH($B333,'TRANS'!$A:$A,0)),IFERROR(INDEX('Catalog'!$B:$B,MATCH($G333,'Catalog'!$A:$A,0)),$B333))</f>
        <v>45EC M 'מגן ברך ארוך בז</v>
      </c>
      <c r="I333" s="7" t="str">
        <f aca="false">IF($G333="","Unmatched","Matched")</f>
        <v>Matched</v>
      </c>
      <c r="J333" s="7" t="n">
        <f aca="false">IF($G333&lt;&gt;"",$G333,$B333)</f>
        <v>4413395</v>
      </c>
      <c r="K333" s="7" t="str">
        <f aca="false">IF(COUNTIF($O$2:$O$16,$A333)&gt;0,"Y","N")</f>
        <v>Y</v>
      </c>
    </row>
    <row r="334" customFormat="false" ht="15" hidden="false" customHeight="false" outlineLevel="0" collapsed="false">
      <c r="A334" s="7" t="s">
        <v>32</v>
      </c>
      <c r="B334" s="7" t="s">
        <v>477</v>
      </c>
      <c r="C334" s="8" t="n">
        <v>0</v>
      </c>
      <c r="D334" s="8" t="n">
        <v>0</v>
      </c>
      <c r="E334" s="8" t="n">
        <v>2</v>
      </c>
      <c r="F334" s="8" t="n">
        <v>22.25</v>
      </c>
      <c r="G334" s="7" t="n">
        <f aca="false">IFERROR(INDEX('TRANS'!$B:$B,MATCH($B334,'TRANS'!$A:$A,0)),IFERROR(INDEX('TRANS'!$B:$B,MATCH(TRIM(SUBSTITUTE($B334,CHAR(160)," ")),'TRANS'!$D:$D,0)),IFERROR(INDEX('Catalog'!$A:$A,MATCH($B334,'Catalog'!$B:$B,0)),IFERROR(INDEX('Catalog'!$A:$A,MATCH(TRIM(SUBSTITUTE($B334,CHAR(160)," ")),'Catalog'!$C:$C,0)),""))))</f>
        <v>4413394</v>
      </c>
      <c r="H334" s="7" t="str">
        <f aca="false">IFERROR(INDEX('TRANS'!$C:$C,MATCH($B334,'TRANS'!$A:$A,0)),IFERROR(INDEX('Catalog'!$B:$B,MATCH($G334,'Catalog'!$A:$A,0)),$B334))</f>
        <v>45EC S 'מגן ברך ארוך בז</v>
      </c>
      <c r="I334" s="7" t="str">
        <f aca="false">IF($G334="","Unmatched","Matched")</f>
        <v>Matched</v>
      </c>
      <c r="J334" s="7" t="n">
        <f aca="false">IF($G334&lt;&gt;"",$G334,$B334)</f>
        <v>4413394</v>
      </c>
      <c r="K334" s="7" t="str">
        <f aca="false">IF(COUNTIF($O$2:$O$16,$A334)&gt;0,"Y","N")</f>
        <v>Y</v>
      </c>
    </row>
    <row r="335" customFormat="false" ht="15" hidden="false" customHeight="false" outlineLevel="0" collapsed="false">
      <c r="A335" s="7" t="s">
        <v>32</v>
      </c>
      <c r="B335" s="7" t="s">
        <v>478</v>
      </c>
      <c r="C335" s="8" t="n">
        <v>6</v>
      </c>
      <c r="D335" s="8" t="n">
        <v>74.08</v>
      </c>
      <c r="E335" s="8" t="n">
        <v>6</v>
      </c>
      <c r="F335" s="8" t="n">
        <v>71.65</v>
      </c>
      <c r="G335" s="7" t="n">
        <f aca="false">IFERROR(INDEX('TRANS'!$B:$B,MATCH($B335,'TRANS'!$A:$A,0)),IFERROR(INDEX('TRANS'!$B:$B,MATCH(TRIM(SUBSTITUTE($B335,CHAR(160)," ")),'TRANS'!$D:$D,0)),IFERROR(INDEX('Catalog'!$A:$A,MATCH($B335,'Catalog'!$B:$B,0)),IFERROR(INDEX('Catalog'!$A:$A,MATCH(TRIM(SUBSTITUTE($B335,CHAR(160)," ")),'Catalog'!$C:$C,0)),""))))</f>
        <v>4413397</v>
      </c>
      <c r="H335" s="7" t="str">
        <f aca="false">IFERROR(INDEX('TRANS'!$C:$C,MATCH($B335,'TRANS'!$A:$A,0)),IFERROR(INDEX('Catalog'!$B:$B,MATCH($G335,'Catalog'!$A:$A,0)),$B335))</f>
        <v>45EC XL'מגן ברך ארוך בז</v>
      </c>
      <c r="I335" s="7" t="str">
        <f aca="false">IF($G335="","Unmatched","Matched")</f>
        <v>Matched</v>
      </c>
      <c r="J335" s="7" t="n">
        <f aca="false">IF($G335&lt;&gt;"",$G335,$B335)</f>
        <v>4413397</v>
      </c>
      <c r="K335" s="7" t="str">
        <f aca="false">IF(COUNTIF($O$2:$O$16,$A335)&gt;0,"Y","N")</f>
        <v>Y</v>
      </c>
    </row>
    <row r="336" customFormat="false" ht="15" hidden="false" customHeight="false" outlineLevel="0" collapsed="false">
      <c r="A336" s="7" t="s">
        <v>32</v>
      </c>
      <c r="B336" s="7" t="s">
        <v>479</v>
      </c>
      <c r="C336" s="8" t="n">
        <v>0</v>
      </c>
      <c r="D336" s="8" t="n">
        <v>0</v>
      </c>
      <c r="E336" s="8" t="n">
        <v>2</v>
      </c>
      <c r="F336" s="8" t="n">
        <v>155.72</v>
      </c>
      <c r="G336" s="7" t="n">
        <f aca="false">IFERROR(INDEX('TRANS'!$B:$B,MATCH($B336,'TRANS'!$A:$A,0)),IFERROR(INDEX('TRANS'!$B:$B,MATCH(TRIM(SUBSTITUTE($B336,CHAR(160)," ")),'TRANS'!$D:$D,0)),IFERROR(INDEX('Catalog'!$A:$A,MATCH($B336,'Catalog'!$B:$B,0)),IFERROR(INDEX('Catalog'!$A:$A,MATCH(TRIM(SUBSTITUTE($B336,CHAR(160)," ")),'Catalog'!$C:$C,0)),""))))</f>
        <v>4408071</v>
      </c>
      <c r="H336" s="7" t="str">
        <f aca="false">IFERROR(INDEX('TRANS'!$C:$C,MATCH($B336,'TRANS'!$A:$A,0)),IFERROR(INDEX('Catalog'!$B:$B,MATCH($G336,'Catalog'!$A:$A,0)),$B336))</f>
        <v>59D L חגורת שבר דו צדדי</v>
      </c>
      <c r="I336" s="7" t="str">
        <f aca="false">IF($G336="","Unmatched","Matched")</f>
        <v>Matched</v>
      </c>
      <c r="J336" s="7" t="n">
        <f aca="false">IF($G336&lt;&gt;"",$G336,$B336)</f>
        <v>4408071</v>
      </c>
      <c r="K336" s="7" t="str">
        <f aca="false">IF(COUNTIF($O$2:$O$16,$A336)&gt;0,"Y","N")</f>
        <v>Y</v>
      </c>
    </row>
    <row r="337" customFormat="false" ht="15" hidden="false" customHeight="false" outlineLevel="0" collapsed="false">
      <c r="A337" s="7" t="s">
        <v>32</v>
      </c>
      <c r="B337" s="7" t="s">
        <v>480</v>
      </c>
      <c r="C337" s="8" t="n">
        <v>0</v>
      </c>
      <c r="D337" s="8" t="n">
        <v>0</v>
      </c>
      <c r="E337" s="8" t="n">
        <v>1</v>
      </c>
      <c r="F337" s="8" t="n">
        <v>77.86</v>
      </c>
      <c r="G337" s="7" t="n">
        <f aca="false">IFERROR(INDEX('TRANS'!$B:$B,MATCH($B337,'TRANS'!$A:$A,0)),IFERROR(INDEX('TRANS'!$B:$B,MATCH(TRIM(SUBSTITUTE($B337,CHAR(160)," ")),'TRANS'!$D:$D,0)),IFERROR(INDEX('Catalog'!$A:$A,MATCH($B337,'Catalog'!$B:$B,0)),IFERROR(INDEX('Catalog'!$A:$A,MATCH(TRIM(SUBSTITUTE($B337,CHAR(160)," ")),'Catalog'!$C:$C,0)),""))))</f>
        <v>4408073</v>
      </c>
      <c r="H337" s="7" t="str">
        <f aca="false">IFERROR(INDEX('TRANS'!$C:$C,MATCH($B337,'TRANS'!$A:$A,0)),IFERROR(INDEX('Catalog'!$B:$B,MATCH($G337,'Catalog'!$A:$A,0)),$B337))</f>
        <v>59D XL חגורת שבר דו צדדי</v>
      </c>
      <c r="I337" s="7" t="str">
        <f aca="false">IF($G337="","Unmatched","Matched")</f>
        <v>Matched</v>
      </c>
      <c r="J337" s="7" t="n">
        <f aca="false">IF($G337&lt;&gt;"",$G337,$B337)</f>
        <v>4408073</v>
      </c>
      <c r="K337" s="7" t="str">
        <f aca="false">IF(COUNTIF($O$2:$O$16,$A337)&gt;0,"Y","N")</f>
        <v>Y</v>
      </c>
    </row>
    <row r="338" customFormat="false" ht="15" hidden="false" customHeight="false" outlineLevel="0" collapsed="false">
      <c r="A338" s="7" t="s">
        <v>32</v>
      </c>
      <c r="B338" s="7" t="s">
        <v>481</v>
      </c>
      <c r="C338" s="8" t="n">
        <v>0</v>
      </c>
      <c r="D338" s="8" t="n">
        <v>0</v>
      </c>
      <c r="E338" s="8" t="n">
        <v>2</v>
      </c>
      <c r="F338" s="8" t="n">
        <v>157.26</v>
      </c>
      <c r="G338" s="7" t="n">
        <f aca="false">IFERROR(INDEX('TRANS'!$B:$B,MATCH($B338,'TRANS'!$A:$A,0)),IFERROR(INDEX('TRANS'!$B:$B,MATCH(TRIM(SUBSTITUTE($B338,CHAR(160)," ")),'TRANS'!$D:$D,0)),IFERROR(INDEX('Catalog'!$A:$A,MATCH($B338,'Catalog'!$B:$B,0)),IFERROR(INDEX('Catalog'!$A:$A,MATCH(TRIM(SUBSTITUTE($B338,CHAR(160)," ")),'Catalog'!$C:$C,0)),""))))</f>
        <v>4408077</v>
      </c>
      <c r="H338" s="7" t="str">
        <f aca="false">IFERROR(INDEX('TRANS'!$C:$C,MATCH($B338,'TRANS'!$A:$A,0)),IFERROR(INDEX('Catalog'!$B:$B,MATCH($G338,'Catalog'!$A:$A,0)),$B338))</f>
        <v>59L M חגורת שבר לצד שמאל</v>
      </c>
      <c r="I338" s="7" t="str">
        <f aca="false">IF($G338="","Unmatched","Matched")</f>
        <v>Matched</v>
      </c>
      <c r="J338" s="7" t="n">
        <f aca="false">IF($G338&lt;&gt;"",$G338,$B338)</f>
        <v>4408077</v>
      </c>
      <c r="K338" s="7" t="str">
        <f aca="false">IF(COUNTIF($O$2:$O$16,$A338)&gt;0,"Y","N")</f>
        <v>Y</v>
      </c>
    </row>
    <row r="339" customFormat="false" ht="15" hidden="false" customHeight="false" outlineLevel="0" collapsed="false">
      <c r="A339" s="7" t="s">
        <v>32</v>
      </c>
      <c r="B339" s="7" t="s">
        <v>482</v>
      </c>
      <c r="C339" s="8" t="n">
        <v>1</v>
      </c>
      <c r="D339" s="8" t="n">
        <v>81.3</v>
      </c>
      <c r="E339" s="8" t="n">
        <v>2</v>
      </c>
      <c r="F339" s="8" t="n">
        <v>157.26</v>
      </c>
      <c r="G339" s="7" t="n">
        <f aca="false">IFERROR(INDEX('TRANS'!$B:$B,MATCH($B339,'TRANS'!$A:$A,0)),IFERROR(INDEX('TRANS'!$B:$B,MATCH(TRIM(SUBSTITUTE($B339,CHAR(160)," ")),'TRANS'!$D:$D,0)),IFERROR(INDEX('Catalog'!$A:$A,MATCH($B339,'Catalog'!$B:$B,0)),IFERROR(INDEX('Catalog'!$A:$A,MATCH(TRIM(SUBSTITUTE($B339,CHAR(160)," ")),'Catalog'!$C:$C,0)),""))))</f>
        <v>4408078</v>
      </c>
      <c r="H339" s="7" t="str">
        <f aca="false">IFERROR(INDEX('TRANS'!$C:$C,MATCH($B339,'TRANS'!$A:$A,0)),IFERROR(INDEX('Catalog'!$B:$B,MATCH($G339,'Catalog'!$A:$A,0)),$B339))</f>
        <v>59L XLחגורת שבר לצד שמאל</v>
      </c>
      <c r="I339" s="7" t="str">
        <f aca="false">IF($G339="","Unmatched","Matched")</f>
        <v>Matched</v>
      </c>
      <c r="J339" s="7" t="n">
        <f aca="false">IF($G339&lt;&gt;"",$G339,$B339)</f>
        <v>4408078</v>
      </c>
      <c r="K339" s="7" t="str">
        <f aca="false">IF(COUNTIF($O$2:$O$16,$A339)&gt;0,"Y","N")</f>
        <v>Y</v>
      </c>
    </row>
    <row r="340" customFormat="false" ht="15" hidden="false" customHeight="false" outlineLevel="0" collapsed="false">
      <c r="A340" s="7" t="s">
        <v>32</v>
      </c>
      <c r="B340" s="7" t="s">
        <v>483</v>
      </c>
      <c r="C340" s="8" t="n">
        <v>1</v>
      </c>
      <c r="D340" s="8" t="n">
        <v>81.3</v>
      </c>
      <c r="E340" s="8" t="n">
        <v>3</v>
      </c>
      <c r="F340" s="8" t="n">
        <v>235.88</v>
      </c>
      <c r="G340" s="7" t="n">
        <f aca="false">IFERROR(INDEX('TRANS'!$B:$B,MATCH($B340,'TRANS'!$A:$A,0)),IFERROR(INDEX('TRANS'!$B:$B,MATCH(TRIM(SUBSTITUTE($B340,CHAR(160)," ")),'TRANS'!$D:$D,0)),IFERROR(INDEX('Catalog'!$A:$A,MATCH($B340,'Catalog'!$B:$B,0)),IFERROR(INDEX('Catalog'!$A:$A,MATCH(TRIM(SUBSTITUTE($B340,CHAR(160)," ")),'Catalog'!$C:$C,0)),""))))</f>
        <v>4408080</v>
      </c>
      <c r="H340" s="7" t="str">
        <f aca="false">IFERROR(INDEX('TRANS'!$C:$C,MATCH($B340,'TRANS'!$A:$A,0)),IFERROR(INDEX('Catalog'!$B:$B,MATCH($G340,'Catalog'!$A:$A,0)),$B340))</f>
        <v>59R L חגורת שבר לצד ימין</v>
      </c>
      <c r="I340" s="7" t="str">
        <f aca="false">IF($G340="","Unmatched","Matched")</f>
        <v>Matched</v>
      </c>
      <c r="J340" s="7" t="n">
        <f aca="false">IF($G340&lt;&gt;"",$G340,$B340)</f>
        <v>4408080</v>
      </c>
      <c r="K340" s="7" t="str">
        <f aca="false">IF(COUNTIF($O$2:$O$16,$A340)&gt;0,"Y","N")</f>
        <v>Y</v>
      </c>
    </row>
    <row r="341" customFormat="false" ht="15" hidden="false" customHeight="false" outlineLevel="0" collapsed="false">
      <c r="A341" s="7" t="s">
        <v>32</v>
      </c>
      <c r="B341" s="7" t="s">
        <v>484</v>
      </c>
      <c r="C341" s="8" t="n">
        <v>1</v>
      </c>
      <c r="D341" s="8" t="n">
        <v>81.3</v>
      </c>
      <c r="E341" s="8" t="n">
        <v>2</v>
      </c>
      <c r="F341" s="8" t="n">
        <v>157.26</v>
      </c>
      <c r="G341" s="7" t="n">
        <f aca="false">IFERROR(INDEX('TRANS'!$B:$B,MATCH($B341,'TRANS'!$A:$A,0)),IFERROR(INDEX('TRANS'!$B:$B,MATCH(TRIM(SUBSTITUTE($B341,CHAR(160)," ")),'TRANS'!$D:$D,0)),IFERROR(INDEX('Catalog'!$A:$A,MATCH($B341,'Catalog'!$B:$B,0)),IFERROR(INDEX('Catalog'!$A:$A,MATCH(TRIM(SUBSTITUTE($B341,CHAR(160)," ")),'Catalog'!$C:$C,0)),""))))</f>
        <v>4408081</v>
      </c>
      <c r="H341" s="7" t="str">
        <f aca="false">IFERROR(INDEX('TRANS'!$C:$C,MATCH($B341,'TRANS'!$A:$A,0)),IFERROR(INDEX('Catalog'!$B:$B,MATCH($G341,'Catalog'!$A:$A,0)),$B341))</f>
        <v>59R M חגורת שבר לצד ימין</v>
      </c>
      <c r="I341" s="7" t="str">
        <f aca="false">IF($G341="","Unmatched","Matched")</f>
        <v>Matched</v>
      </c>
      <c r="J341" s="7" t="n">
        <f aca="false">IF($G341&lt;&gt;"",$G341,$B341)</f>
        <v>4408081</v>
      </c>
      <c r="K341" s="7" t="str">
        <f aca="false">IF(COUNTIF($O$2:$O$16,$A341)&gt;0,"Y","N")</f>
        <v>Y</v>
      </c>
    </row>
    <row r="342" customFormat="false" ht="15" hidden="false" customHeight="false" outlineLevel="0" collapsed="false">
      <c r="A342" s="7" t="s">
        <v>32</v>
      </c>
      <c r="B342" s="7" t="s">
        <v>485</v>
      </c>
      <c r="C342" s="8" t="n">
        <v>0</v>
      </c>
      <c r="D342" s="8" t="n">
        <v>0</v>
      </c>
      <c r="E342" s="8" t="n">
        <v>10</v>
      </c>
      <c r="F342" s="8" t="n">
        <v>240.66</v>
      </c>
      <c r="G342" s="7" t="n">
        <f aca="false">IFERROR(INDEX('TRANS'!$B:$B,MATCH($B342,'TRANS'!$A:$A,0)),IFERROR(INDEX('TRANS'!$B:$B,MATCH(TRIM(SUBSTITUTE($B342,CHAR(160)," ")),'TRANS'!$D:$D,0)),IFERROR(INDEX('Catalog'!$A:$A,MATCH($B342,'Catalog'!$B:$B,0)),IFERROR(INDEX('Catalog'!$A:$A,MATCH(TRIM(SUBSTITUTE($B342,CHAR(160)," ")),'Catalog'!$C:$C,0)),""))))</f>
        <v>4418000</v>
      </c>
      <c r="H342" s="7" t="str">
        <f aca="false">IFERROR(INDEX('TRANS'!$C:$C,MATCH($B342,'TRANS'!$A:$A,0)),IFERROR(INDEX('Catalog'!$B:$B,MATCH($G342,'Catalog'!$A:$A,0)),$B342))</f>
        <v>60 L צוארון ספוגי</v>
      </c>
      <c r="I342" s="7" t="str">
        <f aca="false">IF($G342="","Unmatched","Matched")</f>
        <v>Matched</v>
      </c>
      <c r="J342" s="7" t="n">
        <f aca="false">IF($G342&lt;&gt;"",$G342,$B342)</f>
        <v>4418000</v>
      </c>
      <c r="K342" s="7" t="str">
        <f aca="false">IF(COUNTIF($O$2:$O$16,$A342)&gt;0,"Y","N")</f>
        <v>Y</v>
      </c>
    </row>
    <row r="343" customFormat="false" ht="15" hidden="false" customHeight="false" outlineLevel="0" collapsed="false">
      <c r="A343" s="7" t="s">
        <v>32</v>
      </c>
      <c r="B343" s="7" t="s">
        <v>486</v>
      </c>
      <c r="C343" s="8" t="n">
        <v>0</v>
      </c>
      <c r="D343" s="8" t="n">
        <v>0</v>
      </c>
      <c r="E343" s="8" t="n">
        <v>10</v>
      </c>
      <c r="F343" s="8" t="n">
        <v>224.17</v>
      </c>
      <c r="G343" s="7" t="n">
        <f aca="false">IFERROR(INDEX('TRANS'!$B:$B,MATCH($B343,'TRANS'!$A:$A,0)),IFERROR(INDEX('TRANS'!$B:$B,MATCH(TRIM(SUBSTITUTE($B343,CHAR(160)," ")),'TRANS'!$D:$D,0)),IFERROR(INDEX('Catalog'!$A:$A,MATCH($B343,'Catalog'!$B:$B,0)),IFERROR(INDEX('Catalog'!$A:$A,MATCH(TRIM(SUBSTITUTE($B343,CHAR(160)," ")),'Catalog'!$C:$C,0)),""))))</f>
        <v>4418001</v>
      </c>
      <c r="H343" s="7" t="str">
        <f aca="false">IFERROR(INDEX('TRANS'!$C:$C,MATCH($B343,'TRANS'!$A:$A,0)),IFERROR(INDEX('Catalog'!$B:$B,MATCH($G343,'Catalog'!$A:$A,0)),$B343))</f>
        <v>60 M צוארון ספוגי</v>
      </c>
      <c r="I343" s="7" t="str">
        <f aca="false">IF($G343="","Unmatched","Matched")</f>
        <v>Matched</v>
      </c>
      <c r="J343" s="7" t="n">
        <f aca="false">IF($G343&lt;&gt;"",$G343,$B343)</f>
        <v>4418001</v>
      </c>
      <c r="K343" s="7" t="str">
        <f aca="false">IF(COUNTIF($O$2:$O$16,$A343)&gt;0,"Y","N")</f>
        <v>Y</v>
      </c>
    </row>
    <row r="344" customFormat="false" ht="15" hidden="false" customHeight="false" outlineLevel="0" collapsed="false">
      <c r="A344" s="7" t="s">
        <v>32</v>
      </c>
      <c r="B344" s="7" t="s">
        <v>487</v>
      </c>
      <c r="C344" s="8" t="n">
        <v>20</v>
      </c>
      <c r="D344" s="8" t="n">
        <v>547.87</v>
      </c>
      <c r="E344" s="8" t="n">
        <v>6</v>
      </c>
      <c r="F344" s="8" t="n">
        <v>144.4</v>
      </c>
      <c r="G344" s="7" t="n">
        <f aca="false">IFERROR(INDEX('TRANS'!$B:$B,MATCH($B344,'TRANS'!$A:$A,0)),IFERROR(INDEX('TRANS'!$B:$B,MATCH(TRIM(SUBSTITUTE($B344,CHAR(160)," ")),'TRANS'!$D:$D,0)),IFERROR(INDEX('Catalog'!$A:$A,MATCH($B344,'Catalog'!$B:$B,0)),IFERROR(INDEX('Catalog'!$A:$A,MATCH(TRIM(SUBSTITUTE($B344,CHAR(160)," ")),'Catalog'!$C:$C,0)),""))))</f>
        <v>4418002</v>
      </c>
      <c r="H344" s="7" t="str">
        <f aca="false">IFERROR(INDEX('TRANS'!$C:$C,MATCH($B344,'TRANS'!$A:$A,0)),IFERROR(INDEX('Catalog'!$B:$B,MATCH($G344,'Catalog'!$A:$A,0)),$B344))</f>
        <v>60 S צוארון ספוגי</v>
      </c>
      <c r="I344" s="7" t="str">
        <f aca="false">IF($G344="","Unmatched","Matched")</f>
        <v>Matched</v>
      </c>
      <c r="J344" s="7" t="n">
        <f aca="false">IF($G344&lt;&gt;"",$G344,$B344)</f>
        <v>4418002</v>
      </c>
      <c r="K344" s="7" t="str">
        <f aca="false">IF(COUNTIF($O$2:$O$16,$A344)&gt;0,"Y","N")</f>
        <v>Y</v>
      </c>
    </row>
    <row r="345" customFormat="false" ht="15" hidden="false" customHeight="false" outlineLevel="0" collapsed="false">
      <c r="A345" s="7" t="s">
        <v>32</v>
      </c>
      <c r="B345" s="7" t="s">
        <v>109</v>
      </c>
      <c r="C345" s="8" t="n">
        <v>10</v>
      </c>
      <c r="D345" s="8" t="n">
        <v>292.14</v>
      </c>
      <c r="E345" s="8" t="n">
        <v>10</v>
      </c>
      <c r="F345" s="8" t="n">
        <v>275.57</v>
      </c>
      <c r="G345" s="7" t="str">
        <f aca="false">IFERROR(INDEX('TRANS'!$B:$B,MATCH($B345,'TRANS'!$A:$A,0)),IFERROR(INDEX('TRANS'!$B:$B,MATCH(TRIM(SUBSTITUTE($B345,CHAR(160)," ")),'TRANS'!$D:$D,0)),IFERROR(INDEX('Catalog'!$A:$A,MATCH($B345,'Catalog'!$B:$B,0)),IFERROR(INDEX('Catalog'!$A:$A,MATCH(TRIM(SUBSTITUTE($B345,CHAR(160)," ")),'Catalog'!$C:$C,0)),""))))</f>
        <v/>
      </c>
      <c r="H345" s="7" t="str">
        <f aca="false">IFERROR(INDEX('TRANS'!$C:$C,MATCH($B345,'TRANS'!$A:$A,0)),IFERROR(INDEX('Catalog'!$B:$B,MATCH($G345,'Catalog'!$A:$A,0)),$B345))</f>
        <v>60B L</v>
      </c>
      <c r="I345" s="7" t="str">
        <f aca="false">IF($G345="","Unmatched","Matched")</f>
        <v>Unmatched</v>
      </c>
      <c r="J345" s="7" t="str">
        <f aca="false">IF($G345&lt;&gt;"",$G345,$B345)</f>
        <v>60B L</v>
      </c>
      <c r="K345" s="7" t="str">
        <f aca="false">IF(COUNTIF($O$2:$O$16,$A345)&gt;0,"Y","N")</f>
        <v>Y</v>
      </c>
    </row>
    <row r="346" customFormat="false" ht="15" hidden="false" customHeight="false" outlineLevel="0" collapsed="false">
      <c r="A346" s="7" t="s">
        <v>32</v>
      </c>
      <c r="B346" s="7" t="s">
        <v>105</v>
      </c>
      <c r="C346" s="8" t="n">
        <v>0</v>
      </c>
      <c r="D346" s="8" t="n">
        <v>0</v>
      </c>
      <c r="E346" s="8" t="n">
        <v>10</v>
      </c>
      <c r="F346" s="8" t="n">
        <v>256.69</v>
      </c>
      <c r="G346" s="7" t="str">
        <f aca="false">IFERROR(INDEX('TRANS'!$B:$B,MATCH($B346,'TRANS'!$A:$A,0)),IFERROR(INDEX('TRANS'!$B:$B,MATCH(TRIM(SUBSTITUTE($B346,CHAR(160)," ")),'TRANS'!$D:$D,0)),IFERROR(INDEX('Catalog'!$A:$A,MATCH($B346,'Catalog'!$B:$B,0)),IFERROR(INDEX('Catalog'!$A:$A,MATCH(TRIM(SUBSTITUTE($B346,CHAR(160)," ")),'Catalog'!$C:$C,0)),""))))</f>
        <v/>
      </c>
      <c r="H346" s="7" t="str">
        <f aca="false">IFERROR(INDEX('TRANS'!$C:$C,MATCH($B346,'TRANS'!$A:$A,0)),IFERROR(INDEX('Catalog'!$B:$B,MATCH($G346,'Catalog'!$A:$A,0)),$B346))</f>
        <v>60B M</v>
      </c>
      <c r="I346" s="7" t="str">
        <f aca="false">IF($G346="","Unmatched","Matched")</f>
        <v>Unmatched</v>
      </c>
      <c r="J346" s="7" t="str">
        <f aca="false">IF($G346&lt;&gt;"",$G346,$B346)</f>
        <v>60B M</v>
      </c>
      <c r="K346" s="7" t="str">
        <f aca="false">IF(COUNTIF($O$2:$O$16,$A346)&gt;0,"Y","N")</f>
        <v>Y</v>
      </c>
    </row>
    <row r="347" customFormat="false" ht="15" hidden="false" customHeight="false" outlineLevel="0" collapsed="false">
      <c r="A347" s="7" t="s">
        <v>32</v>
      </c>
      <c r="B347" s="7" t="s">
        <v>110</v>
      </c>
      <c r="C347" s="8" t="n">
        <v>10</v>
      </c>
      <c r="D347" s="8" t="n">
        <v>292.14</v>
      </c>
      <c r="E347" s="8" t="n">
        <v>6</v>
      </c>
      <c r="F347" s="8" t="n">
        <v>165.34</v>
      </c>
      <c r="G347" s="7" t="str">
        <f aca="false">IFERROR(INDEX('TRANS'!$B:$B,MATCH($B347,'TRANS'!$A:$A,0)),IFERROR(INDEX('TRANS'!$B:$B,MATCH(TRIM(SUBSTITUTE($B347,CHAR(160)," ")),'TRANS'!$D:$D,0)),IFERROR(INDEX('Catalog'!$A:$A,MATCH($B347,'Catalog'!$B:$B,0)),IFERROR(INDEX('Catalog'!$A:$A,MATCH(TRIM(SUBSTITUTE($B347,CHAR(160)," ")),'Catalog'!$C:$C,0)),""))))</f>
        <v/>
      </c>
      <c r="H347" s="7" t="str">
        <f aca="false">IFERROR(INDEX('TRANS'!$C:$C,MATCH($B347,'TRANS'!$A:$A,0)),IFERROR(INDEX('Catalog'!$B:$B,MATCH($G347,'Catalog'!$A:$A,0)),$B347))</f>
        <v>60B S</v>
      </c>
      <c r="I347" s="7" t="str">
        <f aca="false">IF($G347="","Unmatched","Matched")</f>
        <v>Unmatched</v>
      </c>
      <c r="J347" s="7" t="str">
        <f aca="false">IF($G347&lt;&gt;"",$G347,$B347)</f>
        <v>60B S</v>
      </c>
      <c r="K347" s="7" t="str">
        <f aca="false">IF(COUNTIF($O$2:$O$16,$A347)&gt;0,"Y","N")</f>
        <v>Y</v>
      </c>
    </row>
    <row r="348" customFormat="false" ht="15" hidden="false" customHeight="false" outlineLevel="0" collapsed="false">
      <c r="A348" s="7" t="s">
        <v>32</v>
      </c>
      <c r="B348" s="7" t="s">
        <v>183</v>
      </c>
      <c r="C348" s="8" t="n">
        <v>4</v>
      </c>
      <c r="D348" s="8" t="n">
        <v>0.16</v>
      </c>
      <c r="E348" s="8" t="n">
        <v>0</v>
      </c>
      <c r="F348" s="8" t="n">
        <v>0</v>
      </c>
      <c r="G348" s="7" t="str">
        <f aca="false">IFERROR(INDEX('TRANS'!$B:$B,MATCH($B348,'TRANS'!$A:$A,0)),IFERROR(INDEX('TRANS'!$B:$B,MATCH(TRIM(SUBSTITUTE($B348,CHAR(160)," ")),'TRANS'!$D:$D,0)),IFERROR(INDEX('Catalog'!$A:$A,MATCH($B348,'Catalog'!$B:$B,0)),IFERROR(INDEX('Catalog'!$A:$A,MATCH(TRIM(SUBSTITUTE($B348,CHAR(160)," ")),'Catalog'!$C:$C,0)),""))))</f>
        <v/>
      </c>
      <c r="H348" s="7" t="str">
        <f aca="false">IFERROR(INDEX('TRANS'!$C:$C,MATCH($B348,'TRANS'!$A:$A,0)),IFERROR(INDEX('Catalog'!$B:$B,MATCH($G348,'Catalog'!$A:$A,0)),$B348))</f>
        <v>67812000</v>
      </c>
      <c r="I348" s="7" t="str">
        <f aca="false">IF($G348="","Unmatched","Matched")</f>
        <v>Unmatched</v>
      </c>
      <c r="J348" s="7" t="str">
        <f aca="false">IF($G348&lt;&gt;"",$G348,$B348)</f>
        <v>67812000</v>
      </c>
      <c r="K348" s="7" t="str">
        <f aca="false">IF(COUNTIF($O$2:$O$16,$A348)&gt;0,"Y","N")</f>
        <v>Y</v>
      </c>
    </row>
    <row r="349" customFormat="false" ht="15" hidden="false" customHeight="false" outlineLevel="0" collapsed="false">
      <c r="A349" s="7" t="s">
        <v>32</v>
      </c>
      <c r="B349" s="7" t="s">
        <v>184</v>
      </c>
      <c r="C349" s="8" t="n">
        <v>6</v>
      </c>
      <c r="D349" s="8" t="n">
        <v>0.23</v>
      </c>
      <c r="E349" s="8" t="n">
        <v>0</v>
      </c>
      <c r="F349" s="8" t="n">
        <v>0</v>
      </c>
      <c r="G349" s="7" t="str">
        <f aca="false">IFERROR(INDEX('TRANS'!$B:$B,MATCH($B349,'TRANS'!$A:$A,0)),IFERROR(INDEX('TRANS'!$B:$B,MATCH(TRIM(SUBSTITUTE($B349,CHAR(160)," ")),'TRANS'!$D:$D,0)),IFERROR(INDEX('Catalog'!$A:$A,MATCH($B349,'Catalog'!$B:$B,0)),IFERROR(INDEX('Catalog'!$A:$A,MATCH(TRIM(SUBSTITUTE($B349,CHAR(160)," ")),'Catalog'!$C:$C,0)),""))))</f>
        <v/>
      </c>
      <c r="H349" s="7" t="str">
        <f aca="false">IFERROR(INDEX('TRANS'!$C:$C,MATCH($B349,'TRANS'!$A:$A,0)),IFERROR(INDEX('Catalog'!$B:$B,MATCH($G349,'Catalog'!$A:$A,0)),$B349))</f>
        <v>67813000</v>
      </c>
      <c r="I349" s="7" t="str">
        <f aca="false">IF($G349="","Unmatched","Matched")</f>
        <v>Unmatched</v>
      </c>
      <c r="J349" s="7" t="str">
        <f aca="false">IF($G349&lt;&gt;"",$G349,$B349)</f>
        <v>67813000</v>
      </c>
      <c r="K349" s="7" t="str">
        <f aca="false">IF(COUNTIF($O$2:$O$16,$A349)&gt;0,"Y","N")</f>
        <v>Y</v>
      </c>
    </row>
    <row r="350" customFormat="false" ht="15" hidden="false" customHeight="false" outlineLevel="0" collapsed="false">
      <c r="A350" s="7" t="s">
        <v>32</v>
      </c>
      <c r="B350" s="7" t="s">
        <v>346</v>
      </c>
      <c r="C350" s="8" t="n">
        <v>0</v>
      </c>
      <c r="D350" s="8" t="n">
        <v>0</v>
      </c>
      <c r="E350" s="8" t="n">
        <v>10</v>
      </c>
      <c r="F350" s="8" t="n">
        <v>102.88</v>
      </c>
      <c r="G350" s="7" t="n">
        <f aca="false">IFERROR(INDEX('TRANS'!$B:$B,MATCH($B350,'TRANS'!$A:$A,0)),IFERROR(INDEX('TRANS'!$B:$B,MATCH(TRIM(SUBSTITUTE($B350,CHAR(160)," ")),'TRANS'!$D:$D,0)),IFERROR(INDEX('Catalog'!$A:$A,MATCH($B350,'Catalog'!$B:$B,0)),IFERROR(INDEX('Catalog'!$A:$A,MATCH(TRIM(SUBSTITUTE($B350,CHAR(160)," ")),'Catalog'!$C:$C,0)),""))))</f>
        <v>4422000</v>
      </c>
      <c r="H350" s="7" t="str">
        <f aca="false">IFERROR(INDEX('TRANS'!$C:$C,MATCH($B350,'TRANS'!$A:$A,0)),IFERROR(INDEX('Catalog'!$B:$B,MATCH($G350,'Catalog'!$A:$A,0)),$B350))</f>
        <v>801  תחבושת אלסטית מקררת</v>
      </c>
      <c r="I350" s="7" t="str">
        <f aca="false">IF($G350="","Unmatched","Matched")</f>
        <v>Matched</v>
      </c>
      <c r="J350" s="7" t="n">
        <f aca="false">IF($G350&lt;&gt;"",$G350,$B350)</f>
        <v>4422000</v>
      </c>
      <c r="K350" s="7" t="str">
        <f aca="false">IF(COUNTIF($O$2:$O$16,$A350)&gt;0,"Y","N")</f>
        <v>Y</v>
      </c>
    </row>
    <row r="351" customFormat="false" ht="15" hidden="false" customHeight="false" outlineLevel="0" collapsed="false">
      <c r="A351" s="7" t="s">
        <v>32</v>
      </c>
      <c r="B351" s="7" t="s">
        <v>488</v>
      </c>
      <c r="C351" s="8" t="n">
        <v>24</v>
      </c>
      <c r="D351" s="8" t="n">
        <v>227.95</v>
      </c>
      <c r="E351" s="8" t="n">
        <v>0</v>
      </c>
      <c r="F351" s="8" t="n">
        <v>0</v>
      </c>
      <c r="G351" s="7" t="n">
        <f aca="false">IFERROR(INDEX('TRANS'!$B:$B,MATCH($B351,'TRANS'!$A:$A,0)),IFERROR(INDEX('TRANS'!$B:$B,MATCH(TRIM(SUBSTITUTE($B351,CHAR(160)," ")),'TRANS'!$D:$D,0)),IFERROR(INDEX('Catalog'!$A:$A,MATCH($B351,'Catalog'!$B:$B,0)),IFERROR(INDEX('Catalog'!$A:$A,MATCH(TRIM(SUBSTITUTE($B351,CHAR(160)," ")),'Catalog'!$C:$C,0)),""))))</f>
        <v>4409011</v>
      </c>
      <c r="H351" s="7" t="str">
        <f aca="false">IFERROR(INDEX('TRANS'!$C:$C,MATCH($B351,'TRANS'!$A:$A,0)),IFERROR(INDEX('Catalog'!$B:$B,MATCH($G351,'Catalog'!$A:$A,0)),$B351))</f>
        <v>804AT-B      טייפ חבישה לספורט</v>
      </c>
      <c r="I351" s="7" t="str">
        <f aca="false">IF($G351="","Unmatched","Matched")</f>
        <v>Matched</v>
      </c>
      <c r="J351" s="7" t="n">
        <f aca="false">IF($G351&lt;&gt;"",$G351,$B351)</f>
        <v>4409011</v>
      </c>
      <c r="K351" s="7" t="str">
        <f aca="false">IF(COUNTIF($O$2:$O$16,$A351)&gt;0,"Y","N")</f>
        <v>Y</v>
      </c>
    </row>
    <row r="352" customFormat="false" ht="15" hidden="false" customHeight="false" outlineLevel="0" collapsed="false">
      <c r="A352" s="7" t="s">
        <v>32</v>
      </c>
      <c r="B352" s="7" t="s">
        <v>489</v>
      </c>
      <c r="C352" s="8" t="n">
        <v>24</v>
      </c>
      <c r="D352" s="8" t="n">
        <v>227.95</v>
      </c>
      <c r="E352" s="8" t="n">
        <v>0</v>
      </c>
      <c r="F352" s="8" t="n">
        <v>0</v>
      </c>
      <c r="G352" s="7" t="n">
        <f aca="false">IFERROR(INDEX('TRANS'!$B:$B,MATCH($B352,'TRANS'!$A:$A,0)),IFERROR(INDEX('TRANS'!$B:$B,MATCH(TRIM(SUBSTITUTE($B352,CHAR(160)," ")),'TRANS'!$D:$D,0)),IFERROR(INDEX('Catalog'!$A:$A,MATCH($B352,'Catalog'!$B:$B,0)),IFERROR(INDEX('Catalog'!$A:$A,MATCH(TRIM(SUBSTITUTE($B352,CHAR(160)," ")),'Catalog'!$C:$C,0)),""))))</f>
        <v>4409013</v>
      </c>
      <c r="H352" s="7" t="str">
        <f aca="false">IFERROR(INDEX('TRANS'!$C:$C,MATCH($B352,'TRANS'!$A:$A,0)),IFERROR(INDEX('Catalog'!$B:$B,MATCH($G352,'Catalog'!$A:$A,0)),$B352))</f>
        <v>804AT-BL     טייפ חבישה לספורט</v>
      </c>
      <c r="I352" s="7" t="str">
        <f aca="false">IF($G352="","Unmatched","Matched")</f>
        <v>Matched</v>
      </c>
      <c r="J352" s="7" t="n">
        <f aca="false">IF($G352&lt;&gt;"",$G352,$B352)</f>
        <v>4409013</v>
      </c>
      <c r="K352" s="7" t="str">
        <f aca="false">IF(COUNTIF($O$2:$O$16,$A352)&gt;0,"Y","N")</f>
        <v>Y</v>
      </c>
    </row>
    <row r="353" customFormat="false" ht="15" hidden="false" customHeight="false" outlineLevel="0" collapsed="false">
      <c r="A353" s="7" t="s">
        <v>32</v>
      </c>
      <c r="B353" s="7" t="s">
        <v>490</v>
      </c>
      <c r="C353" s="8" t="n">
        <v>44</v>
      </c>
      <c r="D353" s="8" t="n">
        <v>422.71</v>
      </c>
      <c r="E353" s="8" t="n">
        <v>0</v>
      </c>
      <c r="F353" s="8" t="n">
        <v>0</v>
      </c>
      <c r="G353" s="7" t="n">
        <f aca="false">IFERROR(INDEX('TRANS'!$B:$B,MATCH($B353,'TRANS'!$A:$A,0)),IFERROR(INDEX('TRANS'!$B:$B,MATCH(TRIM(SUBSTITUTE($B353,CHAR(160)," ")),'TRANS'!$D:$D,0)),IFERROR(INDEX('Catalog'!$A:$A,MATCH($B353,'Catalog'!$B:$B,0)),IFERROR(INDEX('Catalog'!$A:$A,MATCH(TRIM(SUBSTITUTE($B353,CHAR(160)," ")),'Catalog'!$C:$C,0)),""))))</f>
        <v>4409012</v>
      </c>
      <c r="H353" s="7" t="str">
        <f aca="false">IFERROR(INDEX('TRANS'!$C:$C,MATCH($B353,'TRANS'!$A:$A,0)),IFERROR(INDEX('Catalog'!$B:$B,MATCH($G353,'Catalog'!$A:$A,0)),$B353))</f>
        <v>804AT-C      טייפ חבישה לספורט</v>
      </c>
      <c r="I353" s="7" t="str">
        <f aca="false">IF($G353="","Unmatched","Matched")</f>
        <v>Matched</v>
      </c>
      <c r="J353" s="7" t="n">
        <f aca="false">IF($G353&lt;&gt;"",$G353,$B353)</f>
        <v>4409012</v>
      </c>
      <c r="K353" s="7" t="str">
        <f aca="false">IF(COUNTIF($O$2:$O$16,$A353)&gt;0,"Y","N")</f>
        <v>Y</v>
      </c>
    </row>
    <row r="354" customFormat="false" ht="15" hidden="false" customHeight="false" outlineLevel="0" collapsed="false">
      <c r="A354" s="7" t="s">
        <v>32</v>
      </c>
      <c r="B354" s="7" t="s">
        <v>491</v>
      </c>
      <c r="C354" s="8" t="n">
        <v>32</v>
      </c>
      <c r="D354" s="8" t="n">
        <v>326.64</v>
      </c>
      <c r="E354" s="8" t="n">
        <v>0</v>
      </c>
      <c r="F354" s="8" t="n">
        <v>0</v>
      </c>
      <c r="G354" s="7" t="n">
        <f aca="false">IFERROR(INDEX('TRANS'!$B:$B,MATCH($B354,'TRANS'!$A:$A,0)),IFERROR(INDEX('TRANS'!$B:$B,MATCH(TRIM(SUBSTITUTE($B354,CHAR(160)," ")),'TRANS'!$D:$D,0)),IFERROR(INDEX('Catalog'!$A:$A,MATCH($B354,'Catalog'!$B:$B,0)),IFERROR(INDEX('Catalog'!$A:$A,MATCH(TRIM(SUBSTITUTE($B354,CHAR(160)," ")),'Catalog'!$C:$C,0)),""))))</f>
        <v>4401012</v>
      </c>
      <c r="H354" s="7" t="str">
        <f aca="false">IFERROR(INDEX('TRANS'!$C:$C,MATCH($B354,'TRANS'!$A:$A,0)),IFERROR(INDEX('Catalog'!$B:$B,MATCH($G354,'Catalog'!$A:$A,0)),$B354))</f>
        <v>805AT-B אתלטיק טייפ שחור 20מ""""מ</v>
      </c>
      <c r="I354" s="7" t="str">
        <f aca="false">IF($G354="","Unmatched","Matched")</f>
        <v>Matched</v>
      </c>
      <c r="J354" s="7" t="n">
        <f aca="false">IF($G354&lt;&gt;"",$G354,$B354)</f>
        <v>4401012</v>
      </c>
      <c r="K354" s="7" t="str">
        <f aca="false">IF(COUNTIF($O$2:$O$16,$A354)&gt;0,"Y","N")</f>
        <v>Y</v>
      </c>
    </row>
    <row r="355" customFormat="false" ht="15" hidden="false" customHeight="false" outlineLevel="0" collapsed="false">
      <c r="A355" s="7" t="s">
        <v>32</v>
      </c>
      <c r="B355" s="7" t="s">
        <v>492</v>
      </c>
      <c r="C355" s="8" t="n">
        <v>26</v>
      </c>
      <c r="D355" s="8" t="n">
        <v>262.65</v>
      </c>
      <c r="E355" s="8" t="n">
        <v>0</v>
      </c>
      <c r="F355" s="8" t="n">
        <v>0</v>
      </c>
      <c r="G355" s="7" t="n">
        <f aca="false">IFERROR(INDEX('TRANS'!$B:$B,MATCH($B355,'TRANS'!$A:$A,0)),IFERROR(INDEX('TRANS'!$B:$B,MATCH(TRIM(SUBSTITUTE($B355,CHAR(160)," ")),'TRANS'!$D:$D,0)),IFERROR(INDEX('Catalog'!$A:$A,MATCH($B355,'Catalog'!$B:$B,0)),IFERROR(INDEX('Catalog'!$A:$A,MATCH(TRIM(SUBSTITUTE($B355,CHAR(160)," ")),'Catalog'!$C:$C,0)),""))))</f>
        <v>4401013</v>
      </c>
      <c r="H355" s="7" t="str">
        <f aca="false">IFERROR(INDEX('TRANS'!$C:$C,MATCH($B355,'TRANS'!$A:$A,0)),IFERROR(INDEX('Catalog'!$B:$B,MATCH($G355,'Catalog'!$A:$A,0)),$B355))</f>
        <v>805AT-BLאתלטיק טייפ כחול 20מ""""מ</v>
      </c>
      <c r="I355" s="7" t="str">
        <f aca="false">IF($G355="","Unmatched","Matched")</f>
        <v>Matched</v>
      </c>
      <c r="J355" s="7" t="n">
        <f aca="false">IF($G355&lt;&gt;"",$G355,$B355)</f>
        <v>4401013</v>
      </c>
      <c r="K355" s="7" t="str">
        <f aca="false">IF(COUNTIF($O$2:$O$16,$A355)&gt;0,"Y","N")</f>
        <v>Y</v>
      </c>
    </row>
    <row r="356" customFormat="false" ht="15" hidden="false" customHeight="false" outlineLevel="0" collapsed="false">
      <c r="A356" s="7" t="s">
        <v>32</v>
      </c>
      <c r="B356" s="7" t="s">
        <v>493</v>
      </c>
      <c r="C356" s="8" t="n">
        <v>20</v>
      </c>
      <c r="D356" s="8" t="n">
        <v>198.66</v>
      </c>
      <c r="E356" s="8" t="n">
        <v>20</v>
      </c>
      <c r="F356" s="8" t="n">
        <v>187.38</v>
      </c>
      <c r="G356" s="7" t="n">
        <f aca="false">IFERROR(INDEX('TRANS'!$B:$B,MATCH($B356,'TRANS'!$A:$A,0)),IFERROR(INDEX('TRANS'!$B:$B,MATCH(TRIM(SUBSTITUTE($B356,CHAR(160)," ")),'TRANS'!$D:$D,0)),IFERROR(INDEX('Catalog'!$A:$A,MATCH($B356,'Catalog'!$B:$B,0)),IFERROR(INDEX('Catalog'!$A:$A,MATCH(TRIM(SUBSTITUTE($B356,CHAR(160)," ")),'Catalog'!$C:$C,0)),""))))</f>
        <v>4401011</v>
      </c>
      <c r="H356" s="7" t="str">
        <f aca="false">IFERROR(INDEX('TRANS'!$C:$C,MATCH($B356,'TRANS'!$A:$A,0)),IFERROR(INDEX('Catalog'!$B:$B,MATCH($G356,'Catalog'!$A:$A,0)),$B356))</f>
        <v>805AT-Cאתלטיק טייפ בז' 20מ""""מ20</v>
      </c>
      <c r="I356" s="7" t="str">
        <f aca="false">IF($G356="","Unmatched","Matched")</f>
        <v>Matched</v>
      </c>
      <c r="J356" s="7" t="n">
        <f aca="false">IF($G356&lt;&gt;"",$G356,$B356)</f>
        <v>4401011</v>
      </c>
      <c r="K356" s="7" t="str">
        <f aca="false">IF(COUNTIF($O$2:$O$16,$A356)&gt;0,"Y","N")</f>
        <v>Y</v>
      </c>
    </row>
    <row r="357" customFormat="false" ht="15" hidden="false" customHeight="false" outlineLevel="0" collapsed="false">
      <c r="A357" s="7" t="s">
        <v>32</v>
      </c>
      <c r="B357" s="7" t="s">
        <v>494</v>
      </c>
      <c r="C357" s="8" t="n">
        <v>6</v>
      </c>
      <c r="D357" s="8" t="n">
        <v>63.99</v>
      </c>
      <c r="E357" s="8" t="n">
        <v>0</v>
      </c>
      <c r="F357" s="8" t="n">
        <v>0</v>
      </c>
      <c r="G357" s="7" t="n">
        <f aca="false">IFERROR(INDEX('TRANS'!$B:$B,MATCH($B357,'TRANS'!$A:$A,0)),IFERROR(INDEX('TRANS'!$B:$B,MATCH(TRIM(SUBSTITUTE($B357,CHAR(160)," ")),'TRANS'!$D:$D,0)),IFERROR(INDEX('Catalog'!$A:$A,MATCH($B357,'Catalog'!$B:$B,0)),IFERROR(INDEX('Catalog'!$A:$A,MATCH(TRIM(SUBSTITUTE($B357,CHAR(160)," ")),'Catalog'!$C:$C,0)),""))))</f>
        <v>4401014</v>
      </c>
      <c r="H357" s="7" t="str">
        <f aca="false">IFERROR(INDEX('TRANS'!$C:$C,MATCH($B357,'TRANS'!$A:$A,0)),IFERROR(INDEX('Catalog'!$B:$B,MATCH($G357,'Catalog'!$A:$A,0)),$B357))</f>
        <v>805AT-W  אתלטיק טייפ לבן 20מ""""מ</v>
      </c>
      <c r="I357" s="7" t="str">
        <f aca="false">IF($G357="","Unmatched","Matched")</f>
        <v>Matched</v>
      </c>
      <c r="J357" s="7" t="n">
        <f aca="false">IF($G357&lt;&gt;"",$G357,$B357)</f>
        <v>4401014</v>
      </c>
      <c r="K357" s="7" t="str">
        <f aca="false">IF(COUNTIF($O$2:$O$16,$A357)&gt;0,"Y","N")</f>
        <v>Y</v>
      </c>
    </row>
    <row r="358" customFormat="false" ht="15" hidden="false" customHeight="false" outlineLevel="0" collapsed="false">
      <c r="A358" s="7" t="s">
        <v>32</v>
      </c>
      <c r="B358" s="7" t="s">
        <v>347</v>
      </c>
      <c r="C358" s="8" t="n">
        <v>84</v>
      </c>
      <c r="D358" s="8" t="n">
        <v>595.13</v>
      </c>
      <c r="E358" s="8" t="n">
        <v>86</v>
      </c>
      <c r="F358" s="8" t="n">
        <v>546.12</v>
      </c>
      <c r="G358" s="7" t="n">
        <f aca="false">IFERROR(INDEX('TRANS'!$B:$B,MATCH($B358,'TRANS'!$A:$A,0)),IFERROR(INDEX('TRANS'!$B:$B,MATCH(TRIM(SUBSTITUTE($B358,CHAR(160)," ")),'TRANS'!$D:$D,0)),IFERROR(INDEX('Catalog'!$A:$A,MATCH($B358,'Catalog'!$B:$B,0)),IFERROR(INDEX('Catalog'!$A:$A,MATCH(TRIM(SUBSTITUTE($B358,CHAR(160)," ")),'Catalog'!$C:$C,0)),""))))</f>
        <v>4422024</v>
      </c>
      <c r="H358" s="7" t="str">
        <f aca="false">IFERROR(INDEX('TRANS'!$C:$C,MATCH($B358,'TRANS'!$A:$A,0)),IFERROR(INDEX('Catalog'!$B:$B,MATCH($G358,'Catalog'!$A:$A,0)),$B358))</f>
        <v>806CB-BLACK      תחבושת א.נצמ</v>
      </c>
      <c r="I358" s="7" t="str">
        <f aca="false">IF($G358="","Unmatched","Matched")</f>
        <v>Matched</v>
      </c>
      <c r="J358" s="7" t="n">
        <f aca="false">IF($G358&lt;&gt;"",$G358,$B358)</f>
        <v>4422024</v>
      </c>
      <c r="K358" s="7" t="str">
        <f aca="false">IF(COUNTIF($O$2:$O$16,$A358)&gt;0,"Y","N")</f>
        <v>Y</v>
      </c>
    </row>
    <row r="359" customFormat="false" ht="15" hidden="false" customHeight="false" outlineLevel="0" collapsed="false">
      <c r="A359" s="7" t="s">
        <v>32</v>
      </c>
      <c r="B359" s="7" t="s">
        <v>348</v>
      </c>
      <c r="C359" s="8" t="n">
        <v>48</v>
      </c>
      <c r="D359" s="8" t="n">
        <v>336.53</v>
      </c>
      <c r="E359" s="8" t="n">
        <v>60</v>
      </c>
      <c r="F359" s="8" t="n">
        <v>396.81</v>
      </c>
      <c r="G359" s="7" t="n">
        <f aca="false">IFERROR(INDEX('TRANS'!$B:$B,MATCH($B359,'TRANS'!$A:$A,0)),IFERROR(INDEX('TRANS'!$B:$B,MATCH(TRIM(SUBSTITUTE($B359,CHAR(160)," ")),'TRANS'!$D:$D,0)),IFERROR(INDEX('Catalog'!$A:$A,MATCH($B359,'Catalog'!$B:$B,0)),IFERROR(INDEX('Catalog'!$A:$A,MATCH(TRIM(SUBSTITUTE($B359,CHAR(160)," ")),'Catalog'!$C:$C,0)),""))))</f>
        <v>4422023</v>
      </c>
      <c r="H359" s="7" t="str">
        <f aca="false">IFERROR(INDEX('TRANS'!$C:$C,MATCH($B359,'TRANS'!$A:$A,0)),IFERROR(INDEX('Catalog'!$B:$B,MATCH($G359,'Catalog'!$A:$A,0)),$B359))</f>
        <v>806CB-BEIGE      תחבושת א.נצמ</v>
      </c>
      <c r="I359" s="7" t="str">
        <f aca="false">IF($G359="","Unmatched","Matched")</f>
        <v>Matched</v>
      </c>
      <c r="J359" s="7" t="n">
        <f aca="false">IF($G359&lt;&gt;"",$G359,$B359)</f>
        <v>4422023</v>
      </c>
      <c r="K359" s="7" t="str">
        <f aca="false">IF(COUNTIF($O$2:$O$16,$A359)&gt;0,"Y","N")</f>
        <v>Y</v>
      </c>
    </row>
    <row r="360" customFormat="false" ht="15" hidden="false" customHeight="false" outlineLevel="0" collapsed="false">
      <c r="A360" s="7" t="s">
        <v>32</v>
      </c>
      <c r="B360" s="7" t="s">
        <v>349</v>
      </c>
      <c r="C360" s="8" t="n">
        <v>24</v>
      </c>
      <c r="D360" s="8" t="n">
        <v>180.67</v>
      </c>
      <c r="E360" s="8" t="n">
        <v>24</v>
      </c>
      <c r="F360" s="8" t="n">
        <v>158.73</v>
      </c>
      <c r="G360" s="7" t="n">
        <f aca="false">IFERROR(INDEX('TRANS'!$B:$B,MATCH($B360,'TRANS'!$A:$A,0)),IFERROR(INDEX('TRANS'!$B:$B,MATCH(TRIM(SUBSTITUTE($B360,CHAR(160)," ")),'TRANS'!$D:$D,0)),IFERROR(INDEX('Catalog'!$A:$A,MATCH($B360,'Catalog'!$B:$B,0)),IFERROR(INDEX('Catalog'!$A:$A,MATCH(TRIM(SUBSTITUTE($B360,CHAR(160)," ")),'Catalog'!$C:$C,0)),""))))</f>
        <v>4422025</v>
      </c>
      <c r="H360" s="7" t="str">
        <f aca="false">IFERROR(INDEX('TRANS'!$C:$C,MATCH($B360,'TRANS'!$A:$A,0)),IFERROR(INDEX('Catalog'!$B:$B,MATCH($G360,'Catalog'!$A:$A,0)),$B360))</f>
        <v>806CB-GREEN      תחבושת א.נצמ</v>
      </c>
      <c r="I360" s="7" t="str">
        <f aca="false">IF($G360="","Unmatched","Matched")</f>
        <v>Matched</v>
      </c>
      <c r="J360" s="7" t="n">
        <f aca="false">IF($G360&lt;&gt;"",$G360,$B360)</f>
        <v>4422025</v>
      </c>
      <c r="K360" s="7" t="str">
        <f aca="false">IF(COUNTIF($O$2:$O$16,$A360)&gt;0,"Y","N")</f>
        <v>Y</v>
      </c>
    </row>
    <row r="361" customFormat="false" ht="15" hidden="false" customHeight="false" outlineLevel="0" collapsed="false">
      <c r="A361" s="7" t="s">
        <v>32</v>
      </c>
      <c r="B361" s="7" t="s">
        <v>350</v>
      </c>
      <c r="C361" s="8" t="n">
        <v>12</v>
      </c>
      <c r="D361" s="8" t="n">
        <v>82.06</v>
      </c>
      <c r="E361" s="8" t="n">
        <v>12</v>
      </c>
      <c r="F361" s="8" t="n">
        <v>79.36</v>
      </c>
      <c r="G361" s="7" t="n">
        <f aca="false">IFERROR(INDEX('TRANS'!$B:$B,MATCH($B361,'TRANS'!$A:$A,0)),IFERROR(INDEX('TRANS'!$B:$B,MATCH(TRIM(SUBSTITUTE($B361,CHAR(160)," ")),'TRANS'!$D:$D,0)),IFERROR(INDEX('Catalog'!$A:$A,MATCH($B361,'Catalog'!$B:$B,0)),IFERROR(INDEX('Catalog'!$A:$A,MATCH(TRIM(SUBSTITUTE($B361,CHAR(160)," ")),'Catalog'!$C:$C,0)),""))))</f>
        <v>4422026</v>
      </c>
      <c r="H361" s="7" t="str">
        <f aca="false">IFERROR(INDEX('TRANS'!$C:$C,MATCH($B361,'TRANS'!$A:$A,0)),IFERROR(INDEX('Catalog'!$B:$B,MATCH($G361,'Catalog'!$A:$A,0)),$B361))</f>
        <v>806CB-PINK       תחבושת א.נצמ</v>
      </c>
      <c r="I361" s="7" t="str">
        <f aca="false">IF($G361="","Unmatched","Matched")</f>
        <v>Matched</v>
      </c>
      <c r="J361" s="7" t="n">
        <f aca="false">IF($G361&lt;&gt;"",$G361,$B361)</f>
        <v>4422026</v>
      </c>
      <c r="K361" s="7" t="str">
        <f aca="false">IF(COUNTIF($O$2:$O$16,$A361)&gt;0,"Y","N")</f>
        <v>Y</v>
      </c>
    </row>
    <row r="362" customFormat="false" ht="15" hidden="false" customHeight="false" outlineLevel="0" collapsed="false">
      <c r="A362" s="7" t="s">
        <v>32</v>
      </c>
      <c r="B362" s="7" t="s">
        <v>351</v>
      </c>
      <c r="C362" s="8" t="n">
        <v>60</v>
      </c>
      <c r="D362" s="8" t="n">
        <v>829.68</v>
      </c>
      <c r="E362" s="8" t="n">
        <v>0</v>
      </c>
      <c r="F362" s="8" t="n">
        <v>0</v>
      </c>
      <c r="G362" s="7" t="n">
        <f aca="false">IFERROR(INDEX('TRANS'!$B:$B,MATCH($B362,'TRANS'!$A:$A,0)),IFERROR(INDEX('TRANS'!$B:$B,MATCH(TRIM(SUBSTITUTE($B362,CHAR(160)," ")),'TRANS'!$D:$D,0)),IFERROR(INDEX('Catalog'!$A:$A,MATCH($B362,'Catalog'!$B:$B,0)),IFERROR(INDEX('Catalog'!$A:$A,MATCH(TRIM(SUBSTITUTE($B362,CHAR(160)," ")),'Catalog'!$C:$C,0)),""))))</f>
        <v>4409017</v>
      </c>
      <c r="H362" s="7" t="str">
        <f aca="false">IFERROR(INDEX('TRANS'!$C:$C,MATCH($B362,'TRANS'!$A:$A,0)),IFERROR(INDEX('Catalog'!$B:$B,MATCH($G362,'Catalog'!$A:$A,0)),$B362))</f>
        <v>808KT-B        טייפ קינזיולוגי</v>
      </c>
      <c r="I362" s="7" t="str">
        <f aca="false">IF($G362="","Unmatched","Matched")</f>
        <v>Matched</v>
      </c>
      <c r="J362" s="7" t="n">
        <f aca="false">IF($G362&lt;&gt;"",$G362,$B362)</f>
        <v>4409017</v>
      </c>
      <c r="K362" s="7" t="str">
        <f aca="false">IF(COUNTIF($O$2:$O$16,$A362)&gt;0,"Y","N")</f>
        <v>Y</v>
      </c>
    </row>
    <row r="363" customFormat="false" ht="15" hidden="false" customHeight="false" outlineLevel="0" collapsed="false">
      <c r="A363" s="7" t="s">
        <v>32</v>
      </c>
      <c r="B363" s="7" t="s">
        <v>352</v>
      </c>
      <c r="C363" s="8" t="n">
        <v>120</v>
      </c>
      <c r="D363" s="8" t="n">
        <v>1720.49</v>
      </c>
      <c r="E363" s="8" t="n">
        <v>0</v>
      </c>
      <c r="F363" s="8" t="n">
        <v>0</v>
      </c>
      <c r="G363" s="7" t="n">
        <f aca="false">IFERROR(INDEX('TRANS'!$B:$B,MATCH($B363,'TRANS'!$A:$A,0)),IFERROR(INDEX('TRANS'!$B:$B,MATCH(TRIM(SUBSTITUTE($B363,CHAR(160)," ")),'TRANS'!$D:$D,0)),IFERROR(INDEX('Catalog'!$A:$A,MATCH($B363,'Catalog'!$B:$B,0)),IFERROR(INDEX('Catalog'!$A:$A,MATCH(TRIM(SUBSTITUTE($B363,CHAR(160)," ")),'Catalog'!$C:$C,0)),""))))</f>
        <v>4409015</v>
      </c>
      <c r="H363" s="7" t="str">
        <f aca="false">IFERROR(INDEX('TRANS'!$C:$C,MATCH($B363,'TRANS'!$A:$A,0)),IFERROR(INDEX('Catalog'!$B:$B,MATCH($G363,'Catalog'!$A:$A,0)),$B363))</f>
        <v>808KT-BL       טייפ קינזיולוגי</v>
      </c>
      <c r="I363" s="7" t="str">
        <f aca="false">IF($G363="","Unmatched","Matched")</f>
        <v>Matched</v>
      </c>
      <c r="J363" s="7" t="n">
        <f aca="false">IF($G363&lt;&gt;"",$G363,$B363)</f>
        <v>4409015</v>
      </c>
      <c r="K363" s="7" t="str">
        <f aca="false">IF(COUNTIF($O$2:$O$16,$A363)&gt;0,"Y","N")</f>
        <v>Y</v>
      </c>
    </row>
    <row r="364" customFormat="false" ht="15" hidden="false" customHeight="false" outlineLevel="0" collapsed="false">
      <c r="A364" s="7" t="s">
        <v>32</v>
      </c>
      <c r="B364" s="7" t="s">
        <v>353</v>
      </c>
      <c r="C364" s="8" t="n">
        <v>120</v>
      </c>
      <c r="D364" s="8" t="n">
        <v>1720.49</v>
      </c>
      <c r="E364" s="8" t="n">
        <v>0</v>
      </c>
      <c r="F364" s="8" t="n">
        <v>0</v>
      </c>
      <c r="G364" s="7" t="n">
        <f aca="false">IFERROR(INDEX('TRANS'!$B:$B,MATCH($B364,'TRANS'!$A:$A,0)),IFERROR(INDEX('TRANS'!$B:$B,MATCH(TRIM(SUBSTITUTE($B364,CHAR(160)," ")),'TRANS'!$D:$D,0)),IFERROR(INDEX('Catalog'!$A:$A,MATCH($B364,'Catalog'!$B:$B,0)),IFERROR(INDEX('Catalog'!$A:$A,MATCH(TRIM(SUBSTITUTE($B364,CHAR(160)," ")),'Catalog'!$C:$C,0)),""))))</f>
        <v>4409016</v>
      </c>
      <c r="H364" s="7" t="str">
        <f aca="false">IFERROR(INDEX('TRANS'!$C:$C,MATCH($B364,'TRANS'!$A:$A,0)),IFERROR(INDEX('Catalog'!$B:$B,MATCH($G364,'Catalog'!$A:$A,0)),$B364))</f>
        <v>808KT-C        טייפ קינזיולוגי</v>
      </c>
      <c r="I364" s="7" t="str">
        <f aca="false">IF($G364="","Unmatched","Matched")</f>
        <v>Matched</v>
      </c>
      <c r="J364" s="7" t="n">
        <f aca="false">IF($G364&lt;&gt;"",$G364,$B364)</f>
        <v>4409016</v>
      </c>
      <c r="K364" s="7" t="str">
        <f aca="false">IF(COUNTIF($O$2:$O$16,$A364)&gt;0,"Y","N")</f>
        <v>Y</v>
      </c>
    </row>
    <row r="365" customFormat="false" ht="15" hidden="false" customHeight="false" outlineLevel="0" collapsed="false">
      <c r="A365" s="7" t="s">
        <v>32</v>
      </c>
      <c r="B365" s="7" t="s">
        <v>81</v>
      </c>
      <c r="C365" s="8" t="n">
        <v>40</v>
      </c>
      <c r="D365" s="8" t="n">
        <v>1252.59</v>
      </c>
      <c r="E365" s="8" t="n">
        <v>30</v>
      </c>
      <c r="F365" s="8" t="n">
        <v>840.14</v>
      </c>
      <c r="G365" s="7" t="str">
        <f aca="false">IFERROR(INDEX('TRANS'!$B:$B,MATCH($B365,'TRANS'!$A:$A,0)),IFERROR(INDEX('TRANS'!$B:$B,MATCH(TRIM(SUBSTITUTE($B365,CHAR(160)," ")),'TRANS'!$D:$D,0)),IFERROR(INDEX('Catalog'!$A:$A,MATCH($B365,'Catalog'!$B:$B,0)),IFERROR(INDEX('Catalog'!$A:$A,MATCH(TRIM(SUBSTITUTE($B365,CHAR(160)," ")),'Catalog'!$C:$C,0)),""))))</f>
        <v/>
      </c>
      <c r="H365" s="7" t="str">
        <f aca="false">IFERROR(INDEX('TRANS'!$C:$C,MATCH($B365,'TRANS'!$A:$A,0)),IFERROR(INDEX('Catalog'!$B:$B,MATCH($G365,'Catalog'!$A:$A,0)),$B365))</f>
        <v>82 0</v>
      </c>
      <c r="I365" s="7" t="str">
        <f aca="false">IF($G365="","Unmatched","Matched")</f>
        <v>Unmatched</v>
      </c>
      <c r="J365" s="7" t="str">
        <f aca="false">IF($G365&lt;&gt;"",$G365,$B365)</f>
        <v>82 0</v>
      </c>
      <c r="K365" s="7" t="str">
        <f aca="false">IF(COUNTIF($O$2:$O$16,$A365)&gt;0,"Y","N")</f>
        <v>Y</v>
      </c>
    </row>
    <row r="366" customFormat="false" ht="15" hidden="false" customHeight="false" outlineLevel="0" collapsed="false">
      <c r="A366" s="7" t="s">
        <v>32</v>
      </c>
      <c r="B366" s="7" t="s">
        <v>355</v>
      </c>
      <c r="C366" s="8" t="n">
        <v>30</v>
      </c>
      <c r="D366" s="8" t="n">
        <v>669</v>
      </c>
      <c r="E366" s="8" t="n">
        <v>6</v>
      </c>
      <c r="F366" s="8" t="n">
        <v>112.94</v>
      </c>
      <c r="G366" s="7" t="n">
        <f aca="false">IFERROR(INDEX('TRANS'!$B:$B,MATCH($B366,'TRANS'!$A:$A,0)),IFERROR(INDEX('TRANS'!$B:$B,MATCH(TRIM(SUBSTITUTE($B366,CHAR(160)," ")),'TRANS'!$D:$D,0)),IFERROR(INDEX('Catalog'!$A:$A,MATCH($B366,'Catalog'!$B:$B,0)),IFERROR(INDEX('Catalog'!$A:$A,MATCH(TRIM(SUBSTITUTE($B366,CHAR(160)," ")),'Catalog'!$C:$C,0)),""))))</f>
        <v>4413135</v>
      </c>
      <c r="H366" s="7" t="str">
        <f aca="false">IFERROR(INDEX('TRANS'!$C:$C,MATCH($B366,'TRANS'!$A:$A,0)),IFERROR(INDEX('Catalog'!$B:$B,MATCH($G366,'Catalog'!$A:$A,0)),$B366))</f>
        <v>85 L (מתלה ליד )כיס</v>
      </c>
      <c r="I366" s="7" t="str">
        <f aca="false">IF($G366="","Unmatched","Matched")</f>
        <v>Matched</v>
      </c>
      <c r="J366" s="7" t="n">
        <f aca="false">IF($G366&lt;&gt;"",$G366,$B366)</f>
        <v>4413135</v>
      </c>
      <c r="K366" s="7" t="str">
        <f aca="false">IF(COUNTIF($O$2:$O$16,$A366)&gt;0,"Y","N")</f>
        <v>Y</v>
      </c>
    </row>
    <row r="367" customFormat="false" ht="15" hidden="false" customHeight="false" outlineLevel="0" collapsed="false">
      <c r="A367" s="7" t="s">
        <v>32</v>
      </c>
      <c r="B367" s="7" t="s">
        <v>356</v>
      </c>
      <c r="C367" s="8" t="n">
        <v>20</v>
      </c>
      <c r="D367" s="8" t="n">
        <v>423.2</v>
      </c>
      <c r="E367" s="8" t="n">
        <v>16</v>
      </c>
      <c r="F367" s="8" t="n">
        <v>301.18</v>
      </c>
      <c r="G367" s="7" t="n">
        <f aca="false">IFERROR(INDEX('TRANS'!$B:$B,MATCH($B367,'TRANS'!$A:$A,0)),IFERROR(INDEX('TRANS'!$B:$B,MATCH(TRIM(SUBSTITUTE($B367,CHAR(160)," ")),'TRANS'!$D:$D,0)),IFERROR(INDEX('Catalog'!$A:$A,MATCH($B367,'Catalog'!$B:$B,0)),IFERROR(INDEX('Catalog'!$A:$A,MATCH(TRIM(SUBSTITUTE($B367,CHAR(160)," ")),'Catalog'!$C:$C,0)),""))))</f>
        <v>4413136</v>
      </c>
      <c r="H367" s="7" t="str">
        <f aca="false">IFERROR(INDEX('TRANS'!$C:$C,MATCH($B367,'TRANS'!$A:$A,0)),IFERROR(INDEX('Catalog'!$B:$B,MATCH($G367,'Catalog'!$A:$A,0)),$B367))</f>
        <v>85 M (מתלה ליד )כיס</v>
      </c>
      <c r="I367" s="7" t="str">
        <f aca="false">IF($G367="","Unmatched","Matched")</f>
        <v>Matched</v>
      </c>
      <c r="J367" s="7" t="n">
        <f aca="false">IF($G367&lt;&gt;"",$G367,$B367)</f>
        <v>4413136</v>
      </c>
      <c r="K367" s="7" t="str">
        <f aca="false">IF(COUNTIF($O$2:$O$16,$A367)&gt;0,"Y","N")</f>
        <v>Y</v>
      </c>
    </row>
    <row r="368" customFormat="false" ht="15" hidden="false" customHeight="false" outlineLevel="0" collapsed="false">
      <c r="A368" s="7" t="s">
        <v>32</v>
      </c>
      <c r="B368" s="7" t="s">
        <v>357</v>
      </c>
      <c r="C368" s="8" t="n">
        <v>6</v>
      </c>
      <c r="D368" s="8" t="n">
        <v>128.54</v>
      </c>
      <c r="E368" s="8" t="n">
        <v>10</v>
      </c>
      <c r="F368" s="8" t="n">
        <v>202.08</v>
      </c>
      <c r="G368" s="7" t="n">
        <f aca="false">IFERROR(INDEX('TRANS'!$B:$B,MATCH($B368,'TRANS'!$A:$A,0)),IFERROR(INDEX('TRANS'!$B:$B,MATCH(TRIM(SUBSTITUTE($B368,CHAR(160)," ")),'TRANS'!$D:$D,0)),IFERROR(INDEX('Catalog'!$A:$A,MATCH($B368,'Catalog'!$B:$B,0)),IFERROR(INDEX('Catalog'!$A:$A,MATCH(TRIM(SUBSTITUTE($B368,CHAR(160)," ")),'Catalog'!$C:$C,0)),""))))</f>
        <v>4413137</v>
      </c>
      <c r="H368" s="7" t="str">
        <f aca="false">IFERROR(INDEX('TRANS'!$C:$C,MATCH($B368,'TRANS'!$A:$A,0)),IFERROR(INDEX('Catalog'!$B:$B,MATCH($G368,'Catalog'!$A:$A,0)),$B368))</f>
        <v>85 S (מתלה ליד )כיס</v>
      </c>
      <c r="I368" s="7" t="str">
        <f aca="false">IF($G368="","Unmatched","Matched")</f>
        <v>Matched</v>
      </c>
      <c r="J368" s="7" t="n">
        <f aca="false">IF($G368&lt;&gt;"",$G368,$B368)</f>
        <v>4413137</v>
      </c>
      <c r="K368" s="7" t="str">
        <f aca="false">IF(COUNTIF($O$2:$O$16,$A368)&gt;0,"Y","N")</f>
        <v>Y</v>
      </c>
    </row>
    <row r="369" customFormat="false" ht="15" hidden="false" customHeight="false" outlineLevel="0" collapsed="false">
      <c r="A369" s="7" t="s">
        <v>32</v>
      </c>
      <c r="B369" s="7" t="s">
        <v>358</v>
      </c>
      <c r="C369" s="8" t="n">
        <v>0</v>
      </c>
      <c r="D369" s="8" t="n">
        <v>0</v>
      </c>
      <c r="E369" s="8" t="n">
        <v>13</v>
      </c>
      <c r="F369" s="8" t="n">
        <v>258.55</v>
      </c>
      <c r="G369" s="7" t="n">
        <f aca="false">IFERROR(INDEX('TRANS'!$B:$B,MATCH($B369,'TRANS'!$A:$A,0)),IFERROR(INDEX('TRANS'!$B:$B,MATCH(TRIM(SUBSTITUTE($B369,CHAR(160)," ")),'TRANS'!$D:$D,0)),IFERROR(INDEX('Catalog'!$A:$A,MATCH($B369,'Catalog'!$B:$B,0)),IFERROR(INDEX('Catalog'!$A:$A,MATCH(TRIM(SUBSTITUTE($B369,CHAR(160)," ")),'Catalog'!$C:$C,0)),""))))</f>
        <v>4413138</v>
      </c>
      <c r="H369" s="7" t="str">
        <f aca="false">IFERROR(INDEX('TRANS'!$C:$C,MATCH($B369,'TRANS'!$A:$A,0)),IFERROR(INDEX('Catalog'!$B:$B,MATCH($G369,'Catalog'!$A:$A,0)),$B369))</f>
        <v>85 XL (מתלה ליד )כיס</v>
      </c>
      <c r="I369" s="7" t="str">
        <f aca="false">IF($G369="","Unmatched","Matched")</f>
        <v>Matched</v>
      </c>
      <c r="J369" s="7" t="n">
        <f aca="false">IF($G369&lt;&gt;"",$G369,$B369)</f>
        <v>4413138</v>
      </c>
      <c r="K369" s="7" t="str">
        <f aca="false">IF(COUNTIF($O$2:$O$16,$A369)&gt;0,"Y","N")</f>
        <v>Y</v>
      </c>
    </row>
    <row r="370" customFormat="false" ht="15" hidden="false" customHeight="false" outlineLevel="0" collapsed="false">
      <c r="A370" s="7" t="s">
        <v>32</v>
      </c>
      <c r="B370" s="7" t="s">
        <v>359</v>
      </c>
      <c r="C370" s="8" t="n">
        <v>10</v>
      </c>
      <c r="D370" s="8" t="n">
        <v>277.34</v>
      </c>
      <c r="E370" s="8" t="n">
        <v>0</v>
      </c>
      <c r="F370" s="8" t="n">
        <v>0</v>
      </c>
      <c r="G370" s="7" t="n">
        <f aca="false">IFERROR(INDEX('TRANS'!$B:$B,MATCH($B370,'TRANS'!$A:$A,0)),IFERROR(INDEX('TRANS'!$B:$B,MATCH(TRIM(SUBSTITUTE($B370,CHAR(160)," ")),'TRANS'!$D:$D,0)),IFERROR(INDEX('Catalog'!$A:$A,MATCH($B370,'Catalog'!$B:$B,0)),IFERROR(INDEX('Catalog'!$A:$A,MATCH(TRIM(SUBSTITUTE($B370,CHAR(160)," ")),'Catalog'!$C:$C,0)),""))))</f>
        <v>4413455</v>
      </c>
      <c r="H370" s="7" t="str">
        <f aca="false">IFERROR(INDEX('TRANS'!$C:$C,MATCH($B370,'TRANS'!$A:$A,0)),IFERROR(INDEX('Catalog'!$B:$B,MATCH($G370,'Catalog'!$A:$A,0)),$B370))</f>
        <v>85K מתלה ליד לילדים</v>
      </c>
      <c r="I370" s="7" t="str">
        <f aca="false">IF($G370="","Unmatched","Matched")</f>
        <v>Matched</v>
      </c>
      <c r="J370" s="7" t="n">
        <f aca="false">IF($G370&lt;&gt;"",$G370,$B370)</f>
        <v>4413455</v>
      </c>
      <c r="K370" s="7" t="str">
        <f aca="false">IF(COUNTIF($O$2:$O$16,$A370)&gt;0,"Y","N")</f>
        <v>Y</v>
      </c>
    </row>
    <row r="371" customFormat="false" ht="15" hidden="false" customHeight="false" outlineLevel="0" collapsed="false">
      <c r="A371" s="7" t="s">
        <v>32</v>
      </c>
      <c r="B371" s="7" t="s">
        <v>495</v>
      </c>
      <c r="C371" s="8" t="n">
        <v>45</v>
      </c>
      <c r="D371" s="8" t="n">
        <v>2127.83</v>
      </c>
      <c r="E371" s="8" t="n">
        <v>0</v>
      </c>
      <c r="F371" s="8" t="n">
        <v>0</v>
      </c>
      <c r="G371" s="7" t="n">
        <f aca="false">IFERROR(INDEX('TRANS'!$B:$B,MATCH($B371,'TRANS'!$A:$A,0)),IFERROR(INDEX('TRANS'!$B:$B,MATCH(TRIM(SUBSTITUTE($B371,CHAR(160)," ")),'TRANS'!$D:$D,0)),IFERROR(INDEX('Catalog'!$A:$A,MATCH($B371,'Catalog'!$B:$B,0)),IFERROR(INDEX('Catalog'!$A:$A,MATCH(TRIM(SUBSTITUTE($B371,CHAR(160)," ")),'Catalog'!$C:$C,0)),""))))</f>
        <v>4408266</v>
      </c>
      <c r="H371" s="7" t="str">
        <f aca="false">IFERROR(INDEX('TRANS'!$C:$C,MATCH($B371,'TRANS'!$A:$A,0)),IFERROR(INDEX('Catalog'!$B:$B,MATCH($G371,'Catalog'!$A:$A,0)),$B371))</f>
        <v>91B חבק טניס אלבו</v>
      </c>
      <c r="I371" s="7" t="str">
        <f aca="false">IF($G371="","Unmatched","Matched")</f>
        <v>Matched</v>
      </c>
      <c r="J371" s="7" t="n">
        <f aca="false">IF($G371&lt;&gt;"",$G371,$B371)</f>
        <v>4408266</v>
      </c>
      <c r="K371" s="7" t="str">
        <f aca="false">IF(COUNTIF($O$2:$O$16,$A371)&gt;0,"Y","N")</f>
        <v>Y</v>
      </c>
    </row>
    <row r="372" customFormat="false" ht="15" hidden="false" customHeight="false" outlineLevel="0" collapsed="false">
      <c r="A372" s="7" t="s">
        <v>32</v>
      </c>
      <c r="B372" s="7" t="s">
        <v>185</v>
      </c>
      <c r="C372" s="8" t="n">
        <v>3</v>
      </c>
      <c r="D372" s="8" t="n">
        <v>213.92</v>
      </c>
      <c r="E372" s="8" t="n">
        <v>0</v>
      </c>
      <c r="F372" s="8" t="n">
        <v>0</v>
      </c>
      <c r="G372" s="7" t="str">
        <f aca="false">IFERROR(INDEX('TRANS'!$B:$B,MATCH($B372,'TRANS'!$A:$A,0)),IFERROR(INDEX('TRANS'!$B:$B,MATCH(TRIM(SUBSTITUTE($B372,CHAR(160)," ")),'TRANS'!$D:$D,0)),IFERROR(INDEX('Catalog'!$A:$A,MATCH($B372,'Catalog'!$B:$B,0)),IFERROR(INDEX('Catalog'!$A:$A,MATCH(TRIM(SUBSTITUTE($B372,CHAR(160)," ")),'Catalog'!$C:$C,0)),""))))</f>
        <v/>
      </c>
      <c r="H372" s="7" t="str">
        <f aca="false">IFERROR(INDEX('TRANS'!$C:$C,MATCH($B372,'TRANS'!$A:$A,0)),IFERROR(INDEX('Catalog'!$B:$B,MATCH($G372,'Catalog'!$A:$A,0)),$B372))</f>
        <v>922 S</v>
      </c>
      <c r="I372" s="7" t="str">
        <f aca="false">IF($G372="","Unmatched","Matched")</f>
        <v>Unmatched</v>
      </c>
      <c r="J372" s="7" t="str">
        <f aca="false">IF($G372&lt;&gt;"",$G372,$B372)</f>
        <v>922 S</v>
      </c>
      <c r="K372" s="7" t="str">
        <f aca="false">IF(COUNTIF($O$2:$O$16,$A372)&gt;0,"Y","N")</f>
        <v>Y</v>
      </c>
    </row>
    <row r="373" customFormat="false" ht="15" hidden="false" customHeight="false" outlineLevel="0" collapsed="false">
      <c r="A373" s="7" t="s">
        <v>32</v>
      </c>
      <c r="B373" s="7" t="s">
        <v>186</v>
      </c>
      <c r="C373" s="8" t="n">
        <v>1</v>
      </c>
      <c r="D373" s="8" t="n">
        <v>71.31</v>
      </c>
      <c r="E373" s="8" t="n">
        <v>0</v>
      </c>
      <c r="F373" s="8" t="n">
        <v>0</v>
      </c>
      <c r="G373" s="7" t="str">
        <f aca="false">IFERROR(INDEX('TRANS'!$B:$B,MATCH($B373,'TRANS'!$A:$A,0)),IFERROR(INDEX('TRANS'!$B:$B,MATCH(TRIM(SUBSTITUTE($B373,CHAR(160)," ")),'TRANS'!$D:$D,0)),IFERROR(INDEX('Catalog'!$A:$A,MATCH($B373,'Catalog'!$B:$B,0)),IFERROR(INDEX('Catalog'!$A:$A,MATCH(TRIM(SUBSTITUTE($B373,CHAR(160)," ")),'Catalog'!$C:$C,0)),""))))</f>
        <v/>
      </c>
      <c r="H373" s="7" t="str">
        <f aca="false">IFERROR(INDEX('TRANS'!$C:$C,MATCH($B373,'TRANS'!$A:$A,0)),IFERROR(INDEX('Catalog'!$B:$B,MATCH($G373,'Catalog'!$A:$A,0)),$B373))</f>
        <v>922 XXL</v>
      </c>
      <c r="I373" s="7" t="str">
        <f aca="false">IF($G373="","Unmatched","Matched")</f>
        <v>Unmatched</v>
      </c>
      <c r="J373" s="7" t="str">
        <f aca="false">IF($G373&lt;&gt;"",$G373,$B373)</f>
        <v>922 XXL</v>
      </c>
      <c r="K373" s="7" t="str">
        <f aca="false">IF(COUNTIF($O$2:$O$16,$A373)&gt;0,"Y","N")</f>
        <v>Y</v>
      </c>
    </row>
    <row r="374" customFormat="false" ht="15" hidden="false" customHeight="false" outlineLevel="0" collapsed="false">
      <c r="A374" s="7" t="s">
        <v>32</v>
      </c>
      <c r="B374" s="7" t="s">
        <v>360</v>
      </c>
      <c r="C374" s="8" t="n">
        <v>6</v>
      </c>
      <c r="D374" s="8" t="n">
        <v>67.25</v>
      </c>
      <c r="E374" s="8" t="n">
        <v>0</v>
      </c>
      <c r="F374" s="8" t="n">
        <v>0</v>
      </c>
      <c r="G374" s="7" t="n">
        <f aca="false">IFERROR(INDEX('TRANS'!$B:$B,MATCH($B374,'TRANS'!$A:$A,0)),IFERROR(INDEX('TRANS'!$B:$B,MATCH(TRIM(SUBSTITUTE($B374,CHAR(160)," ")),'TRANS'!$D:$D,0)),IFERROR(INDEX('Catalog'!$A:$A,MATCH($B374,'Catalog'!$B:$B,0)),IFERROR(INDEX('Catalog'!$A:$A,MATCH(TRIM(SUBSTITUTE($B374,CHAR(160)," ")),'Catalog'!$C:$C,0)),""))))</f>
        <v>4413139</v>
      </c>
      <c r="H374" s="7" t="str">
        <f aca="false">IFERROR(INDEX('TRANS'!$C:$C,MATCH($B374,'TRANS'!$A:$A,0)),IFERROR(INDEX('Catalog'!$B:$B,MATCH($G374,'Catalog'!$A:$A,0)),$B374))</f>
        <v>95 L מגן מרפק רגיל לבן</v>
      </c>
      <c r="I374" s="7" t="str">
        <f aca="false">IF($G374="","Unmatched","Matched")</f>
        <v>Matched</v>
      </c>
      <c r="J374" s="7" t="n">
        <f aca="false">IF($G374&lt;&gt;"",$G374,$B374)</f>
        <v>4413139</v>
      </c>
      <c r="K374" s="7" t="str">
        <f aca="false">IF(COUNTIF($O$2:$O$16,$A374)&gt;0,"Y","N")</f>
        <v>Y</v>
      </c>
    </row>
    <row r="375" customFormat="false" ht="15" hidden="false" customHeight="false" outlineLevel="0" collapsed="false">
      <c r="A375" s="7" t="s">
        <v>32</v>
      </c>
      <c r="B375" s="7" t="s">
        <v>361</v>
      </c>
      <c r="C375" s="8" t="n">
        <v>13</v>
      </c>
      <c r="D375" s="8" t="n">
        <v>151.92</v>
      </c>
      <c r="E375" s="8" t="n">
        <v>0</v>
      </c>
      <c r="F375" s="8" t="n">
        <v>0</v>
      </c>
      <c r="G375" s="7" t="n">
        <f aca="false">IFERROR(INDEX('TRANS'!$B:$B,MATCH($B375,'TRANS'!$A:$A,0)),IFERROR(INDEX('TRANS'!$B:$B,MATCH(TRIM(SUBSTITUTE($B375,CHAR(160)," ")),'TRANS'!$D:$D,0)),IFERROR(INDEX('Catalog'!$A:$A,MATCH($B375,'Catalog'!$B:$B,0)),IFERROR(INDEX('Catalog'!$A:$A,MATCH(TRIM(SUBSTITUTE($B375,CHAR(160)," ")),'Catalog'!$C:$C,0)),""))))</f>
        <v>4413140</v>
      </c>
      <c r="H375" s="7" t="str">
        <f aca="false">IFERROR(INDEX('TRANS'!$C:$C,MATCH($B375,'TRANS'!$A:$A,0)),IFERROR(INDEX('Catalog'!$B:$B,MATCH($G375,'Catalog'!$A:$A,0)),$B375))</f>
        <v>95 M מגן מרפק רגיל לבן</v>
      </c>
      <c r="I375" s="7" t="str">
        <f aca="false">IF($G375="","Unmatched","Matched")</f>
        <v>Matched</v>
      </c>
      <c r="J375" s="7" t="n">
        <f aca="false">IF($G375&lt;&gt;"",$G375,$B375)</f>
        <v>4413140</v>
      </c>
      <c r="K375" s="7" t="str">
        <f aca="false">IF(COUNTIF($O$2:$O$16,$A375)&gt;0,"Y","N")</f>
        <v>Y</v>
      </c>
    </row>
    <row r="376" customFormat="false" ht="15" hidden="false" customHeight="false" outlineLevel="0" collapsed="false">
      <c r="A376" s="7" t="s">
        <v>32</v>
      </c>
      <c r="B376" s="7" t="s">
        <v>362</v>
      </c>
      <c r="C376" s="8" t="n">
        <v>3</v>
      </c>
      <c r="D376" s="8" t="n">
        <v>34.47</v>
      </c>
      <c r="E376" s="8" t="n">
        <v>0</v>
      </c>
      <c r="F376" s="8" t="n">
        <v>0</v>
      </c>
      <c r="G376" s="7" t="n">
        <f aca="false">IFERROR(INDEX('TRANS'!$B:$B,MATCH($B376,'TRANS'!$A:$A,0)),IFERROR(INDEX('TRANS'!$B:$B,MATCH(TRIM(SUBSTITUTE($B376,CHAR(160)," ")),'TRANS'!$D:$D,0)),IFERROR(INDEX('Catalog'!$A:$A,MATCH($B376,'Catalog'!$B:$B,0)),IFERROR(INDEX('Catalog'!$A:$A,MATCH(TRIM(SUBSTITUTE($B376,CHAR(160)," ")),'Catalog'!$C:$C,0)),""))))</f>
        <v>4413141</v>
      </c>
      <c r="H376" s="7" t="str">
        <f aca="false">IFERROR(INDEX('TRANS'!$C:$C,MATCH($B376,'TRANS'!$A:$A,0)),IFERROR(INDEX('Catalog'!$B:$B,MATCH($G376,'Catalog'!$A:$A,0)),$B376))</f>
        <v>95 S מגן מרפק רגיל לבן</v>
      </c>
      <c r="I376" s="7" t="str">
        <f aca="false">IF($G376="","Unmatched","Matched")</f>
        <v>Matched</v>
      </c>
      <c r="J376" s="7" t="n">
        <f aca="false">IF($G376&lt;&gt;"",$G376,$B376)</f>
        <v>4413141</v>
      </c>
      <c r="K376" s="7" t="str">
        <f aca="false">IF(COUNTIF($O$2:$O$16,$A376)&gt;0,"Y","N")</f>
        <v>Y</v>
      </c>
    </row>
    <row r="377" customFormat="false" ht="15" hidden="false" customHeight="false" outlineLevel="0" collapsed="false">
      <c r="A377" s="7" t="s">
        <v>32</v>
      </c>
      <c r="B377" s="7" t="s">
        <v>496</v>
      </c>
      <c r="C377" s="8" t="n">
        <v>6</v>
      </c>
      <c r="D377" s="8" t="n">
        <v>67.25</v>
      </c>
      <c r="E377" s="8" t="n">
        <v>0</v>
      </c>
      <c r="F377" s="8" t="n">
        <v>0</v>
      </c>
      <c r="G377" s="7" t="n">
        <f aca="false">IFERROR(INDEX('TRANS'!$B:$B,MATCH($B377,'TRANS'!$A:$A,0)),IFERROR(INDEX('TRANS'!$B:$B,MATCH(TRIM(SUBSTITUTE($B377,CHAR(160)," ")),'TRANS'!$D:$D,0)),IFERROR(INDEX('Catalog'!$A:$A,MATCH($B377,'Catalog'!$B:$B,0)),IFERROR(INDEX('Catalog'!$A:$A,MATCH(TRIM(SUBSTITUTE($B377,CHAR(160)," ")),'Catalog'!$C:$C,0)),""))))</f>
        <v>4413144</v>
      </c>
      <c r="H377" s="7" t="str">
        <f aca="false">IFERROR(INDEX('TRANS'!$C:$C,MATCH($B377,'TRANS'!$A:$A,0)),IFERROR(INDEX('Catalog'!$B:$B,MATCH($G377,'Catalog'!$A:$A,0)),$B377))</f>
        <v>95 XXL מגן מרפק רגיל לבן</v>
      </c>
      <c r="I377" s="7" t="str">
        <f aca="false">IF($G377="","Unmatched","Matched")</f>
        <v>Matched</v>
      </c>
      <c r="J377" s="7" t="n">
        <f aca="false">IF($G377&lt;&gt;"",$G377,$B377)</f>
        <v>4413144</v>
      </c>
      <c r="K377" s="7" t="str">
        <f aca="false">IF(COUNTIF($O$2:$O$16,$A377)&gt;0,"Y","N")</f>
        <v>Y</v>
      </c>
    </row>
    <row r="378" customFormat="false" ht="15" hidden="false" customHeight="false" outlineLevel="0" collapsed="false">
      <c r="A378" s="7" t="s">
        <v>32</v>
      </c>
      <c r="B378" s="7" t="s">
        <v>363</v>
      </c>
      <c r="C378" s="8" t="n">
        <v>10</v>
      </c>
      <c r="D378" s="8" t="n">
        <v>117.78</v>
      </c>
      <c r="E378" s="8" t="n">
        <v>10</v>
      </c>
      <c r="F378" s="8" t="n">
        <v>106.1</v>
      </c>
      <c r="G378" s="7" t="n">
        <f aca="false">IFERROR(INDEX('TRANS'!$B:$B,MATCH($B378,'TRANS'!$A:$A,0)),IFERROR(INDEX('TRANS'!$B:$B,MATCH(TRIM(SUBSTITUTE($B378,CHAR(160)," ")),'TRANS'!$D:$D,0)),IFERROR(INDEX('Catalog'!$A:$A,MATCH($B378,'Catalog'!$B:$B,0)),IFERROR(INDEX('Catalog'!$A:$A,MATCH(TRIM(SUBSTITUTE($B378,CHAR(160)," ")),'Catalog'!$C:$C,0)),""))))</f>
        <v>4413500</v>
      </c>
      <c r="H378" s="7" t="str">
        <f aca="false">IFERROR(INDEX('TRANS'!$C:$C,MATCH($B378,'TRANS'!$A:$A,0)),IFERROR(INDEX('Catalog'!$B:$B,MATCH($G378,'Catalog'!$A:$A,0)),$B378))</f>
        <v>95B L מגן מרפק שחור</v>
      </c>
      <c r="I378" s="7" t="str">
        <f aca="false">IF($G378="","Unmatched","Matched")</f>
        <v>Matched</v>
      </c>
      <c r="J378" s="7" t="n">
        <f aca="false">IF($G378&lt;&gt;"",$G378,$B378)</f>
        <v>4413500</v>
      </c>
      <c r="K378" s="7" t="str">
        <f aca="false">IF(COUNTIF($O$2:$O$16,$A378)&gt;0,"Y","N")</f>
        <v>Y</v>
      </c>
    </row>
    <row r="379" customFormat="false" ht="15" hidden="false" customHeight="false" outlineLevel="0" collapsed="false">
      <c r="A379" s="7" t="s">
        <v>32</v>
      </c>
      <c r="B379" s="7" t="s">
        <v>364</v>
      </c>
      <c r="C379" s="8" t="n">
        <v>32</v>
      </c>
      <c r="D379" s="8" t="n">
        <v>394.11</v>
      </c>
      <c r="E379" s="8" t="n">
        <v>20</v>
      </c>
      <c r="F379" s="8" t="n">
        <v>220</v>
      </c>
      <c r="G379" s="7" t="n">
        <f aca="false">IFERROR(INDEX('TRANS'!$B:$B,MATCH($B379,'TRANS'!$A:$A,0)),IFERROR(INDEX('TRANS'!$B:$B,MATCH(TRIM(SUBSTITUTE($B379,CHAR(160)," ")),'TRANS'!$D:$D,0)),IFERROR(INDEX('Catalog'!$A:$A,MATCH($B379,'Catalog'!$B:$B,0)),IFERROR(INDEX('Catalog'!$A:$A,MATCH(TRIM(SUBSTITUTE($B379,CHAR(160)," ")),'Catalog'!$C:$C,0)),""))))</f>
        <v>4413501</v>
      </c>
      <c r="H379" s="7" t="str">
        <f aca="false">IFERROR(INDEX('TRANS'!$C:$C,MATCH($B379,'TRANS'!$A:$A,0)),IFERROR(INDEX('Catalog'!$B:$B,MATCH($G379,'Catalog'!$A:$A,0)),$B379))</f>
        <v>95B M מגן מרפק שחור</v>
      </c>
      <c r="I379" s="7" t="str">
        <f aca="false">IF($G379="","Unmatched","Matched")</f>
        <v>Matched</v>
      </c>
      <c r="J379" s="7" t="n">
        <f aca="false">IF($G379&lt;&gt;"",$G379,$B379)</f>
        <v>4413501</v>
      </c>
      <c r="K379" s="7" t="str">
        <f aca="false">IF(COUNTIF($O$2:$O$16,$A379)&gt;0,"Y","N")</f>
        <v>Y</v>
      </c>
    </row>
    <row r="380" customFormat="false" ht="15" hidden="false" customHeight="false" outlineLevel="0" collapsed="false">
      <c r="A380" s="7" t="s">
        <v>32</v>
      </c>
      <c r="B380" s="7" t="s">
        <v>365</v>
      </c>
      <c r="C380" s="8" t="n">
        <v>10</v>
      </c>
      <c r="D380" s="8" t="n">
        <v>117.78</v>
      </c>
      <c r="E380" s="8" t="n">
        <v>0</v>
      </c>
      <c r="F380" s="8" t="n">
        <v>0</v>
      </c>
      <c r="G380" s="7" t="n">
        <f aca="false">IFERROR(INDEX('TRANS'!$B:$B,MATCH($B380,'TRANS'!$A:$A,0)),IFERROR(INDEX('TRANS'!$B:$B,MATCH(TRIM(SUBSTITUTE($B380,CHAR(160)," ")),'TRANS'!$D:$D,0)),IFERROR(INDEX('Catalog'!$A:$A,MATCH($B380,'Catalog'!$B:$B,0)),IFERROR(INDEX('Catalog'!$A:$A,MATCH(TRIM(SUBSTITUTE($B380,CHAR(160)," ")),'Catalog'!$C:$C,0)),""))))</f>
        <v>4413502</v>
      </c>
      <c r="H380" s="7" t="str">
        <f aca="false">IFERROR(INDEX('TRANS'!$C:$C,MATCH($B380,'TRANS'!$A:$A,0)),IFERROR(INDEX('Catalog'!$B:$B,MATCH($G380,'Catalog'!$A:$A,0)),$B380))</f>
        <v>95B S מגן מרפק שחור</v>
      </c>
      <c r="I380" s="7" t="str">
        <f aca="false">IF($G380="","Unmatched","Matched")</f>
        <v>Matched</v>
      </c>
      <c r="J380" s="7" t="n">
        <f aca="false">IF($G380&lt;&gt;"",$G380,$B380)</f>
        <v>4413502</v>
      </c>
      <c r="K380" s="7" t="str">
        <f aca="false">IF(COUNTIF($O$2:$O$16,$A380)&gt;0,"Y","N")</f>
        <v>Y</v>
      </c>
    </row>
    <row r="381" customFormat="false" ht="15" hidden="false" customHeight="false" outlineLevel="0" collapsed="false">
      <c r="A381" s="7" t="s">
        <v>32</v>
      </c>
      <c r="B381" s="7" t="s">
        <v>366</v>
      </c>
      <c r="C381" s="8" t="n">
        <v>0</v>
      </c>
      <c r="D381" s="8" t="n">
        <v>0</v>
      </c>
      <c r="E381" s="8" t="n">
        <v>3</v>
      </c>
      <c r="F381" s="8" t="n">
        <v>34.17</v>
      </c>
      <c r="G381" s="7" t="n">
        <f aca="false">IFERROR(INDEX('TRANS'!$B:$B,MATCH($B381,'TRANS'!$A:$A,0)),IFERROR(INDEX('TRANS'!$B:$B,MATCH(TRIM(SUBSTITUTE($B381,CHAR(160)," ")),'TRANS'!$D:$D,0)),IFERROR(INDEX('Catalog'!$A:$A,MATCH($B381,'Catalog'!$B:$B,0)),IFERROR(INDEX('Catalog'!$A:$A,MATCH(TRIM(SUBSTITUTE($B381,CHAR(160)," ")),'Catalog'!$C:$C,0)),""))))</f>
        <v>4413503</v>
      </c>
      <c r="H381" s="7" t="str">
        <f aca="false">IFERROR(INDEX('TRANS'!$C:$C,MATCH($B381,'TRANS'!$A:$A,0)),IFERROR(INDEX('Catalog'!$B:$B,MATCH($G381,'Catalog'!$A:$A,0)),$B381))</f>
        <v>95B XL מגן מרפק שחור</v>
      </c>
      <c r="I381" s="7" t="str">
        <f aca="false">IF($G381="","Unmatched","Matched")</f>
        <v>Matched</v>
      </c>
      <c r="J381" s="7" t="n">
        <f aca="false">IF($G381&lt;&gt;"",$G381,$B381)</f>
        <v>4413503</v>
      </c>
      <c r="K381" s="7" t="str">
        <f aca="false">IF(COUNTIF($O$2:$O$16,$A381)&gt;0,"Y","N")</f>
        <v>Y</v>
      </c>
    </row>
    <row r="382" customFormat="false" ht="15" hidden="false" customHeight="false" outlineLevel="0" collapsed="false">
      <c r="A382" s="7" t="s">
        <v>32</v>
      </c>
      <c r="B382" s="7" t="s">
        <v>368</v>
      </c>
      <c r="C382" s="8" t="n">
        <v>6</v>
      </c>
      <c r="D382" s="8" t="n">
        <v>70.11</v>
      </c>
      <c r="E382" s="8" t="n">
        <v>0</v>
      </c>
      <c r="F382" s="8" t="n">
        <v>0</v>
      </c>
      <c r="G382" s="7" t="n">
        <f aca="false">IFERROR(INDEX('TRANS'!$B:$B,MATCH($B382,'TRANS'!$A:$A,0)),IFERROR(INDEX('TRANS'!$B:$B,MATCH(TRIM(SUBSTITUTE($B382,CHAR(160)," ")),'TRANS'!$D:$D,0)),IFERROR(INDEX('Catalog'!$A:$A,MATCH($B382,'Catalog'!$B:$B,0)),IFERROR(INDEX('Catalog'!$A:$A,MATCH(TRIM(SUBSTITUTE($B382,CHAR(160)," ")),'Catalog'!$C:$C,0)),""))))</f>
        <v>4413364</v>
      </c>
      <c r="H382" s="7" t="str">
        <f aca="false">IFERROR(INDEX('TRANS'!$C:$C,MATCH($B382,'TRANS'!$A:$A,0)),IFERROR(INDEX('Catalog'!$B:$B,MATCH($G382,'Catalog'!$A:$A,0)),$B382))</f>
        <v>95C M 'מגן מרפק בז</v>
      </c>
      <c r="I382" s="7" t="str">
        <f aca="false">IF($G382="","Unmatched","Matched")</f>
        <v>Matched</v>
      </c>
      <c r="J382" s="7" t="n">
        <f aca="false">IF($G382&lt;&gt;"",$G382,$B382)</f>
        <v>4413364</v>
      </c>
      <c r="K382" s="7" t="str">
        <f aca="false">IF(COUNTIF($O$2:$O$16,$A382)&gt;0,"Y","N")</f>
        <v>Y</v>
      </c>
    </row>
    <row r="383" customFormat="false" ht="15" hidden="false" customHeight="false" outlineLevel="0" collapsed="false">
      <c r="A383" s="7" t="s">
        <v>32</v>
      </c>
      <c r="B383" s="7" t="s">
        <v>369</v>
      </c>
      <c r="C383" s="8" t="n">
        <v>3</v>
      </c>
      <c r="D383" s="8" t="n">
        <v>35.06</v>
      </c>
      <c r="E383" s="8" t="n">
        <v>6</v>
      </c>
      <c r="F383" s="8" t="n">
        <v>61.61</v>
      </c>
      <c r="G383" s="7" t="n">
        <f aca="false">IFERROR(INDEX('TRANS'!$B:$B,MATCH($B383,'TRANS'!$A:$A,0)),IFERROR(INDEX('TRANS'!$B:$B,MATCH(TRIM(SUBSTITUTE($B383,CHAR(160)," ")),'TRANS'!$D:$D,0)),IFERROR(INDEX('Catalog'!$A:$A,MATCH($B383,'Catalog'!$B:$B,0)),IFERROR(INDEX('Catalog'!$A:$A,MATCH(TRIM(SUBSTITUTE($B383,CHAR(160)," ")),'Catalog'!$C:$C,0)),""))))</f>
        <v>4413366</v>
      </c>
      <c r="H383" s="7" t="str">
        <f aca="false">IFERROR(INDEX('TRANS'!$C:$C,MATCH($B383,'TRANS'!$A:$A,0)),IFERROR(INDEX('Catalog'!$B:$B,MATCH($G383,'Catalog'!$A:$A,0)),$B383))</f>
        <v>95C S 'מגן מרפק בז</v>
      </c>
      <c r="I383" s="7" t="str">
        <f aca="false">IF($G383="","Unmatched","Matched")</f>
        <v>Matched</v>
      </c>
      <c r="J383" s="7" t="n">
        <f aca="false">IF($G383&lt;&gt;"",$G383,$B383)</f>
        <v>4413366</v>
      </c>
      <c r="K383" s="7" t="str">
        <f aca="false">IF(COUNTIF($O$2:$O$16,$A383)&gt;0,"Y","N")</f>
        <v>Y</v>
      </c>
    </row>
    <row r="384" customFormat="false" ht="15" hidden="false" customHeight="false" outlineLevel="0" collapsed="false">
      <c r="A384" s="7" t="s">
        <v>32</v>
      </c>
      <c r="B384" s="7" t="s">
        <v>404</v>
      </c>
      <c r="C384" s="8" t="n">
        <v>10</v>
      </c>
      <c r="D384" s="8" t="n">
        <v>438.21</v>
      </c>
      <c r="E384" s="8" t="n">
        <v>22</v>
      </c>
      <c r="F384" s="8" t="n">
        <v>881.05</v>
      </c>
      <c r="G384" s="7" t="n">
        <f aca="false">IFERROR(INDEX('TRANS'!$B:$B,MATCH($B384,'TRANS'!$A:$A,0)),IFERROR(INDEX('TRANS'!$B:$B,MATCH(TRIM(SUBSTITUTE($B384,CHAR(160)," ")),'TRANS'!$D:$D,0)),IFERROR(INDEX('Catalog'!$A:$A,MATCH($B384,'Catalog'!$B:$B,0)),IFERROR(INDEX('Catalog'!$A:$A,MATCH(TRIM(SUBSTITUTE($B384,CHAR(160)," ")),'Catalog'!$C:$C,0)),""))))</f>
        <v>4408205</v>
      </c>
      <c r="H384" s="7" t="str">
        <f aca="false">IFERROR(INDEX('TRANS'!$C:$C,MATCH($B384,'TRANS'!$A:$A,0)),IFERROR(INDEX('Catalog'!$B:$B,MATCH($G384,'Catalog'!$A:$A,0)),$B384))</f>
        <v>AC-07 חגורת גב עם תמיכות</v>
      </c>
      <c r="I384" s="7" t="str">
        <f aca="false">IF($G384="","Unmatched","Matched")</f>
        <v>Matched</v>
      </c>
      <c r="J384" s="7" t="n">
        <f aca="false">IF($G384&lt;&gt;"",$G384,$B384)</f>
        <v>4408205</v>
      </c>
      <c r="K384" s="7" t="str">
        <f aca="false">IF(COUNTIF($O$2:$O$16,$A384)&gt;0,"Y","N")</f>
        <v>Y</v>
      </c>
    </row>
    <row r="385" customFormat="false" ht="15" hidden="false" customHeight="false" outlineLevel="0" collapsed="false">
      <c r="A385" s="7" t="s">
        <v>32</v>
      </c>
      <c r="B385" s="7" t="s">
        <v>497</v>
      </c>
      <c r="C385" s="8" t="n">
        <v>6</v>
      </c>
      <c r="D385" s="8" t="n">
        <v>245.91</v>
      </c>
      <c r="E385" s="8" t="n">
        <v>50</v>
      </c>
      <c r="F385" s="8" t="n">
        <v>1726.36</v>
      </c>
      <c r="G385" s="7" t="n">
        <f aca="false">IFERROR(INDEX('TRANS'!$B:$B,MATCH($B385,'TRANS'!$A:$A,0)),IFERROR(INDEX('TRANS'!$B:$B,MATCH(TRIM(SUBSTITUTE($B385,CHAR(160)," ")),'TRANS'!$D:$D,0)),IFERROR(INDEX('Catalog'!$A:$A,MATCH($B385,'Catalog'!$B:$B,0)),IFERROR(INDEX('Catalog'!$A:$A,MATCH(TRIM(SUBSTITUTE($B385,CHAR(160)," ")),'Catalog'!$C:$C,0)),""))))</f>
        <v>4408206</v>
      </c>
      <c r="H385" s="7" t="str">
        <f aca="false">IFERROR(INDEX('TRANS'!$C:$C,MATCH($B385,'TRANS'!$A:$A,0)),IFERROR(INDEX('Catalog'!$B:$B,MATCH($G385,'Catalog'!$A:$A,0)),$B385))</f>
        <v>AC-11 חגורת בטן קלה</v>
      </c>
      <c r="I385" s="7" t="str">
        <f aca="false">IF($G385="","Unmatched","Matched")</f>
        <v>Matched</v>
      </c>
      <c r="J385" s="7" t="n">
        <f aca="false">IF($G385&lt;&gt;"",$G385,$B385)</f>
        <v>4408206</v>
      </c>
      <c r="K385" s="7" t="str">
        <f aca="false">IF(COUNTIF($O$2:$O$16,$A385)&gt;0,"Y","N")</f>
        <v>Y</v>
      </c>
    </row>
    <row r="386" customFormat="false" ht="15" hidden="false" customHeight="false" outlineLevel="0" collapsed="false">
      <c r="A386" s="7" t="s">
        <v>32</v>
      </c>
      <c r="B386" s="7" t="s">
        <v>371</v>
      </c>
      <c r="C386" s="8" t="n">
        <v>0</v>
      </c>
      <c r="D386" s="8" t="n">
        <v>0</v>
      </c>
      <c r="E386" s="8" t="n">
        <v>30</v>
      </c>
      <c r="F386" s="8" t="n">
        <v>457.77</v>
      </c>
      <c r="G386" s="7" t="n">
        <f aca="false">IFERROR(INDEX('TRANS'!$B:$B,MATCH($B386,'TRANS'!$A:$A,0)),IFERROR(INDEX('TRANS'!$B:$B,MATCH(TRIM(SUBSTITUTE($B386,CHAR(160)," ")),'TRANS'!$D:$D,0)),IFERROR(INDEX('Catalog'!$A:$A,MATCH($B386,'Catalog'!$B:$B,0)),IFERROR(INDEX('Catalog'!$A:$A,MATCH(TRIM(SUBSTITUTE($B386,CHAR(160)," ")),'Catalog'!$C:$C,0)),""))))</f>
        <v>4408207</v>
      </c>
      <c r="H386" s="7" t="str">
        <f aca="false">IFERROR(INDEX('TRANS'!$C:$C,MATCH($B386,'TRANS'!$A:$A,0)),IFERROR(INDEX('Catalog'!$B:$B,MATCH($G386,'Catalog'!$A:$A,0)),$B386))</f>
        <v>AC-25 חבק לשורש כף היד</v>
      </c>
      <c r="I386" s="7" t="str">
        <f aca="false">IF($G386="","Unmatched","Matched")</f>
        <v>Matched</v>
      </c>
      <c r="J386" s="7" t="n">
        <f aca="false">IF($G386&lt;&gt;"",$G386,$B386)</f>
        <v>4408207</v>
      </c>
      <c r="K386" s="7" t="str">
        <f aca="false">IF(COUNTIF($O$2:$O$16,$A386)&gt;0,"Y","N")</f>
        <v>Y</v>
      </c>
    </row>
    <row r="387" customFormat="false" ht="15" hidden="false" customHeight="false" outlineLevel="0" collapsed="false">
      <c r="A387" s="7" t="s">
        <v>32</v>
      </c>
      <c r="B387" s="7" t="s">
        <v>372</v>
      </c>
      <c r="C387" s="8" t="n">
        <v>0</v>
      </c>
      <c r="D387" s="8" t="n">
        <v>0</v>
      </c>
      <c r="E387" s="8" t="n">
        <v>20</v>
      </c>
      <c r="F387" s="8" t="n">
        <v>349.1</v>
      </c>
      <c r="G387" s="7" t="n">
        <f aca="false">IFERROR(INDEX('TRANS'!$B:$B,MATCH($B387,'TRANS'!$A:$A,0)),IFERROR(INDEX('TRANS'!$B:$B,MATCH(TRIM(SUBSTITUTE($B387,CHAR(160)," ")),'TRANS'!$D:$D,0)),IFERROR(INDEX('Catalog'!$A:$A,MATCH($B387,'Catalog'!$B:$B,0)),IFERROR(INDEX('Catalog'!$A:$A,MATCH(TRIM(SUBSTITUTE($B387,CHAR(160)," ")),'Catalog'!$C:$C,0)),""))))</f>
        <v>4415026</v>
      </c>
      <c r="H387" s="7" t="str">
        <f aca="false">IFERROR(INDEX('TRANS'!$C:$C,MATCH($B387,'TRANS'!$A:$A,0)),IFERROR(INDEX('Catalog'!$B:$B,MATCH($G387,'Catalog'!$A:$A,0)),$B387))</f>
        <v>AC-27L סד לש.כף יד שמאל</v>
      </c>
      <c r="I387" s="7" t="str">
        <f aca="false">IF($G387="","Unmatched","Matched")</f>
        <v>Matched</v>
      </c>
      <c r="J387" s="7" t="n">
        <f aca="false">IF($G387&lt;&gt;"",$G387,$B387)</f>
        <v>4415026</v>
      </c>
      <c r="K387" s="7" t="str">
        <f aca="false">IF(COUNTIF($O$2:$O$16,$A387)&gt;0,"Y","N")</f>
        <v>Y</v>
      </c>
    </row>
    <row r="388" customFormat="false" ht="15" hidden="false" customHeight="false" outlineLevel="0" collapsed="false">
      <c r="A388" s="7" t="s">
        <v>32</v>
      </c>
      <c r="B388" s="7" t="s">
        <v>373</v>
      </c>
      <c r="C388" s="8" t="n">
        <v>0</v>
      </c>
      <c r="D388" s="8" t="n">
        <v>0</v>
      </c>
      <c r="E388" s="8" t="n">
        <v>10</v>
      </c>
      <c r="F388" s="8" t="n">
        <v>174.55</v>
      </c>
      <c r="G388" s="7" t="n">
        <f aca="false">IFERROR(INDEX('TRANS'!$B:$B,MATCH($B388,'TRANS'!$A:$A,0)),IFERROR(INDEX('TRANS'!$B:$B,MATCH(TRIM(SUBSTITUTE($B388,CHAR(160)," ")),'TRANS'!$D:$D,0)),IFERROR(INDEX('Catalog'!$A:$A,MATCH($B388,'Catalog'!$B:$B,0)),IFERROR(INDEX('Catalog'!$A:$A,MATCH(TRIM(SUBSTITUTE($B388,CHAR(160)," ")),'Catalog'!$C:$C,0)),""))))</f>
        <v>4415027</v>
      </c>
      <c r="H388" s="7" t="str">
        <f aca="false">IFERROR(INDEX('TRANS'!$C:$C,MATCH($B388,'TRANS'!$A:$A,0)),IFERROR(INDEX('Catalog'!$B:$B,MATCH($G388,'Catalog'!$A:$A,0)),$B388))</f>
        <v>AC-27R סד לש.כף יד ימין</v>
      </c>
      <c r="I388" s="7" t="str">
        <f aca="false">IF($G388="","Unmatched","Matched")</f>
        <v>Matched</v>
      </c>
      <c r="J388" s="7" t="n">
        <f aca="false">IF($G388&lt;&gt;"",$G388,$B388)</f>
        <v>4415027</v>
      </c>
      <c r="K388" s="7" t="str">
        <f aca="false">IF(COUNTIF($O$2:$O$16,$A388)&gt;0,"Y","N")</f>
        <v>Y</v>
      </c>
    </row>
    <row r="389" customFormat="false" ht="15" hidden="false" customHeight="false" outlineLevel="0" collapsed="false">
      <c r="A389" s="7" t="s">
        <v>32</v>
      </c>
      <c r="B389" s="7" t="s">
        <v>374</v>
      </c>
      <c r="C389" s="8" t="n">
        <v>0</v>
      </c>
      <c r="D389" s="8" t="n">
        <v>0</v>
      </c>
      <c r="E389" s="8" t="n">
        <v>40</v>
      </c>
      <c r="F389" s="8" t="n">
        <v>624.61</v>
      </c>
      <c r="G389" s="7" t="n">
        <f aca="false">IFERROR(INDEX('TRANS'!$B:$B,MATCH($B389,'TRANS'!$A:$A,0)),IFERROR(INDEX('TRANS'!$B:$B,MATCH(TRIM(SUBSTITUTE($B389,CHAR(160)," ")),'TRANS'!$D:$D,0)),IFERROR(INDEX('Catalog'!$A:$A,MATCH($B389,'Catalog'!$B:$B,0)),IFERROR(INDEX('Catalog'!$A:$A,MATCH(TRIM(SUBSTITUTE($B389,CHAR(160)," ")),'Catalog'!$C:$C,0)),""))))</f>
        <v>4415028</v>
      </c>
      <c r="H389" s="7" t="str">
        <f aca="false">IFERROR(INDEX('TRANS'!$C:$C,MATCH($B389,'TRANS'!$A:$A,0)),IFERROR(INDEX('Catalog'!$B:$B,MATCH($G389,'Catalog'!$A:$A,0)),$B389))</f>
        <v>AC-28 סד לאגודל</v>
      </c>
      <c r="I389" s="7" t="str">
        <f aca="false">IF($G389="","Unmatched","Matched")</f>
        <v>Matched</v>
      </c>
      <c r="J389" s="7" t="n">
        <f aca="false">IF($G389&lt;&gt;"",$G389,$B389)</f>
        <v>4415028</v>
      </c>
      <c r="K389" s="7" t="str">
        <f aca="false">IF(COUNTIF($O$2:$O$16,$A389)&gt;0,"Y","N")</f>
        <v>Y</v>
      </c>
    </row>
    <row r="390" customFormat="false" ht="15" hidden="false" customHeight="false" outlineLevel="0" collapsed="false">
      <c r="A390" s="7" t="s">
        <v>32</v>
      </c>
      <c r="B390" s="7" t="s">
        <v>376</v>
      </c>
      <c r="C390" s="8" t="n">
        <v>30</v>
      </c>
      <c r="D390" s="8" t="n">
        <v>1460.82</v>
      </c>
      <c r="E390" s="8" t="n">
        <v>20</v>
      </c>
      <c r="F390" s="8" t="n">
        <v>872.9</v>
      </c>
      <c r="G390" s="7" t="n">
        <f aca="false">IFERROR(INDEX('TRANS'!$B:$B,MATCH($B390,'TRANS'!$A:$A,0)),IFERROR(INDEX('TRANS'!$B:$B,MATCH(TRIM(SUBSTITUTE($B390,CHAR(160)," ")),'TRANS'!$D:$D,0)),IFERROR(INDEX('Catalog'!$A:$A,MATCH($B390,'Catalog'!$B:$B,0)),IFERROR(INDEX('Catalog'!$A:$A,MATCH(TRIM(SUBSTITUTE($B390,CHAR(160)," ")),'Catalog'!$C:$C,0)),""))))</f>
        <v>4413328</v>
      </c>
      <c r="H390" s="7" t="str">
        <f aca="false">IFERROR(INDEX('TRANS'!$C:$C,MATCH($B390,'TRANS'!$A:$A,0)),IFERROR(INDEX('Catalog'!$B:$B,MATCH($G390,'Catalog'!$A:$A,0)),$B390))</f>
        <v>AC43D מגן ברך + צירים</v>
      </c>
      <c r="I390" s="7" t="str">
        <f aca="false">IF($G390="","Unmatched","Matched")</f>
        <v>Matched</v>
      </c>
      <c r="J390" s="7" t="n">
        <f aca="false">IF($G390&lt;&gt;"",$G390,$B390)</f>
        <v>4413328</v>
      </c>
      <c r="K390" s="7" t="str">
        <f aca="false">IF(COUNTIF($O$2:$O$16,$A390)&gt;0,"Y","N")</f>
        <v>Y</v>
      </c>
    </row>
    <row r="391" customFormat="false" ht="15" hidden="false" customHeight="false" outlineLevel="0" collapsed="false">
      <c r="A391" s="7" t="s">
        <v>32</v>
      </c>
      <c r="B391" s="7" t="s">
        <v>377</v>
      </c>
      <c r="C391" s="8" t="n">
        <v>10</v>
      </c>
      <c r="D391" s="8" t="n">
        <v>362.82</v>
      </c>
      <c r="E391" s="8" t="n">
        <v>46</v>
      </c>
      <c r="F391" s="8" t="n">
        <v>1575.62</v>
      </c>
      <c r="G391" s="7" t="n">
        <f aca="false">IFERROR(INDEX('TRANS'!$B:$B,MATCH($B391,'TRANS'!$A:$A,0)),IFERROR(INDEX('TRANS'!$B:$B,MATCH(TRIM(SUBSTITUTE($B391,CHAR(160)," ")),'TRANS'!$D:$D,0)),IFERROR(INDEX('Catalog'!$A:$A,MATCH($B391,'Catalog'!$B:$B,0)),IFERROR(INDEX('Catalog'!$A:$A,MATCH(TRIM(SUBSTITUTE($B391,CHAR(160)," ")),'Catalog'!$C:$C,0)),""))))</f>
        <v>4413329</v>
      </c>
      <c r="H391" s="7" t="str">
        <f aca="false">IFERROR(INDEX('TRANS'!$C:$C,MATCH($B391,'TRANS'!$A:$A,0)),IFERROR(INDEX('Catalog'!$B:$B,MATCH($G391,'Catalog'!$A:$A,0)),$B391))</f>
        <v>AC45X מגן ברך עם תמיכות</v>
      </c>
      <c r="I391" s="7" t="str">
        <f aca="false">IF($G391="","Unmatched","Matched")</f>
        <v>Matched</v>
      </c>
      <c r="J391" s="7" t="n">
        <f aca="false">IF($G391&lt;&gt;"",$G391,$B391)</f>
        <v>4413329</v>
      </c>
      <c r="K391" s="7" t="str">
        <f aca="false">IF(COUNTIF($O$2:$O$16,$A391)&gt;0,"Y","N")</f>
        <v>Y</v>
      </c>
    </row>
    <row r="392" customFormat="false" ht="15" hidden="false" customHeight="false" outlineLevel="0" collapsed="false">
      <c r="A392" s="7" t="s">
        <v>32</v>
      </c>
      <c r="B392" s="7" t="s">
        <v>379</v>
      </c>
      <c r="C392" s="8" t="n">
        <v>0</v>
      </c>
      <c r="D392" s="8" t="n">
        <v>0</v>
      </c>
      <c r="E392" s="8" t="n">
        <v>10</v>
      </c>
      <c r="F392" s="8" t="n">
        <v>334.35</v>
      </c>
      <c r="G392" s="7" t="n">
        <f aca="false">IFERROR(INDEX('TRANS'!$B:$B,MATCH($B392,'TRANS'!$A:$A,0)),IFERROR(INDEX('TRANS'!$B:$B,MATCH(TRIM(SUBSTITUTE($B392,CHAR(160)," ")),'TRANS'!$D:$D,0)),IFERROR(INDEX('Catalog'!$A:$A,MATCH($B392,'Catalog'!$B:$B,0)),IFERROR(INDEX('Catalog'!$A:$A,MATCH(TRIM(SUBSTITUTE($B392,CHAR(160)," ")),'Catalog'!$C:$C,0)),""))))</f>
        <v>4413453</v>
      </c>
      <c r="H392" s="7" t="str">
        <f aca="false">IFERROR(INDEX('TRANS'!$C:$C,MATCH($B392,'TRANS'!$A:$A,0)),IFERROR(INDEX('Catalog'!$B:$B,MATCH($G392,'Catalog'!$A:$A,0)),$B392))</f>
        <v>AC75 מישר כתפיים אקטיב</v>
      </c>
      <c r="I392" s="7" t="str">
        <f aca="false">IF($G392="","Unmatched","Matched")</f>
        <v>Matched</v>
      </c>
      <c r="J392" s="7" t="n">
        <f aca="false">IF($G392&lt;&gt;"",$G392,$B392)</f>
        <v>4413453</v>
      </c>
      <c r="K392" s="7" t="str">
        <f aca="false">IF(COUNTIF($O$2:$O$16,$A392)&gt;0,"Y","N")</f>
        <v>Y</v>
      </c>
    </row>
    <row r="393" customFormat="false" ht="15" hidden="false" customHeight="false" outlineLevel="0" collapsed="false">
      <c r="A393" s="7" t="s">
        <v>32</v>
      </c>
      <c r="B393" s="7" t="s">
        <v>498</v>
      </c>
      <c r="C393" s="8" t="n">
        <v>10</v>
      </c>
      <c r="D393" s="8" t="n">
        <v>192.81</v>
      </c>
      <c r="E393" s="8" t="n">
        <v>3</v>
      </c>
      <c r="F393" s="8" t="n">
        <v>50.82</v>
      </c>
      <c r="G393" s="7" t="n">
        <f aca="false">IFERROR(INDEX('TRANS'!$B:$B,MATCH($B393,'TRANS'!$A:$A,0)),IFERROR(INDEX('TRANS'!$B:$B,MATCH(TRIM(SUBSTITUTE($B393,CHAR(160)," ")),'TRANS'!$D:$D,0)),IFERROR(INDEX('Catalog'!$A:$A,MATCH($B393,'Catalog'!$B:$B,0)),IFERROR(INDEX('Catalog'!$A:$A,MATCH(TRIM(SUBSTITUTE($B393,CHAR(160)," ")),'Catalog'!$C:$C,0)),""))))</f>
        <v>4414000</v>
      </c>
      <c r="H393" s="7" t="str">
        <f aca="false">IFERROR(INDEX('TRANS'!$C:$C,MATCH($B393,'TRANS'!$A:$A,0)),IFERROR(INDEX('Catalog'!$B:$B,MATCH($G393,'Catalog'!$A:$A,0)),$B393))</f>
        <v>FC342-נוזל לציפורן חודרנית</v>
      </c>
      <c r="I393" s="7" t="str">
        <f aca="false">IF($G393="","Unmatched","Matched")</f>
        <v>Matched</v>
      </c>
      <c r="J393" s="7" t="n">
        <f aca="false">IF($G393&lt;&gt;"",$G393,$B393)</f>
        <v>4414000</v>
      </c>
      <c r="K393" s="7" t="str">
        <f aca="false">IF(COUNTIF($O$2:$O$16,$A393)&gt;0,"Y","N")</f>
        <v>Y</v>
      </c>
    </row>
    <row r="394" customFormat="false" ht="15" hidden="false" customHeight="false" outlineLevel="0" collapsed="false">
      <c r="A394" s="7" t="s">
        <v>32</v>
      </c>
      <c r="B394" s="7" t="s">
        <v>381</v>
      </c>
      <c r="C394" s="8" t="n">
        <v>80</v>
      </c>
      <c r="D394" s="8" t="n">
        <v>1037.19</v>
      </c>
      <c r="E394" s="8" t="n">
        <v>0</v>
      </c>
      <c r="F394" s="8" t="n">
        <v>0</v>
      </c>
      <c r="G394" s="7" t="n">
        <f aca="false">IFERROR(INDEX('TRANS'!$B:$B,MATCH($B394,'TRANS'!$A:$A,0)),IFERROR(INDEX('TRANS'!$B:$B,MATCH(TRIM(SUBSTITUTE($B394,CHAR(160)," ")),'TRANS'!$D:$D,0)),IFERROR(INDEX('Catalog'!$A:$A,MATCH($B394,'Catalog'!$B:$B,0)),IFERROR(INDEX('Catalog'!$A:$A,MATCH(TRIM(SUBSTITUTE($B394,CHAR(160)," ")),'Catalog'!$C:$C,0)),""))))</f>
        <v>4413056</v>
      </c>
      <c r="H394" s="7" t="str">
        <f aca="false">IFERROR(INDEX('TRANS'!$C:$C,MATCH($B394,'TRANS'!$A:$A,0)),IFERROR(INDEX('Catalog'!$B:$B,MATCH($G394,'Catalog'!$A:$A,0)),$B394))</f>
        <v>LF360 מדרס מטטרזלי לנעלי עקב</v>
      </c>
      <c r="I394" s="7" t="str">
        <f aca="false">IF($G394="","Unmatched","Matched")</f>
        <v>Matched</v>
      </c>
      <c r="J394" s="7" t="n">
        <f aca="false">IF($G394&lt;&gt;"",$G394,$B394)</f>
        <v>4413056</v>
      </c>
      <c r="K394" s="7" t="str">
        <f aca="false">IF(COUNTIF($O$2:$O$16,$A394)&gt;0,"Y","N")</f>
        <v>Y</v>
      </c>
    </row>
    <row r="395" customFormat="false" ht="15" hidden="false" customHeight="false" outlineLevel="0" collapsed="false">
      <c r="A395" s="7" t="s">
        <v>32</v>
      </c>
      <c r="B395" s="7" t="s">
        <v>382</v>
      </c>
      <c r="C395" s="8" t="n">
        <v>0</v>
      </c>
      <c r="D395" s="8" t="n">
        <v>0</v>
      </c>
      <c r="E395" s="8" t="n">
        <v>40</v>
      </c>
      <c r="F395" s="8" t="n">
        <v>255.48</v>
      </c>
      <c r="G395" s="7" t="n">
        <f aca="false">IFERROR(INDEX('TRANS'!$B:$B,MATCH($B395,'TRANS'!$A:$A,0)),IFERROR(INDEX('TRANS'!$B:$B,MATCH(TRIM(SUBSTITUTE($B395,CHAR(160)," ")),'TRANS'!$D:$D,0)),IFERROR(INDEX('Catalog'!$A:$A,MATCH($B395,'Catalog'!$B:$B,0)),IFERROR(INDEX('Catalog'!$A:$A,MATCH(TRIM(SUBSTITUTE($B395,CHAR(160)," ")),'Catalog'!$C:$C,0)),""))))</f>
        <v>4420022</v>
      </c>
      <c r="H395" s="7" t="str">
        <f aca="false">IFERROR(INDEX('TRANS'!$C:$C,MATCH($B395,'TRANS'!$A:$A,0)),IFERROR(INDEX('Catalog'!$B:$B,MATCH($G395,'Catalog'!$A:$A,0)),$B395))</f>
        <v>LF370 ריפוד סיליקון לעקב אחורי</v>
      </c>
      <c r="I395" s="7" t="str">
        <f aca="false">IF($G395="","Unmatched","Matched")</f>
        <v>Matched</v>
      </c>
      <c r="J395" s="7" t="n">
        <f aca="false">IF($G395&lt;&gt;"",$G395,$B395)</f>
        <v>4420022</v>
      </c>
      <c r="K395" s="7" t="str">
        <f aca="false">IF(COUNTIF($O$2:$O$16,$A395)&gt;0,"Y","N")</f>
        <v>Y</v>
      </c>
    </row>
    <row r="396" customFormat="false" ht="15" hidden="false" customHeight="false" outlineLevel="0" collapsed="false">
      <c r="A396" s="7" t="s">
        <v>32</v>
      </c>
      <c r="B396" s="7" t="s">
        <v>384</v>
      </c>
      <c r="C396" s="8" t="n">
        <v>0</v>
      </c>
      <c r="D396" s="8" t="n">
        <v>0</v>
      </c>
      <c r="E396" s="8" t="n">
        <v>30</v>
      </c>
      <c r="F396" s="8" t="n">
        <v>272.09</v>
      </c>
      <c r="G396" s="7" t="n">
        <f aca="false">IFERROR(INDEX('TRANS'!$B:$B,MATCH($B396,'TRANS'!$A:$A,0)),IFERROR(INDEX('TRANS'!$B:$B,MATCH(TRIM(SUBSTITUTE($B396,CHAR(160)," ")),'TRANS'!$D:$D,0)),IFERROR(INDEX('Catalog'!$A:$A,MATCH($B396,'Catalog'!$B:$B,0)),IFERROR(INDEX('Catalog'!$A:$A,MATCH(TRIM(SUBSTITUTE($B396,CHAR(160)," ")),'Catalog'!$C:$C,0)),""))))</f>
        <v>4420024</v>
      </c>
      <c r="H396" s="7" t="str">
        <f aca="false">IFERROR(INDEX('TRANS'!$C:$C,MATCH($B396,'TRANS'!$A:$A,0)),IFERROR(INDEX('Catalog'!$B:$B,MATCH($G396,'Catalog'!$A:$A,0)),$B396))</f>
        <v>LFריפוד סיליק.לכרית כף הרגל373</v>
      </c>
      <c r="I396" s="7" t="str">
        <f aca="false">IF($G396="","Unmatched","Matched")</f>
        <v>Matched</v>
      </c>
      <c r="J396" s="7" t="n">
        <f aca="false">IF($G396&lt;&gt;"",$G396,$B396)</f>
        <v>4420024</v>
      </c>
      <c r="K396" s="7" t="str">
        <f aca="false">IF(COUNTIF($O$2:$O$16,$A396)&gt;0,"Y","N")</f>
        <v>Y</v>
      </c>
    </row>
    <row r="397" customFormat="false" ht="15" hidden="false" customHeight="false" outlineLevel="0" collapsed="false">
      <c r="A397" s="7" t="s">
        <v>32</v>
      </c>
      <c r="B397" s="7" t="s">
        <v>385</v>
      </c>
      <c r="C397" s="8" t="n">
        <v>10</v>
      </c>
      <c r="D397" s="8" t="n">
        <v>79.46</v>
      </c>
      <c r="E397" s="8" t="n">
        <v>0</v>
      </c>
      <c r="F397" s="8" t="n">
        <v>0</v>
      </c>
      <c r="G397" s="7" t="n">
        <f aca="false">IFERROR(INDEX('TRANS'!$B:$B,MATCH($B397,'TRANS'!$A:$A,0)),IFERROR(INDEX('TRANS'!$B:$B,MATCH(TRIM(SUBSTITUTE($B397,CHAR(160)," ")),'TRANS'!$D:$D,0)),IFERROR(INDEX('Catalog'!$A:$A,MATCH($B397,'Catalog'!$B:$B,0)),IFERROR(INDEX('Catalog'!$A:$A,MATCH(TRIM(SUBSTITUTE($B397,CHAR(160)," ")),'Catalog'!$C:$C,0)),""))))</f>
        <v>4420025</v>
      </c>
      <c r="H397" s="7" t="str">
        <f aca="false">IFERROR(INDEX('TRANS'!$C:$C,MATCH($B397,'TRANS'!$A:$A,0)),IFERROR(INDEX('Catalog'!$B:$B,MATCH($G397,'Catalog'!$A:$A,0)),$B397))</f>
        <v>LF374 ריפוד סיליק.לעקב תחתון</v>
      </c>
      <c r="I397" s="7" t="str">
        <f aca="false">IF($G397="","Unmatched","Matched")</f>
        <v>Matched</v>
      </c>
      <c r="J397" s="7" t="n">
        <f aca="false">IF($G397&lt;&gt;"",$G397,$B397)</f>
        <v>4420025</v>
      </c>
      <c r="K397" s="7" t="str">
        <f aca="false">IF(COUNTIF($O$2:$O$16,$A397)&gt;0,"Y","N")</f>
        <v>Y</v>
      </c>
    </row>
    <row r="398" customFormat="false" ht="15" hidden="false" customHeight="false" outlineLevel="0" collapsed="false">
      <c r="A398" s="7" t="s">
        <v>32</v>
      </c>
      <c r="B398" s="7" t="s">
        <v>386</v>
      </c>
      <c r="C398" s="8" t="n">
        <v>0</v>
      </c>
      <c r="D398" s="8" t="n">
        <v>0</v>
      </c>
      <c r="E398" s="8" t="n">
        <v>20</v>
      </c>
      <c r="F398" s="8" t="n">
        <v>396.81</v>
      </c>
      <c r="G398" s="7" t="n">
        <f aca="false">IFERROR(INDEX('TRANS'!$B:$B,MATCH($B398,'TRANS'!$A:$A,0)),IFERROR(INDEX('TRANS'!$B:$B,MATCH(TRIM(SUBSTITUTE($B398,CHAR(160)," ")),'TRANS'!$D:$D,0)),IFERROR(INDEX('Catalog'!$A:$A,MATCH($B398,'Catalog'!$B:$B,0)),IFERROR(INDEX('Catalog'!$A:$A,MATCH(TRIM(SUBSTITUTE($B398,CHAR(160)," ")),'Catalog'!$C:$C,0)),""))))</f>
        <v>4413276</v>
      </c>
      <c r="H398" s="7" t="str">
        <f aca="false">IFERROR(INDEX('TRANS'!$C:$C,MATCH($B398,'TRANS'!$A:$A,0)),IFERROR(INDEX('Catalog'!$B:$B,MATCH($G398,'Catalog'!$A:$A,0)),$B398))</f>
        <v>LF377 L-מדרס סיליקון לנעלי עקב</v>
      </c>
      <c r="I398" s="7" t="str">
        <f aca="false">IF($G398="","Unmatched","Matched")</f>
        <v>Matched</v>
      </c>
      <c r="J398" s="7" t="n">
        <f aca="false">IF($G398&lt;&gt;"",$G398,$B398)</f>
        <v>4413276</v>
      </c>
      <c r="K398" s="7" t="str">
        <f aca="false">IF(COUNTIF($O$2:$O$16,$A398)&gt;0,"Y","N")</f>
        <v>Y</v>
      </c>
    </row>
    <row r="399" customFormat="false" ht="15" hidden="false" customHeight="false" outlineLevel="0" collapsed="false">
      <c r="A399" s="7" t="s">
        <v>32</v>
      </c>
      <c r="B399" s="7" t="s">
        <v>388</v>
      </c>
      <c r="C399" s="8" t="n">
        <v>0</v>
      </c>
      <c r="D399" s="8" t="n">
        <v>0</v>
      </c>
      <c r="E399" s="8" t="n">
        <v>20</v>
      </c>
      <c r="F399" s="8" t="n">
        <v>396.81</v>
      </c>
      <c r="G399" s="7" t="n">
        <f aca="false">IFERROR(INDEX('TRANS'!$B:$B,MATCH($B399,'TRANS'!$A:$A,0)),IFERROR(INDEX('TRANS'!$B:$B,MATCH(TRIM(SUBSTITUTE($B399,CHAR(160)," ")),'TRANS'!$D:$D,0)),IFERROR(INDEX('Catalog'!$A:$A,MATCH($B399,'Catalog'!$B:$B,0)),IFERROR(INDEX('Catalog'!$A:$A,MATCH(TRIM(SUBSTITUTE($B399,CHAR(160)," ")),'Catalog'!$C:$C,0)),""))))</f>
        <v>4413278</v>
      </c>
      <c r="H399" s="7" t="str">
        <f aca="false">IFERROR(INDEX('TRANS'!$C:$C,MATCH($B399,'TRANS'!$A:$A,0)),IFERROR(INDEX('Catalog'!$B:$B,MATCH($G399,'Catalog'!$A:$A,0)),$B399))</f>
        <v>LF377 S-מדרס סיליקון לנעלי עקב</v>
      </c>
      <c r="I399" s="7" t="str">
        <f aca="false">IF($G399="","Unmatched","Matched")</f>
        <v>Matched</v>
      </c>
      <c r="J399" s="7" t="n">
        <f aca="false">IF($G399&lt;&gt;"",$G399,$B399)</f>
        <v>4413278</v>
      </c>
      <c r="K399" s="7" t="str">
        <f aca="false">IF(COUNTIF($O$2:$O$16,$A399)&gt;0,"Y","N")</f>
        <v>Y</v>
      </c>
    </row>
    <row r="400" customFormat="false" ht="15" hidden="false" customHeight="false" outlineLevel="0" collapsed="false">
      <c r="A400" s="7" t="s">
        <v>32</v>
      </c>
      <c r="B400" s="7" t="s">
        <v>499</v>
      </c>
      <c r="C400" s="8" t="n">
        <v>9</v>
      </c>
      <c r="D400" s="8" t="n">
        <v>369.32</v>
      </c>
      <c r="E400" s="8" t="n">
        <v>0</v>
      </c>
      <c r="F400" s="8" t="n">
        <v>0</v>
      </c>
      <c r="G400" s="7" t="n">
        <f aca="false">IFERROR(INDEX('TRANS'!$B:$B,MATCH($B400,'TRANS'!$A:$A,0)),IFERROR(INDEX('TRANS'!$B:$B,MATCH(TRIM(SUBSTITUTE($B400,CHAR(160)," ")),'TRANS'!$D:$D,0)),IFERROR(INDEX('Catalog'!$A:$A,MATCH($B400,'Catalog'!$B:$B,0)),IFERROR(INDEX('Catalog'!$A:$A,MATCH(TRIM(SUBSTITUTE($B400,CHAR(160)," ")),'Catalog'!$C:$C,0)),""))))</f>
        <v>4408249</v>
      </c>
      <c r="H400" s="7" t="str">
        <f aca="false">IFERROR(INDEX('TRANS'!$C:$C,MATCH($B400,'TRANS'!$A:$A,0)),IFERROR(INDEX('Catalog'!$B:$B,MATCH($G400,'Catalog'!$A:$A,0)),$B400))</f>
        <v>SC25  L חבק יד</v>
      </c>
      <c r="I400" s="7" t="str">
        <f aca="false">IF($G400="","Unmatched","Matched")</f>
        <v>Matched</v>
      </c>
      <c r="J400" s="7" t="n">
        <f aca="false">IF($G400&lt;&gt;"",$G400,$B400)</f>
        <v>4408249</v>
      </c>
      <c r="K400" s="7" t="str">
        <f aca="false">IF(COUNTIF($O$2:$O$16,$A400)&gt;0,"Y","N")</f>
        <v>Y</v>
      </c>
    </row>
    <row r="401" customFormat="false" ht="15" hidden="false" customHeight="false" outlineLevel="0" collapsed="false">
      <c r="A401" s="7" t="s">
        <v>32</v>
      </c>
      <c r="B401" s="7" t="s">
        <v>500</v>
      </c>
      <c r="C401" s="8" t="n">
        <v>3</v>
      </c>
      <c r="D401" s="8" t="n">
        <v>119.1</v>
      </c>
      <c r="E401" s="8" t="n">
        <v>0</v>
      </c>
      <c r="F401" s="8" t="n">
        <v>0</v>
      </c>
      <c r="G401" s="7" t="n">
        <f aca="false">IFERROR(INDEX('TRANS'!$B:$B,MATCH($B401,'TRANS'!$A:$A,0)),IFERROR(INDEX('TRANS'!$B:$B,MATCH(TRIM(SUBSTITUTE($B401,CHAR(160)," ")),'TRANS'!$D:$D,0)),IFERROR(INDEX('Catalog'!$A:$A,MATCH($B401,'Catalog'!$B:$B,0)),IFERROR(INDEX('Catalog'!$A:$A,MATCH(TRIM(SUBSTITUTE($B401,CHAR(160)," ")),'Catalog'!$C:$C,0)),""))))</f>
        <v>4408248</v>
      </c>
      <c r="H401" s="7" t="str">
        <f aca="false">IFERROR(INDEX('TRANS'!$C:$C,MATCH($B401,'TRANS'!$A:$A,0)),IFERROR(INDEX('Catalog'!$B:$B,MATCH($G401,'Catalog'!$A:$A,0)),$B401))</f>
        <v>SC25  M חבק יד</v>
      </c>
      <c r="I401" s="7" t="str">
        <f aca="false">IF($G401="","Unmatched","Matched")</f>
        <v>Matched</v>
      </c>
      <c r="J401" s="7" t="n">
        <f aca="false">IF($G401&lt;&gt;"",$G401,$B401)</f>
        <v>4408248</v>
      </c>
      <c r="K401" s="7" t="str">
        <f aca="false">IF(COUNTIF($O$2:$O$16,$A401)&gt;0,"Y","N")</f>
        <v>Y</v>
      </c>
    </row>
    <row r="402" customFormat="false" ht="15" hidden="false" customHeight="false" outlineLevel="0" collapsed="false">
      <c r="A402" s="7" t="s">
        <v>32</v>
      </c>
      <c r="B402" s="7" t="s">
        <v>501</v>
      </c>
      <c r="C402" s="8" t="n">
        <v>3</v>
      </c>
      <c r="D402" s="8" t="n">
        <v>148.99</v>
      </c>
      <c r="E402" s="8" t="n">
        <v>0</v>
      </c>
      <c r="F402" s="8" t="n">
        <v>0</v>
      </c>
      <c r="G402" s="7" t="n">
        <f aca="false">IFERROR(INDEX('TRANS'!$B:$B,MATCH($B402,'TRANS'!$A:$A,0)),IFERROR(INDEX('TRANS'!$B:$B,MATCH(TRIM(SUBSTITUTE($B402,CHAR(160)," ")),'TRANS'!$D:$D,0)),IFERROR(INDEX('Catalog'!$A:$A,MATCH($B402,'Catalog'!$B:$B,0)),IFERROR(INDEX('Catalog'!$A:$A,MATCH(TRIM(SUBSTITUTE($B402,CHAR(160)," ")),'Catalog'!$C:$C,0)),""))))</f>
        <v>4413422</v>
      </c>
      <c r="H402" s="7" t="str">
        <f aca="false">IFERROR(INDEX('TRANS'!$C:$C,MATCH($B402,'TRANS'!$A:$A,0)),IFERROR(INDEX('Catalog'!$B:$B,MATCH($G402,'Catalog'!$A:$A,0)),$B402))</f>
        <v>SC35L  L מגן קרסול שמאל</v>
      </c>
      <c r="I402" s="7" t="str">
        <f aca="false">IF($G402="","Unmatched","Matched")</f>
        <v>Matched</v>
      </c>
      <c r="J402" s="7" t="n">
        <f aca="false">IF($G402&lt;&gt;"",$G402,$B402)</f>
        <v>4413422</v>
      </c>
      <c r="K402" s="7" t="str">
        <f aca="false">IF(COUNTIF($O$2:$O$16,$A402)&gt;0,"Y","N")</f>
        <v>Y</v>
      </c>
    </row>
    <row r="403" customFormat="false" ht="15" hidden="false" customHeight="false" outlineLevel="0" collapsed="false">
      <c r="A403" s="7" t="s">
        <v>32</v>
      </c>
      <c r="B403" s="7" t="s">
        <v>502</v>
      </c>
      <c r="C403" s="8" t="n">
        <v>3</v>
      </c>
      <c r="D403" s="8" t="n">
        <v>145.32</v>
      </c>
      <c r="E403" s="8" t="n">
        <v>0</v>
      </c>
      <c r="F403" s="8" t="n">
        <v>0</v>
      </c>
      <c r="G403" s="7" t="n">
        <f aca="false">IFERROR(INDEX('TRANS'!$B:$B,MATCH($B403,'TRANS'!$A:$A,0)),IFERROR(INDEX('TRANS'!$B:$B,MATCH(TRIM(SUBSTITUTE($B403,CHAR(160)," ")),'TRANS'!$D:$D,0)),IFERROR(INDEX('Catalog'!$A:$A,MATCH($B403,'Catalog'!$B:$B,0)),IFERROR(INDEX('Catalog'!$A:$A,MATCH(TRIM(SUBSTITUTE($B403,CHAR(160)," ")),'Catalog'!$C:$C,0)),""))))</f>
        <v>4413426</v>
      </c>
      <c r="H403" s="7" t="str">
        <f aca="false">IFERROR(INDEX('TRANS'!$C:$C,MATCH($B403,'TRANS'!$A:$A,0)),IFERROR(INDEX('Catalog'!$B:$B,MATCH($G403,'Catalog'!$A:$A,0)),$B403))</f>
        <v>SC35R  L מגן קרסול ימין</v>
      </c>
      <c r="I403" s="7" t="str">
        <f aca="false">IF($G403="","Unmatched","Matched")</f>
        <v>Matched</v>
      </c>
      <c r="J403" s="7" t="n">
        <f aca="false">IF($G403&lt;&gt;"",$G403,$B403)</f>
        <v>4413426</v>
      </c>
      <c r="K403" s="7" t="str">
        <f aca="false">IF(COUNTIF($O$2:$O$16,$A403)&gt;0,"Y","N")</f>
        <v>Y</v>
      </c>
    </row>
    <row r="404" customFormat="false" ht="15" hidden="false" customHeight="false" outlineLevel="0" collapsed="false">
      <c r="A404" s="7" t="s">
        <v>32</v>
      </c>
      <c r="B404" s="7" t="s">
        <v>503</v>
      </c>
      <c r="C404" s="8" t="n">
        <v>0</v>
      </c>
      <c r="D404" s="8" t="n">
        <v>0</v>
      </c>
      <c r="E404" s="8" t="n">
        <v>2</v>
      </c>
      <c r="F404" s="8" t="n">
        <v>164.28</v>
      </c>
      <c r="G404" s="7" t="n">
        <f aca="false">IFERROR(INDEX('TRANS'!$B:$B,MATCH($B404,'TRANS'!$A:$A,0)),IFERROR(INDEX('TRANS'!$B:$B,MATCH(TRIM(SUBSTITUTE($B404,CHAR(160)," ")),'TRANS'!$D:$D,0)),IFERROR(INDEX('Catalog'!$A:$A,MATCH($B404,'Catalog'!$B:$B,0)),IFERROR(INDEX('Catalog'!$A:$A,MATCH(TRIM(SUBSTITUTE($B404,CHAR(160)," ")),'Catalog'!$C:$C,0)),""))))</f>
        <v>4413416</v>
      </c>
      <c r="H404" s="7" t="str">
        <f aca="false">IFERROR(INDEX('TRANS'!$C:$C,MATCH($B404,'TRANS'!$A:$A,0)),IFERROR(INDEX('Catalog'!$B:$B,MATCH($G404,'Catalog'!$A:$A,0)),$B404))</f>
        <v>SC39  M מגן שוק</v>
      </c>
      <c r="I404" s="7" t="str">
        <f aca="false">IF($G404="","Unmatched","Matched")</f>
        <v>Matched</v>
      </c>
      <c r="J404" s="7" t="n">
        <f aca="false">IF($G404&lt;&gt;"",$G404,$B404)</f>
        <v>4413416</v>
      </c>
      <c r="K404" s="7" t="str">
        <f aca="false">IF(COUNTIF($O$2:$O$16,$A404)&gt;0,"Y","N")</f>
        <v>Y</v>
      </c>
    </row>
    <row r="405" customFormat="false" ht="15" hidden="false" customHeight="false" outlineLevel="0" collapsed="false">
      <c r="A405" s="7" t="s">
        <v>32</v>
      </c>
      <c r="B405" s="7" t="s">
        <v>504</v>
      </c>
      <c r="C405" s="8" t="n">
        <v>0</v>
      </c>
      <c r="D405" s="8" t="n">
        <v>0</v>
      </c>
      <c r="E405" s="8" t="n">
        <v>2</v>
      </c>
      <c r="F405" s="8" t="n">
        <v>164.28</v>
      </c>
      <c r="G405" s="7" t="n">
        <f aca="false">IFERROR(INDEX('TRANS'!$B:$B,MATCH($B405,'TRANS'!$A:$A,0)),IFERROR(INDEX('TRANS'!$B:$B,MATCH(TRIM(SUBSTITUTE($B405,CHAR(160)," ")),'TRANS'!$D:$D,0)),IFERROR(INDEX('Catalog'!$A:$A,MATCH($B405,'Catalog'!$B:$B,0)),IFERROR(INDEX('Catalog'!$A:$A,MATCH(TRIM(SUBSTITUTE($B405,CHAR(160)," ")),'Catalog'!$C:$C,0)),""))))</f>
        <v>4413415</v>
      </c>
      <c r="H405" s="7" t="str">
        <f aca="false">IFERROR(INDEX('TRANS'!$C:$C,MATCH($B405,'TRANS'!$A:$A,0)),IFERROR(INDEX('Catalog'!$B:$B,MATCH($G405,'Catalog'!$A:$A,0)),$B405))</f>
        <v>SC39  S מגן שוק</v>
      </c>
      <c r="I405" s="7" t="str">
        <f aca="false">IF($G405="","Unmatched","Matched")</f>
        <v>Matched</v>
      </c>
      <c r="J405" s="7" t="n">
        <f aca="false">IF($G405&lt;&gt;"",$G405,$B405)</f>
        <v>4413415</v>
      </c>
      <c r="K405" s="7" t="str">
        <f aca="false">IF(COUNTIF($O$2:$O$16,$A405)&gt;0,"Y","N")</f>
        <v>Y</v>
      </c>
    </row>
    <row r="406" customFormat="false" ht="15" hidden="false" customHeight="false" outlineLevel="0" collapsed="false">
      <c r="A406" s="7" t="s">
        <v>32</v>
      </c>
      <c r="B406" s="7" t="s">
        <v>505</v>
      </c>
      <c r="C406" s="8" t="n">
        <v>0</v>
      </c>
      <c r="D406" s="8" t="n">
        <v>0</v>
      </c>
      <c r="E406" s="8" t="n">
        <v>2</v>
      </c>
      <c r="F406" s="8" t="n">
        <v>137.24</v>
      </c>
      <c r="G406" s="7" t="n">
        <f aca="false">IFERROR(INDEX('TRANS'!$B:$B,MATCH($B406,'TRANS'!$A:$A,0)),IFERROR(INDEX('TRANS'!$B:$B,MATCH(TRIM(SUBSTITUTE($B406,CHAR(160)," ")),'TRANS'!$D:$D,0)),IFERROR(INDEX('Catalog'!$A:$A,MATCH($B406,'Catalog'!$B:$B,0)),IFERROR(INDEX('Catalog'!$A:$A,MATCH(TRIM(SUBSTITUTE($B406,CHAR(160)," ")),'Catalog'!$C:$C,0)),""))))</f>
        <v>4413440</v>
      </c>
      <c r="H406" s="7" t="str">
        <f aca="false">IFERROR(INDEX('TRANS'!$C:$C,MATCH($B406,'TRANS'!$A:$A,0)),IFERROR(INDEX('Catalog'!$B:$B,MATCH($G406,'Catalog'!$A:$A,0)),$B406))</f>
        <v>SC422  L מגן ברך</v>
      </c>
      <c r="I406" s="7" t="str">
        <f aca="false">IF($G406="","Unmatched","Matched")</f>
        <v>Matched</v>
      </c>
      <c r="J406" s="7" t="n">
        <f aca="false">IF($G406&lt;&gt;"",$G406,$B406)</f>
        <v>4413440</v>
      </c>
      <c r="K406" s="7" t="str">
        <f aca="false">IF(COUNTIF($O$2:$O$16,$A406)&gt;0,"Y","N")</f>
        <v>Y</v>
      </c>
    </row>
    <row r="407" customFormat="false" ht="15" hidden="false" customHeight="false" outlineLevel="0" collapsed="false">
      <c r="A407" s="7" t="s">
        <v>32</v>
      </c>
      <c r="B407" s="7" t="s">
        <v>506</v>
      </c>
      <c r="C407" s="8" t="n">
        <v>3</v>
      </c>
      <c r="D407" s="8" t="n">
        <v>251.56</v>
      </c>
      <c r="E407" s="8" t="n">
        <v>0</v>
      </c>
      <c r="F407" s="8" t="n">
        <v>0</v>
      </c>
      <c r="G407" s="7" t="n">
        <f aca="false">IFERROR(INDEX('TRANS'!$B:$B,MATCH($B407,'TRANS'!$A:$A,0)),IFERROR(INDEX('TRANS'!$B:$B,MATCH(TRIM(SUBSTITUTE($B407,CHAR(160)," ")),'TRANS'!$D:$D,0)),IFERROR(INDEX('Catalog'!$A:$A,MATCH($B407,'Catalog'!$B:$B,0)),IFERROR(INDEX('Catalog'!$A:$A,MATCH(TRIM(SUBSTITUTE($B407,CHAR(160)," ")),'Catalog'!$C:$C,0)),""))))</f>
        <v>4413439</v>
      </c>
      <c r="H407" s="7" t="str">
        <f aca="false">IFERROR(INDEX('TRANS'!$C:$C,MATCH($B407,'TRANS'!$A:$A,0)),IFERROR(INDEX('Catalog'!$B:$B,MATCH($G407,'Catalog'!$A:$A,0)),$B407))</f>
        <v>SC422  M מגן ברך</v>
      </c>
      <c r="I407" s="7" t="str">
        <f aca="false">IF($G407="","Unmatched","Matched")</f>
        <v>Matched</v>
      </c>
      <c r="J407" s="7" t="n">
        <f aca="false">IF($G407&lt;&gt;"",$G407,$B407)</f>
        <v>4413439</v>
      </c>
      <c r="K407" s="7" t="str">
        <f aca="false">IF(COUNTIF($O$2:$O$16,$A407)&gt;0,"Y","N")</f>
        <v>Y</v>
      </c>
    </row>
    <row r="408" customFormat="false" ht="15" hidden="false" customHeight="false" outlineLevel="0" collapsed="false">
      <c r="A408" s="7" t="s">
        <v>32</v>
      </c>
      <c r="B408" s="7" t="s">
        <v>507</v>
      </c>
      <c r="C408" s="8" t="n">
        <v>0</v>
      </c>
      <c r="D408" s="8" t="n">
        <v>0</v>
      </c>
      <c r="E408" s="8" t="n">
        <v>20</v>
      </c>
      <c r="F408" s="8" t="n">
        <v>1124.31</v>
      </c>
      <c r="G408" s="7" t="n">
        <f aca="false">IFERROR(INDEX('TRANS'!$B:$B,MATCH($B408,'TRANS'!$A:$A,0)),IFERROR(INDEX('TRANS'!$B:$B,MATCH(TRIM(SUBSTITUTE($B408,CHAR(160)," ")),'TRANS'!$D:$D,0)),IFERROR(INDEX('Catalog'!$A:$A,MATCH($B408,'Catalog'!$B:$B,0)),IFERROR(INDEX('Catalog'!$A:$A,MATCH(TRIM(SUBSTITUTE($B408,CHAR(160)," ")),'Catalog'!$C:$C,0)),""))))</f>
        <v>4413534</v>
      </c>
      <c r="H408" s="7" t="str">
        <f aca="false">IFERROR(INDEX('TRANS'!$C:$C,MATCH($B408,'TRANS'!$A:$A,0)),IFERROR(INDEX('Catalog'!$B:$B,MATCH($G408,'Catalog'!$A:$A,0)),$B408))</f>
        <v>SH333 מקבע קרסול</v>
      </c>
      <c r="I408" s="7" t="str">
        <f aca="false">IF($G408="","Unmatched","Matched")</f>
        <v>Matched</v>
      </c>
      <c r="J408" s="7" t="n">
        <f aca="false">IF($G408&lt;&gt;"",$G408,$B408)</f>
        <v>4413534</v>
      </c>
      <c r="K408" s="7" t="str">
        <f aca="false">IF(COUNTIF($O$2:$O$16,$A408)&gt;0,"Y","N")</f>
        <v>Y</v>
      </c>
    </row>
    <row r="409" customFormat="false" ht="15" hidden="false" customHeight="false" outlineLevel="0" collapsed="false">
      <c r="A409" s="7" t="s">
        <v>32</v>
      </c>
      <c r="B409" s="7" t="s">
        <v>508</v>
      </c>
      <c r="C409" s="8" t="n">
        <v>0</v>
      </c>
      <c r="D409" s="8" t="n">
        <v>0</v>
      </c>
      <c r="E409" s="8" t="n">
        <v>10</v>
      </c>
      <c r="F409" s="8" t="n">
        <v>984.69</v>
      </c>
      <c r="G409" s="7" t="n">
        <f aca="false">IFERROR(INDEX('TRANS'!$B:$B,MATCH($B409,'TRANS'!$A:$A,0)),IFERROR(INDEX('TRANS'!$B:$B,MATCH(TRIM(SUBSTITUTE($B409,CHAR(160)," ")),'TRANS'!$D:$D,0)),IFERROR(INDEX('Catalog'!$A:$A,MATCH($B409,'Catalog'!$B:$B,0)),IFERROR(INDEX('Catalog'!$A:$A,MATCH(TRIM(SUBSTITUTE($B409,CHAR(160)," ")),'Catalog'!$C:$C,0)),""))))</f>
        <v>4422037</v>
      </c>
      <c r="H409" s="7" t="str">
        <f aca="false">IFERROR(INDEX('TRANS'!$C:$C,MATCH($B409,'TRANS'!$A:$A,0)),IFERROR(INDEX('Catalog'!$B:$B,MATCH($G409,'Catalog'!$A:$A,0)),$B409))</f>
        <v>SH422 1 תומך ברך גנושילד</v>
      </c>
      <c r="I409" s="7" t="str">
        <f aca="false">IF($G409="","Unmatched","Matched")</f>
        <v>Matched</v>
      </c>
      <c r="J409" s="7" t="n">
        <f aca="false">IF($G409&lt;&gt;"",$G409,$B409)</f>
        <v>4422037</v>
      </c>
      <c r="K409" s="7" t="str">
        <f aca="false">IF(COUNTIF($O$2:$O$16,$A409)&gt;0,"Y","N")</f>
        <v>Y</v>
      </c>
    </row>
    <row r="410" customFormat="false" ht="15" hidden="false" customHeight="false" outlineLevel="0" collapsed="false">
      <c r="A410" s="7" t="s">
        <v>32</v>
      </c>
      <c r="B410" s="7" t="s">
        <v>509</v>
      </c>
      <c r="C410" s="8" t="n">
        <v>0</v>
      </c>
      <c r="D410" s="8" t="n">
        <v>0</v>
      </c>
      <c r="E410" s="8" t="n">
        <v>10</v>
      </c>
      <c r="F410" s="8" t="n">
        <v>984.69</v>
      </c>
      <c r="G410" s="7" t="n">
        <f aca="false">IFERROR(INDEX('TRANS'!$B:$B,MATCH($B410,'TRANS'!$A:$A,0)),IFERROR(INDEX('TRANS'!$B:$B,MATCH(TRIM(SUBSTITUTE($B410,CHAR(160)," ")),'TRANS'!$D:$D,0)),IFERROR(INDEX('Catalog'!$A:$A,MATCH($B410,'Catalog'!$B:$B,0)),IFERROR(INDEX('Catalog'!$A:$A,MATCH(TRIM(SUBSTITUTE($B410,CHAR(160)," ")),'Catalog'!$C:$C,0)),""))))</f>
        <v>4422038</v>
      </c>
      <c r="H410" s="7" t="str">
        <f aca="false">IFERROR(INDEX('TRANS'!$C:$C,MATCH($B410,'TRANS'!$A:$A,0)),IFERROR(INDEX('Catalog'!$B:$B,MATCH($G410,'Catalog'!$A:$A,0)),$B410))</f>
        <v>SH422 2 תומך ברך גנושילד</v>
      </c>
      <c r="I410" s="7" t="str">
        <f aca="false">IF($G410="","Unmatched","Matched")</f>
        <v>Matched</v>
      </c>
      <c r="J410" s="7" t="n">
        <f aca="false">IF($G410&lt;&gt;"",$G410,$B410)</f>
        <v>4422038</v>
      </c>
      <c r="K410" s="7" t="str">
        <f aca="false">IF(COUNTIF($O$2:$O$16,$A410)&gt;0,"Y","N")</f>
        <v>Y</v>
      </c>
    </row>
    <row r="411" customFormat="false" ht="15" hidden="false" customHeight="false" outlineLevel="0" collapsed="false">
      <c r="A411" s="7" t="s">
        <v>32</v>
      </c>
      <c r="B411" s="7" t="s">
        <v>510</v>
      </c>
      <c r="C411" s="8" t="n">
        <v>0</v>
      </c>
      <c r="D411" s="8" t="n">
        <v>0</v>
      </c>
      <c r="E411" s="8" t="n">
        <v>20</v>
      </c>
      <c r="F411" s="8" t="n">
        <v>1969.37</v>
      </c>
      <c r="G411" s="7" t="n">
        <f aca="false">IFERROR(INDEX('TRANS'!$B:$B,MATCH($B411,'TRANS'!$A:$A,0)),IFERROR(INDEX('TRANS'!$B:$B,MATCH(TRIM(SUBSTITUTE($B411,CHAR(160)," ")),'TRANS'!$D:$D,0)),IFERROR(INDEX('Catalog'!$A:$A,MATCH($B411,'Catalog'!$B:$B,0)),IFERROR(INDEX('Catalog'!$A:$A,MATCH(TRIM(SUBSTITUTE($B411,CHAR(160)," ")),'Catalog'!$C:$C,0)),""))))</f>
        <v>4422039</v>
      </c>
      <c r="H411" s="7" t="str">
        <f aca="false">IFERROR(INDEX('TRANS'!$C:$C,MATCH($B411,'TRANS'!$A:$A,0)),IFERROR(INDEX('Catalog'!$B:$B,MATCH($G411,'Catalog'!$A:$A,0)),$B411))</f>
        <v>SH422 3 תומך ברך גנושילד</v>
      </c>
      <c r="I411" s="7" t="str">
        <f aca="false">IF($G411="","Unmatched","Matched")</f>
        <v>Matched</v>
      </c>
      <c r="J411" s="7" t="n">
        <f aca="false">IF($G411&lt;&gt;"",$G411,$B411)</f>
        <v>4422039</v>
      </c>
      <c r="K411" s="7" t="str">
        <f aca="false">IF(COUNTIF($O$2:$O$16,$A411)&gt;0,"Y","N")</f>
        <v>Y</v>
      </c>
    </row>
    <row r="412" customFormat="false" ht="15" hidden="false" customHeight="false" outlineLevel="0" collapsed="false">
      <c r="A412" s="7" t="s">
        <v>32</v>
      </c>
      <c r="B412" s="7" t="s">
        <v>511</v>
      </c>
      <c r="C412" s="8" t="n">
        <v>0</v>
      </c>
      <c r="D412" s="8" t="n">
        <v>0</v>
      </c>
      <c r="E412" s="8" t="n">
        <v>20</v>
      </c>
      <c r="F412" s="8" t="n">
        <v>1969.37</v>
      </c>
      <c r="G412" s="7" t="n">
        <f aca="false">IFERROR(INDEX('TRANS'!$B:$B,MATCH($B412,'TRANS'!$A:$A,0)),IFERROR(INDEX('TRANS'!$B:$B,MATCH(TRIM(SUBSTITUTE($B412,CHAR(160)," ")),'TRANS'!$D:$D,0)),IFERROR(INDEX('Catalog'!$A:$A,MATCH($B412,'Catalog'!$B:$B,0)),IFERROR(INDEX('Catalog'!$A:$A,MATCH(TRIM(SUBSTITUTE($B412,CHAR(160)," ")),'Catalog'!$C:$C,0)),""))))</f>
        <v>4422040</v>
      </c>
      <c r="H412" s="7" t="str">
        <f aca="false">IFERROR(INDEX('TRANS'!$C:$C,MATCH($B412,'TRANS'!$A:$A,0)),IFERROR(INDEX('Catalog'!$B:$B,MATCH($G412,'Catalog'!$A:$A,0)),$B412))</f>
        <v>SH422 4 תומך ברך גנושילד</v>
      </c>
      <c r="I412" s="7" t="str">
        <f aca="false">IF($G412="","Unmatched","Matched")</f>
        <v>Matched</v>
      </c>
      <c r="J412" s="7" t="n">
        <f aca="false">IF($G412&lt;&gt;"",$G412,$B412)</f>
        <v>4422040</v>
      </c>
      <c r="K412" s="7" t="str">
        <f aca="false">IF(COUNTIF($O$2:$O$16,$A412)&gt;0,"Y","N")</f>
        <v>Y</v>
      </c>
    </row>
    <row r="413" customFormat="false" ht="15" hidden="false" customHeight="false" outlineLevel="0" collapsed="false">
      <c r="A413" s="7" t="s">
        <v>32</v>
      </c>
      <c r="B413" s="7" t="s">
        <v>512</v>
      </c>
      <c r="C413" s="8" t="n">
        <v>0</v>
      </c>
      <c r="D413" s="8" t="n">
        <v>0</v>
      </c>
      <c r="E413" s="8" t="n">
        <v>10</v>
      </c>
      <c r="F413" s="8" t="n">
        <v>984.69</v>
      </c>
      <c r="G413" s="7" t="n">
        <f aca="false">IFERROR(INDEX('TRANS'!$B:$B,MATCH($B413,'TRANS'!$A:$A,0)),IFERROR(INDEX('TRANS'!$B:$B,MATCH(TRIM(SUBSTITUTE($B413,CHAR(160)," ")),'TRANS'!$D:$D,0)),IFERROR(INDEX('Catalog'!$A:$A,MATCH($B413,'Catalog'!$B:$B,0)),IFERROR(INDEX('Catalog'!$A:$A,MATCH(TRIM(SUBSTITUTE($B413,CHAR(160)," ")),'Catalog'!$C:$C,0)),""))))</f>
        <v>4422041</v>
      </c>
      <c r="H413" s="7" t="str">
        <f aca="false">IFERROR(INDEX('TRANS'!$C:$C,MATCH($B413,'TRANS'!$A:$A,0)),IFERROR(INDEX('Catalog'!$B:$B,MATCH($G413,'Catalog'!$A:$A,0)),$B413))</f>
        <v>SH422 5 תומך ברך גנושילד</v>
      </c>
      <c r="I413" s="7" t="str">
        <f aca="false">IF($G413="","Unmatched","Matched")</f>
        <v>Matched</v>
      </c>
      <c r="J413" s="7" t="n">
        <f aca="false">IF($G413&lt;&gt;"",$G413,$B413)</f>
        <v>4422041</v>
      </c>
      <c r="K413" s="7" t="str">
        <f aca="false">IF(COUNTIF($O$2:$O$16,$A413)&gt;0,"Y","N")</f>
        <v>Y</v>
      </c>
    </row>
    <row r="414" customFormat="false" ht="15" hidden="false" customHeight="false" outlineLevel="0" collapsed="false">
      <c r="A414" s="7" t="s">
        <v>32</v>
      </c>
      <c r="B414" s="7" t="s">
        <v>149</v>
      </c>
      <c r="C414" s="8" t="n">
        <v>0</v>
      </c>
      <c r="D414" s="8" t="n">
        <v>0</v>
      </c>
      <c r="E414" s="8" t="n">
        <v>3</v>
      </c>
      <c r="F414" s="8" t="n">
        <v>462.95</v>
      </c>
      <c r="G414" s="7" t="str">
        <f aca="false">IFERROR(INDEX('TRANS'!$B:$B,MATCH($B414,'TRANS'!$A:$A,0)),IFERROR(INDEX('TRANS'!$B:$B,MATCH(TRIM(SUBSTITUTE($B414,CHAR(160)," ")),'TRANS'!$D:$D,0)),IFERROR(INDEX('Catalog'!$A:$A,MATCH($B414,'Catalog'!$B:$B,0)),IFERROR(INDEX('Catalog'!$A:$A,MATCH(TRIM(SUBSTITUTE($B414,CHAR(160)," ")),'Catalog'!$C:$C,0)),""))))</f>
        <v/>
      </c>
      <c r="H414" s="7" t="str">
        <f aca="false">IFERROR(INDEX('TRANS'!$C:$C,MATCH($B414,'TRANS'!$A:$A,0)),IFERROR(INDEX('Catalog'!$B:$B,MATCH($G414,'Catalog'!$A:$A,0)),$B414))</f>
        <v>SH776 L</v>
      </c>
      <c r="I414" s="7" t="str">
        <f aca="false">IF($G414="","Unmatched","Matched")</f>
        <v>Unmatched</v>
      </c>
      <c r="J414" s="7" t="str">
        <f aca="false">IF($G414&lt;&gt;"",$G414,$B414)</f>
        <v>SH776 L</v>
      </c>
      <c r="K414" s="7" t="str">
        <f aca="false">IF(COUNTIF($O$2:$O$16,$A414)&gt;0,"Y","N")</f>
        <v>Y</v>
      </c>
    </row>
    <row r="415" customFormat="false" ht="15" hidden="false" customHeight="false" outlineLevel="0" collapsed="false">
      <c r="A415" s="7" t="s">
        <v>32</v>
      </c>
      <c r="B415" s="7" t="s">
        <v>163</v>
      </c>
      <c r="C415" s="8" t="n">
        <v>0</v>
      </c>
      <c r="D415" s="8" t="n">
        <v>0</v>
      </c>
      <c r="E415" s="8" t="n">
        <v>2</v>
      </c>
      <c r="F415" s="8" t="n">
        <v>308.63</v>
      </c>
      <c r="G415" s="7" t="str">
        <f aca="false">IFERROR(INDEX('TRANS'!$B:$B,MATCH($B415,'TRANS'!$A:$A,0)),IFERROR(INDEX('TRANS'!$B:$B,MATCH(TRIM(SUBSTITUTE($B415,CHAR(160)," ")),'TRANS'!$D:$D,0)),IFERROR(INDEX('Catalog'!$A:$A,MATCH($B415,'Catalog'!$B:$B,0)),IFERROR(INDEX('Catalog'!$A:$A,MATCH(TRIM(SUBSTITUTE($B415,CHAR(160)," ")),'Catalog'!$C:$C,0)),""))))</f>
        <v/>
      </c>
      <c r="H415" s="7" t="str">
        <f aca="false">IFERROR(INDEX('TRANS'!$C:$C,MATCH($B415,'TRANS'!$A:$A,0)),IFERROR(INDEX('Catalog'!$B:$B,MATCH($G415,'Catalog'!$A:$A,0)),$B415))</f>
        <v>SH776 M</v>
      </c>
      <c r="I415" s="7" t="str">
        <f aca="false">IF($G415="","Unmatched","Matched")</f>
        <v>Unmatched</v>
      </c>
      <c r="J415" s="7" t="str">
        <f aca="false">IF($G415&lt;&gt;"",$G415,$B415)</f>
        <v>SH776 M</v>
      </c>
      <c r="K415" s="7" t="str">
        <f aca="false">IF(COUNTIF($O$2:$O$16,$A415)&gt;0,"Y","N")</f>
        <v>Y</v>
      </c>
    </row>
    <row r="416" customFormat="false" ht="15" hidden="false" customHeight="false" outlineLevel="0" collapsed="false">
      <c r="A416" s="7" t="s">
        <v>32</v>
      </c>
      <c r="B416" s="7" t="s">
        <v>164</v>
      </c>
      <c r="C416" s="8" t="n">
        <v>0</v>
      </c>
      <c r="D416" s="8" t="n">
        <v>0</v>
      </c>
      <c r="E416" s="8" t="n">
        <v>2</v>
      </c>
      <c r="F416" s="8" t="n">
        <v>308.63</v>
      </c>
      <c r="G416" s="7" t="str">
        <f aca="false">IFERROR(INDEX('TRANS'!$B:$B,MATCH($B416,'TRANS'!$A:$A,0)),IFERROR(INDEX('TRANS'!$B:$B,MATCH(TRIM(SUBSTITUTE($B416,CHAR(160)," ")),'TRANS'!$D:$D,0)),IFERROR(INDEX('Catalog'!$A:$A,MATCH($B416,'Catalog'!$B:$B,0)),IFERROR(INDEX('Catalog'!$A:$A,MATCH(TRIM(SUBSTITUTE($B416,CHAR(160)," ")),'Catalog'!$C:$C,0)),""))))</f>
        <v/>
      </c>
      <c r="H416" s="7" t="str">
        <f aca="false">IFERROR(INDEX('TRANS'!$C:$C,MATCH($B416,'TRANS'!$A:$A,0)),IFERROR(INDEX('Catalog'!$B:$B,MATCH($G416,'Catalog'!$A:$A,0)),$B416))</f>
        <v>SH776 S</v>
      </c>
      <c r="I416" s="7" t="str">
        <f aca="false">IF($G416="","Unmatched","Matched")</f>
        <v>Unmatched</v>
      </c>
      <c r="J416" s="7" t="str">
        <f aca="false">IF($G416&lt;&gt;"",$G416,$B416)</f>
        <v>SH776 S</v>
      </c>
      <c r="K416" s="7" t="str">
        <f aca="false">IF(COUNTIF($O$2:$O$16,$A416)&gt;0,"Y","N")</f>
        <v>Y</v>
      </c>
    </row>
    <row r="417" customFormat="false" ht="15" hidden="false" customHeight="false" outlineLevel="0" collapsed="false">
      <c r="A417" s="7" t="s">
        <v>32</v>
      </c>
      <c r="B417" s="7" t="s">
        <v>150</v>
      </c>
      <c r="C417" s="8" t="n">
        <v>0</v>
      </c>
      <c r="D417" s="8" t="n">
        <v>0</v>
      </c>
      <c r="E417" s="8" t="n">
        <v>3</v>
      </c>
      <c r="F417" s="8" t="n">
        <v>462.95</v>
      </c>
      <c r="G417" s="7" t="str">
        <f aca="false">IFERROR(INDEX('TRANS'!$B:$B,MATCH($B417,'TRANS'!$A:$A,0)),IFERROR(INDEX('TRANS'!$B:$B,MATCH(TRIM(SUBSTITUTE($B417,CHAR(160)," ")),'TRANS'!$D:$D,0)),IFERROR(INDEX('Catalog'!$A:$A,MATCH($B417,'Catalog'!$B:$B,0)),IFERROR(INDEX('Catalog'!$A:$A,MATCH(TRIM(SUBSTITUTE($B417,CHAR(160)," ")),'Catalog'!$C:$C,0)),""))))</f>
        <v/>
      </c>
      <c r="H417" s="7" t="str">
        <f aca="false">IFERROR(INDEX('TRANS'!$C:$C,MATCH($B417,'TRANS'!$A:$A,0)),IFERROR(INDEX('Catalog'!$B:$B,MATCH($G417,'Catalog'!$A:$A,0)),$B417))</f>
        <v>SH776 XL</v>
      </c>
      <c r="I417" s="7" t="str">
        <f aca="false">IF($G417="","Unmatched","Matched")</f>
        <v>Unmatched</v>
      </c>
      <c r="J417" s="7" t="str">
        <f aca="false">IF($G417&lt;&gt;"",$G417,$B417)</f>
        <v>SH776 XL</v>
      </c>
      <c r="K417" s="7" t="str">
        <f aca="false">IF(COUNTIF($O$2:$O$16,$A417)&gt;0,"Y","N")</f>
        <v>Y</v>
      </c>
    </row>
    <row r="418" customFormat="false" ht="15" hidden="false" customHeight="false" outlineLevel="0" collapsed="false">
      <c r="A418" s="7" t="s">
        <v>32</v>
      </c>
      <c r="B418" s="7" t="s">
        <v>151</v>
      </c>
      <c r="C418" s="8" t="n">
        <v>0</v>
      </c>
      <c r="D418" s="8" t="n">
        <v>0</v>
      </c>
      <c r="E418" s="8" t="n">
        <v>3</v>
      </c>
      <c r="F418" s="8" t="n">
        <v>462.95</v>
      </c>
      <c r="G418" s="7" t="str">
        <f aca="false">IFERROR(INDEX('TRANS'!$B:$B,MATCH($B418,'TRANS'!$A:$A,0)),IFERROR(INDEX('TRANS'!$B:$B,MATCH(TRIM(SUBSTITUTE($B418,CHAR(160)," ")),'TRANS'!$D:$D,0)),IFERROR(INDEX('Catalog'!$A:$A,MATCH($B418,'Catalog'!$B:$B,0)),IFERROR(INDEX('Catalog'!$A:$A,MATCH(TRIM(SUBSTITUTE($B418,CHAR(160)," ")),'Catalog'!$C:$C,0)),""))))</f>
        <v/>
      </c>
      <c r="H418" s="7" t="str">
        <f aca="false">IFERROR(INDEX('TRANS'!$C:$C,MATCH($B418,'TRANS'!$A:$A,0)),IFERROR(INDEX('Catalog'!$B:$B,MATCH($G418,'Catalog'!$A:$A,0)),$B418))</f>
        <v>SH776 XXL</v>
      </c>
      <c r="I418" s="7" t="str">
        <f aca="false">IF($G418="","Unmatched","Matched")</f>
        <v>Unmatched</v>
      </c>
      <c r="J418" s="7" t="str">
        <f aca="false">IF($G418&lt;&gt;"",$G418,$B418)</f>
        <v>SH776 XXL</v>
      </c>
      <c r="K418" s="7" t="str">
        <f aca="false">IF(COUNTIF($O$2:$O$16,$A418)&gt;0,"Y","N")</f>
        <v>Y</v>
      </c>
    </row>
    <row r="419" customFormat="false" ht="15" hidden="false" customHeight="false" outlineLevel="0" collapsed="false">
      <c r="A419" s="7" t="s">
        <v>32</v>
      </c>
      <c r="B419" s="7" t="s">
        <v>513</v>
      </c>
      <c r="C419" s="8" t="n">
        <v>70</v>
      </c>
      <c r="D419" s="8" t="n">
        <v>2065.81</v>
      </c>
      <c r="E419" s="8" t="n">
        <v>32</v>
      </c>
      <c r="F419" s="8" t="n">
        <v>801.07</v>
      </c>
      <c r="G419" s="7" t="n">
        <f aca="false">IFERROR(INDEX('TRANS'!$B:$B,MATCH($B419,'TRANS'!$A:$A,0)),IFERROR(INDEX('TRANS'!$B:$B,MATCH(TRIM(SUBSTITUTE($B419,CHAR(160)," ")),'TRANS'!$D:$D,0)),IFERROR(INDEX('Catalog'!$A:$A,MATCH($B419,'Catalog'!$B:$B,0)),IFERROR(INDEX('Catalog'!$A:$A,MATCH(TRIM(SUBSTITUTE($B419,CHAR(160)," ")),'Catalog'!$C:$C,0)),""))))</f>
        <v>4408270</v>
      </c>
      <c r="H419" s="7" t="str">
        <f aca="false">IFERROR(INDEX('TRANS'!$C:$C,MATCH($B419,'TRANS'!$A:$A,0)),IFERROR(INDEX('Catalog'!$B:$B,MATCH($G419,'Catalog'!$A:$A,0)),$B419))</f>
        <v>ST11  חגורת בטן</v>
      </c>
      <c r="I419" s="7" t="str">
        <f aca="false">IF($G419="","Unmatched","Matched")</f>
        <v>Matched</v>
      </c>
      <c r="J419" s="7" t="n">
        <f aca="false">IF($G419&lt;&gt;"",$G419,$B419)</f>
        <v>4408270</v>
      </c>
      <c r="K419" s="7" t="str">
        <f aca="false">IF(COUNTIF($O$2:$O$16,$A419)&gt;0,"Y","N")</f>
        <v>Y</v>
      </c>
    </row>
    <row r="420" customFormat="false" ht="15" hidden="false" customHeight="false" outlineLevel="0" collapsed="false">
      <c r="A420" s="7" t="s">
        <v>32</v>
      </c>
      <c r="B420" s="7" t="s">
        <v>514</v>
      </c>
      <c r="C420" s="8" t="n">
        <v>120</v>
      </c>
      <c r="D420" s="8" t="n">
        <v>1792.25</v>
      </c>
      <c r="E420" s="8" t="n">
        <v>100</v>
      </c>
      <c r="F420" s="8" t="n">
        <v>1358.95</v>
      </c>
      <c r="G420" s="7" t="n">
        <f aca="false">IFERROR(INDEX('TRANS'!$B:$B,MATCH($B420,'TRANS'!$A:$A,0)),IFERROR(INDEX('TRANS'!$B:$B,MATCH(TRIM(SUBSTITUTE($B420,CHAR(160)," ")),'TRANS'!$D:$D,0)),IFERROR(INDEX('Catalog'!$A:$A,MATCH($B420,'Catalog'!$B:$B,0)),IFERROR(INDEX('Catalog'!$A:$A,MATCH(TRIM(SUBSTITUTE($B420,CHAR(160)," ")),'Catalog'!$C:$C,0)),""))))</f>
        <v>4408267</v>
      </c>
      <c r="H420" s="7" t="str">
        <f aca="false">IFERROR(INDEX('TRANS'!$C:$C,MATCH($B420,'TRANS'!$A:$A,0)),IFERROR(INDEX('Catalog'!$B:$B,MATCH($G420,'Catalog'!$A:$A,0)),$B420))</f>
        <v>ST25 חבק שורש לכף היד</v>
      </c>
      <c r="I420" s="7" t="str">
        <f aca="false">IF($G420="","Unmatched","Matched")</f>
        <v>Matched</v>
      </c>
      <c r="J420" s="7" t="n">
        <f aca="false">IF($G420&lt;&gt;"",$G420,$B420)</f>
        <v>4408267</v>
      </c>
      <c r="K420" s="7" t="str">
        <f aca="false">IF(COUNTIF($O$2:$O$16,$A420)&gt;0,"Y","N")</f>
        <v>Y</v>
      </c>
    </row>
    <row r="421" customFormat="false" ht="15" hidden="false" customHeight="false" outlineLevel="0" collapsed="false">
      <c r="A421" s="7" t="s">
        <v>32</v>
      </c>
      <c r="B421" s="7" t="s">
        <v>77</v>
      </c>
      <c r="C421" s="8" t="n">
        <v>40</v>
      </c>
      <c r="D421" s="8" t="n">
        <v>744.59</v>
      </c>
      <c r="E421" s="8" t="n">
        <v>10</v>
      </c>
      <c r="F421" s="8" t="n">
        <v>162.57</v>
      </c>
      <c r="G421" s="7" t="str">
        <f aca="false">IFERROR(INDEX('TRANS'!$B:$B,MATCH($B421,'TRANS'!$A:$A,0)),IFERROR(INDEX('TRANS'!$B:$B,MATCH(TRIM(SUBSTITUTE($B421,CHAR(160)," ")),'TRANS'!$D:$D,0)),IFERROR(INDEX('Catalog'!$A:$A,MATCH($B421,'Catalog'!$B:$B,0)),IFERROR(INDEX('Catalog'!$A:$A,MATCH(TRIM(SUBSTITUTE($B421,CHAR(160)," ")),'Catalog'!$C:$C,0)),""))))</f>
        <v/>
      </c>
      <c r="H421" s="7" t="str">
        <f aca="false">IFERROR(INDEX('TRANS'!$C:$C,MATCH($B421,'TRANS'!$A:$A,0)),IFERROR(INDEX('Catalog'!$B:$B,MATCH($G421,'Catalog'!$A:$A,0)),$B421))</f>
        <v>ST27L 0</v>
      </c>
      <c r="I421" s="7" t="str">
        <f aca="false">IF($G421="","Unmatched","Matched")</f>
        <v>Unmatched</v>
      </c>
      <c r="J421" s="7" t="str">
        <f aca="false">IF($G421&lt;&gt;"",$G421,$B421)</f>
        <v>ST27L 0</v>
      </c>
      <c r="K421" s="7" t="str">
        <f aca="false">IF(COUNTIF($O$2:$O$16,$A421)&gt;0,"Y","N")</f>
        <v>Y</v>
      </c>
    </row>
    <row r="422" customFormat="false" ht="15" hidden="false" customHeight="false" outlineLevel="0" collapsed="false">
      <c r="A422" s="7" t="s">
        <v>32</v>
      </c>
      <c r="B422" s="7" t="s">
        <v>75</v>
      </c>
      <c r="C422" s="8" t="n">
        <v>40</v>
      </c>
      <c r="D422" s="8" t="n">
        <v>780.98</v>
      </c>
      <c r="E422" s="8" t="n">
        <v>22</v>
      </c>
      <c r="F422" s="8" t="n">
        <v>357.65</v>
      </c>
      <c r="G422" s="7" t="str">
        <f aca="false">IFERROR(INDEX('TRANS'!$B:$B,MATCH($B422,'TRANS'!$A:$A,0)),IFERROR(INDEX('TRANS'!$B:$B,MATCH(TRIM(SUBSTITUTE($B422,CHAR(160)," ")),'TRANS'!$D:$D,0)),IFERROR(INDEX('Catalog'!$A:$A,MATCH($B422,'Catalog'!$B:$B,0)),IFERROR(INDEX('Catalog'!$A:$A,MATCH(TRIM(SUBSTITUTE($B422,CHAR(160)," ")),'Catalog'!$C:$C,0)),""))))</f>
        <v/>
      </c>
      <c r="H422" s="7" t="str">
        <f aca="false">IFERROR(INDEX('TRANS'!$C:$C,MATCH($B422,'TRANS'!$A:$A,0)),IFERROR(INDEX('Catalog'!$B:$B,MATCH($G422,'Catalog'!$A:$A,0)),$B422))</f>
        <v>ST27R 0</v>
      </c>
      <c r="I422" s="7" t="str">
        <f aca="false">IF($G422="","Unmatched","Matched")</f>
        <v>Unmatched</v>
      </c>
      <c r="J422" s="7" t="str">
        <f aca="false">IF($G422&lt;&gt;"",$G422,$B422)</f>
        <v>ST27R 0</v>
      </c>
      <c r="K422" s="7" t="str">
        <f aca="false">IF(COUNTIF($O$2:$O$16,$A422)&gt;0,"Y","N")</f>
        <v>Y</v>
      </c>
    </row>
    <row r="423" customFormat="false" ht="15" hidden="false" customHeight="false" outlineLevel="0" collapsed="false">
      <c r="A423" s="7" t="s">
        <v>32</v>
      </c>
      <c r="B423" s="7" t="s">
        <v>515</v>
      </c>
      <c r="C423" s="8" t="n">
        <v>30</v>
      </c>
      <c r="D423" s="8" t="n">
        <v>511.47</v>
      </c>
      <c r="E423" s="8" t="n">
        <v>50</v>
      </c>
      <c r="F423" s="8" t="n">
        <v>783.9</v>
      </c>
      <c r="G423" s="7" t="n">
        <f aca="false">IFERROR(INDEX('TRANS'!$B:$B,MATCH($B423,'TRANS'!$A:$A,0)),IFERROR(INDEX('TRANS'!$B:$B,MATCH(TRIM(SUBSTITUTE($B423,CHAR(160)," ")),'TRANS'!$D:$D,0)),IFERROR(INDEX('Catalog'!$A:$A,MATCH($B423,'Catalog'!$B:$B,0)),IFERROR(INDEX('Catalog'!$A:$A,MATCH(TRIM(SUBSTITUTE($B423,CHAR(160)," ")),'Catalog'!$C:$C,0)),""))))</f>
        <v>4415177</v>
      </c>
      <c r="H423" s="7" t="str">
        <f aca="false">IFERROR(INDEX('TRANS'!$C:$C,MATCH($B423,'TRANS'!$A:$A,0)),IFERROR(INDEX('Catalog'!$B:$B,MATCH($G423,'Catalog'!$A:$A,0)),$B423))</f>
        <v>ST28 סד אגודלי עם מוט תמיכה</v>
      </c>
      <c r="I423" s="7" t="str">
        <f aca="false">IF($G423="","Unmatched","Matched")</f>
        <v>Matched</v>
      </c>
      <c r="J423" s="7" t="n">
        <f aca="false">IF($G423&lt;&gt;"",$G423,$B423)</f>
        <v>4415177</v>
      </c>
      <c r="K423" s="7" t="str">
        <f aca="false">IF(COUNTIF($O$2:$O$16,$A423)&gt;0,"Y","N")</f>
        <v>Y</v>
      </c>
    </row>
    <row r="424" customFormat="false" ht="15" hidden="false" customHeight="false" outlineLevel="0" collapsed="false">
      <c r="A424" s="7" t="s">
        <v>32</v>
      </c>
      <c r="B424" s="7" t="s">
        <v>516</v>
      </c>
      <c r="C424" s="8" t="n">
        <v>30</v>
      </c>
      <c r="D424" s="8" t="n">
        <v>505.71</v>
      </c>
      <c r="E424" s="8" t="n">
        <v>30</v>
      </c>
      <c r="F424" s="8" t="n">
        <v>462.84</v>
      </c>
      <c r="G424" s="7" t="n">
        <f aca="false">IFERROR(INDEX('TRANS'!$B:$B,MATCH($B424,'TRANS'!$A:$A,0)),IFERROR(INDEX('TRANS'!$B:$B,MATCH(TRIM(SUBSTITUTE($B424,CHAR(160)," ")),'TRANS'!$D:$D,0)),IFERROR(INDEX('Catalog'!$A:$A,MATCH($B424,'Catalog'!$B:$B,0)),IFERROR(INDEX('Catalog'!$A:$A,MATCH(TRIM(SUBSTITUTE($B424,CHAR(160)," ")),'Catalog'!$C:$C,0)),""))))</f>
        <v>4408269</v>
      </c>
      <c r="H424" s="7" t="str">
        <f aca="false">IFERROR(INDEX('TRANS'!$C:$C,MATCH($B424,'TRANS'!$A:$A,0)),IFERROR(INDEX('Catalog'!$B:$B,MATCH($G424,'Catalog'!$A:$A,0)),$B424))</f>
        <v>ST37 חבק לקרסול</v>
      </c>
      <c r="I424" s="7" t="str">
        <f aca="false">IF($G424="","Unmatched","Matched")</f>
        <v>Matched</v>
      </c>
      <c r="J424" s="7" t="n">
        <f aca="false">IF($G424&lt;&gt;"",$G424,$B424)</f>
        <v>4408269</v>
      </c>
      <c r="K424" s="7" t="str">
        <f aca="false">IF(COUNTIF($O$2:$O$16,$A424)&gt;0,"Y","N")</f>
        <v>Y</v>
      </c>
    </row>
    <row r="425" customFormat="false" ht="15" hidden="false" customHeight="false" outlineLevel="0" collapsed="false">
      <c r="A425" s="7" t="s">
        <v>32</v>
      </c>
      <c r="B425" s="7" t="s">
        <v>59</v>
      </c>
      <c r="C425" s="8" t="n">
        <v>50</v>
      </c>
      <c r="D425" s="8" t="n">
        <v>940.21</v>
      </c>
      <c r="E425" s="8" t="n">
        <v>30</v>
      </c>
      <c r="F425" s="8" t="n">
        <v>527.77</v>
      </c>
      <c r="G425" s="7" t="str">
        <f aca="false">IFERROR(INDEX('TRANS'!$B:$B,MATCH($B425,'TRANS'!$A:$A,0)),IFERROR(INDEX('TRANS'!$B:$B,MATCH(TRIM(SUBSTITUTE($B425,CHAR(160)," ")),'TRANS'!$D:$D,0)),IFERROR(INDEX('Catalog'!$A:$A,MATCH($B425,'Catalog'!$B:$B,0)),IFERROR(INDEX('Catalog'!$A:$A,MATCH(TRIM(SUBSTITUTE($B425,CHAR(160)," ")),'Catalog'!$C:$C,0)),""))))</f>
        <v/>
      </c>
      <c r="H425" s="7" t="str">
        <f aca="false">IFERROR(INDEX('TRANS'!$C:$C,MATCH($B425,'TRANS'!$A:$A,0)),IFERROR(INDEX('Catalog'!$B:$B,MATCH($G425,'Catalog'!$A:$A,0)),$B425))</f>
        <v>ST45X 0</v>
      </c>
      <c r="I425" s="7" t="str">
        <f aca="false">IF($G425="","Unmatched","Matched")</f>
        <v>Unmatched</v>
      </c>
      <c r="J425" s="7" t="str">
        <f aca="false">IF($G425&lt;&gt;"",$G425,$B425)</f>
        <v>ST45X 0</v>
      </c>
      <c r="K425" s="7" t="str">
        <f aca="false">IF(COUNTIF($O$2:$O$16,$A425)&gt;0,"Y","N")</f>
        <v>Y</v>
      </c>
    </row>
    <row r="426" customFormat="false" ht="15" hidden="false" customHeight="false" outlineLevel="0" collapsed="false">
      <c r="A426" s="7" t="s">
        <v>32</v>
      </c>
      <c r="B426" s="7" t="s">
        <v>517</v>
      </c>
      <c r="C426" s="8" t="n">
        <v>10</v>
      </c>
      <c r="D426" s="8" t="n">
        <v>196.56</v>
      </c>
      <c r="E426" s="8" t="n">
        <v>0</v>
      </c>
      <c r="F426" s="8" t="n">
        <v>0</v>
      </c>
      <c r="G426" s="7" t="n">
        <f aca="false">IFERROR(INDEX('TRANS'!$B:$B,MATCH($B426,'TRANS'!$A:$A,0)),IFERROR(INDEX('TRANS'!$B:$B,MATCH(TRIM(SUBSTITUTE($B426,CHAR(160)," ")),'TRANS'!$D:$D,0)),IFERROR(INDEX('Catalog'!$A:$A,MATCH($B426,'Catalog'!$B:$B,0)),IFERROR(INDEX('Catalog'!$A:$A,MATCH(TRIM(SUBSTITUTE($B426,CHAR(160)," ")),'Catalog'!$C:$C,0)),""))))</f>
        <v>4413533</v>
      </c>
      <c r="H426" s="7" t="str">
        <f aca="false">IFERROR(INDEX('TRANS'!$C:$C,MATCH($B426,'TRANS'!$A:$A,0)),IFERROR(INDEX('Catalog'!$B:$B,MATCH($G426,'Catalog'!$A:$A,0)),$B426))</f>
        <v>ST49 מגן ירך</v>
      </c>
      <c r="I426" s="7" t="str">
        <f aca="false">IF($G426="","Unmatched","Matched")</f>
        <v>Matched</v>
      </c>
      <c r="J426" s="7" t="n">
        <f aca="false">IF($G426&lt;&gt;"",$G426,$B426)</f>
        <v>4413533</v>
      </c>
      <c r="K426" s="7" t="str">
        <f aca="false">IF(COUNTIF($O$2:$O$16,$A426)&gt;0,"Y","N")</f>
        <v>Y</v>
      </c>
    </row>
    <row r="427" customFormat="false" ht="15" hidden="false" customHeight="false" outlineLevel="0" collapsed="false">
      <c r="A427" s="7" t="s">
        <v>32</v>
      </c>
      <c r="B427" s="7" t="s">
        <v>518</v>
      </c>
      <c r="C427" s="8" t="n">
        <v>30</v>
      </c>
      <c r="D427" s="8" t="n">
        <v>533.23</v>
      </c>
      <c r="E427" s="8" t="n">
        <v>10</v>
      </c>
      <c r="F427" s="8" t="n">
        <v>156.15</v>
      </c>
      <c r="G427" s="7" t="n">
        <f aca="false">IFERROR(INDEX('TRANS'!$B:$B,MATCH($B427,'TRANS'!$A:$A,0)),IFERROR(INDEX('TRANS'!$B:$B,MATCH(TRIM(SUBSTITUTE($B427,CHAR(160)," ")),'TRANS'!$D:$D,0)),IFERROR(INDEX('Catalog'!$A:$A,MATCH($B427,'Catalog'!$B:$B,0)),IFERROR(INDEX('Catalog'!$A:$A,MATCH(TRIM(SUBSTITUTE($B427,CHAR(160)," ")),'Catalog'!$C:$C,0)),""))))</f>
        <v>4413531</v>
      </c>
      <c r="H427" s="7" t="str">
        <f aca="false">IFERROR(INDEX('TRANS'!$C:$C,MATCH($B427,'TRANS'!$A:$A,0)),IFERROR(INDEX('Catalog'!$B:$B,MATCH($G427,'Catalog'!$A:$A,0)),$B427))</f>
        <v>ST91 מגן מרפק לטניס</v>
      </c>
      <c r="I427" s="7" t="str">
        <f aca="false">IF($G427="","Unmatched","Matched")</f>
        <v>Matched</v>
      </c>
      <c r="J427" s="7" t="n">
        <f aca="false">IF($G427&lt;&gt;"",$G427,$B427)</f>
        <v>4413531</v>
      </c>
      <c r="K427" s="7" t="str">
        <f aca="false">IF(COUNTIF($O$2:$O$16,$A427)&gt;0,"Y","N")</f>
        <v>Y</v>
      </c>
    </row>
    <row r="428" customFormat="false" ht="15" hidden="false" customHeight="false" outlineLevel="0" collapsed="false">
      <c r="A428" s="7" t="s">
        <v>32</v>
      </c>
      <c r="B428" s="7" t="s">
        <v>71</v>
      </c>
      <c r="C428" s="8" t="n">
        <v>10</v>
      </c>
      <c r="D428" s="8" t="n">
        <v>206.45</v>
      </c>
      <c r="E428" s="8" t="n">
        <v>20</v>
      </c>
      <c r="F428" s="8" t="n">
        <v>389.47</v>
      </c>
      <c r="G428" s="7" t="str">
        <f aca="false">IFERROR(INDEX('TRANS'!$B:$B,MATCH($B428,'TRANS'!$A:$A,0)),IFERROR(INDEX('TRANS'!$B:$B,MATCH(TRIM(SUBSTITUTE($B428,CHAR(160)," ")),'TRANS'!$D:$D,0)),IFERROR(INDEX('Catalog'!$A:$A,MATCH($B428,'Catalog'!$B:$B,0)),IFERROR(INDEX('Catalog'!$A:$A,MATCH(TRIM(SUBSTITUTE($B428,CHAR(160)," ")),'Catalog'!$C:$C,0)),""))))</f>
        <v/>
      </c>
      <c r="H428" s="7" t="str">
        <f aca="false">IFERROR(INDEX('TRANS'!$C:$C,MATCH($B428,'TRANS'!$A:$A,0)),IFERROR(INDEX('Catalog'!$B:$B,MATCH($G428,'Catalog'!$A:$A,0)),$B428))</f>
        <v>ST95 0</v>
      </c>
      <c r="I428" s="7" t="str">
        <f aca="false">IF($G428="","Unmatched","Matched")</f>
        <v>Unmatched</v>
      </c>
      <c r="J428" s="7" t="str">
        <f aca="false">IF($G428&lt;&gt;"",$G428,$B428)</f>
        <v>ST95 0</v>
      </c>
      <c r="K428" s="7" t="str">
        <f aca="false">IF(COUNTIF($O$2:$O$16,$A428)&gt;0,"Y","N")</f>
        <v>Y</v>
      </c>
    </row>
    <row r="429" customFormat="false" ht="15" hidden="false" customHeight="false" outlineLevel="0" collapsed="false">
      <c r="A429" s="7" t="s">
        <v>32</v>
      </c>
      <c r="B429" s="7" t="s">
        <v>519</v>
      </c>
      <c r="C429" s="8" t="n">
        <v>0</v>
      </c>
      <c r="D429" s="8" t="n">
        <v>0</v>
      </c>
      <c r="E429" s="8" t="n">
        <v>3</v>
      </c>
      <c r="F429" s="8" t="n">
        <v>59.55</v>
      </c>
      <c r="G429" s="7" t="n">
        <f aca="false">IFERROR(INDEX('TRANS'!$B:$B,MATCH($B429,'TRANS'!$A:$A,0)),IFERROR(INDEX('TRANS'!$B:$B,MATCH(TRIM(SUBSTITUTE($B429,CHAR(160)," ")),'TRANS'!$D:$D,0)),IFERROR(INDEX('Catalog'!$A:$A,MATCH($B429,'Catalog'!$B:$B,0)),IFERROR(INDEX('Catalog'!$A:$A,MATCH(TRIM(SUBSTITUTE($B429,CHAR(160)," ")),'Catalog'!$C:$C,0)),""))))</f>
        <v>4408099</v>
      </c>
      <c r="H429" s="7" t="str">
        <f aca="false">IFERROR(INDEX('TRANS'!$C:$C,MATCH($B429,'TRANS'!$A:$A,0)),IFERROR(INDEX('Catalog'!$B:$B,MATCH($G429,'Catalog'!$A:$A,0)),$B429))</f>
        <v>T25C-חבק יד אגודלי</v>
      </c>
      <c r="I429" s="7" t="str">
        <f aca="false">IF($G429="","Unmatched","Matched")</f>
        <v>Matched</v>
      </c>
      <c r="J429" s="7" t="n">
        <f aca="false">IF($G429&lt;&gt;"",$G429,$B429)</f>
        <v>4408099</v>
      </c>
      <c r="K429" s="7" t="str">
        <f aca="false">IF(COUNTIF($O$2:$O$16,$A429)&gt;0,"Y","N")</f>
        <v>Y</v>
      </c>
    </row>
    <row r="430" customFormat="false" ht="15" hidden="false" customHeight="false" outlineLevel="0" collapsed="false">
      <c r="A430" s="7" t="s">
        <v>32</v>
      </c>
      <c r="B430" s="7" t="s">
        <v>520</v>
      </c>
      <c r="C430" s="8" t="n">
        <v>0</v>
      </c>
      <c r="D430" s="8" t="n">
        <v>0</v>
      </c>
      <c r="E430" s="8" t="n">
        <v>12</v>
      </c>
      <c r="F430" s="8" t="n">
        <v>890.63</v>
      </c>
      <c r="G430" s="7" t="n">
        <f aca="false">IFERROR(INDEX('TRANS'!$B:$B,MATCH($B430,'TRANS'!$A:$A,0)),IFERROR(INDEX('TRANS'!$B:$B,MATCH(TRIM(SUBSTITUTE($B430,CHAR(160)," ")),'TRANS'!$D:$D,0)),IFERROR(INDEX('Catalog'!$A:$A,MATCH($B430,'Catalog'!$B:$B,0)),IFERROR(INDEX('Catalog'!$A:$A,MATCH(TRIM(SUBSTITUTE($B430,CHAR(160)," ")),'Catalog'!$C:$C,0)),""))))</f>
        <v>4422006</v>
      </c>
      <c r="H430" s="7" t="str">
        <f aca="false">IFERROR(INDEX('TRANS'!$C:$C,MATCH($B430,'TRANS'!$A:$A,0)),IFERROR(INDEX('Catalog'!$B:$B,MATCH($G430,'Catalog'!$A:$A,0)),$B430))</f>
        <v>T78 L תומך זרוע וכתף</v>
      </c>
      <c r="I430" s="7" t="str">
        <f aca="false">IF($G430="","Unmatched","Matched")</f>
        <v>Matched</v>
      </c>
      <c r="J430" s="7" t="n">
        <f aca="false">IF($G430&lt;&gt;"",$G430,$B430)</f>
        <v>4422006</v>
      </c>
      <c r="K430" s="7" t="str">
        <f aca="false">IF(COUNTIF($O$2:$O$16,$A430)&gt;0,"Y","N")</f>
        <v>Y</v>
      </c>
    </row>
    <row r="431" customFormat="false" ht="15" hidden="false" customHeight="false" outlineLevel="0" collapsed="false">
      <c r="A431" s="7" t="s">
        <v>32</v>
      </c>
      <c r="B431" s="7" t="s">
        <v>521</v>
      </c>
      <c r="C431" s="8" t="n">
        <v>0</v>
      </c>
      <c r="D431" s="8" t="n">
        <v>0</v>
      </c>
      <c r="E431" s="8" t="n">
        <v>4</v>
      </c>
      <c r="F431" s="8" t="n">
        <v>276.54</v>
      </c>
      <c r="G431" s="7" t="n">
        <f aca="false">IFERROR(INDEX('TRANS'!$B:$B,MATCH($B431,'TRANS'!$A:$A,0)),IFERROR(INDEX('TRANS'!$B:$B,MATCH(TRIM(SUBSTITUTE($B431,CHAR(160)," ")),'TRANS'!$D:$D,0)),IFERROR(INDEX('Catalog'!$A:$A,MATCH($B431,'Catalog'!$B:$B,0)),IFERROR(INDEX('Catalog'!$A:$A,MATCH(TRIM(SUBSTITUTE($B431,CHAR(160)," ")),'Catalog'!$C:$C,0)),""))))</f>
        <v>4422005</v>
      </c>
      <c r="H431" s="7" t="str">
        <f aca="false">IFERROR(INDEX('TRANS'!$C:$C,MATCH($B431,'TRANS'!$A:$A,0)),IFERROR(INDEX('Catalog'!$B:$B,MATCH($G431,'Catalog'!$A:$A,0)),$B431))</f>
        <v>T78 M תומך זרוע וכתף</v>
      </c>
      <c r="I431" s="7" t="str">
        <f aca="false">IF($G431="","Unmatched","Matched")</f>
        <v>Matched</v>
      </c>
      <c r="J431" s="7" t="n">
        <f aca="false">IF($G431&lt;&gt;"",$G431,$B431)</f>
        <v>4422005</v>
      </c>
      <c r="K431" s="7" t="str">
        <f aca="false">IF(COUNTIF($O$2:$O$16,$A431)&gt;0,"Y","N")</f>
        <v>Y</v>
      </c>
    </row>
    <row r="432" customFormat="false" ht="15" hidden="false" customHeight="false" outlineLevel="0" collapsed="false">
      <c r="A432" s="7" t="s">
        <v>32</v>
      </c>
      <c r="B432" s="7" t="s">
        <v>522</v>
      </c>
      <c r="C432" s="8" t="n">
        <v>0</v>
      </c>
      <c r="D432" s="8" t="n">
        <v>0</v>
      </c>
      <c r="E432" s="8" t="n">
        <v>12</v>
      </c>
      <c r="F432" s="8" t="n">
        <v>890.63</v>
      </c>
      <c r="G432" s="7" t="n">
        <f aca="false">IFERROR(INDEX('TRANS'!$B:$B,MATCH($B432,'TRANS'!$A:$A,0)),IFERROR(INDEX('TRANS'!$B:$B,MATCH(TRIM(SUBSTITUTE($B432,CHAR(160)," ")),'TRANS'!$D:$D,0)),IFERROR(INDEX('Catalog'!$A:$A,MATCH($B432,'Catalog'!$B:$B,0)),IFERROR(INDEX('Catalog'!$A:$A,MATCH(TRIM(SUBSTITUTE($B432,CHAR(160)," ")),'Catalog'!$C:$C,0)),""))))</f>
        <v>4422007</v>
      </c>
      <c r="H432" s="7" t="str">
        <f aca="false">IFERROR(INDEX('TRANS'!$C:$C,MATCH($B432,'TRANS'!$A:$A,0)),IFERROR(INDEX('Catalog'!$B:$B,MATCH($G432,'Catalog'!$A:$A,0)),$B432))</f>
        <v>T78 XLתומך זרוע וכתף</v>
      </c>
      <c r="I432" s="7" t="str">
        <f aca="false">IF($G432="","Unmatched","Matched")</f>
        <v>Matched</v>
      </c>
      <c r="J432" s="7" t="n">
        <f aca="false">IF($G432&lt;&gt;"",$G432,$B432)</f>
        <v>4422007</v>
      </c>
      <c r="K432" s="7" t="str">
        <f aca="false">IF(COUNTIF($O$2:$O$16,$A432)&gt;0,"Y","N")</f>
        <v>Y</v>
      </c>
    </row>
    <row r="433" customFormat="false" ht="15" hidden="false" customHeight="false" outlineLevel="0" collapsed="false">
      <c r="A433" s="7" t="s">
        <v>32</v>
      </c>
      <c r="B433" s="7" t="s">
        <v>523</v>
      </c>
      <c r="C433" s="8" t="n">
        <v>0</v>
      </c>
      <c r="D433" s="8" t="n">
        <v>0</v>
      </c>
      <c r="E433" s="8" t="n">
        <v>6</v>
      </c>
      <c r="F433" s="8" t="n">
        <v>445.31</v>
      </c>
      <c r="G433" s="7" t="n">
        <f aca="false">IFERROR(INDEX('TRANS'!$B:$B,MATCH($B433,'TRANS'!$A:$A,0)),IFERROR(INDEX('TRANS'!$B:$B,MATCH(TRIM(SUBSTITUTE($B433,CHAR(160)," ")),'TRANS'!$D:$D,0)),IFERROR(INDEX('Catalog'!$A:$A,MATCH($B433,'Catalog'!$B:$B,0)),IFERROR(INDEX('Catalog'!$A:$A,MATCH(TRIM(SUBSTITUTE($B433,CHAR(160)," ")),'Catalog'!$C:$C,0)),""))))</f>
        <v>4422009</v>
      </c>
      <c r="H433" s="7" t="str">
        <f aca="false">IFERROR(INDEX('TRANS'!$C:$C,MATCH($B433,'TRANS'!$A:$A,0)),IFERROR(INDEX('Catalog'!$B:$B,MATCH($G433,'Catalog'!$A:$A,0)),$B433))</f>
        <v>T78 XXL תומך זרוע וכתף</v>
      </c>
      <c r="I433" s="7" t="str">
        <f aca="false">IF($G433="","Unmatched","Matched")</f>
        <v>Matched</v>
      </c>
      <c r="J433" s="7" t="n">
        <f aca="false">IF($G433&lt;&gt;"",$G433,$B433)</f>
        <v>4422009</v>
      </c>
      <c r="K433" s="7" t="str">
        <f aca="false">IF(COUNTIF($O$2:$O$16,$A433)&gt;0,"Y","N")</f>
        <v>Y</v>
      </c>
    </row>
    <row r="434" customFormat="false" ht="15" hidden="false" customHeight="false" outlineLevel="0" collapsed="false">
      <c r="A434" s="7" t="s">
        <v>33</v>
      </c>
      <c r="B434" s="7" t="s">
        <v>308</v>
      </c>
      <c r="C434" s="8" t="n">
        <v>20</v>
      </c>
      <c r="D434" s="8" t="n">
        <v>248.43</v>
      </c>
      <c r="E434" s="8" t="n">
        <v>0</v>
      </c>
      <c r="F434" s="8" t="n">
        <v>0</v>
      </c>
      <c r="G434" s="7" t="n">
        <f aca="false">IFERROR(INDEX('TRANS'!$B:$B,MATCH($B434,'TRANS'!$A:$A,0)),IFERROR(INDEX('TRANS'!$B:$B,MATCH(TRIM(SUBSTITUTE($B434,CHAR(160)," ")),'TRANS'!$D:$D,0)),IFERROR(INDEX('Catalog'!$A:$A,MATCH($B434,'Catalog'!$B:$B,0)),IFERROR(INDEX('Catalog'!$A:$A,MATCH(TRIM(SUBSTITUTE($B434,CHAR(160)," ")),'Catalog'!$C:$C,0)),""))))</f>
        <v>4413053</v>
      </c>
      <c r="H434" s="7" t="str">
        <f aca="false">IFERROR(INDEX('TRANS'!$C:$C,MATCH($B434,'TRANS'!$A:$A,0)),IFERROR(INDEX('Catalog'!$B:$B,MATCH($G434,'Catalog'!$A:$A,0)),$B434))</f>
        <v>35C L מגן קרסול חום</v>
      </c>
      <c r="I434" s="7" t="str">
        <f aca="false">IF($G434="","Unmatched","Matched")</f>
        <v>Matched</v>
      </c>
      <c r="J434" s="7" t="n">
        <f aca="false">IF($G434&lt;&gt;"",$G434,$B434)</f>
        <v>4413053</v>
      </c>
      <c r="K434" s="7" t="str">
        <f aca="false">IF(COUNTIF($O$2:$O$16,$A434)&gt;0,"Y","N")</f>
        <v>Y</v>
      </c>
    </row>
    <row r="435" customFormat="false" ht="15" hidden="false" customHeight="false" outlineLevel="0" collapsed="false">
      <c r="A435" s="7" t="s">
        <v>33</v>
      </c>
      <c r="B435" s="7" t="s">
        <v>457</v>
      </c>
      <c r="C435" s="8" t="n">
        <v>1</v>
      </c>
      <c r="D435" s="8" t="n">
        <v>0.04</v>
      </c>
      <c r="E435" s="8" t="n">
        <v>0</v>
      </c>
      <c r="F435" s="8" t="n">
        <v>0</v>
      </c>
      <c r="G435" s="7" t="n">
        <f aca="false">IFERROR(INDEX('TRANS'!$B:$B,MATCH($B435,'TRANS'!$A:$A,0)),IFERROR(INDEX('TRANS'!$B:$B,MATCH(TRIM(SUBSTITUTE($B435,CHAR(160)," ")),'TRANS'!$D:$D,0)),IFERROR(INDEX('Catalog'!$A:$A,MATCH($B435,'Catalog'!$B:$B,0)),IFERROR(INDEX('Catalog'!$A:$A,MATCH(TRIM(SUBSTITUTE($B435,CHAR(160)," ")),'Catalog'!$C:$C,0)),""))))</f>
        <v>4413523</v>
      </c>
      <c r="H435" s="7" t="str">
        <f aca="false">IFERROR(INDEX('TRANS'!$C:$C,MATCH($B435,'TRANS'!$A:$A,0)),IFERROR(INDEX('Catalog'!$B:$B,MATCH($G435,'Catalog'!$A:$A,0)),$B435))</f>
        <v>35-38 מדרסי אפיק ג'ל נוחות</v>
      </c>
      <c r="I435" s="7" t="str">
        <f aca="false">IF($G435="","Unmatched","Matched")</f>
        <v>Matched</v>
      </c>
      <c r="J435" s="7" t="n">
        <f aca="false">IF($G435&lt;&gt;"",$G435,$B435)</f>
        <v>4413523</v>
      </c>
      <c r="K435" s="7" t="str">
        <f aca="false">IF(COUNTIF($O$2:$O$16,$A435)&gt;0,"Y","N")</f>
        <v>Y</v>
      </c>
    </row>
    <row r="436" customFormat="false" ht="15" hidden="false" customHeight="false" outlineLevel="0" collapsed="false">
      <c r="A436" s="7" t="s">
        <v>33</v>
      </c>
      <c r="B436" s="7" t="s">
        <v>401</v>
      </c>
      <c r="C436" s="8" t="n">
        <v>1</v>
      </c>
      <c r="D436" s="8" t="n">
        <v>0.04</v>
      </c>
      <c r="E436" s="8" t="n">
        <v>0</v>
      </c>
      <c r="F436" s="8" t="n">
        <v>0</v>
      </c>
      <c r="G436" s="7" t="n">
        <f aca="false">IFERROR(INDEX('TRANS'!$B:$B,MATCH($B436,'TRANS'!$A:$A,0)),IFERROR(INDEX('TRANS'!$B:$B,MATCH(TRIM(SUBSTITUTE($B436,CHAR(160)," ")),'TRANS'!$D:$D,0)),IFERROR(INDEX('Catalog'!$A:$A,MATCH($B436,'Catalog'!$B:$B,0)),IFERROR(INDEX('Catalog'!$A:$A,MATCH(TRIM(SUBSTITUTE($B436,CHAR(160)," ")),'Catalog'!$C:$C,0)),""))))</f>
        <v>4413520</v>
      </c>
      <c r="H436" s="7" t="str">
        <f aca="false">IFERROR(INDEX('TRANS'!$C:$C,MATCH($B436,'TRANS'!$A:$A,0)),IFERROR(INDEX('Catalog'!$B:$B,MATCH($G436,'Catalog'!$A:$A,0)),$B436))</f>
        <v>מדרסי אפיק ג'ל מולט.ספורט35-38</v>
      </c>
      <c r="I436" s="7" t="str">
        <f aca="false">IF($G436="","Unmatched","Matched")</f>
        <v>Matched</v>
      </c>
      <c r="J436" s="7" t="n">
        <f aca="false">IF($G436&lt;&gt;"",$G436,$B436)</f>
        <v>4413520</v>
      </c>
      <c r="K436" s="7" t="str">
        <f aca="false">IF(COUNTIF($O$2:$O$16,$A436)&gt;0,"Y","N")</f>
        <v>Y</v>
      </c>
    </row>
    <row r="437" customFormat="false" ht="15" hidden="false" customHeight="false" outlineLevel="0" collapsed="false">
      <c r="A437" s="7" t="s">
        <v>33</v>
      </c>
      <c r="B437" s="7" t="s">
        <v>461</v>
      </c>
      <c r="C437" s="8" t="n">
        <v>1</v>
      </c>
      <c r="D437" s="8" t="n">
        <v>0.04</v>
      </c>
      <c r="E437" s="8" t="n">
        <v>0</v>
      </c>
      <c r="F437" s="8" t="n">
        <v>0</v>
      </c>
      <c r="G437" s="7" t="n">
        <f aca="false">IFERROR(INDEX('TRANS'!$B:$B,MATCH($B437,'TRANS'!$A:$A,0)),IFERROR(INDEX('TRANS'!$B:$B,MATCH(TRIM(SUBSTITUTE($B437,CHAR(160)," ")),'TRANS'!$D:$D,0)),IFERROR(INDEX('Catalog'!$A:$A,MATCH($B437,'Catalog'!$B:$B,0)),IFERROR(INDEX('Catalog'!$A:$A,MATCH(TRIM(SUBSTITUTE($B437,CHAR(160)," ")),'Catalog'!$C:$C,0)),""))))</f>
        <v>4413527</v>
      </c>
      <c r="H437" s="7" t="str">
        <f aca="false">IFERROR(INDEX('TRANS'!$C:$C,MATCH($B437,'TRANS'!$A:$A,0)),IFERROR(INDEX('Catalog'!$B:$B,MATCH($G437,'Catalog'!$A:$A,0)),$B437))</f>
        <v>35-38 מדרסי אפיק ג'ל עבודה</v>
      </c>
      <c r="I437" s="7" t="str">
        <f aca="false">IF($G437="","Unmatched","Matched")</f>
        <v>Matched</v>
      </c>
      <c r="J437" s="7" t="n">
        <f aca="false">IF($G437&lt;&gt;"",$G437,$B437)</f>
        <v>4413527</v>
      </c>
      <c r="K437" s="7" t="str">
        <f aca="false">IF(COUNTIF($O$2:$O$16,$A437)&gt;0,"Y","N")</f>
        <v>Y</v>
      </c>
    </row>
    <row r="438" customFormat="false" ht="15" hidden="false" customHeight="false" outlineLevel="0" collapsed="false">
      <c r="A438" s="7" t="s">
        <v>33</v>
      </c>
      <c r="B438" s="7" t="s">
        <v>462</v>
      </c>
      <c r="C438" s="8" t="n">
        <v>1</v>
      </c>
      <c r="D438" s="8" t="n">
        <v>0.04</v>
      </c>
      <c r="E438" s="8" t="n">
        <v>0</v>
      </c>
      <c r="F438" s="8" t="n">
        <v>0</v>
      </c>
      <c r="G438" s="7" t="n">
        <f aca="false">IFERROR(INDEX('TRANS'!$B:$B,MATCH($B438,'TRANS'!$A:$A,0)),IFERROR(INDEX('TRANS'!$B:$B,MATCH(TRIM(SUBSTITUTE($B438,CHAR(160)," ")),'TRANS'!$D:$D,0)),IFERROR(INDEX('Catalog'!$A:$A,MATCH($B438,'Catalog'!$B:$B,0)),IFERROR(INDEX('Catalog'!$A:$A,MATCH(TRIM(SUBSTITUTE($B438,CHAR(160)," ")),'Catalog'!$C:$C,0)),""))))</f>
        <v>4413528</v>
      </c>
      <c r="H438" s="7" t="str">
        <f aca="false">IFERROR(INDEX('TRANS'!$C:$C,MATCH($B438,'TRANS'!$A:$A,0)),IFERROR(INDEX('Catalog'!$B:$B,MATCH($G438,'Catalog'!$A:$A,0)),$B438))</f>
        <v>39-42 מדרסי אפיק ג'ל עבודה</v>
      </c>
      <c r="I438" s="7" t="str">
        <f aca="false">IF($G438="","Unmatched","Matched")</f>
        <v>Matched</v>
      </c>
      <c r="J438" s="7" t="n">
        <f aca="false">IF($G438&lt;&gt;"",$G438,$B438)</f>
        <v>4413528</v>
      </c>
      <c r="K438" s="7" t="str">
        <f aca="false">IF(COUNTIF($O$2:$O$16,$A438)&gt;0,"Y","N")</f>
        <v>Y</v>
      </c>
    </row>
    <row r="439" customFormat="false" ht="15" hidden="false" customHeight="false" outlineLevel="0" collapsed="false">
      <c r="A439" s="7" t="s">
        <v>34</v>
      </c>
      <c r="B439" s="7" t="s">
        <v>524</v>
      </c>
      <c r="C439" s="8" t="n">
        <v>70</v>
      </c>
      <c r="D439" s="8" t="n">
        <v>1792.62</v>
      </c>
      <c r="E439" s="8" t="n">
        <v>30</v>
      </c>
      <c r="F439" s="8" t="n">
        <v>738.93</v>
      </c>
      <c r="G439" s="7" t="n">
        <f aca="false">IFERROR(INDEX('TRANS'!$B:$B,MATCH($B439,'TRANS'!$A:$A,0)),IFERROR(INDEX('TRANS'!$B:$B,MATCH(TRIM(SUBSTITUTE($B439,CHAR(160)," ")),'TRANS'!$D:$D,0)),IFERROR(INDEX('Catalog'!$A:$A,MATCH($B439,'Catalog'!$B:$B,0)),IFERROR(INDEX('Catalog'!$A:$A,MATCH(TRIM(SUBSTITUTE($B439,CHAR(160)," ")),'Catalog'!$C:$C,0)),""))))</f>
        <v>4416003</v>
      </c>
      <c r="H439" s="7" t="str">
        <f aca="false">IFERROR(INDEX('TRANS'!$C:$C,MATCH($B439,'TRANS'!$A:$A,0)),IFERROR(INDEX('Catalog'!$B:$B,MATCH($G439,'Catalog'!$A:$A,0)),$B439))</f>
        <v>308 Lעקבים סיליקון כחול לדורבן</v>
      </c>
      <c r="I439" s="7" t="str">
        <f aca="false">IF($G439="","Unmatched","Matched")</f>
        <v>Matched</v>
      </c>
      <c r="J439" s="7" t="n">
        <f aca="false">IF($G439&lt;&gt;"",$G439,$B439)</f>
        <v>4416003</v>
      </c>
      <c r="K439" s="7" t="str">
        <f aca="false">IF(COUNTIF($O$2:$O$16,$A439)&gt;0,"Y","N")</f>
        <v>Y</v>
      </c>
    </row>
    <row r="440" customFormat="false" ht="15" hidden="false" customHeight="false" outlineLevel="0" collapsed="false">
      <c r="A440" s="7" t="s">
        <v>34</v>
      </c>
      <c r="B440" s="7" t="s">
        <v>525</v>
      </c>
      <c r="C440" s="8" t="n">
        <v>100</v>
      </c>
      <c r="D440" s="8" t="n">
        <v>2618.74</v>
      </c>
      <c r="E440" s="8" t="n">
        <v>80</v>
      </c>
      <c r="F440" s="8" t="n">
        <v>1899.5</v>
      </c>
      <c r="G440" s="7" t="n">
        <f aca="false">IFERROR(INDEX('TRANS'!$B:$B,MATCH($B440,'TRANS'!$A:$A,0)),IFERROR(INDEX('TRANS'!$B:$B,MATCH(TRIM(SUBSTITUTE($B440,CHAR(160)," ")),'TRANS'!$D:$D,0)),IFERROR(INDEX('Catalog'!$A:$A,MATCH($B440,'Catalog'!$B:$B,0)),IFERROR(INDEX('Catalog'!$A:$A,MATCH(TRIM(SUBSTITUTE($B440,CHAR(160)," ")),'Catalog'!$C:$C,0)),""))))</f>
        <v>4416005</v>
      </c>
      <c r="H440" s="7" t="str">
        <f aca="false">IFERROR(INDEX('TRANS'!$C:$C,MATCH($B440,'TRANS'!$A:$A,0)),IFERROR(INDEX('Catalog'!$B:$B,MATCH($G440,'Catalog'!$A:$A,0)),$B440))</f>
        <v>308 Mעקבים סיליק.כחול לדורבן</v>
      </c>
      <c r="I440" s="7" t="str">
        <f aca="false">IF($G440="","Unmatched","Matched")</f>
        <v>Matched</v>
      </c>
      <c r="J440" s="7" t="n">
        <f aca="false">IF($G440&lt;&gt;"",$G440,$B440)</f>
        <v>4416005</v>
      </c>
      <c r="K440" s="7" t="str">
        <f aca="false">IF(COUNTIF($O$2:$O$16,$A440)&gt;0,"Y","N")</f>
        <v>Y</v>
      </c>
    </row>
    <row r="441" customFormat="false" ht="15" hidden="false" customHeight="false" outlineLevel="0" collapsed="false">
      <c r="A441" s="7" t="s">
        <v>34</v>
      </c>
      <c r="B441" s="7" t="s">
        <v>395</v>
      </c>
      <c r="C441" s="8" t="n">
        <v>196</v>
      </c>
      <c r="D441" s="8" t="n">
        <v>1570.61</v>
      </c>
      <c r="E441" s="8" t="n">
        <v>28</v>
      </c>
      <c r="F441" s="8" t="n">
        <v>217.79</v>
      </c>
      <c r="G441" s="7" t="n">
        <f aca="false">IFERROR(INDEX('TRANS'!$B:$B,MATCH($B441,'TRANS'!$A:$A,0)),IFERROR(INDEX('TRANS'!$B:$B,MATCH(TRIM(SUBSTITUTE($B441,CHAR(160)," ")),'TRANS'!$D:$D,0)),IFERROR(INDEX('Catalog'!$A:$A,MATCH($B441,'Catalog'!$B:$B,0)),IFERROR(INDEX('Catalog'!$A:$A,MATCH(TRIM(SUBSTITUTE($B441,CHAR(160)," ")),'Catalog'!$C:$C,0)),""))))</f>
        <v>4413034</v>
      </c>
      <c r="H441" s="7" t="str">
        <f aca="false">IFERROR(INDEX('TRANS'!$C:$C,MATCH($B441,'TRANS'!$A:$A,0)),IFERROR(INDEX('Catalog'!$B:$B,MATCH($G441,'Catalog'!$A:$A,0)),$B441))</f>
        <v>312 9 מ""""ס להתאמהX5 מדבקה גדולה</v>
      </c>
      <c r="I441" s="7" t="str">
        <f aca="false">IF($G441="","Unmatched","Matched")</f>
        <v>Matched</v>
      </c>
      <c r="J441" s="7" t="n">
        <f aca="false">IF($G441&lt;&gt;"",$G441,$B441)</f>
        <v>4413034</v>
      </c>
      <c r="K441" s="7" t="str">
        <f aca="false">IF(COUNTIF($O$2:$O$16,$A441)&gt;0,"Y","N")</f>
        <v>Y</v>
      </c>
    </row>
    <row r="442" customFormat="false" ht="15" hidden="false" customHeight="false" outlineLevel="0" collapsed="false">
      <c r="A442" s="7" t="s">
        <v>34</v>
      </c>
      <c r="B442" s="7" t="s">
        <v>526</v>
      </c>
      <c r="C442" s="8" t="n">
        <v>20</v>
      </c>
      <c r="D442" s="8" t="n">
        <v>381.46</v>
      </c>
      <c r="E442" s="8" t="n">
        <v>0</v>
      </c>
      <c r="F442" s="8" t="n">
        <v>0</v>
      </c>
      <c r="G442" s="7" t="n">
        <f aca="false">IFERROR(INDEX('TRANS'!$B:$B,MATCH($B442,'TRANS'!$A:$A,0)),IFERROR(INDEX('TRANS'!$B:$B,MATCH(TRIM(SUBSTITUTE($B442,CHAR(160)," ")),'TRANS'!$D:$D,0)),IFERROR(INDEX('Catalog'!$A:$A,MATCH($B442,'Catalog'!$B:$B,0)),IFERROR(INDEX('Catalog'!$A:$A,MATCH(TRIM(SUBSTITUTE($B442,CHAR(160)," ")),'Catalog'!$C:$C,0)),""))))</f>
        <v>4403040</v>
      </c>
      <c r="H442" s="7" t="str">
        <f aca="false">IFERROR(INDEX('TRANS'!$C:$C,MATCH($B442,'TRANS'!$A:$A,0)),IFERROR(INDEX('Catalog'!$B:$B,MATCH($G442,'Catalog'!$A:$A,0)),$B442))</f>
        <v>3444B גרבי ג'ל לריכוך עור העקב</v>
      </c>
      <c r="I442" s="7" t="str">
        <f aca="false">IF($G442="","Unmatched","Matched")</f>
        <v>Matched</v>
      </c>
      <c r="J442" s="7" t="n">
        <f aca="false">IF($G442&lt;&gt;"",$G442,$B442)</f>
        <v>4403040</v>
      </c>
      <c r="K442" s="7" t="str">
        <f aca="false">IF(COUNTIF($O$2:$O$16,$A442)&gt;0,"Y","N")</f>
        <v>Y</v>
      </c>
    </row>
    <row r="443" customFormat="false" ht="15" hidden="false" customHeight="false" outlineLevel="0" collapsed="false">
      <c r="A443" s="7" t="s">
        <v>34</v>
      </c>
      <c r="B443" s="7" t="s">
        <v>456</v>
      </c>
      <c r="C443" s="8" t="n">
        <v>90</v>
      </c>
      <c r="D443" s="8" t="n">
        <v>1435.63</v>
      </c>
      <c r="E443" s="8" t="n">
        <v>100</v>
      </c>
      <c r="F443" s="8" t="n">
        <v>1365.6</v>
      </c>
      <c r="G443" s="7" t="n">
        <f aca="false">IFERROR(INDEX('TRANS'!$B:$B,MATCH($B443,'TRANS'!$A:$A,0)),IFERROR(INDEX('TRANS'!$B:$B,MATCH(TRIM(SUBSTITUTE($B443,CHAR(160)," ")),'TRANS'!$D:$D,0)),IFERROR(INDEX('Catalog'!$A:$A,MATCH($B443,'Catalog'!$B:$B,0)),IFERROR(INDEX('Catalog'!$A:$A,MATCH(TRIM(SUBSTITUTE($B443,CHAR(160)," ")),'Catalog'!$C:$C,0)),""))))</f>
        <v>4411000</v>
      </c>
      <c r="H443" s="7" t="str">
        <f aca="false">IFERROR(INDEX('TRANS'!$C:$C,MATCH($B443,'TRANS'!$A:$A,0)),IFERROR(INDEX('Catalog'!$B:$B,MATCH($G443,'Catalog'!$A:$A,0)),$B443))</f>
        <v>כרית מטטרזלי סיליקון362</v>
      </c>
      <c r="I443" s="7" t="str">
        <f aca="false">IF($G443="","Unmatched","Matched")</f>
        <v>Matched</v>
      </c>
      <c r="J443" s="7" t="n">
        <f aca="false">IF($G443&lt;&gt;"",$G443,$B443)</f>
        <v>4411000</v>
      </c>
      <c r="K443" s="7" t="str">
        <f aca="false">IF(COUNTIF($O$2:$O$16,$A443)&gt;0,"Y","N")</f>
        <v>Y</v>
      </c>
    </row>
    <row r="444" customFormat="false" ht="15" hidden="false" customHeight="false" outlineLevel="0" collapsed="false">
      <c r="A444" s="7" t="s">
        <v>34</v>
      </c>
      <c r="B444" s="7" t="s">
        <v>527</v>
      </c>
      <c r="C444" s="8" t="n">
        <v>30</v>
      </c>
      <c r="D444" s="8" t="n">
        <v>583.99</v>
      </c>
      <c r="E444" s="8" t="n">
        <v>0</v>
      </c>
      <c r="F444" s="8" t="n">
        <v>0</v>
      </c>
      <c r="G444" s="7" t="n">
        <f aca="false">IFERROR(INDEX('TRANS'!$B:$B,MATCH($B444,'TRANS'!$A:$A,0)),IFERROR(INDEX('TRANS'!$B:$B,MATCH(TRIM(SUBSTITUTE($B444,CHAR(160)," ")),'TRANS'!$D:$D,0)),IFERROR(INDEX('Catalog'!$A:$A,MATCH($B444,'Catalog'!$B:$B,0)),IFERROR(INDEX('Catalog'!$A:$A,MATCH(TRIM(SUBSTITUTE($B444,CHAR(160)," ")),'Catalog'!$C:$C,0)),""))))</f>
        <v>4413058</v>
      </c>
      <c r="H444" s="7" t="str">
        <f aca="false">IFERROR(INDEX('TRANS'!$C:$C,MATCH($B444,'TRANS'!$A:$A,0)),IFERROR(INDEX('Catalog'!$B:$B,MATCH($G444,'Catalog'!$A:$A,0)),$B444))</f>
        <v>3622S מדבקה לשחרור לחץ 2 יח</v>
      </c>
      <c r="I444" s="7" t="str">
        <f aca="false">IF($G444="","Unmatched","Matched")</f>
        <v>Matched</v>
      </c>
      <c r="J444" s="7" t="n">
        <f aca="false">IF($G444&lt;&gt;"",$G444,$B444)</f>
        <v>4413058</v>
      </c>
      <c r="K444" s="7" t="str">
        <f aca="false">IF(COUNTIF($O$2:$O$16,$A444)&gt;0,"Y","N")</f>
        <v>Y</v>
      </c>
    </row>
    <row r="445" customFormat="false" ht="15" hidden="false" customHeight="false" outlineLevel="0" collapsed="false">
      <c r="A445" s="7" t="s">
        <v>34</v>
      </c>
      <c r="B445" s="7" t="s">
        <v>80</v>
      </c>
      <c r="C445" s="8" t="n">
        <v>80</v>
      </c>
      <c r="D445" s="8" t="n">
        <v>1038.21</v>
      </c>
      <c r="E445" s="8" t="n">
        <v>0</v>
      </c>
      <c r="F445" s="8" t="n">
        <v>0</v>
      </c>
      <c r="G445" s="7" t="str">
        <f aca="false">IFERROR(INDEX('TRANS'!$B:$B,MATCH($B445,'TRANS'!$A:$A,0)),IFERROR(INDEX('TRANS'!$B:$B,MATCH(TRIM(SUBSTITUTE($B445,CHAR(160)," ")),'TRANS'!$D:$D,0)),IFERROR(INDEX('Catalog'!$A:$A,MATCH($B445,'Catalog'!$B:$B,0)),IFERROR(INDEX('Catalog'!$A:$A,MATCH(TRIM(SUBSTITUTE($B445,CHAR(160)," ")),'Catalog'!$C:$C,0)),""))))</f>
        <v/>
      </c>
      <c r="H445" s="7" t="str">
        <f aca="false">IFERROR(INDEX('TRANS'!$C:$C,MATCH($B445,'TRANS'!$A:$A,0)),IFERROR(INDEX('Catalog'!$B:$B,MATCH($G445,'Catalog'!$A:$A,0)),$B445))</f>
        <v>363 L/R</v>
      </c>
      <c r="I445" s="7" t="str">
        <f aca="false">IF($G445="","Unmatched","Matched")</f>
        <v>Unmatched</v>
      </c>
      <c r="J445" s="7" t="str">
        <f aca="false">IF($G445&lt;&gt;"",$G445,$B445)</f>
        <v>363 L/R</v>
      </c>
      <c r="K445" s="7" t="str">
        <f aca="false">IF(COUNTIF($O$2:$O$16,$A445)&gt;0,"Y","N")</f>
        <v>Y</v>
      </c>
    </row>
    <row r="446" customFormat="false" ht="15" hidden="false" customHeight="false" outlineLevel="0" collapsed="false">
      <c r="A446" s="7" t="s">
        <v>34</v>
      </c>
      <c r="B446" s="7" t="s">
        <v>313</v>
      </c>
      <c r="C446" s="8" t="n">
        <v>240</v>
      </c>
      <c r="D446" s="8" t="n">
        <v>1556.89</v>
      </c>
      <c r="E446" s="8" t="n">
        <v>316</v>
      </c>
      <c r="F446" s="8" t="n">
        <v>1907.3</v>
      </c>
      <c r="G446" s="7" t="n">
        <f aca="false">IFERROR(INDEX('TRANS'!$B:$B,MATCH($B446,'TRANS'!$A:$A,0)),IFERROR(INDEX('TRANS'!$B:$B,MATCH(TRIM(SUBSTITUTE($B446,CHAR(160)," ")),'TRANS'!$D:$D,0)),IFERROR(INDEX('Catalog'!$A:$A,MATCH($B446,'Catalog'!$B:$B,0)),IFERROR(INDEX('Catalog'!$A:$A,MATCH(TRIM(SUBSTITUTE($B446,CHAR(160)," ")),'Catalog'!$C:$C,0)),""))))</f>
        <v>4413059</v>
      </c>
      <c r="H446" s="7" t="str">
        <f aca="false">IFERROR(INDEX('TRANS'!$C:$C,MATCH($B446,'TRANS'!$A:$A,0)),IFERROR(INDEX('Catalog'!$B:$B,MATCH($G446,'Catalog'!$A:$A,0)),$B446))</f>
        <v>364S Lמפר.אצבע סיליק. ליבל.זוג</v>
      </c>
      <c r="I446" s="7" t="str">
        <f aca="false">IF($G446="","Unmatched","Matched")</f>
        <v>Matched</v>
      </c>
      <c r="J446" s="7" t="n">
        <f aca="false">IF($G446&lt;&gt;"",$G446,$B446)</f>
        <v>4413059</v>
      </c>
      <c r="K446" s="7" t="str">
        <f aca="false">IF(COUNTIF($O$2:$O$16,$A446)&gt;0,"Y","N")</f>
        <v>Y</v>
      </c>
    </row>
    <row r="447" customFormat="false" ht="15" hidden="false" customHeight="false" outlineLevel="0" collapsed="false">
      <c r="A447" s="7" t="s">
        <v>34</v>
      </c>
      <c r="B447" s="7" t="s">
        <v>315</v>
      </c>
      <c r="C447" s="8" t="n">
        <v>240</v>
      </c>
      <c r="D447" s="8" t="n">
        <v>1721.44</v>
      </c>
      <c r="E447" s="8" t="n">
        <v>230</v>
      </c>
      <c r="F447" s="8" t="n">
        <v>1474.91</v>
      </c>
      <c r="G447" s="7" t="n">
        <f aca="false">IFERROR(INDEX('TRANS'!$B:$B,MATCH($B447,'TRANS'!$A:$A,0)),IFERROR(INDEX('TRANS'!$B:$B,MATCH(TRIM(SUBSTITUTE($B447,CHAR(160)," ")),'TRANS'!$D:$D,0)),IFERROR(INDEX('Catalog'!$A:$A,MATCH($B447,'Catalog'!$B:$B,0)),IFERROR(INDEX('Catalog'!$A:$A,MATCH(TRIM(SUBSTITUTE($B447,CHAR(160)," ")),'Catalog'!$C:$C,0)),""))))</f>
        <v>4409000</v>
      </c>
      <c r="H447" s="7" t="str">
        <f aca="false">IFERROR(INDEX('TRANS'!$C:$C,MATCH($B447,'TRANS'!$A:$A,0)),IFERROR(INDEX('Catalog'!$B:$B,MATCH($G447,'Catalog'!$A:$A,0)),$B447))</f>
        <v>365 S-Lטבעת אלסטית מסיליקון</v>
      </c>
      <c r="I447" s="7" t="str">
        <f aca="false">IF($G447="","Unmatched","Matched")</f>
        <v>Matched</v>
      </c>
      <c r="J447" s="7" t="n">
        <f aca="false">IF($G447&lt;&gt;"",$G447,$B447)</f>
        <v>4409000</v>
      </c>
      <c r="K447" s="7" t="str">
        <f aca="false">IF(COUNTIF($O$2:$O$16,$A447)&gt;0,"Y","N")</f>
        <v>Y</v>
      </c>
    </row>
    <row r="448" customFormat="false" ht="15" hidden="false" customHeight="false" outlineLevel="0" collapsed="false">
      <c r="A448" s="7" t="s">
        <v>34</v>
      </c>
      <c r="B448" s="7" t="s">
        <v>316</v>
      </c>
      <c r="C448" s="8" t="n">
        <v>40</v>
      </c>
      <c r="D448" s="8" t="n">
        <v>321.82</v>
      </c>
      <c r="E448" s="8" t="n">
        <v>0</v>
      </c>
      <c r="F448" s="8" t="n">
        <v>0</v>
      </c>
      <c r="G448" s="7" t="n">
        <f aca="false">IFERROR(INDEX('TRANS'!$B:$B,MATCH($B448,'TRANS'!$A:$A,0)),IFERROR(INDEX('TRANS'!$B:$B,MATCH(TRIM(SUBSTITUTE($B448,CHAR(160)," ")),'TRANS'!$D:$D,0)),IFERROR(INDEX('Catalog'!$A:$A,MATCH($B448,'Catalog'!$B:$B,0)),IFERROR(INDEX('Catalog'!$A:$A,MATCH(TRIM(SUBSTITUTE($B448,CHAR(160)," ")),'Catalog'!$C:$C,0)),""))))</f>
        <v>4409001</v>
      </c>
      <c r="H448" s="7" t="str">
        <f aca="false">IFERROR(INDEX('TRANS'!$C:$C,MATCH($B448,'TRANS'!$A:$A,0)),IFERROR(INDEX('Catalog'!$B:$B,MATCH($G448,'Catalog'!$A:$A,0)),$B448))</f>
        <v>365  X-Lטבעת אלסטית מסיליקון</v>
      </c>
      <c r="I448" s="7" t="str">
        <f aca="false">IF($G448="","Unmatched","Matched")</f>
        <v>Matched</v>
      </c>
      <c r="J448" s="7" t="n">
        <f aca="false">IF($G448&lt;&gt;"",$G448,$B448)</f>
        <v>4409001</v>
      </c>
      <c r="K448" s="7" t="str">
        <f aca="false">IF(COUNTIF($O$2:$O$16,$A448)&gt;0,"Y","N")</f>
        <v>Y</v>
      </c>
    </row>
    <row r="449" customFormat="false" ht="15" hidden="false" customHeight="false" outlineLevel="0" collapsed="false">
      <c r="A449" s="7" t="s">
        <v>34</v>
      </c>
      <c r="B449" s="7" t="s">
        <v>317</v>
      </c>
      <c r="C449" s="8" t="n">
        <v>1800</v>
      </c>
      <c r="D449" s="8" t="n">
        <v>16729.1</v>
      </c>
      <c r="E449" s="8" t="n">
        <v>1700</v>
      </c>
      <c r="F449" s="8" t="n">
        <v>14391.49</v>
      </c>
      <c r="G449" s="7" t="n">
        <f aca="false">IFERROR(INDEX('TRANS'!$B:$B,MATCH($B449,'TRANS'!$A:$A,0)),IFERROR(INDEX('TRANS'!$B:$B,MATCH(TRIM(SUBSTITUTE($B449,CHAR(160)," ")),'TRANS'!$D:$D,0)),IFERROR(INDEX('Catalog'!$A:$A,MATCH($B449,'Catalog'!$B:$B,0)),IFERROR(INDEX('Catalog'!$A:$A,MATCH(TRIM(SUBSTITUTE($B449,CHAR(160)," ")),'Catalog'!$C:$C,0)),""))))</f>
        <v>4421000</v>
      </c>
      <c r="H449" s="7" t="str">
        <f aca="false">IFERROR(INDEX('TRANS'!$C:$C,MATCH($B449,'TRANS'!$A:$A,0)),IFERROR(INDEX('Catalog'!$B:$B,MATCH($G449,'Catalog'!$A:$A,0)),$B449))</f>
        <v>3655 שרוול מסיליקון לאצבע</v>
      </c>
      <c r="I449" s="7" t="str">
        <f aca="false">IF($G449="","Unmatched","Matched")</f>
        <v>Matched</v>
      </c>
      <c r="J449" s="7" t="n">
        <f aca="false">IF($G449&lt;&gt;"",$G449,$B449)</f>
        <v>4421000</v>
      </c>
      <c r="K449" s="7" t="str">
        <f aca="false">IF(COUNTIF($O$2:$O$16,$A449)&gt;0,"Y","N")</f>
        <v>Y</v>
      </c>
    </row>
    <row r="450" customFormat="false" ht="15" hidden="false" customHeight="false" outlineLevel="0" collapsed="false">
      <c r="A450" s="7" t="s">
        <v>34</v>
      </c>
      <c r="B450" s="7" t="s">
        <v>318</v>
      </c>
      <c r="C450" s="8" t="n">
        <v>250</v>
      </c>
      <c r="D450" s="8" t="n">
        <v>1998.81</v>
      </c>
      <c r="E450" s="8" t="n">
        <v>130</v>
      </c>
      <c r="F450" s="8" t="n">
        <v>992.9</v>
      </c>
      <c r="G450" s="7" t="n">
        <f aca="false">IFERROR(INDEX('TRANS'!$B:$B,MATCH($B450,'TRANS'!$A:$A,0)),IFERROR(INDEX('TRANS'!$B:$B,MATCH(TRIM(SUBSTITUTE($B450,CHAR(160)," ")),'TRANS'!$D:$D,0)),IFERROR(INDEX('Catalog'!$A:$A,MATCH($B450,'Catalog'!$B:$B,0)),IFERROR(INDEX('Catalog'!$A:$A,MATCH(TRIM(SUBSTITUTE($B450,CHAR(160)," ")),'Catalog'!$C:$C,0)),""))))</f>
        <v>4413063</v>
      </c>
      <c r="H450" s="7" t="str">
        <f aca="false">IFERROR(INDEX('TRANS'!$C:$C,MATCH($B450,'TRANS'!$A:$A,0)),IFERROR(INDEX('Catalog'!$B:$B,MATCH($G450,'Catalog'!$A:$A,0)),$B450))</f>
        <v>366S-'מדבק.לשחרור לחץ מיבלת2יח</v>
      </c>
      <c r="I450" s="7" t="str">
        <f aca="false">IF($G450="","Unmatched","Matched")</f>
        <v>Matched</v>
      </c>
      <c r="J450" s="7" t="n">
        <f aca="false">IF($G450&lt;&gt;"",$G450,$B450)</f>
        <v>4413063</v>
      </c>
      <c r="K450" s="7" t="str">
        <f aca="false">IF(COUNTIF($O$2:$O$16,$A450)&gt;0,"Y","N")</f>
        <v>Y</v>
      </c>
    </row>
    <row r="451" customFormat="false" ht="15" hidden="false" customHeight="false" outlineLevel="0" collapsed="false">
      <c r="A451" s="7" t="s">
        <v>34</v>
      </c>
      <c r="B451" s="7" t="s">
        <v>320</v>
      </c>
      <c r="C451" s="8" t="n">
        <v>980</v>
      </c>
      <c r="D451" s="8" t="n">
        <v>10238.3</v>
      </c>
      <c r="E451" s="8" t="n">
        <v>576</v>
      </c>
      <c r="F451" s="8" t="n">
        <v>5431.17</v>
      </c>
      <c r="G451" s="7" t="n">
        <f aca="false">IFERROR(INDEX('TRANS'!$B:$B,MATCH($B451,'TRANS'!$A:$A,0)),IFERROR(INDEX('TRANS'!$B:$B,MATCH(TRIM(SUBSTITUTE($B451,CHAR(160)," ")),'TRANS'!$D:$D,0)),IFERROR(INDEX('Catalog'!$A:$A,MATCH($B451,'Catalog'!$B:$B,0)),IFERROR(INDEX('Catalog'!$A:$A,MATCH(TRIM(SUBSTITUTE($B451,CHAR(160)," ")),'Catalog'!$C:$C,0)),""))))</f>
        <v>4401000</v>
      </c>
      <c r="H451" s="7" t="str">
        <f aca="false">IFERROR(INDEX('TRANS'!$C:$C,MATCH($B451,'TRANS'!$A:$A,0)),IFERROR(INDEX('Catalog'!$B:$B,MATCH($G451,'Catalog'!$A:$A,0)),$B451))</f>
        <v>369  S-L אצבעון מסיליקון יחידה</v>
      </c>
      <c r="I451" s="7" t="str">
        <f aca="false">IF($G451="","Unmatched","Matched")</f>
        <v>Matched</v>
      </c>
      <c r="J451" s="7" t="n">
        <f aca="false">IF($G451&lt;&gt;"",$G451,$B451)</f>
        <v>4401000</v>
      </c>
      <c r="K451" s="7" t="str">
        <f aca="false">IF(COUNTIF($O$2:$O$16,$A451)&gt;0,"Y","N")</f>
        <v>Y</v>
      </c>
    </row>
    <row r="452" customFormat="false" ht="15" hidden="false" customHeight="false" outlineLevel="0" collapsed="false">
      <c r="A452" s="7" t="s">
        <v>34</v>
      </c>
      <c r="B452" s="7" t="s">
        <v>321</v>
      </c>
      <c r="C452" s="8" t="n">
        <v>850</v>
      </c>
      <c r="D452" s="8" t="n">
        <v>9860.71</v>
      </c>
      <c r="E452" s="8" t="n">
        <v>770</v>
      </c>
      <c r="F452" s="8" t="n">
        <v>8160.66</v>
      </c>
      <c r="G452" s="7" t="n">
        <f aca="false">IFERROR(INDEX('TRANS'!$B:$B,MATCH($B452,'TRANS'!$A:$A,0)),IFERROR(INDEX('TRANS'!$B:$B,MATCH(TRIM(SUBSTITUTE($B452,CHAR(160)," ")),'TRANS'!$D:$D,0)),IFERROR(INDEX('Catalog'!$A:$A,MATCH($B452,'Catalog'!$B:$B,0)),IFERROR(INDEX('Catalog'!$A:$A,MATCH(TRIM(SUBSTITUTE($B452,CHAR(160)," ")),'Catalog'!$C:$C,0)),""))))</f>
        <v>4401001</v>
      </c>
      <c r="H452" s="7" t="str">
        <f aca="false">IFERROR(INDEX('TRANS'!$C:$C,MATCH($B452,'TRANS'!$A:$A,0)),IFERROR(INDEX('Catalog'!$B:$B,MATCH($G452,'Catalog'!$A:$A,0)),$B452))</f>
        <v>369   XL אצבעון מסיליקון יחידה</v>
      </c>
      <c r="I452" s="7" t="str">
        <f aca="false">IF($G452="","Unmatched","Matched")</f>
        <v>Matched</v>
      </c>
      <c r="J452" s="7" t="n">
        <f aca="false">IF($G452&lt;&gt;"",$G452,$B452)</f>
        <v>4401001</v>
      </c>
      <c r="K452" s="7" t="str">
        <f aca="false">IF(COUNTIF($O$2:$O$16,$A452)&gt;0,"Y","N")</f>
        <v>Y</v>
      </c>
    </row>
    <row r="453" customFormat="false" ht="15" hidden="false" customHeight="false" outlineLevel="0" collapsed="false">
      <c r="A453" s="7" t="s">
        <v>34</v>
      </c>
      <c r="B453" s="7" t="s">
        <v>325</v>
      </c>
      <c r="C453" s="8" t="n">
        <v>100</v>
      </c>
      <c r="D453" s="8" t="n">
        <v>947.31</v>
      </c>
      <c r="E453" s="8" t="n">
        <v>50</v>
      </c>
      <c r="F453" s="8" t="n">
        <v>409.87</v>
      </c>
      <c r="G453" s="7" t="n">
        <f aca="false">IFERROR(INDEX('TRANS'!$B:$B,MATCH($B453,'TRANS'!$A:$A,0)),IFERROR(INDEX('TRANS'!$B:$B,MATCH(TRIM(SUBSTITUTE($B453,CHAR(160)," ")),'TRANS'!$D:$D,0)),IFERROR(INDEX('Catalog'!$A:$A,MATCH($B453,'Catalog'!$B:$B,0)),IFERROR(INDEX('Catalog'!$A:$A,MATCH(TRIM(SUBSTITUTE($B453,CHAR(160)," ")),'Catalog'!$C:$C,0)),""))))</f>
        <v>4420003</v>
      </c>
      <c r="H453" s="7" t="str">
        <f aca="false">IFERROR(INDEX('TRANS'!$C:$C,MATCH($B453,'TRANS'!$A:$A,0)),IFERROR(INDEX('Catalog'!$B:$B,MATCH($G453,'Catalog'!$A:$A,0)),$B453))</f>
        <v>374 רפידת בולמת זעזועים -זוג</v>
      </c>
      <c r="I453" s="7" t="str">
        <f aca="false">IF($G453="","Unmatched","Matched")</f>
        <v>Matched</v>
      </c>
      <c r="J453" s="7" t="n">
        <f aca="false">IF($G453&lt;&gt;"",$G453,$B453)</f>
        <v>4420003</v>
      </c>
      <c r="K453" s="7" t="str">
        <f aca="false">IF(COUNTIF($O$2:$O$16,$A453)&gt;0,"Y","N")</f>
        <v>Y</v>
      </c>
    </row>
    <row r="454" customFormat="false" ht="15" hidden="false" customHeight="false" outlineLevel="0" collapsed="false">
      <c r="A454" s="7" t="s">
        <v>34</v>
      </c>
      <c r="B454" s="7" t="s">
        <v>528</v>
      </c>
      <c r="C454" s="8" t="n">
        <v>30</v>
      </c>
      <c r="D454" s="8" t="n">
        <v>1057.05</v>
      </c>
      <c r="E454" s="8" t="n">
        <v>0</v>
      </c>
      <c r="F454" s="8" t="n">
        <v>0</v>
      </c>
      <c r="G454" s="7" t="n">
        <f aca="false">IFERROR(INDEX('TRANS'!$B:$B,MATCH($B454,'TRANS'!$A:$A,0)),IFERROR(INDEX('TRANS'!$B:$B,MATCH(TRIM(SUBSTITUTE($B454,CHAR(160)," ")),'TRANS'!$D:$D,0)),IFERROR(INDEX('Catalog'!$A:$A,MATCH($B454,'Catalog'!$B:$B,0)),IFERROR(INDEX('Catalog'!$A:$A,MATCH(TRIM(SUBSTITUTE($B454,CHAR(160)," ")),'Catalog'!$C:$C,0)),""))))</f>
        <v>4408069</v>
      </c>
      <c r="H454" s="7" t="str">
        <f aca="false">IFERROR(INDEX('TRANS'!$C:$C,MATCH($B454,'TRANS'!$A:$A,0)),IFERROR(INDEX('Catalog'!$B:$B,MATCH($G454,'Catalog'!$A:$A,0)),$B454))</f>
        <v>38 .חבישת""""הלוקס ולגוס""""לאחר נית</v>
      </c>
      <c r="I454" s="7" t="str">
        <f aca="false">IF($G454="","Unmatched","Matched")</f>
        <v>Matched</v>
      </c>
      <c r="J454" s="7" t="n">
        <f aca="false">IF($G454&lt;&gt;"",$G454,$B454)</f>
        <v>4408069</v>
      </c>
      <c r="K454" s="7" t="str">
        <f aca="false">IF(COUNTIF($O$2:$O$16,$A454)&gt;0,"Y","N")</f>
        <v>Y</v>
      </c>
    </row>
    <row r="455" customFormat="false" ht="15" hidden="false" customHeight="false" outlineLevel="0" collapsed="false">
      <c r="A455" s="7" t="s">
        <v>34</v>
      </c>
      <c r="B455" s="7" t="s">
        <v>464</v>
      </c>
      <c r="C455" s="8" t="n">
        <v>30</v>
      </c>
      <c r="D455" s="8" t="n">
        <v>1059.18</v>
      </c>
      <c r="E455" s="8" t="n">
        <v>30</v>
      </c>
      <c r="F455" s="8" t="n">
        <v>1002.17</v>
      </c>
      <c r="G455" s="7" t="n">
        <f aca="false">IFERROR(INDEX('TRANS'!$B:$B,MATCH($B455,'TRANS'!$A:$A,0)),IFERROR(INDEX('TRANS'!$B:$B,MATCH(TRIM(SUBSTITUTE($B455,CHAR(160)," ")),'TRANS'!$D:$D,0)),IFERROR(INDEX('Catalog'!$A:$A,MATCH($B455,'Catalog'!$B:$B,0)),IFERROR(INDEX('Catalog'!$A:$A,MATCH(TRIM(SUBSTITUTE($B455,CHAR(160)," ")),'Catalog'!$C:$C,0)),""))))</f>
        <v>4415298</v>
      </c>
      <c r="H455" s="7" t="str">
        <f aca="false">IFERROR(INDEX('TRANS'!$C:$C,MATCH($B455,'TRANS'!$A:$A,0)),IFERROR(INDEX('Catalog'!$B:$B,MATCH($G455,'Catalog'!$A:$A,0)),$B455))</f>
        <v>388B L סד לילה שחור לבוהן שמאל</v>
      </c>
      <c r="I455" s="7" t="str">
        <f aca="false">IF($G455="","Unmatched","Matched")</f>
        <v>Matched</v>
      </c>
      <c r="J455" s="7" t="n">
        <f aca="false">IF($G455&lt;&gt;"",$G455,$B455)</f>
        <v>4415298</v>
      </c>
      <c r="K455" s="7" t="str">
        <f aca="false">IF(COUNTIF($O$2:$O$16,$A455)&gt;0,"Y","N")</f>
        <v>Y</v>
      </c>
    </row>
    <row r="456" customFormat="false" ht="15" hidden="false" customHeight="false" outlineLevel="0" collapsed="false">
      <c r="A456" s="7" t="s">
        <v>34</v>
      </c>
      <c r="B456" s="7" t="s">
        <v>465</v>
      </c>
      <c r="C456" s="8" t="n">
        <v>50</v>
      </c>
      <c r="D456" s="8" t="n">
        <v>1742.86</v>
      </c>
      <c r="E456" s="8" t="n">
        <v>30</v>
      </c>
      <c r="F456" s="8" t="n">
        <v>1002.17</v>
      </c>
      <c r="G456" s="7" t="n">
        <f aca="false">IFERROR(INDEX('TRANS'!$B:$B,MATCH($B456,'TRANS'!$A:$A,0)),IFERROR(INDEX('TRANS'!$B:$B,MATCH(TRIM(SUBSTITUTE($B456,CHAR(160)," ")),'TRANS'!$D:$D,0)),IFERROR(INDEX('Catalog'!$A:$A,MATCH($B456,'Catalog'!$B:$B,0)),IFERROR(INDEX('Catalog'!$A:$A,MATCH(TRIM(SUBSTITUTE($B456,CHAR(160)," ")),'Catalog'!$C:$C,0)),""))))</f>
        <v>4415299</v>
      </c>
      <c r="H456" s="7" t="str">
        <f aca="false">IFERROR(INDEX('TRANS'!$C:$C,MATCH($B456,'TRANS'!$A:$A,0)),IFERROR(INDEX('Catalog'!$B:$B,MATCH($G456,'Catalog'!$A:$A,0)),$B456))</f>
        <v>388B L סד לילה שחור לבוהן ימין</v>
      </c>
      <c r="I456" s="7" t="str">
        <f aca="false">IF($G456="","Unmatched","Matched")</f>
        <v>Matched</v>
      </c>
      <c r="J456" s="7" t="n">
        <f aca="false">IF($G456&lt;&gt;"",$G456,$B456)</f>
        <v>4415299</v>
      </c>
      <c r="K456" s="7" t="str">
        <f aca="false">IF(COUNTIF($O$2:$O$16,$A456)&gt;0,"Y","N")</f>
        <v>Y</v>
      </c>
    </row>
    <row r="457" customFormat="false" ht="15" hidden="false" customHeight="false" outlineLevel="0" collapsed="false">
      <c r="A457" s="7" t="s">
        <v>34</v>
      </c>
      <c r="B457" s="7" t="s">
        <v>529</v>
      </c>
      <c r="C457" s="8" t="n">
        <v>150</v>
      </c>
      <c r="D457" s="8" t="n">
        <v>3564.8</v>
      </c>
      <c r="E457" s="8" t="n">
        <v>0</v>
      </c>
      <c r="F457" s="8" t="n">
        <v>0</v>
      </c>
      <c r="G457" s="7" t="n">
        <f aca="false">IFERROR(INDEX('TRANS'!$B:$B,MATCH($B457,'TRANS'!$A:$A,0)),IFERROR(INDEX('TRANS'!$B:$B,MATCH(TRIM(SUBSTITUTE($B457,CHAR(160)," ")),'TRANS'!$D:$D,0)),IFERROR(INDEX('Catalog'!$A:$A,MATCH($B457,'Catalog'!$B:$B,0)),IFERROR(INDEX('Catalog'!$A:$A,MATCH(TRIM(SUBSTITUTE($B457,CHAR(160)," ")),'Catalog'!$C:$C,0)),""))))</f>
        <v>4403001</v>
      </c>
      <c r="H457" s="7" t="str">
        <f aca="false">IFERROR(INDEX('TRANS'!$C:$C,MATCH($B457,'TRANS'!$A:$A,0)),IFERROR(INDEX('Catalog'!$B:$B,MATCH($G457,'Catalog'!$A:$A,0)),$B457))</f>
        <v>390B 39-42.גרב.כסף לסכרתיים שח</v>
      </c>
      <c r="I457" s="7" t="str">
        <f aca="false">IF($G457="","Unmatched","Matched")</f>
        <v>Matched</v>
      </c>
      <c r="J457" s="7" t="n">
        <f aca="false">IF($G457&lt;&gt;"",$G457,$B457)</f>
        <v>4403001</v>
      </c>
      <c r="K457" s="7" t="str">
        <f aca="false">IF(COUNTIF($O$2:$O$16,$A457)&gt;0,"Y","N")</f>
        <v>Y</v>
      </c>
    </row>
    <row r="458" customFormat="false" ht="15" hidden="false" customHeight="false" outlineLevel="0" collapsed="false">
      <c r="A458" s="7" t="s">
        <v>34</v>
      </c>
      <c r="B458" s="7" t="s">
        <v>530</v>
      </c>
      <c r="C458" s="8" t="n">
        <v>150</v>
      </c>
      <c r="D458" s="8" t="n">
        <v>3539.25</v>
      </c>
      <c r="E458" s="8" t="n">
        <v>0</v>
      </c>
      <c r="F458" s="8" t="n">
        <v>0</v>
      </c>
      <c r="G458" s="7" t="n">
        <f aca="false">IFERROR(INDEX('TRANS'!$B:$B,MATCH($B458,'TRANS'!$A:$A,0)),IFERROR(INDEX('TRANS'!$B:$B,MATCH(TRIM(SUBSTITUTE($B458,CHAR(160)," ")),'TRANS'!$D:$D,0)),IFERROR(INDEX('Catalog'!$A:$A,MATCH($B458,'Catalog'!$B:$B,0)),IFERROR(INDEX('Catalog'!$A:$A,MATCH(TRIM(SUBSTITUTE($B458,CHAR(160)," ")),'Catalog'!$C:$C,0)),""))))</f>
        <v>4403002</v>
      </c>
      <c r="H458" s="7" t="str">
        <f aca="false">IFERROR(INDEX('TRANS'!$C:$C,MATCH($B458,'TRANS'!$A:$A,0)),IFERROR(INDEX('Catalog'!$B:$B,MATCH($G458,'Catalog'!$A:$A,0)),$B458))</f>
        <v>390B 43-46.גרב.כסף לסכרתיים שח</v>
      </c>
      <c r="I458" s="7" t="str">
        <f aca="false">IF($G458="","Unmatched","Matched")</f>
        <v>Matched</v>
      </c>
      <c r="J458" s="7" t="n">
        <f aca="false">IF($G458&lt;&gt;"",$G458,$B458)</f>
        <v>4403002</v>
      </c>
      <c r="K458" s="7" t="str">
        <f aca="false">IF(COUNTIF($O$2:$O$16,$A458)&gt;0,"Y","N")</f>
        <v>Y</v>
      </c>
    </row>
    <row r="459" customFormat="false" ht="15" hidden="false" customHeight="false" outlineLevel="0" collapsed="false">
      <c r="A459" s="7" t="s">
        <v>34</v>
      </c>
      <c r="B459" s="7" t="s">
        <v>120</v>
      </c>
      <c r="C459" s="8" t="n">
        <v>50</v>
      </c>
      <c r="D459" s="8" t="n">
        <v>1317.39</v>
      </c>
      <c r="E459" s="8" t="n">
        <v>0</v>
      </c>
      <c r="F459" s="8" t="n">
        <v>0</v>
      </c>
      <c r="G459" s="7" t="str">
        <f aca="false">IFERROR(INDEX('TRANS'!$B:$B,MATCH($B459,'TRANS'!$A:$A,0)),IFERROR(INDEX('TRANS'!$B:$B,MATCH(TRIM(SUBSTITUTE($B459,CHAR(160)," ")),'TRANS'!$D:$D,0)),IFERROR(INDEX('Catalog'!$A:$A,MATCH($B459,'Catalog'!$B:$B,0)),IFERROR(INDEX('Catalog'!$A:$A,MATCH(TRIM(SUBSTITUTE($B459,CHAR(160)," ")),'Catalog'!$C:$C,0)),""))))</f>
        <v/>
      </c>
      <c r="H459" s="7" t="str">
        <f aca="false">IFERROR(INDEX('TRANS'!$C:$C,MATCH($B459,'TRANS'!$A:$A,0)),IFERROR(INDEX('Catalog'!$B:$B,MATCH($G459,'Catalog'!$A:$A,0)),$B459))</f>
        <v>390G-39-42</v>
      </c>
      <c r="I459" s="7" t="str">
        <f aca="false">IF($G459="","Unmatched","Matched")</f>
        <v>Unmatched</v>
      </c>
      <c r="J459" s="7" t="str">
        <f aca="false">IF($G459&lt;&gt;"",$G459,$B459)</f>
        <v>390G-39-42</v>
      </c>
      <c r="K459" s="7" t="str">
        <f aca="false">IF(COUNTIF($O$2:$O$16,$A459)&gt;0,"Y","N")</f>
        <v>Y</v>
      </c>
    </row>
    <row r="460" customFormat="false" ht="15" hidden="false" customHeight="false" outlineLevel="0" collapsed="false">
      <c r="A460" s="7" t="s">
        <v>34</v>
      </c>
      <c r="B460" s="7" t="s">
        <v>466</v>
      </c>
      <c r="C460" s="8" t="n">
        <v>30</v>
      </c>
      <c r="D460" s="8" t="n">
        <v>1403.58</v>
      </c>
      <c r="E460" s="8" t="n">
        <v>0</v>
      </c>
      <c r="F460" s="8" t="n">
        <v>0</v>
      </c>
      <c r="G460" s="7" t="n">
        <f aca="false">IFERROR(INDEX('TRANS'!$B:$B,MATCH($B460,'TRANS'!$A:$A,0)),IFERROR(INDEX('TRANS'!$B:$B,MATCH(TRIM(SUBSTITUTE($B460,CHAR(160)," ")),'TRANS'!$D:$D,0)),IFERROR(INDEX('Catalog'!$A:$A,MATCH($B460,'Catalog'!$B:$B,0)),IFERROR(INDEX('Catalog'!$A:$A,MATCH(TRIM(SUBSTITUTE($B460,CHAR(160)," ")),'Catalog'!$C:$C,0)),""))))</f>
        <v>4403005</v>
      </c>
      <c r="H460" s="7" t="str">
        <f aca="false">IFERROR(INDEX('TRANS'!$C:$C,MATCH($B460,'TRANS'!$A:$A,0)),IFERROR(INDEX('Catalog'!$B:$B,MATCH($G460,'Catalog'!$A:$A,0)),$B460))</f>
        <v>G390.43-46 גרבי כסף לסכרת מידה</v>
      </c>
      <c r="I460" s="7" t="str">
        <f aca="false">IF($G460="","Unmatched","Matched")</f>
        <v>Matched</v>
      </c>
      <c r="J460" s="7" t="n">
        <f aca="false">IF($G460&lt;&gt;"",$G460,$B460)</f>
        <v>4403005</v>
      </c>
      <c r="K460" s="7" t="str">
        <f aca="false">IF(COUNTIF($O$2:$O$16,$A460)&gt;0,"Y","N")</f>
        <v>Y</v>
      </c>
    </row>
    <row r="461" customFormat="false" ht="15" hidden="false" customHeight="false" outlineLevel="0" collapsed="false">
      <c r="A461" s="7" t="s">
        <v>34</v>
      </c>
      <c r="B461" s="7" t="s">
        <v>467</v>
      </c>
      <c r="C461" s="8" t="n">
        <v>10</v>
      </c>
      <c r="D461" s="8" t="n">
        <v>232.34</v>
      </c>
      <c r="E461" s="8" t="n">
        <v>0</v>
      </c>
      <c r="F461" s="8" t="n">
        <v>0</v>
      </c>
      <c r="G461" s="7" t="n">
        <f aca="false">IFERROR(INDEX('TRANS'!$B:$B,MATCH($B461,'TRANS'!$A:$A,0)),IFERROR(INDEX('TRANS'!$B:$B,MATCH(TRIM(SUBSTITUTE($B461,CHAR(160)," ")),'TRANS'!$D:$D,0)),IFERROR(INDEX('Catalog'!$A:$A,MATCH($B461,'Catalog'!$B:$B,0)),IFERROR(INDEX('Catalog'!$A:$A,MATCH(TRIM(SUBSTITUTE($B461,CHAR(160)," ")),'Catalog'!$C:$C,0)),""))))</f>
        <v>4403006</v>
      </c>
      <c r="H461" s="7" t="str">
        <f aca="false">IFERROR(INDEX('TRANS'!$C:$C,MATCH($B461,'TRANS'!$A:$A,0)),IFERROR(INDEX('Catalog'!$B:$B,MATCH($G461,'Catalog'!$A:$A,0)),$B461))</f>
        <v>390W גרב כסף לסכרתיים לבן35-38</v>
      </c>
      <c r="I461" s="7" t="str">
        <f aca="false">IF($G461="","Unmatched","Matched")</f>
        <v>Matched</v>
      </c>
      <c r="J461" s="7" t="n">
        <f aca="false">IF($G461&lt;&gt;"",$G461,$B461)</f>
        <v>4403006</v>
      </c>
      <c r="K461" s="7" t="str">
        <f aca="false">IF(COUNTIF($O$2:$O$16,$A461)&gt;0,"Y","N")</f>
        <v>Y</v>
      </c>
    </row>
    <row r="462" customFormat="false" ht="15" hidden="false" customHeight="false" outlineLevel="0" collapsed="false">
      <c r="A462" s="7" t="s">
        <v>34</v>
      </c>
      <c r="B462" s="7" t="s">
        <v>182</v>
      </c>
      <c r="C462" s="8" t="n">
        <v>1</v>
      </c>
      <c r="D462" s="8" t="n">
        <v>0.04</v>
      </c>
      <c r="E462" s="8" t="n">
        <v>0</v>
      </c>
      <c r="F462" s="8" t="n">
        <v>0</v>
      </c>
      <c r="G462" s="7" t="str">
        <f aca="false">IFERROR(INDEX('TRANS'!$B:$B,MATCH($B462,'TRANS'!$A:$A,0)),IFERROR(INDEX('TRANS'!$B:$B,MATCH(TRIM(SUBSTITUTE($B462,CHAR(160)," ")),'TRANS'!$D:$D,0)),IFERROR(INDEX('Catalog'!$A:$A,MATCH($B462,'Catalog'!$B:$B,0)),IFERROR(INDEX('Catalog'!$A:$A,MATCH(TRIM(SUBSTITUTE($B462,CHAR(160)," ")),'Catalog'!$C:$C,0)),""))))</f>
        <v/>
      </c>
      <c r="H462" s="7" t="str">
        <f aca="false">IFERROR(INDEX('TRANS'!$C:$C,MATCH($B462,'TRANS'!$A:$A,0)),IFERROR(INDEX('Catalog'!$B:$B,MATCH($G462,'Catalog'!$A:$A,0)),$B462))</f>
        <v>391W-35-38</v>
      </c>
      <c r="I462" s="7" t="str">
        <f aca="false">IF($G462="","Unmatched","Matched")</f>
        <v>Unmatched</v>
      </c>
      <c r="J462" s="7" t="str">
        <f aca="false">IF($G462&lt;&gt;"",$G462,$B462)</f>
        <v>391W-35-38</v>
      </c>
      <c r="K462" s="7" t="str">
        <f aca="false">IF(COUNTIF($O$2:$O$16,$A462)&gt;0,"Y","N")</f>
        <v>Y</v>
      </c>
    </row>
    <row r="463" customFormat="false" ht="15" hidden="false" customHeight="false" outlineLevel="0" collapsed="false">
      <c r="A463" s="7" t="s">
        <v>34</v>
      </c>
      <c r="B463" s="7" t="s">
        <v>129</v>
      </c>
      <c r="C463" s="8" t="n">
        <v>1</v>
      </c>
      <c r="D463" s="8" t="n">
        <v>0.04</v>
      </c>
      <c r="E463" s="8" t="n">
        <v>0</v>
      </c>
      <c r="F463" s="8" t="n">
        <v>0</v>
      </c>
      <c r="G463" s="7" t="str">
        <f aca="false">IFERROR(INDEX('TRANS'!$B:$B,MATCH($B463,'TRANS'!$A:$A,0)),IFERROR(INDEX('TRANS'!$B:$B,MATCH(TRIM(SUBSTITUTE($B463,CHAR(160)," ")),'TRANS'!$D:$D,0)),IFERROR(INDEX('Catalog'!$A:$A,MATCH($B463,'Catalog'!$B:$B,0)),IFERROR(INDEX('Catalog'!$A:$A,MATCH(TRIM(SUBSTITUTE($B463,CHAR(160)," ")),'Catalog'!$C:$C,0)),""))))</f>
        <v/>
      </c>
      <c r="H463" s="7" t="str">
        <f aca="false">IFERROR(INDEX('TRANS'!$C:$C,MATCH($B463,'TRANS'!$A:$A,0)),IFERROR(INDEX('Catalog'!$B:$B,MATCH($G463,'Catalog'!$A:$A,0)),$B463))</f>
        <v>395B-35-38</v>
      </c>
      <c r="I463" s="7" t="str">
        <f aca="false">IF($G463="","Unmatched","Matched")</f>
        <v>Unmatched</v>
      </c>
      <c r="J463" s="7" t="str">
        <f aca="false">IF($G463&lt;&gt;"",$G463,$B463)</f>
        <v>395B-35-38</v>
      </c>
      <c r="K463" s="7" t="str">
        <f aca="false">IF(COUNTIF($O$2:$O$16,$A463)&gt;0,"Y","N")</f>
        <v>Y</v>
      </c>
    </row>
    <row r="464" customFormat="false" ht="15" hidden="false" customHeight="false" outlineLevel="0" collapsed="false">
      <c r="A464" s="7" t="s">
        <v>34</v>
      </c>
      <c r="B464" s="7" t="s">
        <v>332</v>
      </c>
      <c r="C464" s="8" t="n">
        <v>1</v>
      </c>
      <c r="D464" s="8" t="n">
        <v>0.04</v>
      </c>
      <c r="E464" s="8" t="n">
        <v>0</v>
      </c>
      <c r="F464" s="8" t="n">
        <v>0</v>
      </c>
      <c r="G464" s="7" t="n">
        <f aca="false">IFERROR(INDEX('TRANS'!$B:$B,MATCH($B464,'TRANS'!$A:$A,0)),IFERROR(INDEX('TRANS'!$B:$B,MATCH(TRIM(SUBSTITUTE($B464,CHAR(160)," ")),'TRANS'!$D:$D,0)),IFERROR(INDEX('Catalog'!$A:$A,MATCH($B464,'Catalog'!$B:$B,0)),IFERROR(INDEX('Catalog'!$A:$A,MATCH(TRIM(SUBSTITUTE($B464,CHAR(160)," ")),'Catalog'!$C:$C,0)),""))))</f>
        <v>4403043</v>
      </c>
      <c r="H464" s="7" t="str">
        <f aca="false">IFERROR(INDEX('TRANS'!$C:$C,MATCH($B464,'TRANS'!$A:$A,0)),IFERROR(INDEX('Catalog'!$B:$B,MATCH($G464,'Catalog'!$A:$A,0)),$B464))</f>
        <v>397A-גרבי טיסה אנטי בקטרי43-46</v>
      </c>
      <c r="I464" s="7" t="str">
        <f aca="false">IF($G464="","Unmatched","Matched")</f>
        <v>Matched</v>
      </c>
      <c r="J464" s="7" t="n">
        <f aca="false">IF($G464&lt;&gt;"",$G464,$B464)</f>
        <v>4403043</v>
      </c>
      <c r="K464" s="7" t="str">
        <f aca="false">IF(COUNTIF($O$2:$O$16,$A464)&gt;0,"Y","N")</f>
        <v>Y</v>
      </c>
    </row>
    <row r="465" customFormat="false" ht="15" hidden="false" customHeight="false" outlineLevel="0" collapsed="false">
      <c r="A465" s="7" t="s">
        <v>34</v>
      </c>
      <c r="B465" s="7" t="s">
        <v>346</v>
      </c>
      <c r="C465" s="8" t="n">
        <v>2200</v>
      </c>
      <c r="D465" s="8" t="n">
        <v>24114.82</v>
      </c>
      <c r="E465" s="8" t="n">
        <v>2500</v>
      </c>
      <c r="F465" s="8" t="n">
        <v>24534.97</v>
      </c>
      <c r="G465" s="7" t="n">
        <f aca="false">IFERROR(INDEX('TRANS'!$B:$B,MATCH($B465,'TRANS'!$A:$A,0)),IFERROR(INDEX('TRANS'!$B:$B,MATCH(TRIM(SUBSTITUTE($B465,CHAR(160)," ")),'TRANS'!$D:$D,0)),IFERROR(INDEX('Catalog'!$A:$A,MATCH($B465,'Catalog'!$B:$B,0)),IFERROR(INDEX('Catalog'!$A:$A,MATCH(TRIM(SUBSTITUTE($B465,CHAR(160)," ")),'Catalog'!$C:$C,0)),""))))</f>
        <v>4422000</v>
      </c>
      <c r="H465" s="7" t="str">
        <f aca="false">IFERROR(INDEX('TRANS'!$C:$C,MATCH($B465,'TRANS'!$A:$A,0)),IFERROR(INDEX('Catalog'!$B:$B,MATCH($G465,'Catalog'!$A:$A,0)),$B465))</f>
        <v>801  תחבושת אלסטית מקררת</v>
      </c>
      <c r="I465" s="7" t="str">
        <f aca="false">IF($G465="","Unmatched","Matched")</f>
        <v>Matched</v>
      </c>
      <c r="J465" s="7" t="n">
        <f aca="false">IF($G465&lt;&gt;"",$G465,$B465)</f>
        <v>4422000</v>
      </c>
      <c r="K465" s="7" t="str">
        <f aca="false">IF(COUNTIF($O$2:$O$16,$A465)&gt;0,"Y","N")</f>
        <v>Y</v>
      </c>
    </row>
    <row r="466" customFormat="false" ht="15" hidden="false" customHeight="false" outlineLevel="0" collapsed="false">
      <c r="A466" s="7" t="s">
        <v>34</v>
      </c>
      <c r="B466" s="7" t="s">
        <v>531</v>
      </c>
      <c r="C466" s="8" t="n">
        <v>300</v>
      </c>
      <c r="D466" s="8" t="n">
        <v>2677</v>
      </c>
      <c r="E466" s="8" t="n">
        <v>190</v>
      </c>
      <c r="F466" s="8" t="n">
        <v>1509.87</v>
      </c>
      <c r="G466" s="7" t="n">
        <f aca="false">IFERROR(INDEX('TRANS'!$B:$B,MATCH($B466,'TRANS'!$A:$A,0)),IFERROR(INDEX('TRANS'!$B:$B,MATCH(TRIM(SUBSTITUTE($B466,CHAR(160)," ")),'TRANS'!$D:$D,0)),IFERROR(INDEX('Catalog'!$A:$A,MATCH($B466,'Catalog'!$B:$B,0)),IFERROR(INDEX('Catalog'!$A:$A,MATCH(TRIM(SUBSTITUTE($B466,CHAR(160)," ")),'Catalog'!$C:$C,0)),""))))</f>
        <v>4419006</v>
      </c>
      <c r="H466" s="7" t="str">
        <f aca="false">IFERROR(INDEX('TRANS'!$C:$C,MATCH($B466,'TRANS'!$A:$A,0)),IFERROR(INDEX('Catalog'!$B:$B,MATCH($G466,'Catalog'!$A:$A,0)),$B466))</f>
        <v>PD340-קוצץ ציפורניים</v>
      </c>
      <c r="I466" s="7" t="str">
        <f aca="false">IF($G466="","Unmatched","Matched")</f>
        <v>Matched</v>
      </c>
      <c r="J466" s="7" t="n">
        <f aca="false">IF($G466&lt;&gt;"",$G466,$B466)</f>
        <v>4419006</v>
      </c>
      <c r="K466" s="7" t="str">
        <f aca="false">IF(COUNTIF($O$2:$O$16,$A466)&gt;0,"Y","N")</f>
        <v>Y</v>
      </c>
    </row>
    <row r="467" customFormat="false" ht="15" hidden="false" customHeight="false" outlineLevel="0" collapsed="false">
      <c r="A467" s="7" t="s">
        <v>34</v>
      </c>
      <c r="B467" s="7" t="s">
        <v>532</v>
      </c>
      <c r="C467" s="8" t="n">
        <v>90</v>
      </c>
      <c r="D467" s="8" t="n">
        <v>1369.04</v>
      </c>
      <c r="E467" s="8" t="n">
        <v>120</v>
      </c>
      <c r="F467" s="8" t="n">
        <v>1612.97</v>
      </c>
      <c r="G467" s="7" t="n">
        <f aca="false">IFERROR(INDEX('TRANS'!$B:$B,MATCH($B467,'TRANS'!$A:$A,0)),IFERROR(INDEX('TRANS'!$B:$B,MATCH(TRIM(SUBSTITUTE($B467,CHAR(160)," ")),'TRANS'!$D:$D,0)),IFERROR(INDEX('Catalog'!$A:$A,MATCH($B467,'Catalog'!$B:$B,0)),IFERROR(INDEX('Catalog'!$A:$A,MATCH(TRIM(SUBSTITUTE($B467,CHAR(160)," ")),'Catalog'!$C:$C,0)),""))))</f>
        <v>4417000</v>
      </c>
      <c r="H467" s="7" t="str">
        <f aca="false">IFERROR(INDEX('TRANS'!$C:$C,MATCH($B467,'TRANS'!$A:$A,0)),IFERROR(INDEX('Catalog'!$B:$B,MATCH($G467,'Catalog'!$A:$A,0)),$B467))</f>
        <v>PD342-פומפיה להסרת עור קשה</v>
      </c>
      <c r="I467" s="7" t="str">
        <f aca="false">IF($G467="","Unmatched","Matched")</f>
        <v>Matched</v>
      </c>
      <c r="J467" s="7" t="n">
        <f aca="false">IF($G467&lt;&gt;"",$G467,$B467)</f>
        <v>4417000</v>
      </c>
      <c r="K467" s="7" t="str">
        <f aca="false">IF(COUNTIF($O$2:$O$16,$A467)&gt;0,"Y","N")</f>
        <v>Y</v>
      </c>
    </row>
    <row r="468" customFormat="false" ht="15" hidden="false" customHeight="false" outlineLevel="0" collapsed="false">
      <c r="A468" s="7" t="s">
        <v>34</v>
      </c>
      <c r="B468" s="7" t="s">
        <v>533</v>
      </c>
      <c r="C468" s="8" t="n">
        <v>4400</v>
      </c>
      <c r="D468" s="8" t="n">
        <v>20662.34</v>
      </c>
      <c r="E468" s="8" t="n">
        <v>5700</v>
      </c>
      <c r="F468" s="8" t="n">
        <v>24290.34</v>
      </c>
      <c r="G468" s="7" t="n">
        <f aca="false">IFERROR(INDEX('TRANS'!$B:$B,MATCH($B468,'TRANS'!$A:$A,0)),IFERROR(INDEX('TRANS'!$B:$B,MATCH(TRIM(SUBSTITUTE($B468,CHAR(160)," ")),'TRANS'!$D:$D,0)),IFERROR(INDEX('Catalog'!$A:$A,MATCH($B468,'Catalog'!$B:$B,0)),IFERROR(INDEX('Catalog'!$A:$A,MATCH(TRIM(SUBSTITUTE($B468,CHAR(160)," ")),'Catalog'!$C:$C,0)),""))))</f>
        <v>4401002</v>
      </c>
      <c r="H468" s="7" t="str">
        <f aca="false">IFERROR(INDEX('TRANS'!$C:$C,MATCH($B468,'TRANS'!$A:$A,0)),IFERROR(INDEX('Catalog'!$B:$B,MATCH($G468,'Catalog'!$A:$A,0)),$B468))</f>
        <v>PD 344-אבן טבעית להסרת עור קשה</v>
      </c>
      <c r="I468" s="7" t="str">
        <f aca="false">IF($G468="","Unmatched","Matched")</f>
        <v>Matched</v>
      </c>
      <c r="J468" s="7" t="n">
        <f aca="false">IF($G468&lt;&gt;"",$G468,$B468)</f>
        <v>4401002</v>
      </c>
      <c r="K468" s="7" t="str">
        <f aca="false">IF(COUNTIF($O$2:$O$16,$A468)&gt;0,"Y","N")</f>
        <v>Y</v>
      </c>
    </row>
    <row r="469" customFormat="false" ht="15" hidden="false" customHeight="false" outlineLevel="0" collapsed="false">
      <c r="A469" s="7" t="s">
        <v>34</v>
      </c>
      <c r="B469" s="7" t="s">
        <v>513</v>
      </c>
      <c r="C469" s="8" t="n">
        <v>7</v>
      </c>
      <c r="D469" s="8" t="n">
        <v>186.01</v>
      </c>
      <c r="E469" s="8" t="n">
        <v>6</v>
      </c>
      <c r="F469" s="8" t="n">
        <v>154.54</v>
      </c>
      <c r="G469" s="7" t="n">
        <f aca="false">IFERROR(INDEX('TRANS'!$B:$B,MATCH($B469,'TRANS'!$A:$A,0)),IFERROR(INDEX('TRANS'!$B:$B,MATCH(TRIM(SUBSTITUTE($B469,CHAR(160)," ")),'TRANS'!$D:$D,0)),IFERROR(INDEX('Catalog'!$A:$A,MATCH($B469,'Catalog'!$B:$B,0)),IFERROR(INDEX('Catalog'!$A:$A,MATCH(TRIM(SUBSTITUTE($B469,CHAR(160)," ")),'Catalog'!$C:$C,0)),""))))</f>
        <v>4408270</v>
      </c>
      <c r="H469" s="7" t="str">
        <f aca="false">IFERROR(INDEX('TRANS'!$C:$C,MATCH($B469,'TRANS'!$A:$A,0)),IFERROR(INDEX('Catalog'!$B:$B,MATCH($G469,'Catalog'!$A:$A,0)),$B469))</f>
        <v>ST11  חגורת בטן</v>
      </c>
      <c r="I469" s="7" t="str">
        <f aca="false">IF($G469="","Unmatched","Matched")</f>
        <v>Matched</v>
      </c>
      <c r="J469" s="7" t="n">
        <f aca="false">IF($G469&lt;&gt;"",$G469,$B469)</f>
        <v>4408270</v>
      </c>
      <c r="K469" s="7" t="str">
        <f aca="false">IF(COUNTIF($O$2:$O$16,$A469)&gt;0,"Y","N")</f>
        <v>Y</v>
      </c>
    </row>
    <row r="470" customFormat="false" ht="15" hidden="false" customHeight="false" outlineLevel="0" collapsed="false">
      <c r="A470" s="7" t="s">
        <v>34</v>
      </c>
      <c r="B470" s="7" t="s">
        <v>514</v>
      </c>
      <c r="C470" s="8" t="n">
        <v>190</v>
      </c>
      <c r="D470" s="8" t="n">
        <v>2727.88</v>
      </c>
      <c r="E470" s="8" t="n">
        <v>150</v>
      </c>
      <c r="F470" s="8" t="n">
        <v>1935.43</v>
      </c>
      <c r="G470" s="7" t="n">
        <f aca="false">IFERROR(INDEX('TRANS'!$B:$B,MATCH($B470,'TRANS'!$A:$A,0)),IFERROR(INDEX('TRANS'!$B:$B,MATCH(TRIM(SUBSTITUTE($B470,CHAR(160)," ")),'TRANS'!$D:$D,0)),IFERROR(INDEX('Catalog'!$A:$A,MATCH($B470,'Catalog'!$B:$B,0)),IFERROR(INDEX('Catalog'!$A:$A,MATCH(TRIM(SUBSTITUTE($B470,CHAR(160)," ")),'Catalog'!$C:$C,0)),""))))</f>
        <v>4408267</v>
      </c>
      <c r="H470" s="7" t="str">
        <f aca="false">IFERROR(INDEX('TRANS'!$C:$C,MATCH($B470,'TRANS'!$A:$A,0)),IFERROR(INDEX('Catalog'!$B:$B,MATCH($G470,'Catalog'!$A:$A,0)),$B470))</f>
        <v>ST25 חבק שורש לכף היד</v>
      </c>
      <c r="I470" s="7" t="str">
        <f aca="false">IF($G470="","Unmatched","Matched")</f>
        <v>Matched</v>
      </c>
      <c r="J470" s="7" t="n">
        <f aca="false">IF($G470&lt;&gt;"",$G470,$B470)</f>
        <v>4408267</v>
      </c>
      <c r="K470" s="7" t="str">
        <f aca="false">IF(COUNTIF($O$2:$O$16,$A470)&gt;0,"Y","N")</f>
        <v>Y</v>
      </c>
    </row>
    <row r="471" customFormat="false" ht="15" hidden="false" customHeight="false" outlineLevel="0" collapsed="false">
      <c r="A471" s="7" t="s">
        <v>34</v>
      </c>
      <c r="B471" s="7" t="s">
        <v>77</v>
      </c>
      <c r="C471" s="8" t="n">
        <v>10</v>
      </c>
      <c r="D471" s="8" t="n">
        <v>183.25</v>
      </c>
      <c r="E471" s="8" t="n">
        <v>20</v>
      </c>
      <c r="F471" s="8" t="n">
        <v>342.22</v>
      </c>
      <c r="G471" s="7" t="str">
        <f aca="false">IFERROR(INDEX('TRANS'!$B:$B,MATCH($B471,'TRANS'!$A:$A,0)),IFERROR(INDEX('TRANS'!$B:$B,MATCH(TRIM(SUBSTITUTE($B471,CHAR(160)," ")),'TRANS'!$D:$D,0)),IFERROR(INDEX('Catalog'!$A:$A,MATCH($B471,'Catalog'!$B:$B,0)),IFERROR(INDEX('Catalog'!$A:$A,MATCH(TRIM(SUBSTITUTE($B471,CHAR(160)," ")),'Catalog'!$C:$C,0)),""))))</f>
        <v/>
      </c>
      <c r="H471" s="7" t="str">
        <f aca="false">IFERROR(INDEX('TRANS'!$C:$C,MATCH($B471,'TRANS'!$A:$A,0)),IFERROR(INDEX('Catalog'!$B:$B,MATCH($G471,'Catalog'!$A:$A,0)),$B471))</f>
        <v>ST27L 0</v>
      </c>
      <c r="I471" s="7" t="str">
        <f aca="false">IF($G471="","Unmatched","Matched")</f>
        <v>Unmatched</v>
      </c>
      <c r="J471" s="7" t="str">
        <f aca="false">IF($G471&lt;&gt;"",$G471,$B471)</f>
        <v>ST27L 0</v>
      </c>
      <c r="K471" s="7" t="str">
        <f aca="false">IF(COUNTIF($O$2:$O$16,$A471)&gt;0,"Y","N")</f>
        <v>Y</v>
      </c>
    </row>
    <row r="472" customFormat="false" ht="15" hidden="false" customHeight="false" outlineLevel="0" collapsed="false">
      <c r="A472" s="7" t="s">
        <v>34</v>
      </c>
      <c r="B472" s="7" t="s">
        <v>75</v>
      </c>
      <c r="C472" s="8" t="n">
        <v>10</v>
      </c>
      <c r="D472" s="8" t="n">
        <v>183.25</v>
      </c>
      <c r="E472" s="8" t="n">
        <v>20</v>
      </c>
      <c r="F472" s="8" t="n">
        <v>342.22</v>
      </c>
      <c r="G472" s="7" t="str">
        <f aca="false">IFERROR(INDEX('TRANS'!$B:$B,MATCH($B472,'TRANS'!$A:$A,0)),IFERROR(INDEX('TRANS'!$B:$B,MATCH(TRIM(SUBSTITUTE($B472,CHAR(160)," ")),'TRANS'!$D:$D,0)),IFERROR(INDEX('Catalog'!$A:$A,MATCH($B472,'Catalog'!$B:$B,0)),IFERROR(INDEX('Catalog'!$A:$A,MATCH(TRIM(SUBSTITUTE($B472,CHAR(160)," ")),'Catalog'!$C:$C,0)),""))))</f>
        <v/>
      </c>
      <c r="H472" s="7" t="str">
        <f aca="false">IFERROR(INDEX('TRANS'!$C:$C,MATCH($B472,'TRANS'!$A:$A,0)),IFERROR(INDEX('Catalog'!$B:$B,MATCH($G472,'Catalog'!$A:$A,0)),$B472))</f>
        <v>ST27R 0</v>
      </c>
      <c r="I472" s="7" t="str">
        <f aca="false">IF($G472="","Unmatched","Matched")</f>
        <v>Unmatched</v>
      </c>
      <c r="J472" s="7" t="str">
        <f aca="false">IF($G472&lt;&gt;"",$G472,$B472)</f>
        <v>ST27R 0</v>
      </c>
      <c r="K472" s="7" t="str">
        <f aca="false">IF(COUNTIF($O$2:$O$16,$A472)&gt;0,"Y","N")</f>
        <v>Y</v>
      </c>
    </row>
    <row r="473" customFormat="false" ht="15" hidden="false" customHeight="false" outlineLevel="0" collapsed="false">
      <c r="A473" s="7" t="s">
        <v>34</v>
      </c>
      <c r="B473" s="7" t="s">
        <v>516</v>
      </c>
      <c r="C473" s="8" t="n">
        <v>60</v>
      </c>
      <c r="D473" s="8" t="n">
        <v>1061.29</v>
      </c>
      <c r="E473" s="8" t="n">
        <v>0</v>
      </c>
      <c r="F473" s="8" t="n">
        <v>0</v>
      </c>
      <c r="G473" s="7" t="n">
        <f aca="false">IFERROR(INDEX('TRANS'!$B:$B,MATCH($B473,'TRANS'!$A:$A,0)),IFERROR(INDEX('TRANS'!$B:$B,MATCH(TRIM(SUBSTITUTE($B473,CHAR(160)," ")),'TRANS'!$D:$D,0)),IFERROR(INDEX('Catalog'!$A:$A,MATCH($B473,'Catalog'!$B:$B,0)),IFERROR(INDEX('Catalog'!$A:$A,MATCH(TRIM(SUBSTITUTE($B473,CHAR(160)," ")),'Catalog'!$C:$C,0)),""))))</f>
        <v>4408269</v>
      </c>
      <c r="H473" s="7" t="str">
        <f aca="false">IFERROR(INDEX('TRANS'!$C:$C,MATCH($B473,'TRANS'!$A:$A,0)),IFERROR(INDEX('Catalog'!$B:$B,MATCH($G473,'Catalog'!$A:$A,0)),$B473))</f>
        <v>ST37 חבק לקרסול</v>
      </c>
      <c r="I473" s="7" t="str">
        <f aca="false">IF($G473="","Unmatched","Matched")</f>
        <v>Matched</v>
      </c>
      <c r="J473" s="7" t="n">
        <f aca="false">IF($G473&lt;&gt;"",$G473,$B473)</f>
        <v>4408269</v>
      </c>
      <c r="K473" s="7" t="str">
        <f aca="false">IF(COUNTIF($O$2:$O$16,$A473)&gt;0,"Y","N")</f>
        <v>Y</v>
      </c>
    </row>
    <row r="474" customFormat="false" ht="15" hidden="false" customHeight="false" outlineLevel="0" collapsed="false">
      <c r="A474" s="7" t="s">
        <v>34</v>
      </c>
      <c r="B474" s="7" t="s">
        <v>59</v>
      </c>
      <c r="C474" s="8" t="n">
        <v>110</v>
      </c>
      <c r="D474" s="8" t="n">
        <v>2049.75</v>
      </c>
      <c r="E474" s="8" t="n">
        <v>80</v>
      </c>
      <c r="F474" s="8" t="n">
        <v>1431.27</v>
      </c>
      <c r="G474" s="7" t="str">
        <f aca="false">IFERROR(INDEX('TRANS'!$B:$B,MATCH($B474,'TRANS'!$A:$A,0)),IFERROR(INDEX('TRANS'!$B:$B,MATCH(TRIM(SUBSTITUTE($B474,CHAR(160)," ")),'TRANS'!$D:$D,0)),IFERROR(INDEX('Catalog'!$A:$A,MATCH($B474,'Catalog'!$B:$B,0)),IFERROR(INDEX('Catalog'!$A:$A,MATCH(TRIM(SUBSTITUTE($B474,CHAR(160)," ")),'Catalog'!$C:$C,0)),""))))</f>
        <v/>
      </c>
      <c r="H474" s="7" t="str">
        <f aca="false">IFERROR(INDEX('TRANS'!$C:$C,MATCH($B474,'TRANS'!$A:$A,0)),IFERROR(INDEX('Catalog'!$B:$B,MATCH($G474,'Catalog'!$A:$A,0)),$B474))</f>
        <v>ST45X 0</v>
      </c>
      <c r="I474" s="7" t="str">
        <f aca="false">IF($G474="","Unmatched","Matched")</f>
        <v>Unmatched</v>
      </c>
      <c r="J474" s="7" t="str">
        <f aca="false">IF($G474&lt;&gt;"",$G474,$B474)</f>
        <v>ST45X 0</v>
      </c>
      <c r="K474" s="7" t="str">
        <f aca="false">IF(COUNTIF($O$2:$O$16,$A474)&gt;0,"Y","N")</f>
        <v>Y</v>
      </c>
    </row>
    <row r="475" customFormat="false" ht="15" hidden="false" customHeight="false" outlineLevel="0" collapsed="false">
      <c r="A475" s="7" t="s">
        <v>34</v>
      </c>
      <c r="B475" s="7" t="s">
        <v>71</v>
      </c>
      <c r="C475" s="8" t="n">
        <v>20</v>
      </c>
      <c r="D475" s="8" t="n">
        <v>412.16</v>
      </c>
      <c r="E475" s="8" t="n">
        <v>50</v>
      </c>
      <c r="F475" s="8" t="n">
        <v>981.53</v>
      </c>
      <c r="G475" s="7" t="str">
        <f aca="false">IFERROR(INDEX('TRANS'!$B:$B,MATCH($B475,'TRANS'!$A:$A,0)),IFERROR(INDEX('TRANS'!$B:$B,MATCH(TRIM(SUBSTITUTE($B475,CHAR(160)," ")),'TRANS'!$D:$D,0)),IFERROR(INDEX('Catalog'!$A:$A,MATCH($B475,'Catalog'!$B:$B,0)),IFERROR(INDEX('Catalog'!$A:$A,MATCH(TRIM(SUBSTITUTE($B475,CHAR(160)," ")),'Catalog'!$C:$C,0)),""))))</f>
        <v/>
      </c>
      <c r="H475" s="7" t="str">
        <f aca="false">IFERROR(INDEX('TRANS'!$C:$C,MATCH($B475,'TRANS'!$A:$A,0)),IFERROR(INDEX('Catalog'!$B:$B,MATCH($G475,'Catalog'!$A:$A,0)),$B475))</f>
        <v>ST95 0</v>
      </c>
      <c r="I475" s="7" t="str">
        <f aca="false">IF($G475="","Unmatched","Matched")</f>
        <v>Unmatched</v>
      </c>
      <c r="J475" s="7" t="str">
        <f aca="false">IF($G475&lt;&gt;"",$G475,$B475)</f>
        <v>ST95 0</v>
      </c>
      <c r="K475" s="7" t="str">
        <f aca="false">IF(COUNTIF($O$2:$O$16,$A475)&gt;0,"Y","N")</f>
        <v>Y</v>
      </c>
    </row>
    <row r="476" customFormat="false" ht="15" hidden="false" customHeight="false" outlineLevel="0" collapsed="false">
      <c r="A476" s="7" t="s">
        <v>8</v>
      </c>
      <c r="B476" s="7" t="s">
        <v>534</v>
      </c>
      <c r="C476" s="8" t="n">
        <v>12</v>
      </c>
      <c r="D476" s="8" t="n">
        <v>1081.78</v>
      </c>
      <c r="E476" s="8" t="n">
        <v>0</v>
      </c>
      <c r="F476" s="8" t="n">
        <v>0</v>
      </c>
      <c r="G476" s="7" t="str">
        <f aca="false">IFERROR(INDEX('TRANS'!$B:$B,MATCH($B476,'TRANS'!$A:$A,0)),IFERROR(INDEX('TRANS'!$B:$B,MATCH(TRIM(SUBSTITUTE($B476,CHAR(160)," ")),'TRANS'!$D:$D,0)),IFERROR(INDEX('Catalog'!$A:$A,MATCH($B476,'Catalog'!$B:$B,0)),IFERROR(INDEX('Catalog'!$A:$A,MATCH(TRIM(SUBSTITUTE($B476,CHAR(160)," ")),'Catalog'!$C:$C,0)),""))))</f>
        <v/>
      </c>
      <c r="H476" s="7" t="str">
        <f aca="false">IFERROR(INDEX('TRANS'!$C:$C,MATCH($B476,'TRANS'!$A:$A,0)),IFERROR(INDEX('Catalog'!$B:$B,MATCH($G476,'Catalog'!$A:$A,0)),$B476))</f>
        <v>EC-078 L</v>
      </c>
      <c r="I476" s="7" t="str">
        <f aca="false">IF($G476="","Unmatched","Matched")</f>
        <v>Unmatched</v>
      </c>
      <c r="J476" s="7" t="str">
        <f aca="false">IF($G476&lt;&gt;"",$G476,$B476)</f>
        <v>EC-078 L</v>
      </c>
      <c r="K476" s="7" t="str">
        <f aca="false">IF(COUNTIF($O$2:$O$16,$A476)&gt;0,"Y","N")</f>
        <v>N</v>
      </c>
    </row>
    <row r="477" customFormat="false" ht="15" hidden="false" customHeight="false" outlineLevel="0" collapsed="false">
      <c r="A477" s="7" t="s">
        <v>8</v>
      </c>
      <c r="B477" s="7" t="s">
        <v>535</v>
      </c>
      <c r="C477" s="8" t="n">
        <v>15</v>
      </c>
      <c r="D477" s="8" t="n">
        <v>1249.35</v>
      </c>
      <c r="E477" s="8" t="n">
        <v>0</v>
      </c>
      <c r="F477" s="8" t="n">
        <v>0</v>
      </c>
      <c r="G477" s="7" t="str">
        <f aca="false">IFERROR(INDEX('TRANS'!$B:$B,MATCH($B477,'TRANS'!$A:$A,0)),IFERROR(INDEX('TRANS'!$B:$B,MATCH(TRIM(SUBSTITUTE($B477,CHAR(160)," ")),'TRANS'!$D:$D,0)),IFERROR(INDEX('Catalog'!$A:$A,MATCH($B477,'Catalog'!$B:$B,0)),IFERROR(INDEX('Catalog'!$A:$A,MATCH(TRIM(SUBSTITUTE($B477,CHAR(160)," ")),'Catalog'!$C:$C,0)),""))))</f>
        <v/>
      </c>
      <c r="H477" s="7" t="str">
        <f aca="false">IFERROR(INDEX('TRANS'!$C:$C,MATCH($B477,'TRANS'!$A:$A,0)),IFERROR(INDEX('Catalog'!$B:$B,MATCH($G477,'Catalog'!$A:$A,0)),$B477))</f>
        <v>EC-078 M</v>
      </c>
      <c r="I477" s="7" t="str">
        <f aca="false">IF($G477="","Unmatched","Matched")</f>
        <v>Unmatched</v>
      </c>
      <c r="J477" s="7" t="str">
        <f aca="false">IF($G477&lt;&gt;"",$G477,$B477)</f>
        <v>EC-078 M</v>
      </c>
      <c r="K477" s="7" t="str">
        <f aca="false">IF(COUNTIF($O$2:$O$16,$A477)&gt;0,"Y","N")</f>
        <v>N</v>
      </c>
    </row>
    <row r="478" customFormat="false" ht="15" hidden="false" customHeight="false" outlineLevel="0" collapsed="false">
      <c r="A478" s="7" t="s">
        <v>8</v>
      </c>
      <c r="B478" s="7" t="s">
        <v>536</v>
      </c>
      <c r="C478" s="8" t="n">
        <v>2</v>
      </c>
      <c r="D478" s="8" t="n">
        <v>174.75</v>
      </c>
      <c r="E478" s="8" t="n">
        <v>0</v>
      </c>
      <c r="F478" s="8" t="n">
        <v>0</v>
      </c>
      <c r="G478" s="7" t="str">
        <f aca="false">IFERROR(INDEX('TRANS'!$B:$B,MATCH($B478,'TRANS'!$A:$A,0)),IFERROR(INDEX('TRANS'!$B:$B,MATCH(TRIM(SUBSTITUTE($B478,CHAR(160)," ")),'TRANS'!$D:$D,0)),IFERROR(INDEX('Catalog'!$A:$A,MATCH($B478,'Catalog'!$B:$B,0)),IFERROR(INDEX('Catalog'!$A:$A,MATCH(TRIM(SUBSTITUTE($B478,CHAR(160)," ")),'Catalog'!$C:$C,0)),""))))</f>
        <v/>
      </c>
      <c r="H478" s="7" t="str">
        <f aca="false">IFERROR(INDEX('TRANS'!$C:$C,MATCH($B478,'TRANS'!$A:$A,0)),IFERROR(INDEX('Catalog'!$B:$B,MATCH($G478,'Catalog'!$A:$A,0)),$B478))</f>
        <v>EC-078 XL</v>
      </c>
      <c r="I478" s="7" t="str">
        <f aca="false">IF($G478="","Unmatched","Matched")</f>
        <v>Unmatched</v>
      </c>
      <c r="J478" s="7" t="str">
        <f aca="false">IF($G478&lt;&gt;"",$G478,$B478)</f>
        <v>EC-078 XL</v>
      </c>
      <c r="K478" s="7" t="str">
        <f aca="false">IF(COUNTIF($O$2:$O$16,$A478)&gt;0,"Y","N")</f>
        <v>N</v>
      </c>
    </row>
    <row r="479" customFormat="false" ht="15" hidden="false" customHeight="false" outlineLevel="0" collapsed="false">
      <c r="A479" s="7" t="s">
        <v>8</v>
      </c>
      <c r="B479" s="7" t="s">
        <v>537</v>
      </c>
      <c r="C479" s="8" t="n">
        <v>6</v>
      </c>
      <c r="D479" s="8" t="n">
        <v>496.79</v>
      </c>
      <c r="E479" s="8" t="n">
        <v>0</v>
      </c>
      <c r="F479" s="8" t="n">
        <v>0</v>
      </c>
      <c r="G479" s="7" t="str">
        <f aca="false">IFERROR(INDEX('TRANS'!$B:$B,MATCH($B479,'TRANS'!$A:$A,0)),IFERROR(INDEX('TRANS'!$B:$B,MATCH(TRIM(SUBSTITUTE($B479,CHAR(160)," ")),'TRANS'!$D:$D,0)),IFERROR(INDEX('Catalog'!$A:$A,MATCH($B479,'Catalog'!$B:$B,0)),IFERROR(INDEX('Catalog'!$A:$A,MATCH(TRIM(SUBSTITUTE($B479,CHAR(160)," ")),'Catalog'!$C:$C,0)),""))))</f>
        <v/>
      </c>
      <c r="H479" s="7" t="str">
        <f aca="false">IFERROR(INDEX('TRANS'!$C:$C,MATCH($B479,'TRANS'!$A:$A,0)),IFERROR(INDEX('Catalog'!$B:$B,MATCH($G479,'Catalog'!$A:$A,0)),$B479))</f>
        <v>EC-078 XXL</v>
      </c>
      <c r="I479" s="7" t="str">
        <f aca="false">IF($G479="","Unmatched","Matched")</f>
        <v>Unmatched</v>
      </c>
      <c r="J479" s="7" t="str">
        <f aca="false">IF($G479&lt;&gt;"",$G479,$B479)</f>
        <v>EC-078 XXL</v>
      </c>
      <c r="K479" s="7" t="str">
        <f aca="false">IF(COUNTIF($O$2:$O$16,$A479)&gt;0,"Y","N")</f>
        <v>N</v>
      </c>
    </row>
    <row r="480" customFormat="false" ht="15" hidden="false" customHeight="false" outlineLevel="0" collapsed="false">
      <c r="A480" s="7" t="s">
        <v>8</v>
      </c>
      <c r="B480" s="7" t="s">
        <v>538</v>
      </c>
      <c r="C480" s="8" t="n">
        <v>71</v>
      </c>
      <c r="D480" s="8" t="n">
        <v>9834.5</v>
      </c>
      <c r="E480" s="8" t="n">
        <v>0</v>
      </c>
      <c r="F480" s="8" t="n">
        <v>0</v>
      </c>
      <c r="G480" s="7" t="str">
        <f aca="false">IFERROR(INDEX('TRANS'!$B:$B,MATCH($B480,'TRANS'!$A:$A,0)),IFERROR(INDEX('TRANS'!$B:$B,MATCH(TRIM(SUBSTITUTE($B480,CHAR(160)," ")),'TRANS'!$D:$D,0)),IFERROR(INDEX('Catalog'!$A:$A,MATCH($B480,'Catalog'!$B:$B,0)),IFERROR(INDEX('Catalog'!$A:$A,MATCH(TRIM(SUBSTITUTE($B480,CHAR(160)," ")),'Catalog'!$C:$C,0)),""))))</f>
        <v/>
      </c>
      <c r="H480" s="7" t="str">
        <f aca="false">IFERROR(INDEX('TRANS'!$C:$C,MATCH($B480,'TRANS'!$A:$A,0)),IFERROR(INDEX('Catalog'!$B:$B,MATCH($G480,'Catalog'!$A:$A,0)),$B480))</f>
        <v>EC-11NOR L</v>
      </c>
      <c r="I480" s="7" t="str">
        <f aca="false">IF($G480="","Unmatched","Matched")</f>
        <v>Unmatched</v>
      </c>
      <c r="J480" s="7" t="str">
        <f aca="false">IF($G480&lt;&gt;"",$G480,$B480)</f>
        <v>EC-11NOR L</v>
      </c>
      <c r="K480" s="7" t="str">
        <f aca="false">IF(COUNTIF($O$2:$O$16,$A480)&gt;0,"Y","N")</f>
        <v>N</v>
      </c>
    </row>
    <row r="481" customFormat="false" ht="15" hidden="false" customHeight="false" outlineLevel="0" collapsed="false">
      <c r="A481" s="7" t="s">
        <v>8</v>
      </c>
      <c r="B481" s="7" t="s">
        <v>539</v>
      </c>
      <c r="C481" s="8" t="n">
        <v>21</v>
      </c>
      <c r="D481" s="8" t="n">
        <v>2976.17</v>
      </c>
      <c r="E481" s="8" t="n">
        <v>0</v>
      </c>
      <c r="F481" s="8" t="n">
        <v>0</v>
      </c>
      <c r="G481" s="7" t="str">
        <f aca="false">IFERROR(INDEX('TRANS'!$B:$B,MATCH($B481,'TRANS'!$A:$A,0)),IFERROR(INDEX('TRANS'!$B:$B,MATCH(TRIM(SUBSTITUTE($B481,CHAR(160)," ")),'TRANS'!$D:$D,0)),IFERROR(INDEX('Catalog'!$A:$A,MATCH($B481,'Catalog'!$B:$B,0)),IFERROR(INDEX('Catalog'!$A:$A,MATCH(TRIM(SUBSTITUTE($B481,CHAR(160)," ")),'Catalog'!$C:$C,0)),""))))</f>
        <v/>
      </c>
      <c r="H481" s="7" t="str">
        <f aca="false">IFERROR(INDEX('TRANS'!$C:$C,MATCH($B481,'TRANS'!$A:$A,0)),IFERROR(INDEX('Catalog'!$B:$B,MATCH($G481,'Catalog'!$A:$A,0)),$B481))</f>
        <v>EC-11NOR M</v>
      </c>
      <c r="I481" s="7" t="str">
        <f aca="false">IF($G481="","Unmatched","Matched")</f>
        <v>Unmatched</v>
      </c>
      <c r="J481" s="7" t="str">
        <f aca="false">IF($G481&lt;&gt;"",$G481,$B481)</f>
        <v>EC-11NOR M</v>
      </c>
      <c r="K481" s="7" t="str">
        <f aca="false">IF(COUNTIF($O$2:$O$16,$A481)&gt;0,"Y","N")</f>
        <v>N</v>
      </c>
    </row>
    <row r="482" customFormat="false" ht="15" hidden="false" customHeight="false" outlineLevel="0" collapsed="false">
      <c r="A482" s="7" t="s">
        <v>8</v>
      </c>
      <c r="B482" s="7" t="s">
        <v>540</v>
      </c>
      <c r="C482" s="8" t="n">
        <v>11</v>
      </c>
      <c r="D482" s="8" t="n">
        <v>1276.45</v>
      </c>
      <c r="E482" s="8" t="n">
        <v>0</v>
      </c>
      <c r="F482" s="8" t="n">
        <v>0</v>
      </c>
      <c r="G482" s="7" t="str">
        <f aca="false">IFERROR(INDEX('TRANS'!$B:$B,MATCH($B482,'TRANS'!$A:$A,0)),IFERROR(INDEX('TRANS'!$B:$B,MATCH(TRIM(SUBSTITUTE($B482,CHAR(160)," ")),'TRANS'!$D:$D,0)),IFERROR(INDEX('Catalog'!$A:$A,MATCH($B482,'Catalog'!$B:$B,0)),IFERROR(INDEX('Catalog'!$A:$A,MATCH(TRIM(SUBSTITUTE($B482,CHAR(160)," ")),'Catalog'!$C:$C,0)),""))))</f>
        <v/>
      </c>
      <c r="H482" s="7" t="str">
        <f aca="false">IFERROR(INDEX('TRANS'!$C:$C,MATCH($B482,'TRANS'!$A:$A,0)),IFERROR(INDEX('Catalog'!$B:$B,MATCH($G482,'Catalog'!$A:$A,0)),$B482))</f>
        <v>EC-11NOR S</v>
      </c>
      <c r="I482" s="7" t="str">
        <f aca="false">IF($G482="","Unmatched","Matched")</f>
        <v>Unmatched</v>
      </c>
      <c r="J482" s="7" t="str">
        <f aca="false">IF($G482&lt;&gt;"",$G482,$B482)</f>
        <v>EC-11NOR S</v>
      </c>
      <c r="K482" s="7" t="str">
        <f aca="false">IF(COUNTIF($O$2:$O$16,$A482)&gt;0,"Y","N")</f>
        <v>N</v>
      </c>
    </row>
    <row r="483" customFormat="false" ht="15" hidden="false" customHeight="false" outlineLevel="0" collapsed="false">
      <c r="A483" s="7" t="s">
        <v>8</v>
      </c>
      <c r="B483" s="7" t="s">
        <v>541</v>
      </c>
      <c r="C483" s="8" t="n">
        <v>191</v>
      </c>
      <c r="D483" s="8" t="n">
        <v>26070.58</v>
      </c>
      <c r="E483" s="8" t="n">
        <v>65</v>
      </c>
      <c r="F483" s="8" t="n">
        <v>8137.95</v>
      </c>
      <c r="G483" s="7" t="str">
        <f aca="false">IFERROR(INDEX('TRANS'!$B:$B,MATCH($B483,'TRANS'!$A:$A,0)),IFERROR(INDEX('TRANS'!$B:$B,MATCH(TRIM(SUBSTITUTE($B483,CHAR(160)," ")),'TRANS'!$D:$D,0)),IFERROR(INDEX('Catalog'!$A:$A,MATCH($B483,'Catalog'!$B:$B,0)),IFERROR(INDEX('Catalog'!$A:$A,MATCH(TRIM(SUBSTITUTE($B483,CHAR(160)," ")),'Catalog'!$C:$C,0)),""))))</f>
        <v/>
      </c>
      <c r="H483" s="7" t="str">
        <f aca="false">IFERROR(INDEX('TRANS'!$C:$C,MATCH($B483,'TRANS'!$A:$A,0)),IFERROR(INDEX('Catalog'!$B:$B,MATCH($G483,'Catalog'!$A:$A,0)),$B483))</f>
        <v>EC-11NOR XL</v>
      </c>
      <c r="I483" s="7" t="str">
        <f aca="false">IF($G483="","Unmatched","Matched")</f>
        <v>Unmatched</v>
      </c>
      <c r="J483" s="7" t="str">
        <f aca="false">IF($G483&lt;&gt;"",$G483,$B483)</f>
        <v>EC-11NOR XL</v>
      </c>
      <c r="K483" s="7" t="str">
        <f aca="false">IF(COUNTIF($O$2:$O$16,$A483)&gt;0,"Y","N")</f>
        <v>N</v>
      </c>
    </row>
    <row r="484" customFormat="false" ht="15" hidden="false" customHeight="false" outlineLevel="0" collapsed="false">
      <c r="A484" s="7" t="s">
        <v>8</v>
      </c>
      <c r="B484" s="7" t="s">
        <v>542</v>
      </c>
      <c r="C484" s="8" t="n">
        <v>133</v>
      </c>
      <c r="D484" s="8" t="n">
        <v>19212.52</v>
      </c>
      <c r="E484" s="8" t="n">
        <v>0</v>
      </c>
      <c r="F484" s="8" t="n">
        <v>0</v>
      </c>
      <c r="G484" s="7" t="str">
        <f aca="false">IFERROR(INDEX('TRANS'!$B:$B,MATCH($B484,'TRANS'!$A:$A,0)),IFERROR(INDEX('TRANS'!$B:$B,MATCH(TRIM(SUBSTITUTE($B484,CHAR(160)," ")),'TRANS'!$D:$D,0)),IFERROR(INDEX('Catalog'!$A:$A,MATCH($B484,'Catalog'!$B:$B,0)),IFERROR(INDEX('Catalog'!$A:$A,MATCH(TRIM(SUBSTITUTE($B484,CHAR(160)," ")),'Catalog'!$C:$C,0)),""))))</f>
        <v/>
      </c>
      <c r="H484" s="7" t="str">
        <f aca="false">IFERROR(INDEX('TRANS'!$C:$C,MATCH($B484,'TRANS'!$A:$A,0)),IFERROR(INDEX('Catalog'!$B:$B,MATCH($G484,'Catalog'!$A:$A,0)),$B484))</f>
        <v>EC-11NOR XXL</v>
      </c>
      <c r="I484" s="7" t="str">
        <f aca="false">IF($G484="","Unmatched","Matched")</f>
        <v>Unmatched</v>
      </c>
      <c r="J484" s="7" t="str">
        <f aca="false">IF($G484&lt;&gt;"",$G484,$B484)</f>
        <v>EC-11NOR XXL</v>
      </c>
      <c r="K484" s="7" t="str">
        <f aca="false">IF(COUNTIF($O$2:$O$16,$A484)&gt;0,"Y","N")</f>
        <v>N</v>
      </c>
    </row>
    <row r="485" customFormat="false" ht="15" hidden="false" customHeight="false" outlineLevel="0" collapsed="false">
      <c r="A485" s="7" t="s">
        <v>8</v>
      </c>
      <c r="B485" s="7" t="s">
        <v>543</v>
      </c>
      <c r="C485" s="8" t="n">
        <v>177</v>
      </c>
      <c r="D485" s="8" t="n">
        <v>24684.59</v>
      </c>
      <c r="E485" s="8" t="n">
        <v>109</v>
      </c>
      <c r="F485" s="8" t="n">
        <v>14505.57</v>
      </c>
      <c r="G485" s="7" t="str">
        <f aca="false">IFERROR(INDEX('TRANS'!$B:$B,MATCH($B485,'TRANS'!$A:$A,0)),IFERROR(INDEX('TRANS'!$B:$B,MATCH(TRIM(SUBSTITUTE($B485,CHAR(160)," ")),'TRANS'!$D:$D,0)),IFERROR(INDEX('Catalog'!$A:$A,MATCH($B485,'Catalog'!$B:$B,0)),IFERROR(INDEX('Catalog'!$A:$A,MATCH(TRIM(SUBSTITUTE($B485,CHAR(160)," ")),'Catalog'!$C:$C,0)),""))))</f>
        <v/>
      </c>
      <c r="H485" s="7" t="str">
        <f aca="false">IFERROR(INDEX('TRANS'!$C:$C,MATCH($B485,'TRANS'!$A:$A,0)),IFERROR(INDEX('Catalog'!$B:$B,MATCH($G485,'Catalog'!$A:$A,0)),$B485))</f>
        <v>EC-11STO L</v>
      </c>
      <c r="I485" s="7" t="str">
        <f aca="false">IF($G485="","Unmatched","Matched")</f>
        <v>Unmatched</v>
      </c>
      <c r="J485" s="7" t="str">
        <f aca="false">IF($G485&lt;&gt;"",$G485,$B485)</f>
        <v>EC-11STO L</v>
      </c>
      <c r="K485" s="7" t="str">
        <f aca="false">IF(COUNTIF($O$2:$O$16,$A485)&gt;0,"Y","N")</f>
        <v>N</v>
      </c>
    </row>
    <row r="486" customFormat="false" ht="15" hidden="false" customHeight="false" outlineLevel="0" collapsed="false">
      <c r="A486" s="7" t="s">
        <v>8</v>
      </c>
      <c r="B486" s="7" t="s">
        <v>544</v>
      </c>
      <c r="C486" s="8" t="n">
        <v>125</v>
      </c>
      <c r="D486" s="8" t="n">
        <v>16991.76</v>
      </c>
      <c r="E486" s="8" t="n">
        <v>77</v>
      </c>
      <c r="F486" s="8" t="n">
        <v>10282.34</v>
      </c>
      <c r="G486" s="7" t="str">
        <f aca="false">IFERROR(INDEX('TRANS'!$B:$B,MATCH($B486,'TRANS'!$A:$A,0)),IFERROR(INDEX('TRANS'!$B:$B,MATCH(TRIM(SUBSTITUTE($B486,CHAR(160)," ")),'TRANS'!$D:$D,0)),IFERROR(INDEX('Catalog'!$A:$A,MATCH($B486,'Catalog'!$B:$B,0)),IFERROR(INDEX('Catalog'!$A:$A,MATCH(TRIM(SUBSTITUTE($B486,CHAR(160)," ")),'Catalog'!$C:$C,0)),""))))</f>
        <v/>
      </c>
      <c r="H486" s="7" t="str">
        <f aca="false">IFERROR(INDEX('TRANS'!$C:$C,MATCH($B486,'TRANS'!$A:$A,0)),IFERROR(INDEX('Catalog'!$B:$B,MATCH($G486,'Catalog'!$A:$A,0)),$B486))</f>
        <v>EC-11STO M</v>
      </c>
      <c r="I486" s="7" t="str">
        <f aca="false">IF($G486="","Unmatched","Matched")</f>
        <v>Unmatched</v>
      </c>
      <c r="J486" s="7" t="str">
        <f aca="false">IF($G486&lt;&gt;"",$G486,$B486)</f>
        <v>EC-11STO M</v>
      </c>
      <c r="K486" s="7" t="str">
        <f aca="false">IF(COUNTIF($O$2:$O$16,$A486)&gt;0,"Y","N")</f>
        <v>N</v>
      </c>
    </row>
    <row r="487" customFormat="false" ht="15" hidden="false" customHeight="false" outlineLevel="0" collapsed="false">
      <c r="A487" s="7" t="s">
        <v>8</v>
      </c>
      <c r="B487" s="7" t="s">
        <v>545</v>
      </c>
      <c r="C487" s="8" t="n">
        <v>27</v>
      </c>
      <c r="D487" s="8" t="n">
        <v>3576.51</v>
      </c>
      <c r="E487" s="8" t="n">
        <v>24</v>
      </c>
      <c r="F487" s="8" t="n">
        <v>3125.27</v>
      </c>
      <c r="G487" s="7" t="str">
        <f aca="false">IFERROR(INDEX('TRANS'!$B:$B,MATCH($B487,'TRANS'!$A:$A,0)),IFERROR(INDEX('TRANS'!$B:$B,MATCH(TRIM(SUBSTITUTE($B487,CHAR(160)," ")),'TRANS'!$D:$D,0)),IFERROR(INDEX('Catalog'!$A:$A,MATCH($B487,'Catalog'!$B:$B,0)),IFERROR(INDEX('Catalog'!$A:$A,MATCH(TRIM(SUBSTITUTE($B487,CHAR(160)," ")),'Catalog'!$C:$C,0)),""))))</f>
        <v/>
      </c>
      <c r="H487" s="7" t="str">
        <f aca="false">IFERROR(INDEX('TRANS'!$C:$C,MATCH($B487,'TRANS'!$A:$A,0)),IFERROR(INDEX('Catalog'!$B:$B,MATCH($G487,'Catalog'!$A:$A,0)),$B487))</f>
        <v>EC-11STO S</v>
      </c>
      <c r="I487" s="7" t="str">
        <f aca="false">IF($G487="","Unmatched","Matched")</f>
        <v>Unmatched</v>
      </c>
      <c r="J487" s="7" t="str">
        <f aca="false">IF($G487&lt;&gt;"",$G487,$B487)</f>
        <v>EC-11STO S</v>
      </c>
      <c r="K487" s="7" t="str">
        <f aca="false">IF(COUNTIF($O$2:$O$16,$A487)&gt;0,"Y","N")</f>
        <v>N</v>
      </c>
    </row>
    <row r="488" customFormat="false" ht="15" hidden="false" customHeight="false" outlineLevel="0" collapsed="false">
      <c r="A488" s="7" t="s">
        <v>8</v>
      </c>
      <c r="B488" s="7" t="s">
        <v>546</v>
      </c>
      <c r="C488" s="8" t="n">
        <v>195</v>
      </c>
      <c r="D488" s="8" t="n">
        <v>27208.51</v>
      </c>
      <c r="E488" s="8" t="n">
        <v>53</v>
      </c>
      <c r="F488" s="8" t="n">
        <v>7224.56</v>
      </c>
      <c r="G488" s="7" t="str">
        <f aca="false">IFERROR(INDEX('TRANS'!$B:$B,MATCH($B488,'TRANS'!$A:$A,0)),IFERROR(INDEX('TRANS'!$B:$B,MATCH(TRIM(SUBSTITUTE($B488,CHAR(160)," ")),'TRANS'!$D:$D,0)),IFERROR(INDEX('Catalog'!$A:$A,MATCH($B488,'Catalog'!$B:$B,0)),IFERROR(INDEX('Catalog'!$A:$A,MATCH(TRIM(SUBSTITUTE($B488,CHAR(160)," ")),'Catalog'!$C:$C,0)),""))))</f>
        <v/>
      </c>
      <c r="H488" s="7" t="str">
        <f aca="false">IFERROR(INDEX('TRANS'!$C:$C,MATCH($B488,'TRANS'!$A:$A,0)),IFERROR(INDEX('Catalog'!$B:$B,MATCH($G488,'Catalog'!$A:$A,0)),$B488))</f>
        <v>EC-11STO XL</v>
      </c>
      <c r="I488" s="7" t="str">
        <f aca="false">IF($G488="","Unmatched","Matched")</f>
        <v>Unmatched</v>
      </c>
      <c r="J488" s="7" t="str">
        <f aca="false">IF($G488&lt;&gt;"",$G488,$B488)</f>
        <v>EC-11STO XL</v>
      </c>
      <c r="K488" s="7" t="str">
        <f aca="false">IF(COUNTIF($O$2:$O$16,$A488)&gt;0,"Y","N")</f>
        <v>N</v>
      </c>
    </row>
    <row r="489" customFormat="false" ht="15" hidden="false" customHeight="false" outlineLevel="0" collapsed="false">
      <c r="A489" s="7" t="s">
        <v>8</v>
      </c>
      <c r="B489" s="7" t="s">
        <v>547</v>
      </c>
      <c r="C489" s="8" t="n">
        <v>224</v>
      </c>
      <c r="D489" s="8" t="n">
        <v>30949.19</v>
      </c>
      <c r="E489" s="8" t="n">
        <v>61</v>
      </c>
      <c r="F489" s="8" t="n">
        <v>8220.14</v>
      </c>
      <c r="G489" s="7" t="str">
        <f aca="false">IFERROR(INDEX('TRANS'!$B:$B,MATCH($B489,'TRANS'!$A:$A,0)),IFERROR(INDEX('TRANS'!$B:$B,MATCH(TRIM(SUBSTITUTE($B489,CHAR(160)," ")),'TRANS'!$D:$D,0)),IFERROR(INDEX('Catalog'!$A:$A,MATCH($B489,'Catalog'!$B:$B,0)),IFERROR(INDEX('Catalog'!$A:$A,MATCH(TRIM(SUBSTITUTE($B489,CHAR(160)," ")),'Catalog'!$C:$C,0)),""))))</f>
        <v/>
      </c>
      <c r="H489" s="7" t="str">
        <f aca="false">IFERROR(INDEX('TRANS'!$C:$C,MATCH($B489,'TRANS'!$A:$A,0)),IFERROR(INDEX('Catalog'!$B:$B,MATCH($G489,'Catalog'!$A:$A,0)),$B489))</f>
        <v>EC-11STO XXL</v>
      </c>
      <c r="I489" s="7" t="str">
        <f aca="false">IF($G489="","Unmatched","Matched")</f>
        <v>Unmatched</v>
      </c>
      <c r="J489" s="7" t="str">
        <f aca="false">IF($G489&lt;&gt;"",$G489,$B489)</f>
        <v>EC-11STO XXL</v>
      </c>
      <c r="K489" s="7" t="str">
        <f aca="false">IF(COUNTIF($O$2:$O$16,$A489)&gt;0,"Y","N")</f>
        <v>N</v>
      </c>
    </row>
    <row r="490" customFormat="false" ht="15" hidden="false" customHeight="false" outlineLevel="0" collapsed="false">
      <c r="A490" s="7" t="s">
        <v>8</v>
      </c>
      <c r="B490" s="7" t="s">
        <v>548</v>
      </c>
      <c r="C490" s="8" t="n">
        <v>91</v>
      </c>
      <c r="D490" s="8" t="n">
        <v>12484.46</v>
      </c>
      <c r="E490" s="8" t="n">
        <v>126</v>
      </c>
      <c r="F490" s="8" t="n">
        <v>16430.98</v>
      </c>
      <c r="G490" s="7" t="str">
        <f aca="false">IFERROR(INDEX('TRANS'!$B:$B,MATCH($B490,'TRANS'!$A:$A,0)),IFERROR(INDEX('TRANS'!$B:$B,MATCH(TRIM(SUBSTITUTE($B490,CHAR(160)," ")),'TRANS'!$D:$D,0)),IFERROR(INDEX('Catalog'!$A:$A,MATCH($B490,'Catalog'!$B:$B,0)),IFERROR(INDEX('Catalog'!$A:$A,MATCH(TRIM(SUBSTITUTE($B490,CHAR(160)," ")),'Catalog'!$C:$C,0)),""))))</f>
        <v/>
      </c>
      <c r="H490" s="7" t="str">
        <f aca="false">IFERROR(INDEX('TRANS'!$C:$C,MATCH($B490,'TRANS'!$A:$A,0)),IFERROR(INDEX('Catalog'!$B:$B,MATCH($G490,'Catalog'!$A:$A,0)),$B490))</f>
        <v>EC-11STOB L</v>
      </c>
      <c r="I490" s="7" t="str">
        <f aca="false">IF($G490="","Unmatched","Matched")</f>
        <v>Unmatched</v>
      </c>
      <c r="J490" s="7" t="str">
        <f aca="false">IF($G490&lt;&gt;"",$G490,$B490)</f>
        <v>EC-11STOB L</v>
      </c>
      <c r="K490" s="7" t="str">
        <f aca="false">IF(COUNTIF($O$2:$O$16,$A490)&gt;0,"Y","N")</f>
        <v>N</v>
      </c>
    </row>
    <row r="491" customFormat="false" ht="15" hidden="false" customHeight="false" outlineLevel="0" collapsed="false">
      <c r="A491" s="7" t="s">
        <v>8</v>
      </c>
      <c r="B491" s="7" t="s">
        <v>549</v>
      </c>
      <c r="C491" s="8" t="n">
        <v>16</v>
      </c>
      <c r="D491" s="8" t="n">
        <v>2183.52</v>
      </c>
      <c r="E491" s="8" t="n">
        <v>77</v>
      </c>
      <c r="F491" s="8" t="n">
        <v>9148.8</v>
      </c>
      <c r="G491" s="7" t="str">
        <f aca="false">IFERROR(INDEX('TRANS'!$B:$B,MATCH($B491,'TRANS'!$A:$A,0)),IFERROR(INDEX('TRANS'!$B:$B,MATCH(TRIM(SUBSTITUTE($B491,CHAR(160)," ")),'TRANS'!$D:$D,0)),IFERROR(INDEX('Catalog'!$A:$A,MATCH($B491,'Catalog'!$B:$B,0)),IFERROR(INDEX('Catalog'!$A:$A,MATCH(TRIM(SUBSTITUTE($B491,CHAR(160)," ")),'Catalog'!$C:$C,0)),""))))</f>
        <v/>
      </c>
      <c r="H491" s="7" t="str">
        <f aca="false">IFERROR(INDEX('TRANS'!$C:$C,MATCH($B491,'TRANS'!$A:$A,0)),IFERROR(INDEX('Catalog'!$B:$B,MATCH($G491,'Catalog'!$A:$A,0)),$B491))</f>
        <v>EC-11STOB M</v>
      </c>
      <c r="I491" s="7" t="str">
        <f aca="false">IF($G491="","Unmatched","Matched")</f>
        <v>Unmatched</v>
      </c>
      <c r="J491" s="7" t="str">
        <f aca="false">IF($G491&lt;&gt;"",$G491,$B491)</f>
        <v>EC-11STOB M</v>
      </c>
      <c r="K491" s="7" t="str">
        <f aca="false">IF(COUNTIF($O$2:$O$16,$A491)&gt;0,"Y","N")</f>
        <v>N</v>
      </c>
    </row>
    <row r="492" customFormat="false" ht="15" hidden="false" customHeight="false" outlineLevel="0" collapsed="false">
      <c r="A492" s="7" t="s">
        <v>8</v>
      </c>
      <c r="B492" s="7" t="s">
        <v>550</v>
      </c>
      <c r="C492" s="8" t="n">
        <v>1</v>
      </c>
      <c r="D492" s="8" t="n">
        <v>137.01</v>
      </c>
      <c r="E492" s="8" t="n">
        <v>20</v>
      </c>
      <c r="F492" s="8" t="n">
        <v>2555.12</v>
      </c>
      <c r="G492" s="7" t="str">
        <f aca="false">IFERROR(INDEX('TRANS'!$B:$B,MATCH($B492,'TRANS'!$A:$A,0)),IFERROR(INDEX('TRANS'!$B:$B,MATCH(TRIM(SUBSTITUTE($B492,CHAR(160)," ")),'TRANS'!$D:$D,0)),IFERROR(INDEX('Catalog'!$A:$A,MATCH($B492,'Catalog'!$B:$B,0)),IFERROR(INDEX('Catalog'!$A:$A,MATCH(TRIM(SUBSTITUTE($B492,CHAR(160)," ")),'Catalog'!$C:$C,0)),""))))</f>
        <v/>
      </c>
      <c r="H492" s="7" t="str">
        <f aca="false">IFERROR(INDEX('TRANS'!$C:$C,MATCH($B492,'TRANS'!$A:$A,0)),IFERROR(INDEX('Catalog'!$B:$B,MATCH($G492,'Catalog'!$A:$A,0)),$B492))</f>
        <v>EC-11STOB S</v>
      </c>
      <c r="I492" s="7" t="str">
        <f aca="false">IF($G492="","Unmatched","Matched")</f>
        <v>Unmatched</v>
      </c>
      <c r="J492" s="7" t="str">
        <f aca="false">IF($G492&lt;&gt;"",$G492,$B492)</f>
        <v>EC-11STOB S</v>
      </c>
      <c r="K492" s="7" t="str">
        <f aca="false">IF(COUNTIF($O$2:$O$16,$A492)&gt;0,"Y","N")</f>
        <v>N</v>
      </c>
    </row>
    <row r="493" customFormat="false" ht="15" hidden="false" customHeight="false" outlineLevel="0" collapsed="false">
      <c r="A493" s="7" t="s">
        <v>8</v>
      </c>
      <c r="B493" s="7" t="s">
        <v>551</v>
      </c>
      <c r="C493" s="8" t="n">
        <v>86</v>
      </c>
      <c r="D493" s="8" t="n">
        <v>11577.1</v>
      </c>
      <c r="E493" s="8" t="n">
        <v>141</v>
      </c>
      <c r="F493" s="8" t="n">
        <v>18557.76</v>
      </c>
      <c r="G493" s="7" t="str">
        <f aca="false">IFERROR(INDEX('TRANS'!$B:$B,MATCH($B493,'TRANS'!$A:$A,0)),IFERROR(INDEX('TRANS'!$B:$B,MATCH(TRIM(SUBSTITUTE($B493,CHAR(160)," ")),'TRANS'!$D:$D,0)),IFERROR(INDEX('Catalog'!$A:$A,MATCH($B493,'Catalog'!$B:$B,0)),IFERROR(INDEX('Catalog'!$A:$A,MATCH(TRIM(SUBSTITUTE($B493,CHAR(160)," ")),'Catalog'!$C:$C,0)),""))))</f>
        <v/>
      </c>
      <c r="H493" s="7" t="str">
        <f aca="false">IFERROR(INDEX('TRANS'!$C:$C,MATCH($B493,'TRANS'!$A:$A,0)),IFERROR(INDEX('Catalog'!$B:$B,MATCH($G493,'Catalog'!$A:$A,0)),$B493))</f>
        <v>EC-11STOB XL</v>
      </c>
      <c r="I493" s="7" t="str">
        <f aca="false">IF($G493="","Unmatched","Matched")</f>
        <v>Unmatched</v>
      </c>
      <c r="J493" s="7" t="str">
        <f aca="false">IF($G493&lt;&gt;"",$G493,$B493)</f>
        <v>EC-11STOB XL</v>
      </c>
      <c r="K493" s="7" t="str">
        <f aca="false">IF(COUNTIF($O$2:$O$16,$A493)&gt;0,"Y","N")</f>
        <v>N</v>
      </c>
    </row>
    <row r="494" customFormat="false" ht="15" hidden="false" customHeight="false" outlineLevel="0" collapsed="false">
      <c r="A494" s="7" t="s">
        <v>8</v>
      </c>
      <c r="B494" s="7" t="s">
        <v>552</v>
      </c>
      <c r="C494" s="8" t="n">
        <v>86</v>
      </c>
      <c r="D494" s="8" t="n">
        <v>10105.03</v>
      </c>
      <c r="E494" s="8" t="n">
        <v>151</v>
      </c>
      <c r="F494" s="8" t="n">
        <v>18900.44</v>
      </c>
      <c r="G494" s="7" t="str">
        <f aca="false">IFERROR(INDEX('TRANS'!$B:$B,MATCH($B494,'TRANS'!$A:$A,0)),IFERROR(INDEX('TRANS'!$B:$B,MATCH(TRIM(SUBSTITUTE($B494,CHAR(160)," ")),'TRANS'!$D:$D,0)),IFERROR(INDEX('Catalog'!$A:$A,MATCH($B494,'Catalog'!$B:$B,0)),IFERROR(INDEX('Catalog'!$A:$A,MATCH(TRIM(SUBSTITUTE($B494,CHAR(160)," ")),'Catalog'!$C:$C,0)),""))))</f>
        <v/>
      </c>
      <c r="H494" s="7" t="str">
        <f aca="false">IFERROR(INDEX('TRANS'!$C:$C,MATCH($B494,'TRANS'!$A:$A,0)),IFERROR(INDEX('Catalog'!$B:$B,MATCH($G494,'Catalog'!$A:$A,0)),$B494))</f>
        <v>EC-11STOB XXL</v>
      </c>
      <c r="I494" s="7" t="str">
        <f aca="false">IF($G494="","Unmatched","Matched")</f>
        <v>Unmatched</v>
      </c>
      <c r="J494" s="7" t="str">
        <f aca="false">IF($G494&lt;&gt;"",$G494,$B494)</f>
        <v>EC-11STOB XXL</v>
      </c>
      <c r="K494" s="7" t="str">
        <f aca="false">IF(COUNTIF($O$2:$O$16,$A494)&gt;0,"Y","N")</f>
        <v>N</v>
      </c>
    </row>
    <row r="495" customFormat="false" ht="15" hidden="false" customHeight="false" outlineLevel="0" collapsed="false">
      <c r="A495" s="7" t="s">
        <v>8</v>
      </c>
      <c r="B495" s="7" t="s">
        <v>553</v>
      </c>
      <c r="C495" s="8" t="n">
        <v>15</v>
      </c>
      <c r="D495" s="8" t="n">
        <v>636.25</v>
      </c>
      <c r="E495" s="8" t="n">
        <v>2</v>
      </c>
      <c r="F495" s="8" t="n">
        <v>81.66</v>
      </c>
      <c r="G495" s="7" t="str">
        <f aca="false">IFERROR(INDEX('TRANS'!$B:$B,MATCH($B495,'TRANS'!$A:$A,0)),IFERROR(INDEX('TRANS'!$B:$B,MATCH(TRIM(SUBSTITUTE($B495,CHAR(160)," ")),'TRANS'!$D:$D,0)),IFERROR(INDEX('Catalog'!$A:$A,MATCH($B495,'Catalog'!$B:$B,0)),IFERROR(INDEX('Catalog'!$A:$A,MATCH(TRIM(SUBSTITUTE($B495,CHAR(160)," ")),'Catalog'!$C:$C,0)),""))))</f>
        <v/>
      </c>
      <c r="H495" s="7" t="str">
        <f aca="false">IFERROR(INDEX('TRANS'!$C:$C,MATCH($B495,'TRANS'!$A:$A,0)),IFERROR(INDEX('Catalog'!$B:$B,MATCH($G495,'Catalog'!$A:$A,0)),$B495))</f>
        <v>13B L</v>
      </c>
      <c r="I495" s="7" t="str">
        <f aca="false">IF($G495="","Unmatched","Matched")</f>
        <v>Unmatched</v>
      </c>
      <c r="J495" s="7" t="str">
        <f aca="false">IF($G495&lt;&gt;"",$G495,$B495)</f>
        <v>13B L</v>
      </c>
      <c r="K495" s="7" t="str">
        <f aca="false">IF(COUNTIF($O$2:$O$16,$A495)&gt;0,"Y","N")</f>
        <v>N</v>
      </c>
    </row>
    <row r="496" customFormat="false" ht="15" hidden="false" customHeight="false" outlineLevel="0" collapsed="false">
      <c r="A496" s="7" t="s">
        <v>8</v>
      </c>
      <c r="B496" s="7" t="s">
        <v>554</v>
      </c>
      <c r="C496" s="8" t="n">
        <v>28</v>
      </c>
      <c r="D496" s="8" t="n">
        <v>1139.9</v>
      </c>
      <c r="E496" s="8" t="n">
        <v>0</v>
      </c>
      <c r="F496" s="8" t="n">
        <v>0</v>
      </c>
      <c r="G496" s="7" t="str">
        <f aca="false">IFERROR(INDEX('TRANS'!$B:$B,MATCH($B496,'TRANS'!$A:$A,0)),IFERROR(INDEX('TRANS'!$B:$B,MATCH(TRIM(SUBSTITUTE($B496,CHAR(160)," ")),'TRANS'!$D:$D,0)),IFERROR(INDEX('Catalog'!$A:$A,MATCH($B496,'Catalog'!$B:$B,0)),IFERROR(INDEX('Catalog'!$A:$A,MATCH(TRIM(SUBSTITUTE($B496,CHAR(160)," ")),'Catalog'!$C:$C,0)),""))))</f>
        <v/>
      </c>
      <c r="H496" s="7" t="str">
        <f aca="false">IFERROR(INDEX('TRANS'!$C:$C,MATCH($B496,'TRANS'!$A:$A,0)),IFERROR(INDEX('Catalog'!$B:$B,MATCH($G496,'Catalog'!$A:$A,0)),$B496))</f>
        <v>13B S</v>
      </c>
      <c r="I496" s="7" t="str">
        <f aca="false">IF($G496="","Unmatched","Matched")</f>
        <v>Unmatched</v>
      </c>
      <c r="J496" s="7" t="str">
        <f aca="false">IF($G496&lt;&gt;"",$G496,$B496)</f>
        <v>13B S</v>
      </c>
      <c r="K496" s="7" t="str">
        <f aca="false">IF(COUNTIF($O$2:$O$16,$A496)&gt;0,"Y","N")</f>
        <v>N</v>
      </c>
    </row>
    <row r="497" customFormat="false" ht="15" hidden="false" customHeight="false" outlineLevel="0" collapsed="false">
      <c r="A497" s="7" t="s">
        <v>8</v>
      </c>
      <c r="B497" s="7" t="s">
        <v>285</v>
      </c>
      <c r="C497" s="8" t="n">
        <v>31</v>
      </c>
      <c r="D497" s="8" t="n">
        <v>1060.47</v>
      </c>
      <c r="E497" s="8" t="n">
        <v>0</v>
      </c>
      <c r="F497" s="8" t="n">
        <v>0</v>
      </c>
      <c r="G497" s="7" t="n">
        <f aca="false">IFERROR(INDEX('TRANS'!$B:$B,MATCH($B497,'TRANS'!$A:$A,0)),IFERROR(INDEX('TRANS'!$B:$B,MATCH(TRIM(SUBSTITUTE($B497,CHAR(160)," ")),'TRANS'!$D:$D,0)),IFERROR(INDEX('Catalog'!$A:$A,MATCH($B497,'Catalog'!$B:$B,0)),IFERROR(INDEX('Catalog'!$A:$A,MATCH(TRIM(SUBSTITUTE($B497,CHAR(160)," ")),'Catalog'!$C:$C,0)),""))))</f>
        <v>4408230</v>
      </c>
      <c r="H497" s="7" t="str">
        <f aca="false">IFERROR(INDEX('TRANS'!$C:$C,MATCH($B497,'TRANS'!$A:$A,0)),IFERROR(INDEX('Catalog'!$B:$B,MATCH($G497,'Catalog'!$A:$A,0)),$B497))</f>
        <v>16 L-XL חגורת הריון</v>
      </c>
      <c r="I497" s="7" t="str">
        <f aca="false">IF($G497="","Unmatched","Matched")</f>
        <v>Matched</v>
      </c>
      <c r="J497" s="7" t="n">
        <f aca="false">IF($G497&lt;&gt;"",$G497,$B497)</f>
        <v>4408230</v>
      </c>
      <c r="K497" s="7" t="str">
        <f aca="false">IF(COUNTIF($O$2:$O$16,$A497)&gt;0,"Y","N")</f>
        <v>N</v>
      </c>
    </row>
    <row r="498" customFormat="false" ht="15" hidden="false" customHeight="false" outlineLevel="0" collapsed="false">
      <c r="A498" s="7" t="s">
        <v>8</v>
      </c>
      <c r="B498" s="7" t="s">
        <v>286</v>
      </c>
      <c r="C498" s="8" t="n">
        <v>45</v>
      </c>
      <c r="D498" s="8" t="n">
        <v>2109.16</v>
      </c>
      <c r="E498" s="8" t="n">
        <v>0</v>
      </c>
      <c r="F498" s="8" t="n">
        <v>0</v>
      </c>
      <c r="G498" s="7" t="n">
        <f aca="false">IFERROR(INDEX('TRANS'!$B:$B,MATCH($B498,'TRANS'!$A:$A,0)),IFERROR(INDEX('TRANS'!$B:$B,MATCH(TRIM(SUBSTITUTE($B498,CHAR(160)," ")),'TRANS'!$D:$D,0)),IFERROR(INDEX('Catalog'!$A:$A,MATCH($B498,'Catalog'!$B:$B,0)),IFERROR(INDEX('Catalog'!$A:$A,MATCH(TRIM(SUBSTITUTE($B498,CHAR(160)," ")),'Catalog'!$C:$C,0)),""))))</f>
        <v>4408231</v>
      </c>
      <c r="H498" s="7" t="str">
        <f aca="false">IFERROR(INDEX('TRANS'!$C:$C,MATCH($B498,'TRANS'!$A:$A,0)),IFERROR(INDEX('Catalog'!$B:$B,MATCH($G498,'Catalog'!$A:$A,0)),$B498))</f>
        <v>16 S-M חגורת הריון</v>
      </c>
      <c r="I498" s="7" t="str">
        <f aca="false">IF($G498="","Unmatched","Matched")</f>
        <v>Matched</v>
      </c>
      <c r="J498" s="7" t="n">
        <f aca="false">IF($G498&lt;&gt;"",$G498,$B498)</f>
        <v>4408231</v>
      </c>
      <c r="K498" s="7" t="str">
        <f aca="false">IF(COUNTIF($O$2:$O$16,$A498)&gt;0,"Y","N")</f>
        <v>N</v>
      </c>
    </row>
    <row r="499" customFormat="false" ht="15" hidden="false" customHeight="false" outlineLevel="0" collapsed="false">
      <c r="A499" s="7" t="s">
        <v>8</v>
      </c>
      <c r="B499" s="7" t="s">
        <v>427</v>
      </c>
      <c r="C499" s="8" t="n">
        <v>12</v>
      </c>
      <c r="D499" s="8" t="n">
        <v>705.87</v>
      </c>
      <c r="E499" s="8" t="n">
        <v>195</v>
      </c>
      <c r="F499" s="8" t="n">
        <v>9344.25</v>
      </c>
      <c r="G499" s="7" t="n">
        <f aca="false">IFERROR(INDEX('TRANS'!$B:$B,MATCH($B499,'TRANS'!$A:$A,0)),IFERROR(INDEX('TRANS'!$B:$B,MATCH(TRIM(SUBSTITUTE($B499,CHAR(160)," ")),'TRANS'!$D:$D,0)),IFERROR(INDEX('Catalog'!$A:$A,MATCH($B499,'Catalog'!$B:$B,0)),IFERROR(INDEX('Catalog'!$A:$A,MATCH(TRIM(SUBSTITUTE($B499,CHAR(160)," ")),'Catalog'!$C:$C,0)),""))))</f>
        <v>4415029</v>
      </c>
      <c r="H499" s="7" t="str">
        <f aca="false">IFERROR(INDEX('TRANS'!$C:$C,MATCH($B499,'TRANS'!$A:$A,0)),IFERROR(INDEX('Catalog'!$B:$B,MATCH($G499,'Catalog'!$A:$A,0)),$B499))</f>
        <v>סד קיבוע לאצבע הדק</v>
      </c>
      <c r="I499" s="7" t="str">
        <f aca="false">IF($G499="","Unmatched","Matched")</f>
        <v>Matched</v>
      </c>
      <c r="J499" s="7" t="n">
        <f aca="false">IF($G499&lt;&gt;"",$G499,$B499)</f>
        <v>4415029</v>
      </c>
      <c r="K499" s="7" t="str">
        <f aca="false">IF(COUNTIF($O$2:$O$16,$A499)&gt;0,"Y","N")</f>
        <v>N</v>
      </c>
    </row>
    <row r="500" customFormat="false" ht="15" hidden="false" customHeight="false" outlineLevel="0" collapsed="false">
      <c r="A500" s="7" t="s">
        <v>8</v>
      </c>
      <c r="B500" s="7" t="s">
        <v>434</v>
      </c>
      <c r="C500" s="8" t="n">
        <v>2</v>
      </c>
      <c r="D500" s="8" t="n">
        <v>218.71</v>
      </c>
      <c r="E500" s="8" t="n">
        <v>0</v>
      </c>
      <c r="F500" s="8" t="n">
        <v>0</v>
      </c>
      <c r="G500" s="7" t="n">
        <f aca="false">IFERROR(INDEX('TRANS'!$B:$B,MATCH($B500,'TRANS'!$A:$A,0)),IFERROR(INDEX('TRANS'!$B:$B,MATCH(TRIM(SUBSTITUTE($B500,CHAR(160)," ")),'TRANS'!$D:$D,0)),IFERROR(INDEX('Catalog'!$A:$A,MATCH($B500,'Catalog'!$B:$B,0)),IFERROR(INDEX('Catalog'!$A:$A,MATCH(TRIM(SUBSTITUTE($B500,CHAR(160)," ")),'Catalog'!$C:$C,0)),""))))</f>
        <v>4415159</v>
      </c>
      <c r="H500" s="7" t="str">
        <f aca="false">IFERROR(INDEX('TRANS'!$C:$C,MATCH($B500,'TRANS'!$A:$A,0)),IFERROR(INDEX('Catalog'!$B:$B,MATCH($G500,'Catalog'!$A:$A,0)),$B500))</f>
        <v>268 סד לאגודל</v>
      </c>
      <c r="I500" s="7" t="str">
        <f aca="false">IF($G500="","Unmatched","Matched")</f>
        <v>Matched</v>
      </c>
      <c r="J500" s="7" t="n">
        <f aca="false">IF($G500&lt;&gt;"",$G500,$B500)</f>
        <v>4415159</v>
      </c>
      <c r="K500" s="7" t="str">
        <f aca="false">IF(COUNTIF($O$2:$O$16,$A500)&gt;0,"Y","N")</f>
        <v>N</v>
      </c>
    </row>
    <row r="501" customFormat="false" ht="15" hidden="false" customHeight="false" outlineLevel="0" collapsed="false">
      <c r="A501" s="7" t="s">
        <v>8</v>
      </c>
      <c r="B501" s="7" t="s">
        <v>294</v>
      </c>
      <c r="C501" s="8" t="n">
        <v>10</v>
      </c>
      <c r="D501" s="8" t="n">
        <v>969.81</v>
      </c>
      <c r="E501" s="8" t="n">
        <v>0</v>
      </c>
      <c r="F501" s="8" t="n">
        <v>0</v>
      </c>
      <c r="G501" s="7" t="n">
        <f aca="false">IFERROR(INDEX('TRANS'!$B:$B,MATCH($B501,'TRANS'!$A:$A,0)),IFERROR(INDEX('TRANS'!$B:$B,MATCH(TRIM(SUBSTITUTE($B501,CHAR(160)," ")),'TRANS'!$D:$D,0)),IFERROR(INDEX('Catalog'!$A:$A,MATCH($B501,'Catalog'!$B:$B,0)),IFERROR(INDEX('Catalog'!$A:$A,MATCH(TRIM(SUBSTITUTE($B501,CHAR(160)," ")),'Catalog'!$C:$C,0)),""))))</f>
        <v>4413348</v>
      </c>
      <c r="H501" s="7" t="str">
        <f aca="false">IFERROR(INDEX('TRANS'!$C:$C,MATCH($B501,'TRANS'!$A:$A,0)),IFERROR(INDEX('Catalog'!$B:$B,MATCH($G501,'Catalog'!$A:$A,0)),$B501))</f>
        <v>302 מדרס ג'ל לגבר</v>
      </c>
      <c r="I501" s="7" t="str">
        <f aca="false">IF($G501="","Unmatched","Matched")</f>
        <v>Matched</v>
      </c>
      <c r="J501" s="7" t="n">
        <f aca="false">IF($G501&lt;&gt;"",$G501,$B501)</f>
        <v>4413348</v>
      </c>
      <c r="K501" s="7" t="str">
        <f aca="false">IF(COUNTIF($O$2:$O$16,$A501)&gt;0,"Y","N")</f>
        <v>N</v>
      </c>
    </row>
    <row r="502" customFormat="false" ht="15" hidden="false" customHeight="false" outlineLevel="0" collapsed="false">
      <c r="A502" s="7" t="s">
        <v>8</v>
      </c>
      <c r="B502" s="7" t="s">
        <v>295</v>
      </c>
      <c r="C502" s="8" t="n">
        <v>2</v>
      </c>
      <c r="D502" s="8" t="n">
        <v>191.34</v>
      </c>
      <c r="E502" s="8" t="n">
        <v>7</v>
      </c>
      <c r="F502" s="8" t="n">
        <v>646.11</v>
      </c>
      <c r="G502" s="7" t="n">
        <f aca="false">IFERROR(INDEX('TRANS'!$B:$B,MATCH($B502,'TRANS'!$A:$A,0)),IFERROR(INDEX('TRANS'!$B:$B,MATCH(TRIM(SUBSTITUTE($B502,CHAR(160)," ")),'TRANS'!$D:$D,0)),IFERROR(INDEX('Catalog'!$A:$A,MATCH($B502,'Catalog'!$B:$B,0)),IFERROR(INDEX('Catalog'!$A:$A,MATCH(TRIM(SUBSTITUTE($B502,CHAR(160)," ")),'Catalog'!$C:$C,0)),""))))</f>
        <v>4413372</v>
      </c>
      <c r="H502" s="7" t="str">
        <f aca="false">IFERROR(INDEX('TRANS'!$C:$C,MATCH($B502,'TRANS'!$A:$A,0)),IFERROR(INDEX('Catalog'!$B:$B,MATCH($G502,'Catalog'!$A:$A,0)),$B502))</f>
        <v>302 W מדרס לאישה</v>
      </c>
      <c r="I502" s="7" t="str">
        <f aca="false">IF($G502="","Unmatched","Matched")</f>
        <v>Matched</v>
      </c>
      <c r="J502" s="7" t="n">
        <f aca="false">IF($G502&lt;&gt;"",$G502,$B502)</f>
        <v>4413372</v>
      </c>
      <c r="K502" s="7" t="str">
        <f aca="false">IF(COUNTIF($O$2:$O$16,$A502)&gt;0,"Y","N")</f>
        <v>N</v>
      </c>
    </row>
    <row r="503" customFormat="false" ht="15" hidden="false" customHeight="false" outlineLevel="0" collapsed="false">
      <c r="A503" s="7" t="s">
        <v>8</v>
      </c>
      <c r="B503" s="7" t="s">
        <v>524</v>
      </c>
      <c r="C503" s="8" t="n">
        <v>7</v>
      </c>
      <c r="D503" s="8" t="n">
        <v>783.88</v>
      </c>
      <c r="E503" s="8" t="n">
        <v>12</v>
      </c>
      <c r="F503" s="8" t="n">
        <v>1267.59</v>
      </c>
      <c r="G503" s="7" t="n">
        <f aca="false">IFERROR(INDEX('TRANS'!$B:$B,MATCH($B503,'TRANS'!$A:$A,0)),IFERROR(INDEX('TRANS'!$B:$B,MATCH(TRIM(SUBSTITUTE($B503,CHAR(160)," ")),'TRANS'!$D:$D,0)),IFERROR(INDEX('Catalog'!$A:$A,MATCH($B503,'Catalog'!$B:$B,0)),IFERROR(INDEX('Catalog'!$A:$A,MATCH(TRIM(SUBSTITUTE($B503,CHAR(160)," ")),'Catalog'!$C:$C,0)),""))))</f>
        <v>4416003</v>
      </c>
      <c r="H503" s="7" t="str">
        <f aca="false">IFERROR(INDEX('TRANS'!$C:$C,MATCH($B503,'TRANS'!$A:$A,0)),IFERROR(INDEX('Catalog'!$B:$B,MATCH($G503,'Catalog'!$A:$A,0)),$B503))</f>
        <v>308 Lעקבים סיליקון כחול לדורבן</v>
      </c>
      <c r="I503" s="7" t="str">
        <f aca="false">IF($G503="","Unmatched","Matched")</f>
        <v>Matched</v>
      </c>
      <c r="J503" s="7" t="n">
        <f aca="false">IF($G503&lt;&gt;"",$G503,$B503)</f>
        <v>4416003</v>
      </c>
      <c r="K503" s="7" t="str">
        <f aca="false">IF(COUNTIF($O$2:$O$16,$A503)&gt;0,"Y","N")</f>
        <v>N</v>
      </c>
    </row>
    <row r="504" customFormat="false" ht="15" hidden="false" customHeight="false" outlineLevel="0" collapsed="false">
      <c r="A504" s="7" t="s">
        <v>8</v>
      </c>
      <c r="B504" s="7" t="s">
        <v>525</v>
      </c>
      <c r="C504" s="8" t="n">
        <v>7</v>
      </c>
      <c r="D504" s="8" t="n">
        <v>786.43</v>
      </c>
      <c r="E504" s="8" t="n">
        <v>2</v>
      </c>
      <c r="F504" s="8" t="n">
        <v>207.81</v>
      </c>
      <c r="G504" s="7" t="n">
        <f aca="false">IFERROR(INDEX('TRANS'!$B:$B,MATCH($B504,'TRANS'!$A:$A,0)),IFERROR(INDEX('TRANS'!$B:$B,MATCH(TRIM(SUBSTITUTE($B504,CHAR(160)," ")),'TRANS'!$D:$D,0)),IFERROR(INDEX('Catalog'!$A:$A,MATCH($B504,'Catalog'!$B:$B,0)),IFERROR(INDEX('Catalog'!$A:$A,MATCH(TRIM(SUBSTITUTE($B504,CHAR(160)," ")),'Catalog'!$C:$C,0)),""))))</f>
        <v>4416005</v>
      </c>
      <c r="H504" s="7" t="str">
        <f aca="false">IFERROR(INDEX('TRANS'!$C:$C,MATCH($B504,'TRANS'!$A:$A,0)),IFERROR(INDEX('Catalog'!$B:$B,MATCH($G504,'Catalog'!$A:$A,0)),$B504))</f>
        <v>308 Mעקבים סיליק.כחול לדורבן</v>
      </c>
      <c r="I504" s="7" t="str">
        <f aca="false">IF($G504="","Unmatched","Matched")</f>
        <v>Matched</v>
      </c>
      <c r="J504" s="7" t="n">
        <f aca="false">IF($G504&lt;&gt;"",$G504,$B504)</f>
        <v>4416005</v>
      </c>
      <c r="K504" s="7" t="str">
        <f aca="false">IF(COUNTIF($O$2:$O$16,$A504)&gt;0,"Y","N")</f>
        <v>N</v>
      </c>
    </row>
    <row r="505" customFormat="false" ht="15" hidden="false" customHeight="false" outlineLevel="0" collapsed="false">
      <c r="A505" s="7" t="s">
        <v>8</v>
      </c>
      <c r="B505" s="7" t="s">
        <v>299</v>
      </c>
      <c r="C505" s="8" t="n">
        <v>1</v>
      </c>
      <c r="D505" s="8" t="n">
        <v>32.6</v>
      </c>
      <c r="E505" s="8" t="n">
        <v>8</v>
      </c>
      <c r="F505" s="8" t="n">
        <v>190.53</v>
      </c>
      <c r="G505" s="7" t="n">
        <f aca="false">IFERROR(INDEX('TRANS'!$B:$B,MATCH($B505,'TRANS'!$A:$A,0)),IFERROR(INDEX('TRANS'!$B:$B,MATCH(TRIM(SUBSTITUTE($B505,CHAR(160)," ")),'TRANS'!$D:$D,0)),IFERROR(INDEX('Catalog'!$A:$A,MATCH($B505,'Catalog'!$B:$B,0)),IFERROR(INDEX('Catalog'!$A:$A,MATCH(TRIM(SUBSTITUTE($B505,CHAR(160)," ")),'Catalog'!$C:$C,0)),""))))</f>
        <v>4413033</v>
      </c>
      <c r="H505" s="7" t="str">
        <f aca="false">IFERROR(INDEX('TRANS'!$C:$C,MATCH($B505,'TRANS'!$A:$A,0)),IFERROR(INDEX('Catalog'!$B:$B,MATCH($G505,'Catalog'!$A:$A,0)),$B505))</f>
        <v>311'מדב.ג'ל למניעת שפשוף 5 יח</v>
      </c>
      <c r="I505" s="7" t="str">
        <f aca="false">IF($G505="","Unmatched","Matched")</f>
        <v>Matched</v>
      </c>
      <c r="J505" s="7" t="n">
        <f aca="false">IF($G505&lt;&gt;"",$G505,$B505)</f>
        <v>4413033</v>
      </c>
      <c r="K505" s="7" t="str">
        <f aca="false">IF(COUNTIF($O$2:$O$16,$A505)&gt;0,"Y","N")</f>
        <v>N</v>
      </c>
    </row>
    <row r="506" customFormat="false" ht="15" hidden="false" customHeight="false" outlineLevel="0" collapsed="false">
      <c r="A506" s="7" t="s">
        <v>8</v>
      </c>
      <c r="B506" s="7" t="s">
        <v>441</v>
      </c>
      <c r="C506" s="8" t="n">
        <v>6</v>
      </c>
      <c r="D506" s="8" t="n">
        <v>339.07</v>
      </c>
      <c r="E506" s="8" t="n">
        <v>19</v>
      </c>
      <c r="F506" s="8" t="n">
        <v>573.82</v>
      </c>
      <c r="G506" s="7" t="n">
        <f aca="false">IFERROR(INDEX('TRANS'!$B:$B,MATCH($B506,'TRANS'!$A:$A,0)),IFERROR(INDEX('TRANS'!$B:$B,MATCH(TRIM(SUBSTITUTE($B506,CHAR(160)," ")),'TRANS'!$D:$D,0)),IFERROR(INDEX('Catalog'!$A:$A,MATCH($B506,'Catalog'!$B:$B,0)),IFERROR(INDEX('Catalog'!$A:$A,MATCH(TRIM(SUBSTITUTE($B506,CHAR(160)," ")),'Catalog'!$C:$C,0)),""))))</f>
        <v>4415297</v>
      </c>
      <c r="H506" s="7" t="str">
        <f aca="false">IFERROR(INDEX('TRANS'!$C:$C,MATCH($B506,'TRANS'!$A:$A,0)),IFERROR(INDEX('Catalog'!$B:$B,MATCH($G506,'Catalog'!$A:$A,0)),$B506))</f>
        <v>313 סט פלסטרים נגד שפשופים</v>
      </c>
      <c r="I506" s="7" t="str">
        <f aca="false">IF($G506="","Unmatched","Matched")</f>
        <v>Matched</v>
      </c>
      <c r="J506" s="7" t="n">
        <f aca="false">IF($G506&lt;&gt;"",$G506,$B506)</f>
        <v>4415297</v>
      </c>
      <c r="K506" s="7" t="str">
        <f aca="false">IF(COUNTIF($O$2:$O$16,$A506)&gt;0,"Y","N")</f>
        <v>N</v>
      </c>
    </row>
    <row r="507" customFormat="false" ht="15" hidden="false" customHeight="false" outlineLevel="0" collapsed="false">
      <c r="A507" s="7" t="s">
        <v>8</v>
      </c>
      <c r="B507" s="7" t="s">
        <v>453</v>
      </c>
      <c r="C507" s="8" t="n">
        <v>12</v>
      </c>
      <c r="D507" s="8" t="n">
        <v>859.76</v>
      </c>
      <c r="E507" s="8" t="n">
        <v>29</v>
      </c>
      <c r="F507" s="8" t="n">
        <v>2238.96</v>
      </c>
      <c r="G507" s="7" t="n">
        <f aca="false">IFERROR(INDEX('TRANS'!$B:$B,MATCH($B507,'TRANS'!$A:$A,0)),IFERROR(INDEX('TRANS'!$B:$B,MATCH(TRIM(SUBSTITUTE($B507,CHAR(160)," ")),'TRANS'!$D:$D,0)),IFERROR(INDEX('Catalog'!$A:$A,MATCH($B507,'Catalog'!$B:$B,0)),IFERROR(INDEX('Catalog'!$A:$A,MATCH(TRIM(SUBSTITUTE($B507,CHAR(160)," ")),'Catalog'!$C:$C,0)),""))))</f>
        <v>4421007</v>
      </c>
      <c r="H507" s="7" t="str">
        <f aca="false">IFERROR(INDEX('TRANS'!$C:$C,MATCH($B507,'TRANS'!$A:$A,0)),IFERROR(INDEX('Catalog'!$B:$B,MATCH($G507,'Catalog'!$A:$A,0)),$B507))</f>
        <v>שרוול לגבס קצר רגל</v>
      </c>
      <c r="I507" s="7" t="str">
        <f aca="false">IF($G507="","Unmatched","Matched")</f>
        <v>Matched</v>
      </c>
      <c r="J507" s="7" t="n">
        <f aca="false">IF($G507&lt;&gt;"",$G507,$B507)</f>
        <v>4421007</v>
      </c>
      <c r="K507" s="7" t="str">
        <f aca="false">IF(COUNTIF($O$2:$O$16,$A507)&gt;0,"Y","N")</f>
        <v>N</v>
      </c>
    </row>
    <row r="508" customFormat="false" ht="15" hidden="false" customHeight="false" outlineLevel="0" collapsed="false">
      <c r="A508" s="7" t="s">
        <v>8</v>
      </c>
      <c r="B508" s="7" t="s">
        <v>313</v>
      </c>
      <c r="C508" s="8" t="n">
        <v>33</v>
      </c>
      <c r="D508" s="8" t="n">
        <v>1082.62</v>
      </c>
      <c r="E508" s="8" t="n">
        <v>73</v>
      </c>
      <c r="F508" s="8" t="n">
        <v>2208.01</v>
      </c>
      <c r="G508" s="7" t="n">
        <f aca="false">IFERROR(INDEX('TRANS'!$B:$B,MATCH($B508,'TRANS'!$A:$A,0)),IFERROR(INDEX('TRANS'!$B:$B,MATCH(TRIM(SUBSTITUTE($B508,CHAR(160)," ")),'TRANS'!$D:$D,0)),IFERROR(INDEX('Catalog'!$A:$A,MATCH($B508,'Catalog'!$B:$B,0)),IFERROR(INDEX('Catalog'!$A:$A,MATCH(TRIM(SUBSTITUTE($B508,CHAR(160)," ")),'Catalog'!$C:$C,0)),""))))</f>
        <v>4413059</v>
      </c>
      <c r="H508" s="7" t="str">
        <f aca="false">IFERROR(INDEX('TRANS'!$C:$C,MATCH($B508,'TRANS'!$A:$A,0)),IFERROR(INDEX('Catalog'!$B:$B,MATCH($G508,'Catalog'!$A:$A,0)),$B508))</f>
        <v>364S Lמפר.אצבע סיליק. ליבל.זוג</v>
      </c>
      <c r="I508" s="7" t="str">
        <f aca="false">IF($G508="","Unmatched","Matched")</f>
        <v>Matched</v>
      </c>
      <c r="J508" s="7" t="n">
        <f aca="false">IF($G508&lt;&gt;"",$G508,$B508)</f>
        <v>4413059</v>
      </c>
      <c r="K508" s="7" t="str">
        <f aca="false">IF(COUNTIF($O$2:$O$16,$A508)&gt;0,"Y","N")</f>
        <v>N</v>
      </c>
    </row>
    <row r="509" customFormat="false" ht="15" hidden="false" customHeight="false" outlineLevel="0" collapsed="false">
      <c r="A509" s="7" t="s">
        <v>8</v>
      </c>
      <c r="B509" s="7" t="s">
        <v>314</v>
      </c>
      <c r="C509" s="8" t="n">
        <v>10</v>
      </c>
      <c r="D509" s="8" t="n">
        <v>447.58</v>
      </c>
      <c r="E509" s="8" t="n">
        <v>19</v>
      </c>
      <c r="F509" s="8" t="n">
        <v>838.26</v>
      </c>
      <c r="G509" s="7" t="n">
        <f aca="false">IFERROR(INDEX('TRANS'!$B:$B,MATCH($B509,'TRANS'!$A:$A,0)),IFERROR(INDEX('TRANS'!$B:$B,MATCH(TRIM(SUBSTITUTE($B509,CHAR(160)," ")),'TRANS'!$D:$D,0)),IFERROR(INDEX('Catalog'!$A:$A,MATCH($B509,'Catalog'!$B:$B,0)),IFERROR(INDEX('Catalog'!$A:$A,MATCH(TRIM(SUBSTITUTE($B509,CHAR(160)," ")),'Catalog'!$C:$C,0)),""))))</f>
        <v>4413060</v>
      </c>
      <c r="H509" s="7" t="str">
        <f aca="false">IFERROR(INDEX('TRANS'!$C:$C,MATCH($B509,'TRANS'!$A:$A,0)),IFERROR(INDEX('Catalog'!$B:$B,MATCH($G509,'Catalog'!$A:$A,0)),$B509))</f>
        <v>364 XLמפריד אצבע סיליקון ליבלת</v>
      </c>
      <c r="I509" s="7" t="str">
        <f aca="false">IF($G509="","Unmatched","Matched")</f>
        <v>Matched</v>
      </c>
      <c r="J509" s="7" t="n">
        <f aca="false">IF($G509&lt;&gt;"",$G509,$B509)</f>
        <v>4413060</v>
      </c>
      <c r="K509" s="7" t="str">
        <f aca="false">IF(COUNTIF($O$2:$O$16,$A509)&gt;0,"Y","N")</f>
        <v>N</v>
      </c>
    </row>
    <row r="510" customFormat="false" ht="15" hidden="false" customHeight="false" outlineLevel="0" collapsed="false">
      <c r="A510" s="7" t="s">
        <v>8</v>
      </c>
      <c r="B510" s="7" t="s">
        <v>317</v>
      </c>
      <c r="C510" s="8" t="n">
        <v>28</v>
      </c>
      <c r="D510" s="8" t="n">
        <v>1182.08</v>
      </c>
      <c r="E510" s="8" t="n">
        <v>135</v>
      </c>
      <c r="F510" s="8" t="n">
        <v>5390.19</v>
      </c>
      <c r="G510" s="7" t="n">
        <f aca="false">IFERROR(INDEX('TRANS'!$B:$B,MATCH($B510,'TRANS'!$A:$A,0)),IFERROR(INDEX('TRANS'!$B:$B,MATCH(TRIM(SUBSTITUTE($B510,CHAR(160)," ")),'TRANS'!$D:$D,0)),IFERROR(INDEX('Catalog'!$A:$A,MATCH($B510,'Catalog'!$B:$B,0)),IFERROR(INDEX('Catalog'!$A:$A,MATCH(TRIM(SUBSTITUTE($B510,CHAR(160)," ")),'Catalog'!$C:$C,0)),""))))</f>
        <v>4421000</v>
      </c>
      <c r="H510" s="7" t="str">
        <f aca="false">IFERROR(INDEX('TRANS'!$C:$C,MATCH($B510,'TRANS'!$A:$A,0)),IFERROR(INDEX('Catalog'!$B:$B,MATCH($G510,'Catalog'!$A:$A,0)),$B510))</f>
        <v>3655 שרוול מסיליקון לאצבע</v>
      </c>
      <c r="I510" s="7" t="str">
        <f aca="false">IF($G510="","Unmatched","Matched")</f>
        <v>Matched</v>
      </c>
      <c r="J510" s="7" t="n">
        <f aca="false">IF($G510&lt;&gt;"",$G510,$B510)</f>
        <v>4421000</v>
      </c>
      <c r="K510" s="7" t="str">
        <f aca="false">IF(COUNTIF($O$2:$O$16,$A510)&gt;0,"Y","N")</f>
        <v>N</v>
      </c>
    </row>
    <row r="511" customFormat="false" ht="15" hidden="false" customHeight="false" outlineLevel="0" collapsed="false">
      <c r="A511" s="7" t="s">
        <v>8</v>
      </c>
      <c r="B511" s="7" t="s">
        <v>399</v>
      </c>
      <c r="C511" s="8" t="n">
        <v>16</v>
      </c>
      <c r="D511" s="8" t="n">
        <v>1067.96</v>
      </c>
      <c r="E511" s="8" t="n">
        <v>10</v>
      </c>
      <c r="F511" s="8" t="n">
        <v>517.89</v>
      </c>
      <c r="G511" s="7" t="n">
        <f aca="false">IFERROR(INDEX('TRANS'!$B:$B,MATCH($B511,'TRANS'!$A:$A,0)),IFERROR(INDEX('TRANS'!$B:$B,MATCH(TRIM(SUBSTITUTE($B511,CHAR(160)," ")),'TRANS'!$D:$D,0)),IFERROR(INDEX('Catalog'!$A:$A,MATCH($B511,'Catalog'!$B:$B,0)),IFERROR(INDEX('Catalog'!$A:$A,MATCH(TRIM(SUBSTITUTE($B511,CHAR(160)," ")),'Catalog'!$C:$C,0)),""))))</f>
        <v>4413370</v>
      </c>
      <c r="H511" s="7" t="str">
        <f aca="false">IFERROR(INDEX('TRANS'!$C:$C,MATCH($B511,'TRANS'!$A:$A,0)),IFERROR(INDEX('Catalog'!$B:$B,MATCH($G511,'Catalog'!$A:$A,0)),$B511))</f>
        <v>3674 0 מ.בוניון+מפריד אצבע</v>
      </c>
      <c r="I511" s="7" t="str">
        <f aca="false">IF($G511="","Unmatched","Matched")</f>
        <v>Matched</v>
      </c>
      <c r="J511" s="7" t="n">
        <f aca="false">IF($G511&lt;&gt;"",$G511,$B511)</f>
        <v>4413370</v>
      </c>
      <c r="K511" s="7" t="str">
        <f aca="false">IF(COUNTIF($O$2:$O$16,$A511)&gt;0,"Y","N")</f>
        <v>N</v>
      </c>
    </row>
    <row r="512" customFormat="false" ht="15" hidden="false" customHeight="false" outlineLevel="0" collapsed="false">
      <c r="A512" s="7" t="s">
        <v>8</v>
      </c>
      <c r="B512" s="7" t="s">
        <v>400</v>
      </c>
      <c r="C512" s="8" t="n">
        <v>46</v>
      </c>
      <c r="D512" s="8" t="n">
        <v>2442.27</v>
      </c>
      <c r="E512" s="8" t="n">
        <v>8</v>
      </c>
      <c r="F512" s="8" t="n">
        <v>361.54</v>
      </c>
      <c r="G512" s="7" t="n">
        <f aca="false">IFERROR(INDEX('TRANS'!$B:$B,MATCH($B512,'TRANS'!$A:$A,0)),IFERROR(INDEX('TRANS'!$B:$B,MATCH(TRIM(SUBSTITUTE($B512,CHAR(160)," ")),'TRANS'!$D:$D,0)),IFERROR(INDEX('Catalog'!$A:$A,MATCH($B512,'Catalog'!$B:$B,0)),IFERROR(INDEX('Catalog'!$A:$A,MATCH(TRIM(SUBSTITUTE($B512,CHAR(160)," ")),'Catalog'!$C:$C,0)),""))))</f>
        <v>4413371</v>
      </c>
      <c r="H512" s="7" t="str">
        <f aca="false">IFERROR(INDEX('TRANS'!$C:$C,MATCH($B512,'TRANS'!$A:$A,0)),IFERROR(INDEX('Catalog'!$B:$B,MATCH($G512,'Catalog'!$A:$A,0)),$B512))</f>
        <v>3675    מגן זרת מסיליקון</v>
      </c>
      <c r="I512" s="7" t="str">
        <f aca="false">IF($G512="","Unmatched","Matched")</f>
        <v>Matched</v>
      </c>
      <c r="J512" s="7" t="n">
        <f aca="false">IF($G512&lt;&gt;"",$G512,$B512)</f>
        <v>4413371</v>
      </c>
      <c r="K512" s="7" t="str">
        <f aca="false">IF(COUNTIF($O$2:$O$16,$A512)&gt;0,"Y","N")</f>
        <v>N</v>
      </c>
    </row>
    <row r="513" customFormat="false" ht="15" hidden="false" customHeight="false" outlineLevel="0" collapsed="false">
      <c r="A513" s="7" t="s">
        <v>8</v>
      </c>
      <c r="B513" s="7" t="s">
        <v>555</v>
      </c>
      <c r="C513" s="8" t="n">
        <v>0</v>
      </c>
      <c r="D513" s="8" t="n">
        <v>0</v>
      </c>
      <c r="E513" s="8" t="n">
        <v>1</v>
      </c>
      <c r="F513" s="8" t="n">
        <v>59.47</v>
      </c>
      <c r="G513" s="7" t="str">
        <f aca="false">IFERROR(INDEX('TRANS'!$B:$B,MATCH($B513,'TRANS'!$A:$A,0)),IFERROR(INDEX('TRANS'!$B:$B,MATCH(TRIM(SUBSTITUTE($B513,CHAR(160)," ")),'TRANS'!$D:$D,0)),IFERROR(INDEX('Catalog'!$A:$A,MATCH($B513,'Catalog'!$B:$B,0)),IFERROR(INDEX('Catalog'!$A:$A,MATCH(TRIM(SUBSTITUTE($B513,CHAR(160)," ")),'Catalog'!$C:$C,0)),""))))</f>
        <v/>
      </c>
      <c r="H513" s="7" t="str">
        <f aca="false">IFERROR(INDEX('TRANS'!$C:$C,MATCH($B513,'TRANS'!$A:$A,0)),IFERROR(INDEX('Catalog'!$B:$B,MATCH($G513,'Catalog'!$A:$A,0)),$B513))</f>
        <v>386</v>
      </c>
      <c r="I513" s="7" t="str">
        <f aca="false">IF($G513="","Unmatched","Matched")</f>
        <v>Unmatched</v>
      </c>
      <c r="J513" s="7" t="str">
        <f aca="false">IF($G513&lt;&gt;"",$G513,$B513)</f>
        <v>386</v>
      </c>
      <c r="K513" s="7" t="str">
        <f aca="false">IF(COUNTIF($O$2:$O$16,$A513)&gt;0,"Y","N")</f>
        <v>N</v>
      </c>
    </row>
    <row r="514" customFormat="false" ht="15" hidden="false" customHeight="false" outlineLevel="0" collapsed="false">
      <c r="A514" s="7" t="s">
        <v>8</v>
      </c>
      <c r="B514" s="7" t="s">
        <v>327</v>
      </c>
      <c r="C514" s="8" t="n">
        <v>51</v>
      </c>
      <c r="D514" s="8" t="n">
        <v>4500.68</v>
      </c>
      <c r="E514" s="8" t="n">
        <v>49</v>
      </c>
      <c r="F514" s="8" t="n">
        <v>3191.21</v>
      </c>
      <c r="G514" s="7" t="n">
        <f aca="false">IFERROR(INDEX('TRANS'!$B:$B,MATCH($B514,'TRANS'!$A:$A,0)),IFERROR(INDEX('TRANS'!$B:$B,MATCH(TRIM(SUBSTITUTE($B514,CHAR(160)," ")),'TRANS'!$D:$D,0)),IFERROR(INDEX('Catalog'!$A:$A,MATCH($B514,'Catalog'!$B:$B,0)),IFERROR(INDEX('Catalog'!$A:$A,MATCH(TRIM(SUBSTITUTE($B514,CHAR(160)," ")),'Catalog'!$C:$C,0)),""))))</f>
        <v>4413452</v>
      </c>
      <c r="H514" s="7" t="str">
        <f aca="false">IFERROR(INDEX('TRANS'!$C:$C,MATCH($B514,'TRANS'!$A:$A,0)),IFERROR(INDEX('Catalog'!$B:$B,MATCH($G514,'Catalog'!$A:$A,0)),$B514))</f>
        <v>386  מיישר בוניון-האלוקס ולגוס</v>
      </c>
      <c r="I514" s="7" t="str">
        <f aca="false">IF($G514="","Unmatched","Matched")</f>
        <v>Matched</v>
      </c>
      <c r="J514" s="7" t="n">
        <f aca="false">IF($G514&lt;&gt;"",$G514,$B514)</f>
        <v>4413452</v>
      </c>
      <c r="K514" s="7" t="str">
        <f aca="false">IF(COUNTIF($O$2:$O$16,$A514)&gt;0,"Y","N")</f>
        <v>N</v>
      </c>
    </row>
    <row r="515" customFormat="false" ht="15" hidden="false" customHeight="false" outlineLevel="0" collapsed="false">
      <c r="A515" s="7" t="s">
        <v>8</v>
      </c>
      <c r="B515" s="7" t="s">
        <v>330</v>
      </c>
      <c r="C515" s="8" t="n">
        <v>0</v>
      </c>
      <c r="D515" s="8" t="n">
        <v>0</v>
      </c>
      <c r="E515" s="8" t="n">
        <v>4</v>
      </c>
      <c r="F515" s="8" t="n">
        <v>235.53</v>
      </c>
      <c r="G515" s="7" t="n">
        <f aca="false">IFERROR(INDEX('TRANS'!$B:$B,MATCH($B515,'TRANS'!$A:$A,0)),IFERROR(INDEX('TRANS'!$B:$B,MATCH(TRIM(SUBSTITUTE($B515,CHAR(160)," ")),'TRANS'!$D:$D,0)),IFERROR(INDEX('Catalog'!$A:$A,MATCH($B515,'Catalog'!$B:$B,0)),IFERROR(INDEX('Catalog'!$A:$A,MATCH(TRIM(SUBSTITUTE($B515,CHAR(160)," ")),'Catalog'!$C:$C,0)),""))))</f>
        <v>4403041</v>
      </c>
      <c r="H515" s="7" t="str">
        <f aca="false">IFERROR(INDEX('TRANS'!$C:$C,MATCH($B515,'TRANS'!$A:$A,0)),IFERROR(INDEX('Catalog'!$B:$B,MATCH($G515,'Catalog'!$A:$A,0)),$B515))</f>
        <v>397A-גרבי טיסה אנטי בקטרי35-38</v>
      </c>
      <c r="I515" s="7" t="str">
        <f aca="false">IF($G515="","Unmatched","Matched")</f>
        <v>Matched</v>
      </c>
      <c r="J515" s="7" t="n">
        <f aca="false">IF($G515&lt;&gt;"",$G515,$B515)</f>
        <v>4403041</v>
      </c>
      <c r="K515" s="7" t="str">
        <f aca="false">IF(COUNTIF($O$2:$O$16,$A515)&gt;0,"Y","N")</f>
        <v>N</v>
      </c>
    </row>
    <row r="516" customFormat="false" ht="15" hidden="false" customHeight="false" outlineLevel="0" collapsed="false">
      <c r="A516" s="7" t="s">
        <v>8</v>
      </c>
      <c r="B516" s="7" t="s">
        <v>331</v>
      </c>
      <c r="C516" s="8" t="n">
        <v>0</v>
      </c>
      <c r="D516" s="8" t="n">
        <v>0</v>
      </c>
      <c r="E516" s="8" t="n">
        <v>4</v>
      </c>
      <c r="F516" s="8" t="n">
        <v>205.87</v>
      </c>
      <c r="G516" s="7" t="n">
        <f aca="false">IFERROR(INDEX('TRANS'!$B:$B,MATCH($B516,'TRANS'!$A:$A,0)),IFERROR(INDEX('TRANS'!$B:$B,MATCH(TRIM(SUBSTITUTE($B516,CHAR(160)," ")),'TRANS'!$D:$D,0)),IFERROR(INDEX('Catalog'!$A:$A,MATCH($B516,'Catalog'!$B:$B,0)),IFERROR(INDEX('Catalog'!$A:$A,MATCH(TRIM(SUBSTITUTE($B516,CHAR(160)," ")),'Catalog'!$C:$C,0)),""))))</f>
        <v>4403042</v>
      </c>
      <c r="H516" s="7" t="str">
        <f aca="false">IFERROR(INDEX('TRANS'!$C:$C,MATCH($B516,'TRANS'!$A:$A,0)),IFERROR(INDEX('Catalog'!$B:$B,MATCH($G516,'Catalog'!$A:$A,0)),$B516))</f>
        <v>397A-גרבי טיסה אנטי בקטרי39-42</v>
      </c>
      <c r="I516" s="7" t="str">
        <f aca="false">IF($G516="","Unmatched","Matched")</f>
        <v>Matched</v>
      </c>
      <c r="J516" s="7" t="n">
        <f aca="false">IF($G516&lt;&gt;"",$G516,$B516)</f>
        <v>4403042</v>
      </c>
      <c r="K516" s="7" t="str">
        <f aca="false">IF(COUNTIF($O$2:$O$16,$A516)&gt;0,"Y","N")</f>
        <v>N</v>
      </c>
    </row>
    <row r="517" customFormat="false" ht="15" hidden="false" customHeight="false" outlineLevel="0" collapsed="false">
      <c r="A517" s="7" t="s">
        <v>8</v>
      </c>
      <c r="B517" s="7" t="s">
        <v>332</v>
      </c>
      <c r="C517" s="8" t="n">
        <v>0</v>
      </c>
      <c r="D517" s="8" t="n">
        <v>0</v>
      </c>
      <c r="E517" s="8" t="n">
        <v>5</v>
      </c>
      <c r="F517" s="8" t="n">
        <v>285.67</v>
      </c>
      <c r="G517" s="7" t="n">
        <f aca="false">IFERROR(INDEX('TRANS'!$B:$B,MATCH($B517,'TRANS'!$A:$A,0)),IFERROR(INDEX('TRANS'!$B:$B,MATCH(TRIM(SUBSTITUTE($B517,CHAR(160)," ")),'TRANS'!$D:$D,0)),IFERROR(INDEX('Catalog'!$A:$A,MATCH($B517,'Catalog'!$B:$B,0)),IFERROR(INDEX('Catalog'!$A:$A,MATCH(TRIM(SUBSTITUTE($B517,CHAR(160)," ")),'Catalog'!$C:$C,0)),""))))</f>
        <v>4403043</v>
      </c>
      <c r="H517" s="7" t="str">
        <f aca="false">IFERROR(INDEX('TRANS'!$C:$C,MATCH($B517,'TRANS'!$A:$A,0)),IFERROR(INDEX('Catalog'!$B:$B,MATCH($G517,'Catalog'!$A:$A,0)),$B517))</f>
        <v>397A-גרבי טיסה אנטי בקטרי43-46</v>
      </c>
      <c r="I517" s="7" t="str">
        <f aca="false">IF($G517="","Unmatched","Matched")</f>
        <v>Matched</v>
      </c>
      <c r="J517" s="7" t="n">
        <f aca="false">IF($G517&lt;&gt;"",$G517,$B517)</f>
        <v>4403043</v>
      </c>
      <c r="K517" s="7" t="str">
        <f aca="false">IF(COUNTIF($O$2:$O$16,$A517)&gt;0,"Y","N")</f>
        <v>N</v>
      </c>
    </row>
    <row r="518" customFormat="false" ht="15" hidden="false" customHeight="false" outlineLevel="0" collapsed="false">
      <c r="A518" s="7" t="s">
        <v>8</v>
      </c>
      <c r="B518" s="7" t="s">
        <v>556</v>
      </c>
      <c r="C518" s="8" t="n">
        <v>125</v>
      </c>
      <c r="D518" s="8" t="n">
        <v>23867.72</v>
      </c>
      <c r="E518" s="8" t="n">
        <v>76</v>
      </c>
      <c r="F518" s="8" t="n">
        <v>12774.44</v>
      </c>
      <c r="G518" s="7" t="str">
        <f aca="false">IFERROR(INDEX('TRANS'!$B:$B,MATCH($B518,'TRANS'!$A:$A,0)),IFERROR(INDEX('TRANS'!$B:$B,MATCH(TRIM(SUBSTITUTE($B518,CHAR(160)," ")),'TRANS'!$D:$D,0)),IFERROR(INDEX('Catalog'!$A:$A,MATCH($B518,'Catalog'!$B:$B,0)),IFERROR(INDEX('Catalog'!$A:$A,MATCH(TRIM(SUBSTITUTE($B518,CHAR(160)," ")),'Catalog'!$C:$C,0)),""))))</f>
        <v/>
      </c>
      <c r="H518" s="7" t="str">
        <f aca="false">IFERROR(INDEX('TRANS'!$C:$C,MATCH($B518,'TRANS'!$A:$A,0)),IFERROR(INDEX('Catalog'!$B:$B,MATCH($G518,'Catalog'!$A:$A,0)),$B518))</f>
        <v>EC-59D L</v>
      </c>
      <c r="I518" s="7" t="str">
        <f aca="false">IF($G518="","Unmatched","Matched")</f>
        <v>Unmatched</v>
      </c>
      <c r="J518" s="7" t="str">
        <f aca="false">IF($G518&lt;&gt;"",$G518,$B518)</f>
        <v>EC-59D L</v>
      </c>
      <c r="K518" s="7" t="str">
        <f aca="false">IF(COUNTIF($O$2:$O$16,$A518)&gt;0,"Y","N")</f>
        <v>N</v>
      </c>
    </row>
    <row r="519" customFormat="false" ht="15" hidden="false" customHeight="false" outlineLevel="0" collapsed="false">
      <c r="A519" s="7" t="s">
        <v>8</v>
      </c>
      <c r="B519" s="7" t="s">
        <v>557</v>
      </c>
      <c r="C519" s="8" t="n">
        <v>346</v>
      </c>
      <c r="D519" s="8" t="n">
        <v>66008.37</v>
      </c>
      <c r="E519" s="8" t="n">
        <v>147</v>
      </c>
      <c r="F519" s="8" t="n">
        <v>24805.76</v>
      </c>
      <c r="G519" s="7" t="str">
        <f aca="false">IFERROR(INDEX('TRANS'!$B:$B,MATCH($B519,'TRANS'!$A:$A,0)),IFERROR(INDEX('TRANS'!$B:$B,MATCH(TRIM(SUBSTITUTE($B519,CHAR(160)," ")),'TRANS'!$D:$D,0)),IFERROR(INDEX('Catalog'!$A:$A,MATCH($B519,'Catalog'!$B:$B,0)),IFERROR(INDEX('Catalog'!$A:$A,MATCH(TRIM(SUBSTITUTE($B519,CHAR(160)," ")),'Catalog'!$C:$C,0)),""))))</f>
        <v/>
      </c>
      <c r="H519" s="7" t="str">
        <f aca="false">IFERROR(INDEX('TRANS'!$C:$C,MATCH($B519,'TRANS'!$A:$A,0)),IFERROR(INDEX('Catalog'!$B:$B,MATCH($G519,'Catalog'!$A:$A,0)),$B519))</f>
        <v>EC-59D M</v>
      </c>
      <c r="I519" s="7" t="str">
        <f aca="false">IF($G519="","Unmatched","Matched")</f>
        <v>Unmatched</v>
      </c>
      <c r="J519" s="7" t="str">
        <f aca="false">IF($G519&lt;&gt;"",$G519,$B519)</f>
        <v>EC-59D M</v>
      </c>
      <c r="K519" s="7" t="str">
        <f aca="false">IF(COUNTIF($O$2:$O$16,$A519)&gt;0,"Y","N")</f>
        <v>N</v>
      </c>
    </row>
    <row r="520" customFormat="false" ht="15" hidden="false" customHeight="false" outlineLevel="0" collapsed="false">
      <c r="A520" s="7" t="s">
        <v>8</v>
      </c>
      <c r="B520" s="7" t="s">
        <v>558</v>
      </c>
      <c r="C520" s="8" t="n">
        <v>175</v>
      </c>
      <c r="D520" s="8" t="n">
        <v>33651.11</v>
      </c>
      <c r="E520" s="8" t="n">
        <v>90</v>
      </c>
      <c r="F520" s="8" t="n">
        <v>15976.99</v>
      </c>
      <c r="G520" s="7" t="str">
        <f aca="false">IFERROR(INDEX('TRANS'!$B:$B,MATCH($B520,'TRANS'!$A:$A,0)),IFERROR(INDEX('TRANS'!$B:$B,MATCH(TRIM(SUBSTITUTE($B520,CHAR(160)," ")),'TRANS'!$D:$D,0)),IFERROR(INDEX('Catalog'!$A:$A,MATCH($B520,'Catalog'!$B:$B,0)),IFERROR(INDEX('Catalog'!$A:$A,MATCH(TRIM(SUBSTITUTE($B520,CHAR(160)," ")),'Catalog'!$C:$C,0)),""))))</f>
        <v/>
      </c>
      <c r="H520" s="7" t="str">
        <f aca="false">IFERROR(INDEX('TRANS'!$C:$C,MATCH($B520,'TRANS'!$A:$A,0)),IFERROR(INDEX('Catalog'!$B:$B,MATCH($G520,'Catalog'!$A:$A,0)),$B520))</f>
        <v>EC-59D S</v>
      </c>
      <c r="I520" s="7" t="str">
        <f aca="false">IF($G520="","Unmatched","Matched")</f>
        <v>Unmatched</v>
      </c>
      <c r="J520" s="7" t="str">
        <f aca="false">IF($G520&lt;&gt;"",$G520,$B520)</f>
        <v>EC-59D S</v>
      </c>
      <c r="K520" s="7" t="str">
        <f aca="false">IF(COUNTIF($O$2:$O$16,$A520)&gt;0,"Y","N")</f>
        <v>N</v>
      </c>
    </row>
    <row r="521" customFormat="false" ht="15" hidden="false" customHeight="false" outlineLevel="0" collapsed="false">
      <c r="A521" s="7" t="s">
        <v>8</v>
      </c>
      <c r="B521" s="7" t="s">
        <v>559</v>
      </c>
      <c r="C521" s="8" t="n">
        <v>34</v>
      </c>
      <c r="D521" s="8" t="n">
        <v>6355.2</v>
      </c>
      <c r="E521" s="8" t="n">
        <v>2</v>
      </c>
      <c r="F521" s="8" t="n">
        <v>357.48</v>
      </c>
      <c r="G521" s="7" t="str">
        <f aca="false">IFERROR(INDEX('TRANS'!$B:$B,MATCH($B521,'TRANS'!$A:$A,0)),IFERROR(INDEX('TRANS'!$B:$B,MATCH(TRIM(SUBSTITUTE($B521,CHAR(160)," ")),'TRANS'!$D:$D,0)),IFERROR(INDEX('Catalog'!$A:$A,MATCH($B521,'Catalog'!$B:$B,0)),IFERROR(INDEX('Catalog'!$A:$A,MATCH(TRIM(SUBSTITUTE($B521,CHAR(160)," ")),'Catalog'!$C:$C,0)),""))))</f>
        <v/>
      </c>
      <c r="H521" s="7" t="str">
        <f aca="false">IFERROR(INDEX('TRANS'!$C:$C,MATCH($B521,'TRANS'!$A:$A,0)),IFERROR(INDEX('Catalog'!$B:$B,MATCH($G521,'Catalog'!$A:$A,0)),$B521))</f>
        <v>EC-59D XL</v>
      </c>
      <c r="I521" s="7" t="str">
        <f aca="false">IF($G521="","Unmatched","Matched")</f>
        <v>Unmatched</v>
      </c>
      <c r="J521" s="7" t="str">
        <f aca="false">IF($G521&lt;&gt;"",$G521,$B521)</f>
        <v>EC-59D XL</v>
      </c>
      <c r="K521" s="7" t="str">
        <f aca="false">IF(COUNTIF($O$2:$O$16,$A521)&gt;0,"Y","N")</f>
        <v>N</v>
      </c>
    </row>
    <row r="522" customFormat="false" ht="15" hidden="false" customHeight="false" outlineLevel="0" collapsed="false">
      <c r="A522" s="7" t="s">
        <v>8</v>
      </c>
      <c r="B522" s="7" t="s">
        <v>560</v>
      </c>
      <c r="C522" s="8" t="n">
        <v>12</v>
      </c>
      <c r="D522" s="8" t="n">
        <v>2334.78</v>
      </c>
      <c r="E522" s="8" t="n">
        <v>5</v>
      </c>
      <c r="F522" s="8" t="n">
        <v>816.68</v>
      </c>
      <c r="G522" s="7" t="str">
        <f aca="false">IFERROR(INDEX('TRANS'!$B:$B,MATCH($B522,'TRANS'!$A:$A,0)),IFERROR(INDEX('TRANS'!$B:$B,MATCH(TRIM(SUBSTITUTE($B522,CHAR(160)," ")),'TRANS'!$D:$D,0)),IFERROR(INDEX('Catalog'!$A:$A,MATCH($B522,'Catalog'!$B:$B,0)),IFERROR(INDEX('Catalog'!$A:$A,MATCH(TRIM(SUBSTITUTE($B522,CHAR(160)," ")),'Catalog'!$C:$C,0)),""))))</f>
        <v/>
      </c>
      <c r="H522" s="7" t="str">
        <f aca="false">IFERROR(INDEX('TRANS'!$C:$C,MATCH($B522,'TRANS'!$A:$A,0)),IFERROR(INDEX('Catalog'!$B:$B,MATCH($G522,'Catalog'!$A:$A,0)),$B522))</f>
        <v>EC-59D XXL</v>
      </c>
      <c r="I522" s="7" t="str">
        <f aca="false">IF($G522="","Unmatched","Matched")</f>
        <v>Unmatched</v>
      </c>
      <c r="J522" s="7" t="str">
        <f aca="false">IF($G522&lt;&gt;"",$G522,$B522)</f>
        <v>EC-59D XXL</v>
      </c>
      <c r="K522" s="7" t="str">
        <f aca="false">IF(COUNTIF($O$2:$O$16,$A522)&gt;0,"Y","N")</f>
        <v>N</v>
      </c>
    </row>
    <row r="523" customFormat="false" ht="15" hidden="false" customHeight="false" outlineLevel="0" collapsed="false">
      <c r="A523" s="7" t="s">
        <v>8</v>
      </c>
      <c r="B523" s="7" t="s">
        <v>561</v>
      </c>
      <c r="C523" s="8" t="n">
        <v>225</v>
      </c>
      <c r="D523" s="8" t="n">
        <v>41045.21</v>
      </c>
      <c r="E523" s="8" t="n">
        <v>114</v>
      </c>
      <c r="F523" s="8" t="n">
        <v>18620.98</v>
      </c>
      <c r="G523" s="7" t="str">
        <f aca="false">IFERROR(INDEX('TRANS'!$B:$B,MATCH($B523,'TRANS'!$A:$A,0)),IFERROR(INDEX('TRANS'!$B:$B,MATCH(TRIM(SUBSTITUTE($B523,CHAR(160)," ")),'TRANS'!$D:$D,0)),IFERROR(INDEX('Catalog'!$A:$A,MATCH($B523,'Catalog'!$B:$B,0)),IFERROR(INDEX('Catalog'!$A:$A,MATCH(TRIM(SUBSTITUTE($B523,CHAR(160)," ")),'Catalog'!$C:$C,0)),""))))</f>
        <v/>
      </c>
      <c r="H523" s="7" t="str">
        <f aca="false">IFERROR(INDEX('TRANS'!$C:$C,MATCH($B523,'TRANS'!$A:$A,0)),IFERROR(INDEX('Catalog'!$B:$B,MATCH($G523,'Catalog'!$A:$A,0)),$B523))</f>
        <v>EC-59L L</v>
      </c>
      <c r="I523" s="7" t="str">
        <f aca="false">IF($G523="","Unmatched","Matched")</f>
        <v>Unmatched</v>
      </c>
      <c r="J523" s="7" t="str">
        <f aca="false">IF($G523&lt;&gt;"",$G523,$B523)</f>
        <v>EC-59L L</v>
      </c>
      <c r="K523" s="7" t="str">
        <f aca="false">IF(COUNTIF($O$2:$O$16,$A523)&gt;0,"Y","N")</f>
        <v>N</v>
      </c>
    </row>
    <row r="524" customFormat="false" ht="15" hidden="false" customHeight="false" outlineLevel="0" collapsed="false">
      <c r="A524" s="7" t="s">
        <v>8</v>
      </c>
      <c r="B524" s="7" t="s">
        <v>562</v>
      </c>
      <c r="C524" s="8" t="n">
        <v>670</v>
      </c>
      <c r="D524" s="8" t="n">
        <v>119782.01</v>
      </c>
      <c r="E524" s="8" t="n">
        <v>313</v>
      </c>
      <c r="F524" s="8" t="n">
        <v>49927.51</v>
      </c>
      <c r="G524" s="7" t="str">
        <f aca="false">IFERROR(INDEX('TRANS'!$B:$B,MATCH($B524,'TRANS'!$A:$A,0)),IFERROR(INDEX('TRANS'!$B:$B,MATCH(TRIM(SUBSTITUTE($B524,CHAR(160)," ")),'TRANS'!$D:$D,0)),IFERROR(INDEX('Catalog'!$A:$A,MATCH($B524,'Catalog'!$B:$B,0)),IFERROR(INDEX('Catalog'!$A:$A,MATCH(TRIM(SUBSTITUTE($B524,CHAR(160)," ")),'Catalog'!$C:$C,0)),""))))</f>
        <v/>
      </c>
      <c r="H524" s="7" t="str">
        <f aca="false">IFERROR(INDEX('TRANS'!$C:$C,MATCH($B524,'TRANS'!$A:$A,0)),IFERROR(INDEX('Catalog'!$B:$B,MATCH($G524,'Catalog'!$A:$A,0)),$B524))</f>
        <v>EC-59L M</v>
      </c>
      <c r="I524" s="7" t="str">
        <f aca="false">IF($G524="","Unmatched","Matched")</f>
        <v>Unmatched</v>
      </c>
      <c r="J524" s="7" t="str">
        <f aca="false">IF($G524&lt;&gt;"",$G524,$B524)</f>
        <v>EC-59L M</v>
      </c>
      <c r="K524" s="7" t="str">
        <f aca="false">IF(COUNTIF($O$2:$O$16,$A524)&gt;0,"Y","N")</f>
        <v>N</v>
      </c>
    </row>
    <row r="525" customFormat="false" ht="15" hidden="false" customHeight="false" outlineLevel="0" collapsed="false">
      <c r="A525" s="7" t="s">
        <v>8</v>
      </c>
      <c r="B525" s="7" t="s">
        <v>563</v>
      </c>
      <c r="C525" s="8" t="n">
        <v>222</v>
      </c>
      <c r="D525" s="8" t="n">
        <v>40212.55</v>
      </c>
      <c r="E525" s="8" t="n">
        <v>120</v>
      </c>
      <c r="F525" s="8" t="n">
        <v>19417.04</v>
      </c>
      <c r="G525" s="7" t="str">
        <f aca="false">IFERROR(INDEX('TRANS'!$B:$B,MATCH($B525,'TRANS'!$A:$A,0)),IFERROR(INDEX('TRANS'!$B:$B,MATCH(TRIM(SUBSTITUTE($B525,CHAR(160)," ")),'TRANS'!$D:$D,0)),IFERROR(INDEX('Catalog'!$A:$A,MATCH($B525,'Catalog'!$B:$B,0)),IFERROR(INDEX('Catalog'!$A:$A,MATCH(TRIM(SUBSTITUTE($B525,CHAR(160)," ")),'Catalog'!$C:$C,0)),""))))</f>
        <v/>
      </c>
      <c r="H525" s="7" t="str">
        <f aca="false">IFERROR(INDEX('TRANS'!$C:$C,MATCH($B525,'TRANS'!$A:$A,0)),IFERROR(INDEX('Catalog'!$B:$B,MATCH($G525,'Catalog'!$A:$A,0)),$B525))</f>
        <v>EC-59L S</v>
      </c>
      <c r="I525" s="7" t="str">
        <f aca="false">IF($G525="","Unmatched","Matched")</f>
        <v>Unmatched</v>
      </c>
      <c r="J525" s="7" t="str">
        <f aca="false">IF($G525&lt;&gt;"",$G525,$B525)</f>
        <v>EC-59L S</v>
      </c>
      <c r="K525" s="7" t="str">
        <f aca="false">IF(COUNTIF($O$2:$O$16,$A525)&gt;0,"Y","N")</f>
        <v>N</v>
      </c>
    </row>
    <row r="526" customFormat="false" ht="15" hidden="false" customHeight="false" outlineLevel="0" collapsed="false">
      <c r="A526" s="7" t="s">
        <v>8</v>
      </c>
      <c r="B526" s="7" t="s">
        <v>564</v>
      </c>
      <c r="C526" s="8" t="n">
        <v>37</v>
      </c>
      <c r="D526" s="8" t="n">
        <v>6684.46</v>
      </c>
      <c r="E526" s="8" t="n">
        <v>11</v>
      </c>
      <c r="F526" s="8" t="n">
        <v>1733.93</v>
      </c>
      <c r="G526" s="7" t="str">
        <f aca="false">IFERROR(INDEX('TRANS'!$B:$B,MATCH($B526,'TRANS'!$A:$A,0)),IFERROR(INDEX('TRANS'!$B:$B,MATCH(TRIM(SUBSTITUTE($B526,CHAR(160)," ")),'TRANS'!$D:$D,0)),IFERROR(INDEX('Catalog'!$A:$A,MATCH($B526,'Catalog'!$B:$B,0)),IFERROR(INDEX('Catalog'!$A:$A,MATCH(TRIM(SUBSTITUTE($B526,CHAR(160)," ")),'Catalog'!$C:$C,0)),""))))</f>
        <v/>
      </c>
      <c r="H526" s="7" t="str">
        <f aca="false">IFERROR(INDEX('TRANS'!$C:$C,MATCH($B526,'TRANS'!$A:$A,0)),IFERROR(INDEX('Catalog'!$B:$B,MATCH($G526,'Catalog'!$A:$A,0)),$B526))</f>
        <v>EC-59L XL</v>
      </c>
      <c r="I526" s="7" t="str">
        <f aca="false">IF($G526="","Unmatched","Matched")</f>
        <v>Unmatched</v>
      </c>
      <c r="J526" s="7" t="str">
        <f aca="false">IF($G526&lt;&gt;"",$G526,$B526)</f>
        <v>EC-59L XL</v>
      </c>
      <c r="K526" s="7" t="str">
        <f aca="false">IF(COUNTIF($O$2:$O$16,$A526)&gt;0,"Y","N")</f>
        <v>N</v>
      </c>
    </row>
    <row r="527" customFormat="false" ht="15" hidden="false" customHeight="false" outlineLevel="0" collapsed="false">
      <c r="A527" s="7" t="s">
        <v>8</v>
      </c>
      <c r="B527" s="7" t="s">
        <v>565</v>
      </c>
      <c r="C527" s="8" t="n">
        <v>403</v>
      </c>
      <c r="D527" s="8" t="n">
        <v>73333.84</v>
      </c>
      <c r="E527" s="8" t="n">
        <v>141</v>
      </c>
      <c r="F527" s="8" t="n">
        <v>22516.1</v>
      </c>
      <c r="G527" s="7" t="str">
        <f aca="false">IFERROR(INDEX('TRANS'!$B:$B,MATCH($B527,'TRANS'!$A:$A,0)),IFERROR(INDEX('TRANS'!$B:$B,MATCH(TRIM(SUBSTITUTE($B527,CHAR(160)," ")),'TRANS'!$D:$D,0)),IFERROR(INDEX('Catalog'!$A:$A,MATCH($B527,'Catalog'!$B:$B,0)),IFERROR(INDEX('Catalog'!$A:$A,MATCH(TRIM(SUBSTITUTE($B527,CHAR(160)," ")),'Catalog'!$C:$C,0)),""))))</f>
        <v/>
      </c>
      <c r="H527" s="7" t="str">
        <f aca="false">IFERROR(INDEX('TRANS'!$C:$C,MATCH($B527,'TRANS'!$A:$A,0)),IFERROR(INDEX('Catalog'!$B:$B,MATCH($G527,'Catalog'!$A:$A,0)),$B527))</f>
        <v>EC-59R L</v>
      </c>
      <c r="I527" s="7" t="str">
        <f aca="false">IF($G527="","Unmatched","Matched")</f>
        <v>Unmatched</v>
      </c>
      <c r="J527" s="7" t="str">
        <f aca="false">IF($G527&lt;&gt;"",$G527,$B527)</f>
        <v>EC-59R L</v>
      </c>
      <c r="K527" s="7" t="str">
        <f aca="false">IF(COUNTIF($O$2:$O$16,$A527)&gt;0,"Y","N")</f>
        <v>N</v>
      </c>
    </row>
    <row r="528" customFormat="false" ht="15" hidden="false" customHeight="false" outlineLevel="0" collapsed="false">
      <c r="A528" s="7" t="s">
        <v>8</v>
      </c>
      <c r="B528" s="7" t="s">
        <v>566</v>
      </c>
      <c r="C528" s="8" t="n">
        <v>1141</v>
      </c>
      <c r="D528" s="8" t="n">
        <v>191075.16</v>
      </c>
      <c r="E528" s="8" t="n">
        <v>343</v>
      </c>
      <c r="F528" s="8" t="n">
        <v>55207.3</v>
      </c>
      <c r="G528" s="7" t="str">
        <f aca="false">IFERROR(INDEX('TRANS'!$B:$B,MATCH($B528,'TRANS'!$A:$A,0)),IFERROR(INDEX('TRANS'!$B:$B,MATCH(TRIM(SUBSTITUTE($B528,CHAR(160)," ")),'TRANS'!$D:$D,0)),IFERROR(INDEX('Catalog'!$A:$A,MATCH($B528,'Catalog'!$B:$B,0)),IFERROR(INDEX('Catalog'!$A:$A,MATCH(TRIM(SUBSTITUTE($B528,CHAR(160)," ")),'Catalog'!$C:$C,0)),""))))</f>
        <v/>
      </c>
      <c r="H528" s="7" t="str">
        <f aca="false">IFERROR(INDEX('TRANS'!$C:$C,MATCH($B528,'TRANS'!$A:$A,0)),IFERROR(INDEX('Catalog'!$B:$B,MATCH($G528,'Catalog'!$A:$A,0)),$B528))</f>
        <v>EC-59R M</v>
      </c>
      <c r="I528" s="7" t="str">
        <f aca="false">IF($G528="","Unmatched","Matched")</f>
        <v>Unmatched</v>
      </c>
      <c r="J528" s="7" t="str">
        <f aca="false">IF($G528&lt;&gt;"",$G528,$B528)</f>
        <v>EC-59R M</v>
      </c>
      <c r="K528" s="7" t="str">
        <f aca="false">IF(COUNTIF($O$2:$O$16,$A528)&gt;0,"Y","N")</f>
        <v>N</v>
      </c>
    </row>
    <row r="529" customFormat="false" ht="15" hidden="false" customHeight="false" outlineLevel="0" collapsed="false">
      <c r="A529" s="7" t="s">
        <v>8</v>
      </c>
      <c r="B529" s="7" t="s">
        <v>567</v>
      </c>
      <c r="C529" s="8" t="n">
        <v>502</v>
      </c>
      <c r="D529" s="8" t="n">
        <v>92438.48</v>
      </c>
      <c r="E529" s="8" t="n">
        <v>189</v>
      </c>
      <c r="F529" s="8" t="n">
        <v>30425.69</v>
      </c>
      <c r="G529" s="7" t="str">
        <f aca="false">IFERROR(INDEX('TRANS'!$B:$B,MATCH($B529,'TRANS'!$A:$A,0)),IFERROR(INDEX('TRANS'!$B:$B,MATCH(TRIM(SUBSTITUTE($B529,CHAR(160)," ")),'TRANS'!$D:$D,0)),IFERROR(INDEX('Catalog'!$A:$A,MATCH($B529,'Catalog'!$B:$B,0)),IFERROR(INDEX('Catalog'!$A:$A,MATCH(TRIM(SUBSTITUTE($B529,CHAR(160)," ")),'Catalog'!$C:$C,0)),""))))</f>
        <v/>
      </c>
      <c r="H529" s="7" t="str">
        <f aca="false">IFERROR(INDEX('TRANS'!$C:$C,MATCH($B529,'TRANS'!$A:$A,0)),IFERROR(INDEX('Catalog'!$B:$B,MATCH($G529,'Catalog'!$A:$A,0)),$B529))</f>
        <v>EC-59R S</v>
      </c>
      <c r="I529" s="7" t="str">
        <f aca="false">IF($G529="","Unmatched","Matched")</f>
        <v>Unmatched</v>
      </c>
      <c r="J529" s="7" t="str">
        <f aca="false">IF($G529&lt;&gt;"",$G529,$B529)</f>
        <v>EC-59R S</v>
      </c>
      <c r="K529" s="7" t="str">
        <f aca="false">IF(COUNTIF($O$2:$O$16,$A529)&gt;0,"Y","N")</f>
        <v>N</v>
      </c>
    </row>
    <row r="530" customFormat="false" ht="15" hidden="false" customHeight="false" outlineLevel="0" collapsed="false">
      <c r="A530" s="7" t="s">
        <v>8</v>
      </c>
      <c r="B530" s="7" t="s">
        <v>568</v>
      </c>
      <c r="C530" s="8" t="n">
        <v>54</v>
      </c>
      <c r="D530" s="8" t="n">
        <v>8550.82</v>
      </c>
      <c r="E530" s="8" t="n">
        <v>7</v>
      </c>
      <c r="F530" s="8" t="n">
        <v>1105.14</v>
      </c>
      <c r="G530" s="7" t="str">
        <f aca="false">IFERROR(INDEX('TRANS'!$B:$B,MATCH($B530,'TRANS'!$A:$A,0)),IFERROR(INDEX('TRANS'!$B:$B,MATCH(TRIM(SUBSTITUTE($B530,CHAR(160)," ")),'TRANS'!$D:$D,0)),IFERROR(INDEX('Catalog'!$A:$A,MATCH($B530,'Catalog'!$B:$B,0)),IFERROR(INDEX('Catalog'!$A:$A,MATCH(TRIM(SUBSTITUTE($B530,CHAR(160)," ")),'Catalog'!$C:$C,0)),""))))</f>
        <v/>
      </c>
      <c r="H530" s="7" t="str">
        <f aca="false">IFERROR(INDEX('TRANS'!$C:$C,MATCH($B530,'TRANS'!$A:$A,0)),IFERROR(INDEX('Catalog'!$B:$B,MATCH($G530,'Catalog'!$A:$A,0)),$B530))</f>
        <v>EC-59R XL</v>
      </c>
      <c r="I530" s="7" t="str">
        <f aca="false">IF($G530="","Unmatched","Matched")</f>
        <v>Unmatched</v>
      </c>
      <c r="J530" s="7" t="str">
        <f aca="false">IF($G530&lt;&gt;"",$G530,$B530)</f>
        <v>EC-59R XL</v>
      </c>
      <c r="K530" s="7" t="str">
        <f aca="false">IF(COUNTIF($O$2:$O$16,$A530)&gt;0,"Y","N")</f>
        <v>N</v>
      </c>
    </row>
    <row r="531" customFormat="false" ht="15" hidden="false" customHeight="false" outlineLevel="0" collapsed="false">
      <c r="A531" s="7" t="s">
        <v>8</v>
      </c>
      <c r="B531" s="7" t="s">
        <v>569</v>
      </c>
      <c r="C531" s="8" t="n">
        <v>23</v>
      </c>
      <c r="D531" s="8" t="n">
        <v>4233.37</v>
      </c>
      <c r="E531" s="8" t="n">
        <v>0</v>
      </c>
      <c r="F531" s="8" t="n">
        <v>0</v>
      </c>
      <c r="G531" s="7" t="str">
        <f aca="false">IFERROR(INDEX('TRANS'!$B:$B,MATCH($B531,'TRANS'!$A:$A,0)),IFERROR(INDEX('TRANS'!$B:$B,MATCH(TRIM(SUBSTITUTE($B531,CHAR(160)," ")),'TRANS'!$D:$D,0)),IFERROR(INDEX('Catalog'!$A:$A,MATCH($B531,'Catalog'!$B:$B,0)),IFERROR(INDEX('Catalog'!$A:$A,MATCH(TRIM(SUBSTITUTE($B531,CHAR(160)," ")),'Catalog'!$C:$C,0)),""))))</f>
        <v/>
      </c>
      <c r="H531" s="7" t="str">
        <f aca="false">IFERROR(INDEX('TRANS'!$C:$C,MATCH($B531,'TRANS'!$A:$A,0)),IFERROR(INDEX('Catalog'!$B:$B,MATCH($G531,'Catalog'!$A:$A,0)),$B531))</f>
        <v>EC-59R XXL</v>
      </c>
      <c r="I531" s="7" t="str">
        <f aca="false">IF($G531="","Unmatched","Matched")</f>
        <v>Unmatched</v>
      </c>
      <c r="J531" s="7" t="str">
        <f aca="false">IF($G531&lt;&gt;"",$G531,$B531)</f>
        <v>EC-59R XXL</v>
      </c>
      <c r="K531" s="7" t="str">
        <f aca="false">IF(COUNTIF($O$2:$O$16,$A531)&gt;0,"Y","N")</f>
        <v>N</v>
      </c>
    </row>
    <row r="532" customFormat="false" ht="15" hidden="false" customHeight="false" outlineLevel="0" collapsed="false">
      <c r="A532" s="7" t="s">
        <v>8</v>
      </c>
      <c r="B532" s="7" t="s">
        <v>570</v>
      </c>
      <c r="C532" s="8" t="n">
        <v>60</v>
      </c>
      <c r="D532" s="8" t="n">
        <v>11413.11</v>
      </c>
      <c r="E532" s="8" t="n">
        <v>58</v>
      </c>
      <c r="F532" s="8" t="n">
        <v>9662.31</v>
      </c>
      <c r="G532" s="7" t="str">
        <f aca="false">IFERROR(INDEX('TRANS'!$B:$B,MATCH($B532,'TRANS'!$A:$A,0)),IFERROR(INDEX('TRANS'!$B:$B,MATCH(TRIM(SUBSTITUTE($B532,CHAR(160)," ")),'TRANS'!$D:$D,0)),IFERROR(INDEX('Catalog'!$A:$A,MATCH($B532,'Catalog'!$B:$B,0)),IFERROR(INDEX('Catalog'!$A:$A,MATCH(TRIM(SUBSTITUTE($B532,CHAR(160)," ")),'Catalog'!$C:$C,0)),""))))</f>
        <v/>
      </c>
      <c r="H532" s="7" t="str">
        <f aca="false">IFERROR(INDEX('TRANS'!$C:$C,MATCH($B532,'TRANS'!$A:$A,0)),IFERROR(INDEX('Catalog'!$B:$B,MATCH($G532,'Catalog'!$A:$A,0)),$B532))</f>
        <v>EC-59DB L</v>
      </c>
      <c r="I532" s="7" t="str">
        <f aca="false">IF($G532="","Unmatched","Matched")</f>
        <v>Unmatched</v>
      </c>
      <c r="J532" s="7" t="str">
        <f aca="false">IF($G532&lt;&gt;"",$G532,$B532)</f>
        <v>EC-59DB L</v>
      </c>
      <c r="K532" s="7" t="str">
        <f aca="false">IF(COUNTIF($O$2:$O$16,$A532)&gt;0,"Y","N")</f>
        <v>N</v>
      </c>
    </row>
    <row r="533" customFormat="false" ht="15" hidden="false" customHeight="false" outlineLevel="0" collapsed="false">
      <c r="A533" s="7" t="s">
        <v>8</v>
      </c>
      <c r="B533" s="7" t="s">
        <v>571</v>
      </c>
      <c r="C533" s="8" t="n">
        <v>125</v>
      </c>
      <c r="D533" s="8" t="n">
        <v>23137.22</v>
      </c>
      <c r="E533" s="8" t="n">
        <v>151</v>
      </c>
      <c r="F533" s="8" t="n">
        <v>25254.52</v>
      </c>
      <c r="G533" s="7" t="str">
        <f aca="false">IFERROR(INDEX('TRANS'!$B:$B,MATCH($B533,'TRANS'!$A:$A,0)),IFERROR(INDEX('TRANS'!$B:$B,MATCH(TRIM(SUBSTITUTE($B533,CHAR(160)," ")),'TRANS'!$D:$D,0)),IFERROR(INDEX('Catalog'!$A:$A,MATCH($B533,'Catalog'!$B:$B,0)),IFERROR(INDEX('Catalog'!$A:$A,MATCH(TRIM(SUBSTITUTE($B533,CHAR(160)," ")),'Catalog'!$C:$C,0)),""))))</f>
        <v/>
      </c>
      <c r="H533" s="7" t="str">
        <f aca="false">IFERROR(INDEX('TRANS'!$C:$C,MATCH($B533,'TRANS'!$A:$A,0)),IFERROR(INDEX('Catalog'!$B:$B,MATCH($G533,'Catalog'!$A:$A,0)),$B533))</f>
        <v>EC-59DB M</v>
      </c>
      <c r="I533" s="7" t="str">
        <f aca="false">IF($G533="","Unmatched","Matched")</f>
        <v>Unmatched</v>
      </c>
      <c r="J533" s="7" t="str">
        <f aca="false">IF($G533&lt;&gt;"",$G533,$B533)</f>
        <v>EC-59DB M</v>
      </c>
      <c r="K533" s="7" t="str">
        <f aca="false">IF(COUNTIF($O$2:$O$16,$A533)&gt;0,"Y","N")</f>
        <v>N</v>
      </c>
    </row>
    <row r="534" customFormat="false" ht="15" hidden="false" customHeight="false" outlineLevel="0" collapsed="false">
      <c r="A534" s="7" t="s">
        <v>8</v>
      </c>
      <c r="B534" s="7" t="s">
        <v>572</v>
      </c>
      <c r="C534" s="8" t="n">
        <v>49</v>
      </c>
      <c r="D534" s="8" t="n">
        <v>9171.45</v>
      </c>
      <c r="E534" s="8" t="n">
        <v>84</v>
      </c>
      <c r="F534" s="8" t="n">
        <v>14233.5</v>
      </c>
      <c r="G534" s="7" t="str">
        <f aca="false">IFERROR(INDEX('TRANS'!$B:$B,MATCH($B534,'TRANS'!$A:$A,0)),IFERROR(INDEX('TRANS'!$B:$B,MATCH(TRIM(SUBSTITUTE($B534,CHAR(160)," ")),'TRANS'!$D:$D,0)),IFERROR(INDEX('Catalog'!$A:$A,MATCH($B534,'Catalog'!$B:$B,0)),IFERROR(INDEX('Catalog'!$A:$A,MATCH(TRIM(SUBSTITUTE($B534,CHAR(160)," ")),'Catalog'!$C:$C,0)),""))))</f>
        <v/>
      </c>
      <c r="H534" s="7" t="str">
        <f aca="false">IFERROR(INDEX('TRANS'!$C:$C,MATCH($B534,'TRANS'!$A:$A,0)),IFERROR(INDEX('Catalog'!$B:$B,MATCH($G534,'Catalog'!$A:$A,0)),$B534))</f>
        <v>EC-59DB S</v>
      </c>
      <c r="I534" s="7" t="str">
        <f aca="false">IF($G534="","Unmatched","Matched")</f>
        <v>Unmatched</v>
      </c>
      <c r="J534" s="7" t="str">
        <f aca="false">IF($G534&lt;&gt;"",$G534,$B534)</f>
        <v>EC-59DB S</v>
      </c>
      <c r="K534" s="7" t="str">
        <f aca="false">IF(COUNTIF($O$2:$O$16,$A534)&gt;0,"Y","N")</f>
        <v>N</v>
      </c>
    </row>
    <row r="535" customFormat="false" ht="15" hidden="false" customHeight="false" outlineLevel="0" collapsed="false">
      <c r="A535" s="7" t="s">
        <v>8</v>
      </c>
      <c r="B535" s="7" t="s">
        <v>573</v>
      </c>
      <c r="C535" s="8" t="n">
        <v>7</v>
      </c>
      <c r="D535" s="8" t="n">
        <v>1289.35</v>
      </c>
      <c r="E535" s="8" t="n">
        <v>22</v>
      </c>
      <c r="F535" s="8" t="n">
        <v>3724.24</v>
      </c>
      <c r="G535" s="7" t="str">
        <f aca="false">IFERROR(INDEX('TRANS'!$B:$B,MATCH($B535,'TRANS'!$A:$A,0)),IFERROR(INDEX('TRANS'!$B:$B,MATCH(TRIM(SUBSTITUTE($B535,CHAR(160)," ")),'TRANS'!$D:$D,0)),IFERROR(INDEX('Catalog'!$A:$A,MATCH($B535,'Catalog'!$B:$B,0)),IFERROR(INDEX('Catalog'!$A:$A,MATCH(TRIM(SUBSTITUTE($B535,CHAR(160)," ")),'Catalog'!$C:$C,0)),""))))</f>
        <v/>
      </c>
      <c r="H535" s="7" t="str">
        <f aca="false">IFERROR(INDEX('TRANS'!$C:$C,MATCH($B535,'TRANS'!$A:$A,0)),IFERROR(INDEX('Catalog'!$B:$B,MATCH($G535,'Catalog'!$A:$A,0)),$B535))</f>
        <v>EC-59DB XL</v>
      </c>
      <c r="I535" s="7" t="str">
        <f aca="false">IF($G535="","Unmatched","Matched")</f>
        <v>Unmatched</v>
      </c>
      <c r="J535" s="7" t="str">
        <f aca="false">IF($G535&lt;&gt;"",$G535,$B535)</f>
        <v>EC-59DB XL</v>
      </c>
      <c r="K535" s="7" t="str">
        <f aca="false">IF(COUNTIF($O$2:$O$16,$A535)&gt;0,"Y","N")</f>
        <v>N</v>
      </c>
    </row>
    <row r="536" customFormat="false" ht="15" hidden="false" customHeight="false" outlineLevel="0" collapsed="false">
      <c r="A536" s="7" t="s">
        <v>8</v>
      </c>
      <c r="B536" s="7" t="s">
        <v>574</v>
      </c>
      <c r="C536" s="8" t="n">
        <v>11</v>
      </c>
      <c r="D536" s="8" t="n">
        <v>1984.08</v>
      </c>
      <c r="E536" s="8" t="n">
        <v>17</v>
      </c>
      <c r="F536" s="8" t="n">
        <v>2850.77</v>
      </c>
      <c r="G536" s="7" t="str">
        <f aca="false">IFERROR(INDEX('TRANS'!$B:$B,MATCH($B536,'TRANS'!$A:$A,0)),IFERROR(INDEX('TRANS'!$B:$B,MATCH(TRIM(SUBSTITUTE($B536,CHAR(160)," ")),'TRANS'!$D:$D,0)),IFERROR(INDEX('Catalog'!$A:$A,MATCH($B536,'Catalog'!$B:$B,0)),IFERROR(INDEX('Catalog'!$A:$A,MATCH(TRIM(SUBSTITUTE($B536,CHAR(160)," ")),'Catalog'!$C:$C,0)),""))))</f>
        <v/>
      </c>
      <c r="H536" s="7" t="str">
        <f aca="false">IFERROR(INDEX('TRANS'!$C:$C,MATCH($B536,'TRANS'!$A:$A,0)),IFERROR(INDEX('Catalog'!$B:$B,MATCH($G536,'Catalog'!$A:$A,0)),$B536))</f>
        <v>EC-59DB XXL</v>
      </c>
      <c r="I536" s="7" t="str">
        <f aca="false">IF($G536="","Unmatched","Matched")</f>
        <v>Unmatched</v>
      </c>
      <c r="J536" s="7" t="str">
        <f aca="false">IF($G536&lt;&gt;"",$G536,$B536)</f>
        <v>EC-59DB XXL</v>
      </c>
      <c r="K536" s="7" t="str">
        <f aca="false">IF(COUNTIF($O$2:$O$16,$A536)&gt;0,"Y","N")</f>
        <v>N</v>
      </c>
    </row>
    <row r="537" customFormat="false" ht="15" hidden="false" customHeight="false" outlineLevel="0" collapsed="false">
      <c r="A537" s="7" t="s">
        <v>8</v>
      </c>
      <c r="B537" s="7" t="s">
        <v>575</v>
      </c>
      <c r="C537" s="8" t="n">
        <v>128</v>
      </c>
      <c r="D537" s="8" t="n">
        <v>22838.32</v>
      </c>
      <c r="E537" s="8" t="n">
        <v>115</v>
      </c>
      <c r="F537" s="8" t="n">
        <v>18446.61</v>
      </c>
      <c r="G537" s="7" t="str">
        <f aca="false">IFERROR(INDEX('TRANS'!$B:$B,MATCH($B537,'TRANS'!$A:$A,0)),IFERROR(INDEX('TRANS'!$B:$B,MATCH(TRIM(SUBSTITUTE($B537,CHAR(160)," ")),'TRANS'!$D:$D,0)),IFERROR(INDEX('Catalog'!$A:$A,MATCH($B537,'Catalog'!$B:$B,0)),IFERROR(INDEX('Catalog'!$A:$A,MATCH(TRIM(SUBSTITUTE($B537,CHAR(160)," ")),'Catalog'!$C:$C,0)),""))))</f>
        <v/>
      </c>
      <c r="H537" s="7" t="str">
        <f aca="false">IFERROR(INDEX('TRANS'!$C:$C,MATCH($B537,'TRANS'!$A:$A,0)),IFERROR(INDEX('Catalog'!$B:$B,MATCH($G537,'Catalog'!$A:$A,0)),$B537))</f>
        <v>EC-59LB L</v>
      </c>
      <c r="I537" s="7" t="str">
        <f aca="false">IF($G537="","Unmatched","Matched")</f>
        <v>Unmatched</v>
      </c>
      <c r="J537" s="7" t="str">
        <f aca="false">IF($G537&lt;&gt;"",$G537,$B537)</f>
        <v>EC-59LB L</v>
      </c>
      <c r="K537" s="7" t="str">
        <f aca="false">IF(COUNTIF($O$2:$O$16,$A537)&gt;0,"Y","N")</f>
        <v>N</v>
      </c>
    </row>
    <row r="538" customFormat="false" ht="15" hidden="false" customHeight="false" outlineLevel="0" collapsed="false">
      <c r="A538" s="7" t="s">
        <v>8</v>
      </c>
      <c r="B538" s="7" t="s">
        <v>576</v>
      </c>
      <c r="C538" s="8" t="n">
        <v>324</v>
      </c>
      <c r="D538" s="8" t="n">
        <v>58442.65</v>
      </c>
      <c r="E538" s="8" t="n">
        <v>350</v>
      </c>
      <c r="F538" s="8" t="n">
        <v>56190.69</v>
      </c>
      <c r="G538" s="7" t="str">
        <f aca="false">IFERROR(INDEX('TRANS'!$B:$B,MATCH($B538,'TRANS'!$A:$A,0)),IFERROR(INDEX('TRANS'!$B:$B,MATCH(TRIM(SUBSTITUTE($B538,CHAR(160)," ")),'TRANS'!$D:$D,0)),IFERROR(INDEX('Catalog'!$A:$A,MATCH($B538,'Catalog'!$B:$B,0)),IFERROR(INDEX('Catalog'!$A:$A,MATCH(TRIM(SUBSTITUTE($B538,CHAR(160)," ")),'Catalog'!$C:$C,0)),""))))</f>
        <v/>
      </c>
      <c r="H538" s="7" t="str">
        <f aca="false">IFERROR(INDEX('TRANS'!$C:$C,MATCH($B538,'TRANS'!$A:$A,0)),IFERROR(INDEX('Catalog'!$B:$B,MATCH($G538,'Catalog'!$A:$A,0)),$B538))</f>
        <v>EC-59LB M</v>
      </c>
      <c r="I538" s="7" t="str">
        <f aca="false">IF($G538="","Unmatched","Matched")</f>
        <v>Unmatched</v>
      </c>
      <c r="J538" s="7" t="str">
        <f aca="false">IF($G538&lt;&gt;"",$G538,$B538)</f>
        <v>EC-59LB M</v>
      </c>
      <c r="K538" s="7" t="str">
        <f aca="false">IF(COUNTIF($O$2:$O$16,$A538)&gt;0,"Y","N")</f>
        <v>N</v>
      </c>
    </row>
    <row r="539" customFormat="false" ht="15" hidden="false" customHeight="false" outlineLevel="0" collapsed="false">
      <c r="A539" s="7" t="s">
        <v>8</v>
      </c>
      <c r="B539" s="7" t="s">
        <v>577</v>
      </c>
      <c r="C539" s="8" t="n">
        <v>243</v>
      </c>
      <c r="D539" s="8" t="n">
        <v>43557.14</v>
      </c>
      <c r="E539" s="8" t="n">
        <v>185</v>
      </c>
      <c r="F539" s="8" t="n">
        <v>29658.02</v>
      </c>
      <c r="G539" s="7" t="str">
        <f aca="false">IFERROR(INDEX('TRANS'!$B:$B,MATCH($B539,'TRANS'!$A:$A,0)),IFERROR(INDEX('TRANS'!$B:$B,MATCH(TRIM(SUBSTITUTE($B539,CHAR(160)," ")),'TRANS'!$D:$D,0)),IFERROR(INDEX('Catalog'!$A:$A,MATCH($B539,'Catalog'!$B:$B,0)),IFERROR(INDEX('Catalog'!$A:$A,MATCH(TRIM(SUBSTITUTE($B539,CHAR(160)," ")),'Catalog'!$C:$C,0)),""))))</f>
        <v/>
      </c>
      <c r="H539" s="7" t="str">
        <f aca="false">IFERROR(INDEX('TRANS'!$C:$C,MATCH($B539,'TRANS'!$A:$A,0)),IFERROR(INDEX('Catalog'!$B:$B,MATCH($G539,'Catalog'!$A:$A,0)),$B539))</f>
        <v>EC-59LB S</v>
      </c>
      <c r="I539" s="7" t="str">
        <f aca="false">IF($G539="","Unmatched","Matched")</f>
        <v>Unmatched</v>
      </c>
      <c r="J539" s="7" t="str">
        <f aca="false">IF($G539&lt;&gt;"",$G539,$B539)</f>
        <v>EC-59LB S</v>
      </c>
      <c r="K539" s="7" t="str">
        <f aca="false">IF(COUNTIF($O$2:$O$16,$A539)&gt;0,"Y","N")</f>
        <v>N</v>
      </c>
    </row>
    <row r="540" customFormat="false" ht="15" hidden="false" customHeight="false" outlineLevel="0" collapsed="false">
      <c r="A540" s="7" t="s">
        <v>8</v>
      </c>
      <c r="B540" s="7" t="s">
        <v>578</v>
      </c>
      <c r="C540" s="8" t="n">
        <v>21</v>
      </c>
      <c r="D540" s="8" t="n">
        <v>3503.89</v>
      </c>
      <c r="E540" s="8" t="n">
        <v>14</v>
      </c>
      <c r="F540" s="8" t="n">
        <v>2355.71</v>
      </c>
      <c r="G540" s="7" t="str">
        <f aca="false">IFERROR(INDEX('TRANS'!$B:$B,MATCH($B540,'TRANS'!$A:$A,0)),IFERROR(INDEX('TRANS'!$B:$B,MATCH(TRIM(SUBSTITUTE($B540,CHAR(160)," ")),'TRANS'!$D:$D,0)),IFERROR(INDEX('Catalog'!$A:$A,MATCH($B540,'Catalog'!$B:$B,0)),IFERROR(INDEX('Catalog'!$A:$A,MATCH(TRIM(SUBSTITUTE($B540,CHAR(160)," ")),'Catalog'!$C:$C,0)),""))))</f>
        <v/>
      </c>
      <c r="H540" s="7" t="str">
        <f aca="false">IFERROR(INDEX('TRANS'!$C:$C,MATCH($B540,'TRANS'!$A:$A,0)),IFERROR(INDEX('Catalog'!$B:$B,MATCH($G540,'Catalog'!$A:$A,0)),$B540))</f>
        <v>EC-59LB XL</v>
      </c>
      <c r="I540" s="7" t="str">
        <f aca="false">IF($G540="","Unmatched","Matched")</f>
        <v>Unmatched</v>
      </c>
      <c r="J540" s="7" t="str">
        <f aca="false">IF($G540&lt;&gt;"",$G540,$B540)</f>
        <v>EC-59LB XL</v>
      </c>
      <c r="K540" s="7" t="str">
        <f aca="false">IF(COUNTIF($O$2:$O$16,$A540)&gt;0,"Y","N")</f>
        <v>N</v>
      </c>
    </row>
    <row r="541" customFormat="false" ht="15" hidden="false" customHeight="false" outlineLevel="0" collapsed="false">
      <c r="A541" s="7" t="s">
        <v>8</v>
      </c>
      <c r="B541" s="7" t="s">
        <v>579</v>
      </c>
      <c r="C541" s="8" t="n">
        <v>7</v>
      </c>
      <c r="D541" s="8" t="n">
        <v>1230.79</v>
      </c>
      <c r="E541" s="8" t="n">
        <v>13</v>
      </c>
      <c r="F541" s="8" t="n">
        <v>2132.76</v>
      </c>
      <c r="G541" s="7" t="str">
        <f aca="false">IFERROR(INDEX('TRANS'!$B:$B,MATCH($B541,'TRANS'!$A:$A,0)),IFERROR(INDEX('TRANS'!$B:$B,MATCH(TRIM(SUBSTITUTE($B541,CHAR(160)," ")),'TRANS'!$D:$D,0)),IFERROR(INDEX('Catalog'!$A:$A,MATCH($B541,'Catalog'!$B:$B,0)),IFERROR(INDEX('Catalog'!$A:$A,MATCH(TRIM(SUBSTITUTE($B541,CHAR(160)," ")),'Catalog'!$C:$C,0)),""))))</f>
        <v/>
      </c>
      <c r="H541" s="7" t="str">
        <f aca="false">IFERROR(INDEX('TRANS'!$C:$C,MATCH($B541,'TRANS'!$A:$A,0)),IFERROR(INDEX('Catalog'!$B:$B,MATCH($G541,'Catalog'!$A:$A,0)),$B541))</f>
        <v>EC-59LB XXL</v>
      </c>
      <c r="I541" s="7" t="str">
        <f aca="false">IF($G541="","Unmatched","Matched")</f>
        <v>Unmatched</v>
      </c>
      <c r="J541" s="7" t="str">
        <f aca="false">IF($G541&lt;&gt;"",$G541,$B541)</f>
        <v>EC-59LB XXL</v>
      </c>
      <c r="K541" s="7" t="str">
        <f aca="false">IF(COUNTIF($O$2:$O$16,$A541)&gt;0,"Y","N")</f>
        <v>N</v>
      </c>
    </row>
    <row r="542" customFormat="false" ht="15" hidden="false" customHeight="false" outlineLevel="0" collapsed="false">
      <c r="A542" s="7" t="s">
        <v>8</v>
      </c>
      <c r="B542" s="7" t="s">
        <v>580</v>
      </c>
      <c r="C542" s="8" t="n">
        <v>268</v>
      </c>
      <c r="D542" s="8" t="n">
        <v>47354.81</v>
      </c>
      <c r="E542" s="8" t="n">
        <v>203</v>
      </c>
      <c r="F542" s="8" t="n">
        <v>32989.62</v>
      </c>
      <c r="G542" s="7" t="str">
        <f aca="false">IFERROR(INDEX('TRANS'!$B:$B,MATCH($B542,'TRANS'!$A:$A,0)),IFERROR(INDEX('TRANS'!$B:$B,MATCH(TRIM(SUBSTITUTE($B542,CHAR(160)," ")),'TRANS'!$D:$D,0)),IFERROR(INDEX('Catalog'!$A:$A,MATCH($B542,'Catalog'!$B:$B,0)),IFERROR(INDEX('Catalog'!$A:$A,MATCH(TRIM(SUBSTITUTE($B542,CHAR(160)," ")),'Catalog'!$C:$C,0)),""))))</f>
        <v/>
      </c>
      <c r="H542" s="7" t="str">
        <f aca="false">IFERROR(INDEX('TRANS'!$C:$C,MATCH($B542,'TRANS'!$A:$A,0)),IFERROR(INDEX('Catalog'!$B:$B,MATCH($G542,'Catalog'!$A:$A,0)),$B542))</f>
        <v>EC-59RB L</v>
      </c>
      <c r="I542" s="7" t="str">
        <f aca="false">IF($G542="","Unmatched","Matched")</f>
        <v>Unmatched</v>
      </c>
      <c r="J542" s="7" t="str">
        <f aca="false">IF($G542&lt;&gt;"",$G542,$B542)</f>
        <v>EC-59RB L</v>
      </c>
      <c r="K542" s="7" t="str">
        <f aca="false">IF(COUNTIF($O$2:$O$16,$A542)&gt;0,"Y","N")</f>
        <v>N</v>
      </c>
    </row>
    <row r="543" customFormat="false" ht="15" hidden="false" customHeight="false" outlineLevel="0" collapsed="false">
      <c r="A543" s="7" t="s">
        <v>8</v>
      </c>
      <c r="B543" s="7" t="s">
        <v>581</v>
      </c>
      <c r="C543" s="8" t="n">
        <v>769</v>
      </c>
      <c r="D543" s="8" t="n">
        <v>135894.77</v>
      </c>
      <c r="E543" s="8" t="n">
        <v>1146</v>
      </c>
      <c r="F543" s="8" t="n">
        <v>183863.79</v>
      </c>
      <c r="G543" s="7" t="str">
        <f aca="false">IFERROR(INDEX('TRANS'!$B:$B,MATCH($B543,'TRANS'!$A:$A,0)),IFERROR(INDEX('TRANS'!$B:$B,MATCH(TRIM(SUBSTITUTE($B543,CHAR(160)," ")),'TRANS'!$D:$D,0)),IFERROR(INDEX('Catalog'!$A:$A,MATCH($B543,'Catalog'!$B:$B,0)),IFERROR(INDEX('Catalog'!$A:$A,MATCH(TRIM(SUBSTITUTE($B543,CHAR(160)," ")),'Catalog'!$C:$C,0)),""))))</f>
        <v/>
      </c>
      <c r="H543" s="7" t="str">
        <f aca="false">IFERROR(INDEX('TRANS'!$C:$C,MATCH($B543,'TRANS'!$A:$A,0)),IFERROR(INDEX('Catalog'!$B:$B,MATCH($G543,'Catalog'!$A:$A,0)),$B543))</f>
        <v>EC-59RB M</v>
      </c>
      <c r="I543" s="7" t="str">
        <f aca="false">IF($G543="","Unmatched","Matched")</f>
        <v>Unmatched</v>
      </c>
      <c r="J543" s="7" t="str">
        <f aca="false">IF($G543&lt;&gt;"",$G543,$B543)</f>
        <v>EC-59RB M</v>
      </c>
      <c r="K543" s="7" t="str">
        <f aca="false">IF(COUNTIF($O$2:$O$16,$A543)&gt;0,"Y","N")</f>
        <v>N</v>
      </c>
    </row>
    <row r="544" customFormat="false" ht="15" hidden="false" customHeight="false" outlineLevel="0" collapsed="false">
      <c r="A544" s="7" t="s">
        <v>8</v>
      </c>
      <c r="B544" s="7" t="s">
        <v>582</v>
      </c>
      <c r="C544" s="8" t="n">
        <v>384</v>
      </c>
      <c r="D544" s="8" t="n">
        <v>68602.16</v>
      </c>
      <c r="E544" s="8" t="n">
        <v>326</v>
      </c>
      <c r="F544" s="8" t="n">
        <v>51617.83</v>
      </c>
      <c r="G544" s="7" t="str">
        <f aca="false">IFERROR(INDEX('TRANS'!$B:$B,MATCH($B544,'TRANS'!$A:$A,0)),IFERROR(INDEX('TRANS'!$B:$B,MATCH(TRIM(SUBSTITUTE($B544,CHAR(160)," ")),'TRANS'!$D:$D,0)),IFERROR(INDEX('Catalog'!$A:$A,MATCH($B544,'Catalog'!$B:$B,0)),IFERROR(INDEX('Catalog'!$A:$A,MATCH(TRIM(SUBSTITUTE($B544,CHAR(160)," ")),'Catalog'!$C:$C,0)),""))))</f>
        <v/>
      </c>
      <c r="H544" s="7" t="str">
        <f aca="false">IFERROR(INDEX('TRANS'!$C:$C,MATCH($B544,'TRANS'!$A:$A,0)),IFERROR(INDEX('Catalog'!$B:$B,MATCH($G544,'Catalog'!$A:$A,0)),$B544))</f>
        <v>EC-59RB S</v>
      </c>
      <c r="I544" s="7" t="str">
        <f aca="false">IF($G544="","Unmatched","Matched")</f>
        <v>Unmatched</v>
      </c>
      <c r="J544" s="7" t="str">
        <f aca="false">IF($G544&lt;&gt;"",$G544,$B544)</f>
        <v>EC-59RB S</v>
      </c>
      <c r="K544" s="7" t="str">
        <f aca="false">IF(COUNTIF($O$2:$O$16,$A544)&gt;0,"Y","N")</f>
        <v>N</v>
      </c>
    </row>
    <row r="545" customFormat="false" ht="15" hidden="false" customHeight="false" outlineLevel="0" collapsed="false">
      <c r="A545" s="7" t="s">
        <v>8</v>
      </c>
      <c r="B545" s="7" t="s">
        <v>583</v>
      </c>
      <c r="C545" s="8" t="n">
        <v>37</v>
      </c>
      <c r="D545" s="8" t="n">
        <v>6510.26</v>
      </c>
      <c r="E545" s="8" t="n">
        <v>0</v>
      </c>
      <c r="F545" s="8" t="n">
        <v>0</v>
      </c>
      <c r="G545" s="7" t="str">
        <f aca="false">IFERROR(INDEX('TRANS'!$B:$B,MATCH($B545,'TRANS'!$A:$A,0)),IFERROR(INDEX('TRANS'!$B:$B,MATCH(TRIM(SUBSTITUTE($B545,CHAR(160)," ")),'TRANS'!$D:$D,0)),IFERROR(INDEX('Catalog'!$A:$A,MATCH($B545,'Catalog'!$B:$B,0)),IFERROR(INDEX('Catalog'!$A:$A,MATCH(TRIM(SUBSTITUTE($B545,CHAR(160)," ")),'Catalog'!$C:$C,0)),""))))</f>
        <v/>
      </c>
      <c r="H545" s="7" t="str">
        <f aca="false">IFERROR(INDEX('TRANS'!$C:$C,MATCH($B545,'TRANS'!$A:$A,0)),IFERROR(INDEX('Catalog'!$B:$B,MATCH($G545,'Catalog'!$A:$A,0)),$B545))</f>
        <v>EC-59RB XL</v>
      </c>
      <c r="I545" s="7" t="str">
        <f aca="false">IF($G545="","Unmatched","Matched")</f>
        <v>Unmatched</v>
      </c>
      <c r="J545" s="7" t="str">
        <f aca="false">IF($G545&lt;&gt;"",$G545,$B545)</f>
        <v>EC-59RB XL</v>
      </c>
      <c r="K545" s="7" t="str">
        <f aca="false">IF(COUNTIF($O$2:$O$16,$A545)&gt;0,"Y","N")</f>
        <v>N</v>
      </c>
    </row>
    <row r="546" customFormat="false" ht="15" hidden="false" customHeight="false" outlineLevel="0" collapsed="false">
      <c r="A546" s="7" t="s">
        <v>8</v>
      </c>
      <c r="B546" s="7" t="s">
        <v>584</v>
      </c>
      <c r="C546" s="8" t="n">
        <v>15</v>
      </c>
      <c r="D546" s="8" t="n">
        <v>2644.47</v>
      </c>
      <c r="E546" s="8" t="n">
        <v>15</v>
      </c>
      <c r="F546" s="8" t="n">
        <v>2265.72</v>
      </c>
      <c r="G546" s="7" t="str">
        <f aca="false">IFERROR(INDEX('TRANS'!$B:$B,MATCH($B546,'TRANS'!$A:$A,0)),IFERROR(INDEX('TRANS'!$B:$B,MATCH(TRIM(SUBSTITUTE($B546,CHAR(160)," ")),'TRANS'!$D:$D,0)),IFERROR(INDEX('Catalog'!$A:$A,MATCH($B546,'Catalog'!$B:$B,0)),IFERROR(INDEX('Catalog'!$A:$A,MATCH(TRIM(SUBSTITUTE($B546,CHAR(160)," ")),'Catalog'!$C:$C,0)),""))))</f>
        <v/>
      </c>
      <c r="H546" s="7" t="str">
        <f aca="false">IFERROR(INDEX('TRANS'!$C:$C,MATCH($B546,'TRANS'!$A:$A,0)),IFERROR(INDEX('Catalog'!$B:$B,MATCH($G546,'Catalog'!$A:$A,0)),$B546))</f>
        <v>EC-59RB XXL</v>
      </c>
      <c r="I546" s="7" t="str">
        <f aca="false">IF($G546="","Unmatched","Matched")</f>
        <v>Unmatched</v>
      </c>
      <c r="J546" s="7" t="str">
        <f aca="false">IF($G546&lt;&gt;"",$G546,$B546)</f>
        <v>EC-59RB XXL</v>
      </c>
      <c r="K546" s="7" t="str">
        <f aca="false">IF(COUNTIF($O$2:$O$16,$A546)&gt;0,"Y","N")</f>
        <v>N</v>
      </c>
    </row>
    <row r="547" customFormat="false" ht="15" hidden="false" customHeight="false" outlineLevel="0" collapsed="false">
      <c r="A547" s="7" t="s">
        <v>8</v>
      </c>
      <c r="B547" s="7" t="s">
        <v>585</v>
      </c>
      <c r="C547" s="8" t="n">
        <v>0</v>
      </c>
      <c r="D547" s="8" t="n">
        <v>42266.02</v>
      </c>
      <c r="E547" s="8" t="n">
        <v>0</v>
      </c>
      <c r="F547" s="8" t="n">
        <v>0</v>
      </c>
      <c r="G547" s="7" t="str">
        <f aca="false">IFERROR(INDEX('TRANS'!$B:$B,MATCH($B547,'TRANS'!$A:$A,0)),IFERROR(INDEX('TRANS'!$B:$B,MATCH(TRIM(SUBSTITUTE($B547,CHAR(160)," ")),'TRANS'!$D:$D,0)),IFERROR(INDEX('Catalog'!$A:$A,MATCH($B547,'Catalog'!$B:$B,0)),IFERROR(INDEX('Catalog'!$A:$A,MATCH(TRIM(SUBSTITUTE($B547,CHAR(160)," ")),'Catalog'!$C:$C,0)),""))))</f>
        <v/>
      </c>
      <c r="H547" s="7" t="str">
        <f aca="false">IFERROR(INDEX('TRANS'!$C:$C,MATCH($B547,'TRANS'!$A:$A,0)),IFERROR(INDEX('Catalog'!$B:$B,MATCH($G547,'Catalog'!$A:$A,0)),$B547))</f>
        <v>EC-DIFF</v>
      </c>
      <c r="I547" s="7" t="str">
        <f aca="false">IF($G547="","Unmatched","Matched")</f>
        <v>Unmatched</v>
      </c>
      <c r="J547" s="7" t="str">
        <f aca="false">IF($G547&lt;&gt;"",$G547,$B547)</f>
        <v>EC-DIFF</v>
      </c>
      <c r="K547" s="7" t="str">
        <f aca="false">IF(COUNTIF($O$2:$O$16,$A547)&gt;0,"Y","N")</f>
        <v>N</v>
      </c>
    </row>
    <row r="548" customFormat="false" ht="15" hidden="false" customHeight="false" outlineLevel="0" collapsed="false">
      <c r="A548" s="7" t="s">
        <v>8</v>
      </c>
      <c r="B548" s="7" t="s">
        <v>380</v>
      </c>
      <c r="C548" s="8" t="n">
        <v>3</v>
      </c>
      <c r="D548" s="8" t="n">
        <v>219.63</v>
      </c>
      <c r="E548" s="8" t="n">
        <v>22</v>
      </c>
      <c r="F548" s="8" t="n">
        <v>1355.94</v>
      </c>
      <c r="G548" s="7" t="n">
        <f aca="false">IFERROR(INDEX('TRANS'!$B:$B,MATCH($B548,'TRANS'!$A:$A,0)),IFERROR(INDEX('TRANS'!$B:$B,MATCH(TRIM(SUBSTITUTE($B548,CHAR(160)," ")),'TRANS'!$D:$D,0)),IFERROR(INDEX('Catalog'!$A:$A,MATCH($B548,'Catalog'!$B:$B,0)),IFERROR(INDEX('Catalog'!$A:$A,MATCH(TRIM(SUBSTITUTE($B548,CHAR(160)," ")),'Catalog'!$C:$C,0)),""))))</f>
        <v>4408208</v>
      </c>
      <c r="H548" s="7" t="str">
        <f aca="false">IFERROR(INDEX('TRANS'!$C:$C,MATCH($B548,'TRANS'!$A:$A,0)),IFERROR(INDEX('Catalog'!$B:$B,MATCH($G548,'Catalog'!$A:$A,0)),$B548))</f>
        <v>AC91 חבק טניס</v>
      </c>
      <c r="I548" s="7" t="str">
        <f aca="false">IF($G548="","Unmatched","Matched")</f>
        <v>Matched</v>
      </c>
      <c r="J548" s="7" t="n">
        <f aca="false">IF($G548&lt;&gt;"",$G548,$B548)</f>
        <v>4408208</v>
      </c>
      <c r="K548" s="7" t="str">
        <f aca="false">IF(COUNTIF($O$2:$O$16,$A548)&gt;0,"Y","N")</f>
        <v>N</v>
      </c>
    </row>
    <row r="549" customFormat="false" ht="15" hidden="false" customHeight="false" outlineLevel="0" collapsed="false">
      <c r="A549" s="7" t="s">
        <v>8</v>
      </c>
      <c r="B549" s="7" t="s">
        <v>586</v>
      </c>
      <c r="C549" s="8" t="n">
        <v>0</v>
      </c>
      <c r="D549" s="8" t="n">
        <v>0</v>
      </c>
      <c r="E549" s="8" t="n">
        <v>7</v>
      </c>
      <c r="F549" s="8" t="n">
        <v>314.59</v>
      </c>
      <c r="G549" s="7" t="str">
        <f aca="false">IFERROR(INDEX('TRANS'!$B:$B,MATCH($B549,'TRANS'!$A:$A,0)),IFERROR(INDEX('TRANS'!$B:$B,MATCH(TRIM(SUBSTITUTE($B549,CHAR(160)," ")),'TRANS'!$D:$D,0)),IFERROR(INDEX('Catalog'!$A:$A,MATCH($B549,'Catalog'!$B:$B,0)),IFERROR(INDEX('Catalog'!$A:$A,MATCH(TRIM(SUBSTITUTE($B549,CHAR(160)," ")),'Catalog'!$C:$C,0)),""))))</f>
        <v/>
      </c>
      <c r="H549" s="7" t="str">
        <f aca="false">IFERROR(INDEX('TRANS'!$C:$C,MATCH($B549,'TRANS'!$A:$A,0)),IFERROR(INDEX('Catalog'!$B:$B,MATCH($G549,'Catalog'!$A:$A,0)),$B549))</f>
        <v>AC95</v>
      </c>
      <c r="I549" s="7" t="str">
        <f aca="false">IF($G549="","Unmatched","Matched")</f>
        <v>Unmatched</v>
      </c>
      <c r="J549" s="7" t="str">
        <f aca="false">IF($G549&lt;&gt;"",$G549,$B549)</f>
        <v>AC95</v>
      </c>
      <c r="K549" s="7" t="str">
        <f aca="false">IF(COUNTIF($O$2:$O$16,$A549)&gt;0,"Y","N")</f>
        <v>N</v>
      </c>
    </row>
    <row r="550" customFormat="false" ht="15" hidden="false" customHeight="false" outlineLevel="0" collapsed="false">
      <c r="A550" s="7" t="s">
        <v>8</v>
      </c>
      <c r="B550" s="7" t="s">
        <v>587</v>
      </c>
      <c r="C550" s="8" t="n">
        <v>1</v>
      </c>
      <c r="D550" s="8" t="n">
        <v>46.39</v>
      </c>
      <c r="E550" s="8" t="n">
        <v>0</v>
      </c>
      <c r="F550" s="8" t="n">
        <v>0</v>
      </c>
      <c r="G550" s="7" t="str">
        <f aca="false">IFERROR(INDEX('TRANS'!$B:$B,MATCH($B550,'TRANS'!$A:$A,0)),IFERROR(INDEX('TRANS'!$B:$B,MATCH(TRIM(SUBSTITUTE($B550,CHAR(160)," ")),'TRANS'!$D:$D,0)),IFERROR(INDEX('Catalog'!$A:$A,MATCH($B550,'Catalog'!$B:$B,0)),IFERROR(INDEX('Catalog'!$A:$A,MATCH(TRIM(SUBSTITUTE($B550,CHAR(160)," ")),'Catalog'!$C:$C,0)),""))))</f>
        <v/>
      </c>
      <c r="H550" s="7" t="str">
        <f aca="false">IFERROR(INDEX('TRANS'!$C:$C,MATCH($B550,'TRANS'!$A:$A,0)),IFERROR(INDEX('Catalog'!$B:$B,MATCH($G550,'Catalog'!$A:$A,0)),$B550))</f>
        <v>FC3162 0</v>
      </c>
      <c r="I550" s="7" t="str">
        <f aca="false">IF($G550="","Unmatched","Matched")</f>
        <v>Unmatched</v>
      </c>
      <c r="J550" s="7" t="str">
        <f aca="false">IF($G550&lt;&gt;"",$G550,$B550)</f>
        <v>FC3162 0</v>
      </c>
      <c r="K550" s="7" t="str">
        <f aca="false">IF(COUNTIF($O$2:$O$16,$A550)&gt;0,"Y","N")</f>
        <v>N</v>
      </c>
    </row>
    <row r="551" customFormat="false" ht="15" hidden="false" customHeight="false" outlineLevel="0" collapsed="false">
      <c r="A551" s="7" t="s">
        <v>8</v>
      </c>
      <c r="B551" s="7" t="s">
        <v>498</v>
      </c>
      <c r="C551" s="8" t="n">
        <v>16341</v>
      </c>
      <c r="D551" s="8" t="n">
        <v>1097384.48</v>
      </c>
      <c r="E551" s="8" t="n">
        <v>11785</v>
      </c>
      <c r="F551" s="8" t="n">
        <v>705962.26</v>
      </c>
      <c r="G551" s="7" t="n">
        <f aca="false">IFERROR(INDEX('TRANS'!$B:$B,MATCH($B551,'TRANS'!$A:$A,0)),IFERROR(INDEX('TRANS'!$B:$B,MATCH(TRIM(SUBSTITUTE($B551,CHAR(160)," ")),'TRANS'!$D:$D,0)),IFERROR(INDEX('Catalog'!$A:$A,MATCH($B551,'Catalog'!$B:$B,0)),IFERROR(INDEX('Catalog'!$A:$A,MATCH(TRIM(SUBSTITUTE($B551,CHAR(160)," ")),'Catalog'!$C:$C,0)),""))))</f>
        <v>4414000</v>
      </c>
      <c r="H551" s="7" t="str">
        <f aca="false">IFERROR(INDEX('TRANS'!$C:$C,MATCH($B551,'TRANS'!$A:$A,0)),IFERROR(INDEX('Catalog'!$B:$B,MATCH($G551,'Catalog'!$A:$A,0)),$B551))</f>
        <v>FC342-נוזל לציפורן חודרנית</v>
      </c>
      <c r="I551" s="7" t="str">
        <f aca="false">IF($G551="","Unmatched","Matched")</f>
        <v>Matched</v>
      </c>
      <c r="J551" s="7" t="n">
        <f aca="false">IF($G551&lt;&gt;"",$G551,$B551)</f>
        <v>4414000</v>
      </c>
      <c r="K551" s="7" t="str">
        <f aca="false">IF(COUNTIF($O$2:$O$16,$A551)&gt;0,"Y","N")</f>
        <v>N</v>
      </c>
    </row>
    <row r="552" customFormat="false" ht="15" hidden="false" customHeight="false" outlineLevel="0" collapsed="false">
      <c r="A552" s="7" t="s">
        <v>8</v>
      </c>
      <c r="B552" s="7" t="s">
        <v>588</v>
      </c>
      <c r="C552" s="8" t="n">
        <v>1355</v>
      </c>
      <c r="D552" s="8" t="n">
        <v>109768.29</v>
      </c>
      <c r="E552" s="8" t="n">
        <v>750</v>
      </c>
      <c r="F552" s="8" t="n">
        <v>56592.53</v>
      </c>
      <c r="G552" s="7" t="str">
        <f aca="false">IFERROR(INDEX('TRANS'!$B:$B,MATCH($B552,'TRANS'!$A:$A,0)),IFERROR(INDEX('TRANS'!$B:$B,MATCH(TRIM(SUBSTITUTE($B552,CHAR(160)," ")),'TRANS'!$D:$D,0)),IFERROR(INDEX('Catalog'!$A:$A,MATCH($B552,'Catalog'!$B:$B,0)),IFERROR(INDEX('Catalog'!$A:$A,MATCH(TRIM(SUBSTITUTE($B552,CHAR(160)," ")),'Catalog'!$C:$C,0)),""))))</f>
        <v/>
      </c>
      <c r="H552" s="7" t="str">
        <f aca="false">IFERROR(INDEX('TRANS'!$C:$C,MATCH($B552,'TRANS'!$A:$A,0)),IFERROR(INDEX('Catalog'!$B:$B,MATCH($G552,'Catalog'!$A:$A,0)),$B552))</f>
        <v>FC3422 0</v>
      </c>
      <c r="I552" s="7" t="str">
        <f aca="false">IF($G552="","Unmatched","Matched")</f>
        <v>Unmatched</v>
      </c>
      <c r="J552" s="7" t="str">
        <f aca="false">IF($G552&lt;&gt;"",$G552,$B552)</f>
        <v>FC3422 0</v>
      </c>
      <c r="K552" s="7" t="str">
        <f aca="false">IF(COUNTIF($O$2:$O$16,$A552)&gt;0,"Y","N")</f>
        <v>N</v>
      </c>
    </row>
    <row r="553" customFormat="false" ht="15" hidden="false" customHeight="false" outlineLevel="0" collapsed="false">
      <c r="A553" s="7" t="s">
        <v>8</v>
      </c>
      <c r="B553" s="7" t="s">
        <v>589</v>
      </c>
      <c r="C553" s="8" t="n">
        <v>1189</v>
      </c>
      <c r="D553" s="8" t="n">
        <v>85731.85</v>
      </c>
      <c r="E553" s="8" t="n">
        <v>475</v>
      </c>
      <c r="F553" s="8" t="n">
        <v>32628.14</v>
      </c>
      <c r="G553" s="7" t="str">
        <f aca="false">IFERROR(INDEX('TRANS'!$B:$B,MATCH($B553,'TRANS'!$A:$A,0)),IFERROR(INDEX('TRANS'!$B:$B,MATCH(TRIM(SUBSTITUTE($B553,CHAR(160)," ")),'TRANS'!$D:$D,0)),IFERROR(INDEX('Catalog'!$A:$A,MATCH($B553,'Catalog'!$B:$B,0)),IFERROR(INDEX('Catalog'!$A:$A,MATCH(TRIM(SUBSTITUTE($B553,CHAR(160)," ")),'Catalog'!$C:$C,0)),""))))</f>
        <v/>
      </c>
      <c r="H553" s="7" t="str">
        <f aca="false">IFERROR(INDEX('TRANS'!$C:$C,MATCH($B553,'TRANS'!$A:$A,0)),IFERROR(INDEX('Catalog'!$B:$B,MATCH($G553,'Catalog'!$A:$A,0)),$B553))</f>
        <v>FC342K 0</v>
      </c>
      <c r="I553" s="7" t="str">
        <f aca="false">IF($G553="","Unmatched","Matched")</f>
        <v>Unmatched</v>
      </c>
      <c r="J553" s="7" t="str">
        <f aca="false">IF($G553&lt;&gt;"",$G553,$B553)</f>
        <v>FC342K 0</v>
      </c>
      <c r="K553" s="7" t="str">
        <f aca="false">IF(COUNTIF($O$2:$O$16,$A553)&gt;0,"Y","N")</f>
        <v>N</v>
      </c>
    </row>
    <row r="554" customFormat="false" ht="15" hidden="false" customHeight="false" outlineLevel="0" collapsed="false">
      <c r="A554" s="7" t="s">
        <v>8</v>
      </c>
      <c r="B554" s="7" t="s">
        <v>590</v>
      </c>
      <c r="C554" s="8" t="n">
        <v>0</v>
      </c>
      <c r="D554" s="8" t="n">
        <v>0</v>
      </c>
      <c r="E554" s="8" t="n">
        <v>26</v>
      </c>
      <c r="F554" s="8" t="n">
        <v>2172.93</v>
      </c>
      <c r="G554" s="7" t="str">
        <f aca="false">IFERROR(INDEX('TRANS'!$B:$B,MATCH($B554,'TRANS'!$A:$A,0)),IFERROR(INDEX('TRANS'!$B:$B,MATCH(TRIM(SUBSTITUTE($B554,CHAR(160)," ")),'TRANS'!$D:$D,0)),IFERROR(INDEX('Catalog'!$A:$A,MATCH($B554,'Catalog'!$B:$B,0)),IFERROR(INDEX('Catalog'!$A:$A,MATCH(TRIM(SUBSTITUTE($B554,CHAR(160)," ")),'Catalog'!$C:$C,0)),""))))</f>
        <v/>
      </c>
      <c r="H554" s="7" t="str">
        <f aca="false">IFERROR(INDEX('TRANS'!$C:$C,MATCH($B554,'TRANS'!$A:$A,0)),IFERROR(INDEX('Catalog'!$B:$B,MATCH($G554,'Catalog'!$A:$A,0)),$B554))</f>
        <v>TC342 0</v>
      </c>
      <c r="I554" s="7" t="str">
        <f aca="false">IF($G554="","Unmatched","Matched")</f>
        <v>Unmatched</v>
      </c>
      <c r="J554" s="7" t="str">
        <f aca="false">IF($G554&lt;&gt;"",$G554,$B554)</f>
        <v>TC342 0</v>
      </c>
      <c r="K554" s="7" t="str">
        <f aca="false">IF(COUNTIF($O$2:$O$16,$A554)&gt;0,"Y","N")</f>
        <v>N</v>
      </c>
    </row>
    <row r="555" customFormat="false" ht="15" hidden="false" customHeight="false" outlineLevel="0" collapsed="false">
      <c r="A555" s="7" t="s">
        <v>35</v>
      </c>
      <c r="B555" s="7" t="s">
        <v>591</v>
      </c>
      <c r="C555" s="8" t="n">
        <v>10</v>
      </c>
      <c r="D555" s="8" t="n">
        <v>700.18</v>
      </c>
      <c r="E555" s="8" t="n">
        <v>0</v>
      </c>
      <c r="F555" s="8" t="n">
        <v>0</v>
      </c>
      <c r="G555" s="7" t="n">
        <f aca="false">IFERROR(INDEX('TRANS'!$B:$B,MATCH($B555,'TRANS'!$A:$A,0)),IFERROR(INDEX('TRANS'!$B:$B,MATCH(TRIM(SUBSTITUTE($B555,CHAR(160)," ")),'TRANS'!$D:$D,0)),IFERROR(INDEX('Catalog'!$A:$A,MATCH($B555,'Catalog'!$B:$B,0)),IFERROR(INDEX('Catalog'!$A:$A,MATCH(TRIM(SUBSTITUTE($B555,CHAR(160)," ")),'Catalog'!$C:$C,0)),""))))</f>
        <v>4408245</v>
      </c>
      <c r="H555" s="7" t="str">
        <f aca="false">IFERROR(INDEX('TRANS'!$C:$C,MATCH($B555,'TRANS'!$A:$A,0)),IFERROR(INDEX('Catalog'!$B:$B,MATCH($G555,'Catalog'!$A:$A,0)),$B555))</f>
        <v>077A   XXL חגורת גב עם חיזוקים</v>
      </c>
      <c r="I555" s="7" t="str">
        <f aca="false">IF($G555="","Unmatched","Matched")</f>
        <v>Matched</v>
      </c>
      <c r="J555" s="7" t="n">
        <f aca="false">IF($G555&lt;&gt;"",$G555,$B555)</f>
        <v>4408245</v>
      </c>
      <c r="K555" s="7" t="str">
        <f aca="false">IF(COUNTIF($O$2:$O$16,$A555)&gt;0,"Y","N")</f>
        <v>Y</v>
      </c>
    </row>
    <row r="556" customFormat="false" ht="15" hidden="false" customHeight="false" outlineLevel="0" collapsed="false">
      <c r="A556" s="7" t="s">
        <v>35</v>
      </c>
      <c r="B556" s="7" t="s">
        <v>592</v>
      </c>
      <c r="C556" s="8" t="n">
        <v>30</v>
      </c>
      <c r="D556" s="8" t="n">
        <v>2100.53</v>
      </c>
      <c r="E556" s="8" t="n">
        <v>0</v>
      </c>
      <c r="F556" s="8" t="n">
        <v>0</v>
      </c>
      <c r="G556" s="7" t="n">
        <f aca="false">IFERROR(INDEX('TRANS'!$B:$B,MATCH($B556,'TRANS'!$A:$A,0)),IFERROR(INDEX('TRANS'!$B:$B,MATCH(TRIM(SUBSTITUTE($B556,CHAR(160)," ")),'TRANS'!$D:$D,0)),IFERROR(INDEX('Catalog'!$A:$A,MATCH($B556,'Catalog'!$B:$B,0)),IFERROR(INDEX('Catalog'!$A:$A,MATCH(TRIM(SUBSTITUTE($B556,CHAR(160)," ")),'Catalog'!$C:$C,0)),""))))</f>
        <v>4408135</v>
      </c>
      <c r="H556" s="7" t="str">
        <f aca="false">IFERROR(INDEX('TRANS'!$C:$C,MATCH($B556,'TRANS'!$A:$A,0)),IFERROR(INDEX('Catalog'!$B:$B,MATCH($G556,'Catalog'!$A:$A,0)),$B556))</f>
        <v>077A L-XLחגורת גב</v>
      </c>
      <c r="I556" s="7" t="str">
        <f aca="false">IF($G556="","Unmatched","Matched")</f>
        <v>Matched</v>
      </c>
      <c r="J556" s="7" t="n">
        <f aca="false">IF($G556&lt;&gt;"",$G556,$B556)</f>
        <v>4408135</v>
      </c>
      <c r="K556" s="7" t="str">
        <f aca="false">IF(COUNTIF($O$2:$O$16,$A556)&gt;0,"Y","N")</f>
        <v>Y</v>
      </c>
    </row>
    <row r="557" customFormat="false" ht="15" hidden="false" customHeight="false" outlineLevel="0" collapsed="false">
      <c r="A557" s="7" t="s">
        <v>35</v>
      </c>
      <c r="B557" s="7" t="s">
        <v>593</v>
      </c>
      <c r="C557" s="8" t="n">
        <v>20</v>
      </c>
      <c r="D557" s="8" t="n">
        <v>1400.36</v>
      </c>
      <c r="E557" s="8" t="n">
        <v>0</v>
      </c>
      <c r="F557" s="8" t="n">
        <v>0</v>
      </c>
      <c r="G557" s="7" t="n">
        <f aca="false">IFERROR(INDEX('TRANS'!$B:$B,MATCH($B557,'TRANS'!$A:$A,0)),IFERROR(INDEX('TRANS'!$B:$B,MATCH(TRIM(SUBSTITUTE($B557,CHAR(160)," ")),'TRANS'!$D:$D,0)),IFERROR(INDEX('Catalog'!$A:$A,MATCH($B557,'Catalog'!$B:$B,0)),IFERROR(INDEX('Catalog'!$A:$A,MATCH(TRIM(SUBSTITUTE($B557,CHAR(160)," ")),'Catalog'!$C:$C,0)),""))))</f>
        <v>4408134</v>
      </c>
      <c r="H557" s="7" t="str">
        <f aca="false">IFERROR(INDEX('TRANS'!$C:$C,MATCH($B557,'TRANS'!$A:$A,0)),IFERROR(INDEX('Catalog'!$B:$B,MATCH($G557,'Catalog'!$A:$A,0)),$B557))</f>
        <v>077A S-M חגורת גב</v>
      </c>
      <c r="I557" s="7" t="str">
        <f aca="false">IF($G557="","Unmatched","Matched")</f>
        <v>Matched</v>
      </c>
      <c r="J557" s="7" t="n">
        <f aca="false">IF($G557&lt;&gt;"",$G557,$B557)</f>
        <v>4408134</v>
      </c>
      <c r="K557" s="7" t="str">
        <f aca="false">IF(COUNTIF($O$2:$O$16,$A557)&gt;0,"Y","N")</f>
        <v>Y</v>
      </c>
    </row>
    <row r="558" customFormat="false" ht="15" hidden="false" customHeight="false" outlineLevel="0" collapsed="false">
      <c r="A558" s="7" t="s">
        <v>35</v>
      </c>
      <c r="B558" s="7" t="s">
        <v>276</v>
      </c>
      <c r="C558" s="8" t="n">
        <v>20</v>
      </c>
      <c r="D558" s="8" t="n">
        <v>1149.21</v>
      </c>
      <c r="E558" s="8" t="n">
        <v>0</v>
      </c>
      <c r="F558" s="8" t="n">
        <v>0</v>
      </c>
      <c r="G558" s="7" t="n">
        <f aca="false">IFERROR(INDEX('TRANS'!$B:$B,MATCH($B558,'TRANS'!$A:$A,0)),IFERROR(INDEX('TRANS'!$B:$B,MATCH(TRIM(SUBSTITUTE($B558,CHAR(160)," ")),'TRANS'!$D:$D,0)),IFERROR(INDEX('Catalog'!$A:$A,MATCH($B558,'Catalog'!$B:$B,0)),IFERROR(INDEX('Catalog'!$A:$A,MATCH(TRIM(SUBSTITUTE($B558,CHAR(160)," ")),'Catalog'!$C:$C,0)),""))))</f>
        <v>4408221</v>
      </c>
      <c r="H558" s="7" t="str">
        <f aca="false">IFERROR(INDEX('TRANS'!$C:$C,MATCH($B558,'TRANS'!$A:$A,0)),IFERROR(INDEX('Catalog'!$B:$B,MATCH($G558,'Catalog'!$A:$A,0)),$B558))</f>
        <v>078G-L חגורת גב אפורה</v>
      </c>
      <c r="I558" s="7" t="str">
        <f aca="false">IF($G558="","Unmatched","Matched")</f>
        <v>Matched</v>
      </c>
      <c r="J558" s="7" t="n">
        <f aca="false">IF($G558&lt;&gt;"",$G558,$B558)</f>
        <v>4408221</v>
      </c>
      <c r="K558" s="7" t="str">
        <f aca="false">IF(COUNTIF($O$2:$O$16,$A558)&gt;0,"Y","N")</f>
        <v>Y</v>
      </c>
    </row>
    <row r="559" customFormat="false" ht="15" hidden="false" customHeight="false" outlineLevel="0" collapsed="false">
      <c r="A559" s="7" t="s">
        <v>35</v>
      </c>
      <c r="B559" s="7" t="s">
        <v>277</v>
      </c>
      <c r="C559" s="8" t="n">
        <v>15</v>
      </c>
      <c r="D559" s="8" t="n">
        <v>861.91</v>
      </c>
      <c r="E559" s="8" t="n">
        <v>0</v>
      </c>
      <c r="F559" s="8" t="n">
        <v>0</v>
      </c>
      <c r="G559" s="7" t="n">
        <f aca="false">IFERROR(INDEX('TRANS'!$B:$B,MATCH($B559,'TRANS'!$A:$A,0)),IFERROR(INDEX('TRANS'!$B:$B,MATCH(TRIM(SUBSTITUTE($B559,CHAR(160)," ")),'TRANS'!$D:$D,0)),IFERROR(INDEX('Catalog'!$A:$A,MATCH($B559,'Catalog'!$B:$B,0)),IFERROR(INDEX('Catalog'!$A:$A,MATCH(TRIM(SUBSTITUTE($B559,CHAR(160)," ")),'Catalog'!$C:$C,0)),""))))</f>
        <v>4408220</v>
      </c>
      <c r="H559" s="7" t="str">
        <f aca="false">IFERROR(INDEX('TRANS'!$C:$C,MATCH($B559,'TRANS'!$A:$A,0)),IFERROR(INDEX('Catalog'!$B:$B,MATCH($G559,'Catalog'!$A:$A,0)),$B559))</f>
        <v>078G-M חגורת גב אפורה</v>
      </c>
      <c r="I559" s="7" t="str">
        <f aca="false">IF($G559="","Unmatched","Matched")</f>
        <v>Matched</v>
      </c>
      <c r="J559" s="7" t="n">
        <f aca="false">IF($G559&lt;&gt;"",$G559,$B559)</f>
        <v>4408220</v>
      </c>
      <c r="K559" s="7" t="str">
        <f aca="false">IF(COUNTIF($O$2:$O$16,$A559)&gt;0,"Y","N")</f>
        <v>Y</v>
      </c>
    </row>
    <row r="560" customFormat="false" ht="15" hidden="false" customHeight="false" outlineLevel="0" collapsed="false">
      <c r="A560" s="7" t="s">
        <v>35</v>
      </c>
      <c r="B560" s="7" t="s">
        <v>278</v>
      </c>
      <c r="C560" s="8" t="n">
        <v>10</v>
      </c>
      <c r="D560" s="8" t="n">
        <v>574.61</v>
      </c>
      <c r="E560" s="8" t="n">
        <v>0</v>
      </c>
      <c r="F560" s="8" t="n">
        <v>0</v>
      </c>
      <c r="G560" s="7" t="n">
        <f aca="false">IFERROR(INDEX('TRANS'!$B:$B,MATCH($B560,'TRANS'!$A:$A,0)),IFERROR(INDEX('TRANS'!$B:$B,MATCH(TRIM(SUBSTITUTE($B560,CHAR(160)," ")),'TRANS'!$D:$D,0)),IFERROR(INDEX('Catalog'!$A:$A,MATCH($B560,'Catalog'!$B:$B,0)),IFERROR(INDEX('Catalog'!$A:$A,MATCH(TRIM(SUBSTITUTE($B560,CHAR(160)," ")),'Catalog'!$C:$C,0)),""))))</f>
        <v>4408219</v>
      </c>
      <c r="H560" s="7" t="str">
        <f aca="false">IFERROR(INDEX('TRANS'!$C:$C,MATCH($B560,'TRANS'!$A:$A,0)),IFERROR(INDEX('Catalog'!$B:$B,MATCH($G560,'Catalog'!$A:$A,0)),$B560))</f>
        <v>078G-S חגורת גב אפורה</v>
      </c>
      <c r="I560" s="7" t="str">
        <f aca="false">IF($G560="","Unmatched","Matched")</f>
        <v>Matched</v>
      </c>
      <c r="J560" s="7" t="n">
        <f aca="false">IF($G560&lt;&gt;"",$G560,$B560)</f>
        <v>4408219</v>
      </c>
      <c r="K560" s="7" t="str">
        <f aca="false">IF(COUNTIF($O$2:$O$16,$A560)&gt;0,"Y","N")</f>
        <v>Y</v>
      </c>
    </row>
    <row r="561" customFormat="false" ht="15" hidden="false" customHeight="false" outlineLevel="0" collapsed="false">
      <c r="A561" s="7" t="s">
        <v>35</v>
      </c>
      <c r="B561" s="7" t="s">
        <v>279</v>
      </c>
      <c r="C561" s="8" t="n">
        <v>20</v>
      </c>
      <c r="D561" s="8" t="n">
        <v>1149.21</v>
      </c>
      <c r="E561" s="8" t="n">
        <v>0</v>
      </c>
      <c r="F561" s="8" t="n">
        <v>0</v>
      </c>
      <c r="G561" s="7" t="n">
        <f aca="false">IFERROR(INDEX('TRANS'!$B:$B,MATCH($B561,'TRANS'!$A:$A,0)),IFERROR(INDEX('TRANS'!$B:$B,MATCH(TRIM(SUBSTITUTE($B561,CHAR(160)," ")),'TRANS'!$D:$D,0)),IFERROR(INDEX('Catalog'!$A:$A,MATCH($B561,'Catalog'!$B:$B,0)),IFERROR(INDEX('Catalog'!$A:$A,MATCH(TRIM(SUBSTITUTE($B561,CHAR(160)," ")),'Catalog'!$C:$C,0)),""))))</f>
        <v>4408222</v>
      </c>
      <c r="H561" s="7" t="str">
        <f aca="false">IFERROR(INDEX('TRANS'!$C:$C,MATCH($B561,'TRANS'!$A:$A,0)),IFERROR(INDEX('Catalog'!$B:$B,MATCH($G561,'Catalog'!$A:$A,0)),$B561))</f>
        <v>078G-XLחגורת גב אפורה</v>
      </c>
      <c r="I561" s="7" t="str">
        <f aca="false">IF($G561="","Unmatched","Matched")</f>
        <v>Matched</v>
      </c>
      <c r="J561" s="7" t="n">
        <f aca="false">IF($G561&lt;&gt;"",$G561,$B561)</f>
        <v>4408222</v>
      </c>
      <c r="K561" s="7" t="str">
        <f aca="false">IF(COUNTIF($O$2:$O$16,$A561)&gt;0,"Y","N")</f>
        <v>Y</v>
      </c>
    </row>
    <row r="562" customFormat="false" ht="15" hidden="false" customHeight="false" outlineLevel="0" collapsed="false">
      <c r="A562" s="7" t="s">
        <v>35</v>
      </c>
      <c r="B562" s="7" t="s">
        <v>280</v>
      </c>
      <c r="C562" s="8" t="n">
        <v>10</v>
      </c>
      <c r="D562" s="8" t="n">
        <v>574.61</v>
      </c>
      <c r="E562" s="8" t="n">
        <v>0</v>
      </c>
      <c r="F562" s="8" t="n">
        <v>0</v>
      </c>
      <c r="G562" s="7" t="n">
        <f aca="false">IFERROR(INDEX('TRANS'!$B:$B,MATCH($B562,'TRANS'!$A:$A,0)),IFERROR(INDEX('TRANS'!$B:$B,MATCH(TRIM(SUBSTITUTE($B562,CHAR(160)," ")),'TRANS'!$D:$D,0)),IFERROR(INDEX('Catalog'!$A:$A,MATCH($B562,'Catalog'!$B:$B,0)),IFERROR(INDEX('Catalog'!$A:$A,MATCH(TRIM(SUBSTITUTE($B562,CHAR(160)," ")),'Catalog'!$C:$C,0)),""))))</f>
        <v>4408223</v>
      </c>
      <c r="H562" s="7" t="str">
        <f aca="false">IFERROR(INDEX('TRANS'!$C:$C,MATCH($B562,'TRANS'!$A:$A,0)),IFERROR(INDEX('Catalog'!$B:$B,MATCH($G562,'Catalog'!$A:$A,0)),$B562))</f>
        <v>078G-XXLחגורת גב אפורה</v>
      </c>
      <c r="I562" s="7" t="str">
        <f aca="false">IF($G562="","Unmatched","Matched")</f>
        <v>Matched</v>
      </c>
      <c r="J562" s="7" t="n">
        <f aca="false">IF($G562&lt;&gt;"",$G562,$B562)</f>
        <v>4408223</v>
      </c>
      <c r="K562" s="7" t="str">
        <f aca="false">IF(COUNTIF($O$2:$O$16,$A562)&gt;0,"Y","N")</f>
        <v>Y</v>
      </c>
    </row>
    <row r="563" customFormat="false" ht="15" hidden="false" customHeight="false" outlineLevel="0" collapsed="false">
      <c r="A563" s="7" t="s">
        <v>35</v>
      </c>
      <c r="B563" s="7" t="s">
        <v>187</v>
      </c>
      <c r="C563" s="8" t="n">
        <v>10</v>
      </c>
      <c r="D563" s="8" t="n">
        <v>974.16</v>
      </c>
      <c r="E563" s="8" t="n">
        <v>0</v>
      </c>
      <c r="F563" s="8" t="n">
        <v>0</v>
      </c>
      <c r="G563" s="7" t="str">
        <f aca="false">IFERROR(INDEX('TRANS'!$B:$B,MATCH($B563,'TRANS'!$A:$A,0)),IFERROR(INDEX('TRANS'!$B:$B,MATCH(TRIM(SUBSTITUTE($B563,CHAR(160)," ")),'TRANS'!$D:$D,0)),IFERROR(INDEX('Catalog'!$A:$A,MATCH($B563,'Catalog'!$B:$B,0)),IFERROR(INDEX('Catalog'!$A:$A,MATCH(TRIM(SUBSTITUTE($B563,CHAR(160)," ")),'Catalog'!$C:$C,0)),""))))</f>
        <v/>
      </c>
      <c r="H563" s="7" t="str">
        <f aca="false">IFERROR(INDEX('TRANS'!$C:$C,MATCH($B563,'TRANS'!$A:$A,0)),IFERROR(INDEX('Catalog'!$B:$B,MATCH($G563,'Catalog'!$A:$A,0)),$B563))</f>
        <v>07UB XXL</v>
      </c>
      <c r="I563" s="7" t="str">
        <f aca="false">IF($G563="","Unmatched","Matched")</f>
        <v>Unmatched</v>
      </c>
      <c r="J563" s="7" t="str">
        <f aca="false">IF($G563&lt;&gt;"",$G563,$B563)</f>
        <v>07UB XXL</v>
      </c>
      <c r="K563" s="7" t="str">
        <f aca="false">IF(COUNTIF($O$2:$O$16,$A563)&gt;0,"Y","N")</f>
        <v>Y</v>
      </c>
    </row>
    <row r="564" customFormat="false" ht="15" hidden="false" customHeight="false" outlineLevel="0" collapsed="false">
      <c r="A564" s="7" t="s">
        <v>35</v>
      </c>
      <c r="B564" s="7" t="s">
        <v>188</v>
      </c>
      <c r="C564" s="8" t="n">
        <v>20</v>
      </c>
      <c r="D564" s="8" t="n">
        <v>1948.33</v>
      </c>
      <c r="E564" s="8" t="n">
        <v>0</v>
      </c>
      <c r="F564" s="8" t="n">
        <v>0</v>
      </c>
      <c r="G564" s="7" t="str">
        <f aca="false">IFERROR(INDEX('TRANS'!$B:$B,MATCH($B564,'TRANS'!$A:$A,0)),IFERROR(INDEX('TRANS'!$B:$B,MATCH(TRIM(SUBSTITUTE($B564,CHAR(160)," ")),'TRANS'!$D:$D,0)),IFERROR(INDEX('Catalog'!$A:$A,MATCH($B564,'Catalog'!$B:$B,0)),IFERROR(INDEX('Catalog'!$A:$A,MATCH(TRIM(SUBSTITUTE($B564,CHAR(160)," ")),'Catalog'!$C:$C,0)),""))))</f>
        <v/>
      </c>
      <c r="H564" s="7" t="str">
        <f aca="false">IFERROR(INDEX('TRANS'!$C:$C,MATCH($B564,'TRANS'!$A:$A,0)),IFERROR(INDEX('Catalog'!$B:$B,MATCH($G564,'Catalog'!$A:$A,0)),$B564))</f>
        <v>07UB-L-XL</v>
      </c>
      <c r="I564" s="7" t="str">
        <f aca="false">IF($G564="","Unmatched","Matched")</f>
        <v>Unmatched</v>
      </c>
      <c r="J564" s="7" t="str">
        <f aca="false">IF($G564&lt;&gt;"",$G564,$B564)</f>
        <v>07UB-L-XL</v>
      </c>
      <c r="K564" s="7" t="str">
        <f aca="false">IF(COUNTIF($O$2:$O$16,$A564)&gt;0,"Y","N")</f>
        <v>Y</v>
      </c>
    </row>
    <row r="565" customFormat="false" ht="15" hidden="false" customHeight="false" outlineLevel="0" collapsed="false">
      <c r="A565" s="7" t="s">
        <v>35</v>
      </c>
      <c r="B565" s="7" t="s">
        <v>189</v>
      </c>
      <c r="C565" s="8" t="n">
        <v>15</v>
      </c>
      <c r="D565" s="8" t="n">
        <v>1461.22</v>
      </c>
      <c r="E565" s="8" t="n">
        <v>0</v>
      </c>
      <c r="F565" s="8" t="n">
        <v>0</v>
      </c>
      <c r="G565" s="7" t="str">
        <f aca="false">IFERROR(INDEX('TRANS'!$B:$B,MATCH($B565,'TRANS'!$A:$A,0)),IFERROR(INDEX('TRANS'!$B:$B,MATCH(TRIM(SUBSTITUTE($B565,CHAR(160)," ")),'TRANS'!$D:$D,0)),IFERROR(INDEX('Catalog'!$A:$A,MATCH($B565,'Catalog'!$B:$B,0)),IFERROR(INDEX('Catalog'!$A:$A,MATCH(TRIM(SUBSTITUTE($B565,CHAR(160)," ")),'Catalog'!$C:$C,0)),""))))</f>
        <v/>
      </c>
      <c r="H565" s="7" t="str">
        <f aca="false">IFERROR(INDEX('TRANS'!$C:$C,MATCH($B565,'TRANS'!$A:$A,0)),IFERROR(INDEX('Catalog'!$B:$B,MATCH($G565,'Catalog'!$A:$A,0)),$B565))</f>
        <v>07UB-S-M</v>
      </c>
      <c r="I565" s="7" t="str">
        <f aca="false">IF($G565="","Unmatched","Matched")</f>
        <v>Unmatched</v>
      </c>
      <c r="J565" s="7" t="str">
        <f aca="false">IF($G565&lt;&gt;"",$G565,$B565)</f>
        <v>07UB-S-M</v>
      </c>
      <c r="K565" s="7" t="str">
        <f aca="false">IF(COUNTIF($O$2:$O$16,$A565)&gt;0,"Y","N")</f>
        <v>Y</v>
      </c>
    </row>
    <row r="566" customFormat="false" ht="15" hidden="false" customHeight="false" outlineLevel="0" collapsed="false">
      <c r="A566" s="7" t="s">
        <v>35</v>
      </c>
      <c r="B566" s="7" t="s">
        <v>414</v>
      </c>
      <c r="C566" s="8" t="n">
        <v>20</v>
      </c>
      <c r="D566" s="8" t="n">
        <v>943.72</v>
      </c>
      <c r="E566" s="8" t="n">
        <v>0</v>
      </c>
      <c r="F566" s="8" t="n">
        <v>0</v>
      </c>
      <c r="G566" s="7" t="n">
        <f aca="false">IFERROR(INDEX('TRANS'!$B:$B,MATCH($B566,'TRANS'!$A:$A,0)),IFERROR(INDEX('TRANS'!$B:$B,MATCH(TRIM(SUBSTITUTE($B566,CHAR(160)," ")),'TRANS'!$D:$D,0)),IFERROR(INDEX('Catalog'!$A:$A,MATCH($B566,'Catalog'!$B:$B,0)),IFERROR(INDEX('Catalog'!$A:$A,MATCH(TRIM(SUBSTITUTE($B566,CHAR(160)," ")),'Catalog'!$C:$C,0)),""))))</f>
        <v>4408115</v>
      </c>
      <c r="H566" s="7" t="str">
        <f aca="false">IFERROR(INDEX('TRANS'!$C:$C,MATCH($B566,'TRANS'!$A:$A,0)),IFERROR(INDEX('Catalog'!$B:$B,MATCH($G566,'Catalog'!$A:$A,0)),$B566))</f>
        <v>11EU L ח.בטן לאחר ניתוח</v>
      </c>
      <c r="I566" s="7" t="str">
        <f aca="false">IF($G566="","Unmatched","Matched")</f>
        <v>Matched</v>
      </c>
      <c r="J566" s="7" t="n">
        <f aca="false">IF($G566&lt;&gt;"",$G566,$B566)</f>
        <v>4408115</v>
      </c>
      <c r="K566" s="7" t="str">
        <f aca="false">IF(COUNTIF($O$2:$O$16,$A566)&gt;0,"Y","N")</f>
        <v>Y</v>
      </c>
    </row>
    <row r="567" customFormat="false" ht="15" hidden="false" customHeight="false" outlineLevel="0" collapsed="false">
      <c r="A567" s="7" t="s">
        <v>35</v>
      </c>
      <c r="B567" s="7" t="s">
        <v>415</v>
      </c>
      <c r="C567" s="8" t="n">
        <v>10</v>
      </c>
      <c r="D567" s="8" t="n">
        <v>471.86</v>
      </c>
      <c r="E567" s="8" t="n">
        <v>0</v>
      </c>
      <c r="F567" s="8" t="n">
        <v>0</v>
      </c>
      <c r="G567" s="7" t="n">
        <f aca="false">IFERROR(INDEX('TRANS'!$B:$B,MATCH($B567,'TRANS'!$A:$A,0)),IFERROR(INDEX('TRANS'!$B:$B,MATCH(TRIM(SUBSTITUTE($B567,CHAR(160)," ")),'TRANS'!$D:$D,0)),IFERROR(INDEX('Catalog'!$A:$A,MATCH($B567,'Catalog'!$B:$B,0)),IFERROR(INDEX('Catalog'!$A:$A,MATCH(TRIM(SUBSTITUTE($B567,CHAR(160)," ")),'Catalog'!$C:$C,0)),""))))</f>
        <v>4408114</v>
      </c>
      <c r="H567" s="7" t="str">
        <f aca="false">IFERROR(INDEX('TRANS'!$C:$C,MATCH($B567,'TRANS'!$A:$A,0)),IFERROR(INDEX('Catalog'!$B:$B,MATCH($G567,'Catalog'!$A:$A,0)),$B567))</f>
        <v>11EU M ח.בטן לאחר ניתוח</v>
      </c>
      <c r="I567" s="7" t="str">
        <f aca="false">IF($G567="","Unmatched","Matched")</f>
        <v>Matched</v>
      </c>
      <c r="J567" s="7" t="n">
        <f aca="false">IF($G567&lt;&gt;"",$G567,$B567)</f>
        <v>4408114</v>
      </c>
      <c r="K567" s="7" t="str">
        <f aca="false">IF(COUNTIF($O$2:$O$16,$A567)&gt;0,"Y","N")</f>
        <v>Y</v>
      </c>
    </row>
    <row r="568" customFormat="false" ht="15" hidden="false" customHeight="false" outlineLevel="0" collapsed="false">
      <c r="A568" s="7" t="s">
        <v>35</v>
      </c>
      <c r="B568" s="7" t="s">
        <v>130</v>
      </c>
      <c r="C568" s="8" t="n">
        <v>5</v>
      </c>
      <c r="D568" s="8" t="n">
        <v>235.93</v>
      </c>
      <c r="E568" s="8" t="n">
        <v>0</v>
      </c>
      <c r="F568" s="8" t="n">
        <v>0</v>
      </c>
      <c r="G568" s="7" t="str">
        <f aca="false">IFERROR(INDEX('TRANS'!$B:$B,MATCH($B568,'TRANS'!$A:$A,0)),IFERROR(INDEX('TRANS'!$B:$B,MATCH(TRIM(SUBSTITUTE($B568,CHAR(160)," ")),'TRANS'!$D:$D,0)),IFERROR(INDEX('Catalog'!$A:$A,MATCH($B568,'Catalog'!$B:$B,0)),IFERROR(INDEX('Catalog'!$A:$A,MATCH(TRIM(SUBSTITUTE($B568,CHAR(160)," ")),'Catalog'!$C:$C,0)),""))))</f>
        <v/>
      </c>
      <c r="H568" s="7" t="str">
        <f aca="false">IFERROR(INDEX('TRANS'!$C:$C,MATCH($B568,'TRANS'!$A:$A,0)),IFERROR(INDEX('Catalog'!$B:$B,MATCH($G568,'Catalog'!$A:$A,0)),$B568))</f>
        <v>11EU S</v>
      </c>
      <c r="I568" s="7" t="str">
        <f aca="false">IF($G568="","Unmatched","Matched")</f>
        <v>Unmatched</v>
      </c>
      <c r="J568" s="7" t="str">
        <f aca="false">IF($G568&lt;&gt;"",$G568,$B568)</f>
        <v>11EU S</v>
      </c>
      <c r="K568" s="7" t="str">
        <f aca="false">IF(COUNTIF($O$2:$O$16,$A568)&gt;0,"Y","N")</f>
        <v>Y</v>
      </c>
    </row>
    <row r="569" customFormat="false" ht="15" hidden="false" customHeight="false" outlineLevel="0" collapsed="false">
      <c r="A569" s="7" t="s">
        <v>35</v>
      </c>
      <c r="B569" s="7" t="s">
        <v>416</v>
      </c>
      <c r="C569" s="8" t="n">
        <v>20</v>
      </c>
      <c r="D569" s="8" t="n">
        <v>943.72</v>
      </c>
      <c r="E569" s="8" t="n">
        <v>0</v>
      </c>
      <c r="F569" s="8" t="n">
        <v>0</v>
      </c>
      <c r="G569" s="7" t="n">
        <f aca="false">IFERROR(INDEX('TRANS'!$B:$B,MATCH($B569,'TRANS'!$A:$A,0)),IFERROR(INDEX('TRANS'!$B:$B,MATCH(TRIM(SUBSTITUTE($B569,CHAR(160)," ")),'TRANS'!$D:$D,0)),IFERROR(INDEX('Catalog'!$A:$A,MATCH($B569,'Catalog'!$B:$B,0)),IFERROR(INDEX('Catalog'!$A:$A,MATCH(TRIM(SUBSTITUTE($B569,CHAR(160)," ")),'Catalog'!$C:$C,0)),""))))</f>
        <v>4408116</v>
      </c>
      <c r="H569" s="7" t="str">
        <f aca="false">IFERROR(INDEX('TRANS'!$C:$C,MATCH($B569,'TRANS'!$A:$A,0)),IFERROR(INDEX('Catalog'!$B:$B,MATCH($G569,'Catalog'!$A:$A,0)),$B569))</f>
        <v>11EU XLח.בטן לאחר ניתוח</v>
      </c>
      <c r="I569" s="7" t="str">
        <f aca="false">IF($G569="","Unmatched","Matched")</f>
        <v>Matched</v>
      </c>
      <c r="J569" s="7" t="n">
        <f aca="false">IF($G569&lt;&gt;"",$G569,$B569)</f>
        <v>4408116</v>
      </c>
      <c r="K569" s="7" t="str">
        <f aca="false">IF(COUNTIF($O$2:$O$16,$A569)&gt;0,"Y","N")</f>
        <v>Y</v>
      </c>
    </row>
    <row r="570" customFormat="false" ht="15" hidden="false" customHeight="false" outlineLevel="0" collapsed="false">
      <c r="A570" s="7" t="s">
        <v>35</v>
      </c>
      <c r="B570" s="7" t="s">
        <v>417</v>
      </c>
      <c r="C570" s="8" t="n">
        <v>15</v>
      </c>
      <c r="D570" s="8" t="n">
        <v>707.79</v>
      </c>
      <c r="E570" s="8" t="n">
        <v>0</v>
      </c>
      <c r="F570" s="8" t="n">
        <v>0</v>
      </c>
      <c r="G570" s="7" t="n">
        <f aca="false">IFERROR(INDEX('TRANS'!$B:$B,MATCH($B570,'TRANS'!$A:$A,0)),IFERROR(INDEX('TRANS'!$B:$B,MATCH(TRIM(SUBSTITUTE($B570,CHAR(160)," ")),'TRANS'!$D:$D,0)),IFERROR(INDEX('Catalog'!$A:$A,MATCH($B570,'Catalog'!$B:$B,0)),IFERROR(INDEX('Catalog'!$A:$A,MATCH(TRIM(SUBSTITUTE($B570,CHAR(160)," ")),'Catalog'!$C:$C,0)),""))))</f>
        <v>4408132</v>
      </c>
      <c r="H570" s="7" t="str">
        <f aca="false">IFERROR(INDEX('TRANS'!$C:$C,MATCH($B570,'TRANS'!$A:$A,0)),IFERROR(INDEX('Catalog'!$B:$B,MATCH($G570,'Catalog'!$A:$A,0)),$B570))</f>
        <v>11EU XXL חגורת בטןלאחר ניתוח</v>
      </c>
      <c r="I570" s="7" t="str">
        <f aca="false">IF($G570="","Unmatched","Matched")</f>
        <v>Matched</v>
      </c>
      <c r="J570" s="7" t="n">
        <f aca="false">IF($G570&lt;&gt;"",$G570,$B570)</f>
        <v>4408132</v>
      </c>
      <c r="K570" s="7" t="str">
        <f aca="false">IF(COUNTIF($O$2:$O$16,$A570)&gt;0,"Y","N")</f>
        <v>Y</v>
      </c>
    </row>
    <row r="571" customFormat="false" ht="15" hidden="false" customHeight="false" outlineLevel="0" collapsed="false">
      <c r="A571" s="7" t="s">
        <v>35</v>
      </c>
      <c r="B571" s="7" t="s">
        <v>594</v>
      </c>
      <c r="C571" s="8" t="n">
        <v>10</v>
      </c>
      <c r="D571" s="8" t="n">
        <v>671.64</v>
      </c>
      <c r="E571" s="8" t="n">
        <v>0</v>
      </c>
      <c r="F571" s="8" t="n">
        <v>0</v>
      </c>
      <c r="G571" s="7" t="n">
        <f aca="false">IFERROR(INDEX('TRANS'!$B:$B,MATCH($B571,'TRANS'!$A:$A,0)),IFERROR(INDEX('TRANS'!$B:$B,MATCH(TRIM(SUBSTITUTE($B571,CHAR(160)," ")),'TRANS'!$D:$D,0)),IFERROR(INDEX('Catalog'!$A:$A,MATCH($B571,'Catalog'!$B:$B,0)),IFERROR(INDEX('Catalog'!$A:$A,MATCH(TRIM(SUBSTITUTE($B571,CHAR(160)," ")),'Catalog'!$C:$C,0)),""))))</f>
        <v>4408261</v>
      </c>
      <c r="H571" s="7" t="str">
        <f aca="false">IFERROR(INDEX('TRANS'!$C:$C,MATCH($B571,'TRANS'!$A:$A,0)),IFERROR(INDEX('Catalog'!$B:$B,MATCH($G571,'Catalog'!$A:$A,0)),$B571))</f>
        <v>11STO L חגורה אחרי ניתוח</v>
      </c>
      <c r="I571" s="7" t="str">
        <f aca="false">IF($G571="","Unmatched","Matched")</f>
        <v>Matched</v>
      </c>
      <c r="J571" s="7" t="n">
        <f aca="false">IF($G571&lt;&gt;"",$G571,$B571)</f>
        <v>4408261</v>
      </c>
      <c r="K571" s="7" t="str">
        <f aca="false">IF(COUNTIF($O$2:$O$16,$A571)&gt;0,"Y","N")</f>
        <v>Y</v>
      </c>
    </row>
    <row r="572" customFormat="false" ht="15" hidden="false" customHeight="false" outlineLevel="0" collapsed="false">
      <c r="A572" s="7" t="s">
        <v>35</v>
      </c>
      <c r="B572" s="7" t="s">
        <v>595</v>
      </c>
      <c r="C572" s="8" t="n">
        <v>8</v>
      </c>
      <c r="D572" s="8" t="n">
        <v>537.31</v>
      </c>
      <c r="E572" s="8" t="n">
        <v>0</v>
      </c>
      <c r="F572" s="8" t="n">
        <v>0</v>
      </c>
      <c r="G572" s="7" t="n">
        <f aca="false">IFERROR(INDEX('TRANS'!$B:$B,MATCH($B572,'TRANS'!$A:$A,0)),IFERROR(INDEX('TRANS'!$B:$B,MATCH(TRIM(SUBSTITUTE($B572,CHAR(160)," ")),'TRANS'!$D:$D,0)),IFERROR(INDEX('Catalog'!$A:$A,MATCH($B572,'Catalog'!$B:$B,0)),IFERROR(INDEX('Catalog'!$A:$A,MATCH(TRIM(SUBSTITUTE($B572,CHAR(160)," ")),'Catalog'!$C:$C,0)),""))))</f>
        <v>4408260</v>
      </c>
      <c r="H572" s="7" t="str">
        <f aca="false">IFERROR(INDEX('TRANS'!$C:$C,MATCH($B572,'TRANS'!$A:$A,0)),IFERROR(INDEX('Catalog'!$B:$B,MATCH($G572,'Catalog'!$A:$A,0)),$B572))</f>
        <v>11STO M חגורה אחרי ניתוח</v>
      </c>
      <c r="I572" s="7" t="str">
        <f aca="false">IF($G572="","Unmatched","Matched")</f>
        <v>Matched</v>
      </c>
      <c r="J572" s="7" t="n">
        <f aca="false">IF($G572&lt;&gt;"",$G572,$B572)</f>
        <v>4408260</v>
      </c>
      <c r="K572" s="7" t="str">
        <f aca="false">IF(COUNTIF($O$2:$O$16,$A572)&gt;0,"Y","N")</f>
        <v>Y</v>
      </c>
    </row>
    <row r="573" customFormat="false" ht="15" hidden="false" customHeight="false" outlineLevel="0" collapsed="false">
      <c r="A573" s="7" t="s">
        <v>35</v>
      </c>
      <c r="B573" s="7" t="s">
        <v>596</v>
      </c>
      <c r="C573" s="8" t="n">
        <v>7</v>
      </c>
      <c r="D573" s="8" t="n">
        <v>470.15</v>
      </c>
      <c r="E573" s="8" t="n">
        <v>0</v>
      </c>
      <c r="F573" s="8" t="n">
        <v>0</v>
      </c>
      <c r="G573" s="7" t="n">
        <f aca="false">IFERROR(INDEX('TRANS'!$B:$B,MATCH($B573,'TRANS'!$A:$A,0)),IFERROR(INDEX('TRANS'!$B:$B,MATCH(TRIM(SUBSTITUTE($B573,CHAR(160)," ")),'TRANS'!$D:$D,0)),IFERROR(INDEX('Catalog'!$A:$A,MATCH($B573,'Catalog'!$B:$B,0)),IFERROR(INDEX('Catalog'!$A:$A,MATCH(TRIM(SUBSTITUTE($B573,CHAR(160)," ")),'Catalog'!$C:$C,0)),""))))</f>
        <v>4408262</v>
      </c>
      <c r="H573" s="7" t="str">
        <f aca="false">IFERROR(INDEX('TRANS'!$C:$C,MATCH($B573,'TRANS'!$A:$A,0)),IFERROR(INDEX('Catalog'!$B:$B,MATCH($G573,'Catalog'!$A:$A,0)),$B573))</f>
        <v>11STO XL  חגורה אחרי ניתוח</v>
      </c>
      <c r="I573" s="7" t="str">
        <f aca="false">IF($G573="","Unmatched","Matched")</f>
        <v>Matched</v>
      </c>
      <c r="J573" s="7" t="n">
        <f aca="false">IF($G573&lt;&gt;"",$G573,$B573)</f>
        <v>4408262</v>
      </c>
      <c r="K573" s="7" t="str">
        <f aca="false">IF(COUNTIF($O$2:$O$16,$A573)&gt;0,"Y","N")</f>
        <v>Y</v>
      </c>
    </row>
    <row r="574" customFormat="false" ht="15" hidden="false" customHeight="false" outlineLevel="0" collapsed="false">
      <c r="A574" s="7" t="s">
        <v>35</v>
      </c>
      <c r="B574" s="7" t="s">
        <v>597</v>
      </c>
      <c r="C574" s="8" t="n">
        <v>5</v>
      </c>
      <c r="D574" s="8" t="n">
        <v>335.82</v>
      </c>
      <c r="E574" s="8" t="n">
        <v>0</v>
      </c>
      <c r="F574" s="8" t="n">
        <v>0</v>
      </c>
      <c r="G574" s="7" t="n">
        <f aca="false">IFERROR(INDEX('TRANS'!$B:$B,MATCH($B574,'TRANS'!$A:$A,0)),IFERROR(INDEX('TRANS'!$B:$B,MATCH(TRIM(SUBSTITUTE($B574,CHAR(160)," ")),'TRANS'!$D:$D,0)),IFERROR(INDEX('Catalog'!$A:$A,MATCH($B574,'Catalog'!$B:$B,0)),IFERROR(INDEX('Catalog'!$A:$A,MATCH(TRIM(SUBSTITUTE($B574,CHAR(160)," ")),'Catalog'!$C:$C,0)),""))))</f>
        <v>4408263</v>
      </c>
      <c r="H574" s="7" t="str">
        <f aca="false">IFERROR(INDEX('TRANS'!$C:$C,MATCH($B574,'TRANS'!$A:$A,0)),IFERROR(INDEX('Catalog'!$B:$B,MATCH($G574,'Catalog'!$A:$A,0)),$B574))</f>
        <v>11STO XXL חגורה אחרי ניתוח</v>
      </c>
      <c r="I574" s="7" t="str">
        <f aca="false">IF($G574="","Unmatched","Matched")</f>
        <v>Matched</v>
      </c>
      <c r="J574" s="7" t="n">
        <f aca="false">IF($G574&lt;&gt;"",$G574,$B574)</f>
        <v>4408263</v>
      </c>
      <c r="K574" s="7" t="str">
        <f aca="false">IF(COUNTIF($O$2:$O$16,$A574)&gt;0,"Y","N")</f>
        <v>Y</v>
      </c>
    </row>
    <row r="575" customFormat="false" ht="15" hidden="false" customHeight="false" outlineLevel="0" collapsed="false">
      <c r="A575" s="7" t="s">
        <v>35</v>
      </c>
      <c r="B575" s="7" t="s">
        <v>598</v>
      </c>
      <c r="C575" s="8" t="n">
        <v>15</v>
      </c>
      <c r="D575" s="8" t="n">
        <v>781.09</v>
      </c>
      <c r="E575" s="8" t="n">
        <v>0</v>
      </c>
      <c r="F575" s="8" t="n">
        <v>0</v>
      </c>
      <c r="G575" s="7" t="n">
        <f aca="false">IFERROR(INDEX('TRANS'!$B:$B,MATCH($B575,'TRANS'!$A:$A,0)),IFERROR(INDEX('TRANS'!$B:$B,MATCH(TRIM(SUBSTITUTE($B575,CHAR(160)," ")),'TRANS'!$D:$D,0)),IFERROR(INDEX('Catalog'!$A:$A,MATCH($B575,'Catalog'!$B:$B,0)),IFERROR(INDEX('Catalog'!$A:$A,MATCH(TRIM(SUBSTITUTE($B575,CHAR(160)," ")),'Catalog'!$C:$C,0)),""))))</f>
        <v>4408226</v>
      </c>
      <c r="H575" s="7" t="str">
        <f aca="false">IFERROR(INDEX('TRANS'!$C:$C,MATCH($B575,'TRANS'!$A:$A,0)),IFERROR(INDEX('Catalog'!$B:$B,MATCH($G575,'Catalog'!$A:$A,0)),$B575))</f>
        <v>L 11 אפורUG חגורת בטן</v>
      </c>
      <c r="I575" s="7" t="str">
        <f aca="false">IF($G575="","Unmatched","Matched")</f>
        <v>Matched</v>
      </c>
      <c r="J575" s="7" t="n">
        <f aca="false">IF($G575&lt;&gt;"",$G575,$B575)</f>
        <v>4408226</v>
      </c>
      <c r="K575" s="7" t="str">
        <f aca="false">IF(COUNTIF($O$2:$O$16,$A575)&gt;0,"Y","N")</f>
        <v>Y</v>
      </c>
    </row>
    <row r="576" customFormat="false" ht="15" hidden="false" customHeight="false" outlineLevel="0" collapsed="false">
      <c r="A576" s="7" t="s">
        <v>35</v>
      </c>
      <c r="B576" s="7" t="s">
        <v>190</v>
      </c>
      <c r="C576" s="8" t="n">
        <v>15</v>
      </c>
      <c r="D576" s="8" t="n">
        <v>781.09</v>
      </c>
      <c r="E576" s="8" t="n">
        <v>0</v>
      </c>
      <c r="F576" s="8" t="n">
        <v>0</v>
      </c>
      <c r="G576" s="7" t="str">
        <f aca="false">IFERROR(INDEX('TRANS'!$B:$B,MATCH($B576,'TRANS'!$A:$A,0)),IFERROR(INDEX('TRANS'!$B:$B,MATCH(TRIM(SUBSTITUTE($B576,CHAR(160)," ")),'TRANS'!$D:$D,0)),IFERROR(INDEX('Catalog'!$A:$A,MATCH($B576,'Catalog'!$B:$B,0)),IFERROR(INDEX('Catalog'!$A:$A,MATCH(TRIM(SUBSTITUTE($B576,CHAR(160)," ")),'Catalog'!$C:$C,0)),""))))</f>
        <v/>
      </c>
      <c r="H576" s="7" t="str">
        <f aca="false">IFERROR(INDEX('TRANS'!$C:$C,MATCH($B576,'TRANS'!$A:$A,0)),IFERROR(INDEX('Catalog'!$B:$B,MATCH($G576,'Catalog'!$A:$A,0)),$B576))</f>
        <v>11UG XL</v>
      </c>
      <c r="I576" s="7" t="str">
        <f aca="false">IF($G576="","Unmatched","Matched")</f>
        <v>Unmatched</v>
      </c>
      <c r="J576" s="7" t="str">
        <f aca="false">IF($G576&lt;&gt;"",$G576,$B576)</f>
        <v>11UG XL</v>
      </c>
      <c r="K576" s="7" t="str">
        <f aca="false">IF(COUNTIF($O$2:$O$16,$A576)&gt;0,"Y","N")</f>
        <v>Y</v>
      </c>
    </row>
    <row r="577" customFormat="false" ht="15" hidden="false" customHeight="false" outlineLevel="0" collapsed="false">
      <c r="A577" s="7" t="s">
        <v>35</v>
      </c>
      <c r="B577" s="7" t="s">
        <v>291</v>
      </c>
      <c r="C577" s="8" t="n">
        <v>10</v>
      </c>
      <c r="D577" s="8" t="n">
        <v>175.05</v>
      </c>
      <c r="E577" s="8" t="n">
        <v>0</v>
      </c>
      <c r="F577" s="8" t="n">
        <v>0</v>
      </c>
      <c r="G577" s="7" t="n">
        <f aca="false">IFERROR(INDEX('TRANS'!$B:$B,MATCH($B577,'TRANS'!$A:$A,0)),IFERROR(INDEX('TRANS'!$B:$B,MATCH(TRIM(SUBSTITUTE($B577,CHAR(160)," ")),'TRANS'!$D:$D,0)),IFERROR(INDEX('Catalog'!$A:$A,MATCH($B577,'Catalog'!$B:$B,0)),IFERROR(INDEX('Catalog'!$A:$A,MATCH(TRIM(SUBSTITUTE($B577,CHAR(160)," ")),'Catalog'!$C:$C,0)),""))))</f>
        <v>4408052</v>
      </c>
      <c r="H577" s="7" t="str">
        <f aca="false">IFERROR(INDEX('TRANS'!$C:$C,MATCH($B577,'TRANS'!$A:$A,0)),IFERROR(INDEX('Catalog'!$B:$B,MATCH($G577,'Catalog'!$A:$A,0)),$B577))</f>
        <v>21 L  חבק יד ארוך</v>
      </c>
      <c r="I577" s="7" t="str">
        <f aca="false">IF($G577="","Unmatched","Matched")</f>
        <v>Matched</v>
      </c>
      <c r="J577" s="7" t="n">
        <f aca="false">IF($G577&lt;&gt;"",$G577,$B577)</f>
        <v>4408052</v>
      </c>
      <c r="K577" s="7" t="str">
        <f aca="false">IF(COUNTIF($O$2:$O$16,$A577)&gt;0,"Y","N")</f>
        <v>Y</v>
      </c>
    </row>
    <row r="578" customFormat="false" ht="15" hidden="false" customHeight="false" outlineLevel="0" collapsed="false">
      <c r="A578" s="7" t="s">
        <v>35</v>
      </c>
      <c r="B578" s="7" t="s">
        <v>292</v>
      </c>
      <c r="C578" s="8" t="n">
        <v>10</v>
      </c>
      <c r="D578" s="8" t="n">
        <v>175.05</v>
      </c>
      <c r="E578" s="8" t="n">
        <v>0</v>
      </c>
      <c r="F578" s="8" t="n">
        <v>0</v>
      </c>
      <c r="G578" s="7" t="n">
        <f aca="false">IFERROR(INDEX('TRANS'!$B:$B,MATCH($B578,'TRANS'!$A:$A,0)),IFERROR(INDEX('TRANS'!$B:$B,MATCH(TRIM(SUBSTITUTE($B578,CHAR(160)," ")),'TRANS'!$D:$D,0)),IFERROR(INDEX('Catalog'!$A:$A,MATCH($B578,'Catalog'!$B:$B,0)),IFERROR(INDEX('Catalog'!$A:$A,MATCH(TRIM(SUBSTITUTE($B578,CHAR(160)," ")),'Catalog'!$C:$C,0)),""))))</f>
        <v>4408053</v>
      </c>
      <c r="H578" s="7" t="str">
        <f aca="false">IFERROR(INDEX('TRANS'!$C:$C,MATCH($B578,'TRANS'!$A:$A,0)),IFERROR(INDEX('Catalog'!$B:$B,MATCH($G578,'Catalog'!$A:$A,0)),$B578))</f>
        <v>21 M  חבק יד ארוך</v>
      </c>
      <c r="I578" s="7" t="str">
        <f aca="false">IF($G578="","Unmatched","Matched")</f>
        <v>Matched</v>
      </c>
      <c r="J578" s="7" t="n">
        <f aca="false">IF($G578&lt;&gt;"",$G578,$B578)</f>
        <v>4408053</v>
      </c>
      <c r="K578" s="7" t="str">
        <f aca="false">IF(COUNTIF($O$2:$O$16,$A578)&gt;0,"Y","N")</f>
        <v>Y</v>
      </c>
    </row>
    <row r="579" customFormat="false" ht="15" hidden="false" customHeight="false" outlineLevel="0" collapsed="false">
      <c r="A579" s="7" t="s">
        <v>35</v>
      </c>
      <c r="B579" s="7" t="s">
        <v>420</v>
      </c>
      <c r="C579" s="8" t="n">
        <v>10</v>
      </c>
      <c r="D579" s="8" t="n">
        <v>175.05</v>
      </c>
      <c r="E579" s="8" t="n">
        <v>0</v>
      </c>
      <c r="F579" s="8" t="n">
        <v>0</v>
      </c>
      <c r="G579" s="7" t="n">
        <f aca="false">IFERROR(INDEX('TRANS'!$B:$B,MATCH($B579,'TRANS'!$A:$A,0)),IFERROR(INDEX('TRANS'!$B:$B,MATCH(TRIM(SUBSTITUTE($B579,CHAR(160)," ")),'TRANS'!$D:$D,0)),IFERROR(INDEX('Catalog'!$A:$A,MATCH($B579,'Catalog'!$B:$B,0)),IFERROR(INDEX('Catalog'!$A:$A,MATCH(TRIM(SUBSTITUTE($B579,CHAR(160)," ")),'Catalog'!$C:$C,0)),""))))</f>
        <v>4408054</v>
      </c>
      <c r="H579" s="7" t="str">
        <f aca="false">IFERROR(INDEX('TRANS'!$C:$C,MATCH($B579,'TRANS'!$A:$A,0)),IFERROR(INDEX('Catalog'!$B:$B,MATCH($G579,'Catalog'!$A:$A,0)),$B579))</f>
        <v>21 XL חבק יד ארוך</v>
      </c>
      <c r="I579" s="7" t="str">
        <f aca="false">IF($G579="","Unmatched","Matched")</f>
        <v>Matched</v>
      </c>
      <c r="J579" s="7" t="n">
        <f aca="false">IF($G579&lt;&gt;"",$G579,$B579)</f>
        <v>4408054</v>
      </c>
      <c r="K579" s="7" t="str">
        <f aca="false">IF(COUNTIF($O$2:$O$16,$A579)&gt;0,"Y","N")</f>
        <v>Y</v>
      </c>
    </row>
    <row r="580" customFormat="false" ht="15" hidden="false" customHeight="false" outlineLevel="0" collapsed="false">
      <c r="A580" s="7" t="s">
        <v>35</v>
      </c>
      <c r="B580" s="7" t="s">
        <v>428</v>
      </c>
      <c r="C580" s="8" t="n">
        <v>60</v>
      </c>
      <c r="D580" s="8" t="n">
        <v>548.92</v>
      </c>
      <c r="E580" s="8" t="n">
        <v>0</v>
      </c>
      <c r="F580" s="8" t="n">
        <v>0</v>
      </c>
      <c r="G580" s="7" t="n">
        <f aca="false">IFERROR(INDEX('TRANS'!$B:$B,MATCH($B580,'TRANS'!$A:$A,0)),IFERROR(INDEX('TRANS'!$B:$B,MATCH(TRIM(SUBSTITUTE($B580,CHAR(160)," ")),'TRANS'!$D:$D,0)),IFERROR(INDEX('Catalog'!$A:$A,MATCH($B580,'Catalog'!$B:$B,0)),IFERROR(INDEX('Catalog'!$A:$A,MATCH(TRIM(SUBSTITUTE($B580,CHAR(160)," ")),'Catalog'!$C:$C,0)),""))))</f>
        <v>4415162</v>
      </c>
      <c r="H580" s="7" t="str">
        <f aca="false">IFERROR(INDEX('TRANS'!$C:$C,MATCH($B580,'TRANS'!$A:$A,0)),IFERROR(INDEX('Catalog'!$B:$B,MATCH($G580,'Catalog'!$A:$A,0)),$B580))</f>
        <v>238L סד ליישור אצבע</v>
      </c>
      <c r="I580" s="7" t="str">
        <f aca="false">IF($G580="","Unmatched","Matched")</f>
        <v>Matched</v>
      </c>
      <c r="J580" s="7" t="n">
        <f aca="false">IF($G580&lt;&gt;"",$G580,$B580)</f>
        <v>4415162</v>
      </c>
      <c r="K580" s="7" t="str">
        <f aca="false">IF(COUNTIF($O$2:$O$16,$A580)&gt;0,"Y","N")</f>
        <v>Y</v>
      </c>
    </row>
    <row r="581" customFormat="false" ht="15" hidden="false" customHeight="false" outlineLevel="0" collapsed="false">
      <c r="A581" s="7" t="s">
        <v>35</v>
      </c>
      <c r="B581" s="7" t="s">
        <v>429</v>
      </c>
      <c r="C581" s="8" t="n">
        <v>60</v>
      </c>
      <c r="D581" s="8" t="n">
        <v>548.92</v>
      </c>
      <c r="E581" s="8" t="n">
        <v>0</v>
      </c>
      <c r="F581" s="8" t="n">
        <v>0</v>
      </c>
      <c r="G581" s="7" t="n">
        <f aca="false">IFERROR(INDEX('TRANS'!$B:$B,MATCH($B581,'TRANS'!$A:$A,0)),IFERROR(INDEX('TRANS'!$B:$B,MATCH(TRIM(SUBSTITUTE($B581,CHAR(160)," ")),'TRANS'!$D:$D,0)),IFERROR(INDEX('Catalog'!$A:$A,MATCH($B581,'Catalog'!$B:$B,0)),IFERROR(INDEX('Catalog'!$A:$A,MATCH(TRIM(SUBSTITUTE($B581,CHAR(160)," ")),'Catalog'!$C:$C,0)),""))))</f>
        <v>4415161</v>
      </c>
      <c r="H581" s="7" t="str">
        <f aca="false">IFERROR(INDEX('TRANS'!$C:$C,MATCH($B581,'TRANS'!$A:$A,0)),IFERROR(INDEX('Catalog'!$B:$B,MATCH($G581,'Catalog'!$A:$A,0)),$B581))</f>
        <v>238M סד ליישור אצבע</v>
      </c>
      <c r="I581" s="7" t="str">
        <f aca="false">IF($G581="","Unmatched","Matched")</f>
        <v>Matched</v>
      </c>
      <c r="J581" s="7" t="n">
        <f aca="false">IF($G581&lt;&gt;"",$G581,$B581)</f>
        <v>4415161</v>
      </c>
      <c r="K581" s="7" t="str">
        <f aca="false">IF(COUNTIF($O$2:$O$16,$A581)&gt;0,"Y","N")</f>
        <v>Y</v>
      </c>
    </row>
    <row r="582" customFormat="false" ht="15" hidden="false" customHeight="false" outlineLevel="0" collapsed="false">
      <c r="A582" s="7" t="s">
        <v>35</v>
      </c>
      <c r="B582" s="7" t="s">
        <v>430</v>
      </c>
      <c r="C582" s="8" t="n">
        <v>30</v>
      </c>
      <c r="D582" s="8" t="n">
        <v>274.46</v>
      </c>
      <c r="E582" s="8" t="n">
        <v>0</v>
      </c>
      <c r="F582" s="8" t="n">
        <v>0</v>
      </c>
      <c r="G582" s="7" t="n">
        <f aca="false">IFERROR(INDEX('TRANS'!$B:$B,MATCH($B582,'TRANS'!$A:$A,0)),IFERROR(INDEX('TRANS'!$B:$B,MATCH(TRIM(SUBSTITUTE($B582,CHAR(160)," ")),'TRANS'!$D:$D,0)),IFERROR(INDEX('Catalog'!$A:$A,MATCH($B582,'Catalog'!$B:$B,0)),IFERROR(INDEX('Catalog'!$A:$A,MATCH(TRIM(SUBSTITUTE($B582,CHAR(160)," ")),'Catalog'!$C:$C,0)),""))))</f>
        <v>4415160</v>
      </c>
      <c r="H582" s="7" t="str">
        <f aca="false">IFERROR(INDEX('TRANS'!$C:$C,MATCH($B582,'TRANS'!$A:$A,0)),IFERROR(INDEX('Catalog'!$B:$B,MATCH($G582,'Catalog'!$A:$A,0)),$B582))</f>
        <v>238S סד ליישור אצבע</v>
      </c>
      <c r="I582" s="7" t="str">
        <f aca="false">IF($G582="","Unmatched","Matched")</f>
        <v>Matched</v>
      </c>
      <c r="J582" s="7" t="n">
        <f aca="false">IF($G582&lt;&gt;"",$G582,$B582)</f>
        <v>4415160</v>
      </c>
      <c r="K582" s="7" t="str">
        <f aca="false">IF(COUNTIF($O$2:$O$16,$A582)&gt;0,"Y","N")</f>
        <v>Y</v>
      </c>
    </row>
    <row r="583" customFormat="false" ht="15" hidden="false" customHeight="false" outlineLevel="0" collapsed="false">
      <c r="A583" s="7" t="s">
        <v>35</v>
      </c>
      <c r="B583" s="7" t="s">
        <v>431</v>
      </c>
      <c r="C583" s="8" t="n">
        <v>50</v>
      </c>
      <c r="D583" s="8" t="n">
        <v>457.43</v>
      </c>
      <c r="E583" s="8" t="n">
        <v>0</v>
      </c>
      <c r="F583" s="8" t="n">
        <v>0</v>
      </c>
      <c r="G583" s="7" t="n">
        <f aca="false">IFERROR(INDEX('TRANS'!$B:$B,MATCH($B583,'TRANS'!$A:$A,0)),IFERROR(INDEX('TRANS'!$B:$B,MATCH(TRIM(SUBSTITUTE($B583,CHAR(160)," ")),'TRANS'!$D:$D,0)),IFERROR(INDEX('Catalog'!$A:$A,MATCH($B583,'Catalog'!$B:$B,0)),IFERROR(INDEX('Catalog'!$A:$A,MATCH(TRIM(SUBSTITUTE($B583,CHAR(160)," ")),'Catalog'!$C:$C,0)),""))))</f>
        <v>4415163</v>
      </c>
      <c r="H583" s="7" t="str">
        <f aca="false">IFERROR(INDEX('TRANS'!$C:$C,MATCH($B583,'TRANS'!$A:$A,0)),IFERROR(INDEX('Catalog'!$B:$B,MATCH($G583,'Catalog'!$A:$A,0)),$B583))</f>
        <v>238XL סד ליישור אצבע</v>
      </c>
      <c r="I583" s="7" t="str">
        <f aca="false">IF($G583="","Unmatched","Matched")</f>
        <v>Matched</v>
      </c>
      <c r="J583" s="7" t="n">
        <f aca="false">IF($G583&lt;&gt;"",$G583,$B583)</f>
        <v>4415163</v>
      </c>
      <c r="K583" s="7" t="str">
        <f aca="false">IF(COUNTIF($O$2:$O$16,$A583)&gt;0,"Y","N")</f>
        <v>Y</v>
      </c>
    </row>
    <row r="584" customFormat="false" ht="15" hidden="false" customHeight="false" outlineLevel="0" collapsed="false">
      <c r="A584" s="7" t="s">
        <v>35</v>
      </c>
      <c r="B584" s="7" t="s">
        <v>599</v>
      </c>
      <c r="C584" s="8" t="n">
        <v>24</v>
      </c>
      <c r="D584" s="8" t="n">
        <v>389.34</v>
      </c>
      <c r="E584" s="8" t="n">
        <v>0</v>
      </c>
      <c r="F584" s="8" t="n">
        <v>0</v>
      </c>
      <c r="G584" s="7" t="n">
        <f aca="false">IFERROR(INDEX('TRANS'!$B:$B,MATCH($B584,'TRANS'!$A:$A,0)),IFERROR(INDEX('TRANS'!$B:$B,MATCH(TRIM(SUBSTITUTE($B584,CHAR(160)," ")),'TRANS'!$D:$D,0)),IFERROR(INDEX('Catalog'!$A:$A,MATCH($B584,'Catalog'!$B:$B,0)),IFERROR(INDEX('Catalog'!$A:$A,MATCH(TRIM(SUBSTITUTE($B584,CHAR(160)," ")),'Catalog'!$C:$C,0)),""))))</f>
        <v>4419013</v>
      </c>
      <c r="H584" s="7" t="str">
        <f aca="false">IFERROR(INDEX('TRANS'!$C:$C,MATCH($B584,'TRANS'!$A:$A,0)),IFERROR(INDEX('Catalog'!$B:$B,MATCH($G584,'Catalog'!$A:$A,0)),$B584))</f>
        <v>239B L-XL STRAP4U</v>
      </c>
      <c r="I584" s="7" t="str">
        <f aca="false">IF($G584="","Unmatched","Matched")</f>
        <v>Matched</v>
      </c>
      <c r="J584" s="7" t="n">
        <f aca="false">IF($G584&lt;&gt;"",$G584,$B584)</f>
        <v>4419013</v>
      </c>
      <c r="K584" s="7" t="str">
        <f aca="false">IF(COUNTIF($O$2:$O$16,$A584)&gt;0,"Y","N")</f>
        <v>Y</v>
      </c>
    </row>
    <row r="585" customFormat="false" ht="15" hidden="false" customHeight="false" outlineLevel="0" collapsed="false">
      <c r="A585" s="7" t="s">
        <v>35</v>
      </c>
      <c r="B585" s="7" t="s">
        <v>600</v>
      </c>
      <c r="C585" s="8" t="n">
        <v>24</v>
      </c>
      <c r="D585" s="8" t="n">
        <v>389.34</v>
      </c>
      <c r="E585" s="8" t="n">
        <v>0</v>
      </c>
      <c r="F585" s="8" t="n">
        <v>0</v>
      </c>
      <c r="G585" s="7" t="n">
        <f aca="false">IFERROR(INDEX('TRANS'!$B:$B,MATCH($B585,'TRANS'!$A:$A,0)),IFERROR(INDEX('TRANS'!$B:$B,MATCH(TRIM(SUBSTITUTE($B585,CHAR(160)," ")),'TRANS'!$D:$D,0)),IFERROR(INDEX('Catalog'!$A:$A,MATCH($B585,'Catalog'!$B:$B,0)),IFERROR(INDEX('Catalog'!$A:$A,MATCH(TRIM(SUBSTITUTE($B585,CHAR(160)," ")),'Catalog'!$C:$C,0)),""))))</f>
        <v>4419011</v>
      </c>
      <c r="H585" s="7" t="str">
        <f aca="false">IFERROR(INDEX('TRANS'!$C:$C,MATCH($B585,'TRANS'!$A:$A,0)),IFERROR(INDEX('Catalog'!$B:$B,MATCH($G585,'Catalog'!$A:$A,0)),$B585))</f>
        <v>239B S-M STRAP4U</v>
      </c>
      <c r="I585" s="7" t="str">
        <f aca="false">IF($G585="","Unmatched","Matched")</f>
        <v>Matched</v>
      </c>
      <c r="J585" s="7" t="n">
        <f aca="false">IF($G585&lt;&gt;"",$G585,$B585)</f>
        <v>4419011</v>
      </c>
      <c r="K585" s="7" t="str">
        <f aca="false">IF(COUNTIF($O$2:$O$16,$A585)&gt;0,"Y","N")</f>
        <v>Y</v>
      </c>
    </row>
    <row r="586" customFormat="false" ht="15" hidden="false" customHeight="false" outlineLevel="0" collapsed="false">
      <c r="A586" s="7" t="s">
        <v>35</v>
      </c>
      <c r="B586" s="7" t="s">
        <v>94</v>
      </c>
      <c r="C586" s="8" t="n">
        <v>24</v>
      </c>
      <c r="D586" s="8" t="n">
        <v>389.34</v>
      </c>
      <c r="E586" s="8" t="n">
        <v>0</v>
      </c>
      <c r="F586" s="8" t="n">
        <v>0</v>
      </c>
      <c r="G586" s="7" t="str">
        <f aca="false">IFERROR(INDEX('TRANS'!$B:$B,MATCH($B586,'TRANS'!$A:$A,0)),IFERROR(INDEX('TRANS'!$B:$B,MATCH(TRIM(SUBSTITUTE($B586,CHAR(160)," ")),'TRANS'!$D:$D,0)),IFERROR(INDEX('Catalog'!$A:$A,MATCH($B586,'Catalog'!$B:$B,0)),IFERROR(INDEX('Catalog'!$A:$A,MATCH(TRIM(SUBSTITUTE($B586,CHAR(160)," ")),'Catalog'!$C:$C,0)),""))))</f>
        <v/>
      </c>
      <c r="H586" s="7" t="str">
        <f aca="false">IFERROR(INDEX('TRANS'!$C:$C,MATCH($B586,'TRANS'!$A:$A,0)),IFERROR(INDEX('Catalog'!$B:$B,MATCH($G586,'Catalog'!$A:$A,0)),$B586))</f>
        <v>239P-S-M</v>
      </c>
      <c r="I586" s="7" t="str">
        <f aca="false">IF($G586="","Unmatched","Matched")</f>
        <v>Unmatched</v>
      </c>
      <c r="J586" s="7" t="str">
        <f aca="false">IF($G586&lt;&gt;"",$G586,$B586)</f>
        <v>239P-S-M</v>
      </c>
      <c r="K586" s="7" t="str">
        <f aca="false">IF(COUNTIF($O$2:$O$16,$A586)&gt;0,"Y","N")</f>
        <v>Y</v>
      </c>
    </row>
    <row r="587" customFormat="false" ht="15" hidden="false" customHeight="false" outlineLevel="0" collapsed="false">
      <c r="A587" s="7" t="s">
        <v>35</v>
      </c>
      <c r="B587" s="7" t="s">
        <v>601</v>
      </c>
      <c r="C587" s="8" t="n">
        <v>24</v>
      </c>
      <c r="D587" s="8" t="n">
        <v>389.34</v>
      </c>
      <c r="E587" s="8" t="n">
        <v>0</v>
      </c>
      <c r="F587" s="8" t="n">
        <v>0</v>
      </c>
      <c r="G587" s="7" t="n">
        <f aca="false">IFERROR(INDEX('TRANS'!$B:$B,MATCH($B587,'TRANS'!$A:$A,0)),IFERROR(INDEX('TRANS'!$B:$B,MATCH(TRIM(SUBSTITUTE($B587,CHAR(160)," ")),'TRANS'!$D:$D,0)),IFERROR(INDEX('Catalog'!$A:$A,MATCH($B587,'Catalog'!$B:$B,0)),IFERROR(INDEX('Catalog'!$A:$A,MATCH(TRIM(SUBSTITUTE($B587,CHAR(160)," ")),'Catalog'!$C:$C,0)),""))))</f>
        <v>4419014</v>
      </c>
      <c r="H587" s="7" t="str">
        <f aca="false">IFERROR(INDEX('TRANS'!$C:$C,MATCH($B587,'TRANS'!$A:$A,0)),IFERROR(INDEX('Catalog'!$B:$B,MATCH($G587,'Catalog'!$A:$A,0)),$B587))</f>
        <v>239TR L-XL STRAP4U</v>
      </c>
      <c r="I587" s="7" t="str">
        <f aca="false">IF($G587="","Unmatched","Matched")</f>
        <v>Matched</v>
      </c>
      <c r="J587" s="7" t="n">
        <f aca="false">IF($G587&lt;&gt;"",$G587,$B587)</f>
        <v>4419014</v>
      </c>
      <c r="K587" s="7" t="str">
        <f aca="false">IF(COUNTIF($O$2:$O$16,$A587)&gt;0,"Y","N")</f>
        <v>Y</v>
      </c>
    </row>
    <row r="588" customFormat="false" ht="15" hidden="false" customHeight="false" outlineLevel="0" collapsed="false">
      <c r="A588" s="7" t="s">
        <v>35</v>
      </c>
      <c r="B588" s="7" t="s">
        <v>432</v>
      </c>
      <c r="C588" s="8" t="n">
        <v>30</v>
      </c>
      <c r="D588" s="8" t="n">
        <v>611.46</v>
      </c>
      <c r="E588" s="8" t="n">
        <v>0</v>
      </c>
      <c r="F588" s="8" t="n">
        <v>0</v>
      </c>
      <c r="G588" s="7" t="n">
        <f aca="false">IFERROR(INDEX('TRANS'!$B:$B,MATCH($B588,'TRANS'!$A:$A,0)),IFERROR(INDEX('TRANS'!$B:$B,MATCH(TRIM(SUBSTITUTE($B588,CHAR(160)," ")),'TRANS'!$D:$D,0)),IFERROR(INDEX('Catalog'!$A:$A,MATCH($B588,'Catalog'!$B:$B,0)),IFERROR(INDEX('Catalog'!$A:$A,MATCH(TRIM(SUBSTITUTE($B588,CHAR(160)," ")),'Catalog'!$C:$C,0)),""))))</f>
        <v>4421005</v>
      </c>
      <c r="H588" s="7" t="str">
        <f aca="false">IFERROR(INDEX('TRANS'!$C:$C,MATCH($B588,'TRANS'!$A:$A,0)),IFERROR(INDEX('Catalog'!$B:$B,MATCH($G588,'Catalog'!$A:$A,0)),$B588))</f>
        <v>שרוול לגבס קצר יד</v>
      </c>
      <c r="I588" s="7" t="str">
        <f aca="false">IF($G588="","Unmatched","Matched")</f>
        <v>Matched</v>
      </c>
      <c r="J588" s="7" t="n">
        <f aca="false">IF($G588&lt;&gt;"",$G588,$B588)</f>
        <v>4421005</v>
      </c>
      <c r="K588" s="7" t="str">
        <f aca="false">IF(COUNTIF($O$2:$O$16,$A588)&gt;0,"Y","N")</f>
        <v>Y</v>
      </c>
    </row>
    <row r="589" customFormat="false" ht="15" hidden="false" customHeight="false" outlineLevel="0" collapsed="false">
      <c r="A589" s="7" t="s">
        <v>35</v>
      </c>
      <c r="B589" s="7" t="s">
        <v>433</v>
      </c>
      <c r="C589" s="8" t="n">
        <v>60</v>
      </c>
      <c r="D589" s="8" t="n">
        <v>1336.83</v>
      </c>
      <c r="E589" s="8" t="n">
        <v>0</v>
      </c>
      <c r="F589" s="8" t="n">
        <v>0</v>
      </c>
      <c r="G589" s="7" t="n">
        <f aca="false">IFERROR(INDEX('TRANS'!$B:$B,MATCH($B589,'TRANS'!$A:$A,0)),IFERROR(INDEX('TRANS'!$B:$B,MATCH(TRIM(SUBSTITUTE($B589,CHAR(160)," ")),'TRANS'!$D:$D,0)),IFERROR(INDEX('Catalog'!$A:$A,MATCH($B589,'Catalog'!$B:$B,0)),IFERROR(INDEX('Catalog'!$A:$A,MATCH(TRIM(SUBSTITUTE($B589,CHAR(160)," ")),'Catalog'!$C:$C,0)),""))))</f>
        <v>4421006</v>
      </c>
      <c r="H589" s="7" t="str">
        <f aca="false">IFERROR(INDEX('TRANS'!$C:$C,MATCH($B589,'TRANS'!$A:$A,0)),IFERROR(INDEX('Catalog'!$B:$B,MATCH($G589,'Catalog'!$A:$A,0)),$B589))</f>
        <v>שרוול לגבס ארוך יד</v>
      </c>
      <c r="I589" s="7" t="str">
        <f aca="false">IF($G589="","Unmatched","Matched")</f>
        <v>Matched</v>
      </c>
      <c r="J589" s="7" t="n">
        <f aca="false">IF($G589&lt;&gt;"",$G589,$B589)</f>
        <v>4421006</v>
      </c>
      <c r="K589" s="7" t="str">
        <f aca="false">IF(COUNTIF($O$2:$O$16,$A589)&gt;0,"Y","N")</f>
        <v>Y</v>
      </c>
    </row>
    <row r="590" customFormat="false" ht="15" hidden="false" customHeight="false" outlineLevel="0" collapsed="false">
      <c r="A590" s="7" t="s">
        <v>35</v>
      </c>
      <c r="B590" s="7" t="s">
        <v>294</v>
      </c>
      <c r="C590" s="8" t="n">
        <v>10</v>
      </c>
      <c r="D590" s="8" t="n">
        <v>298.72</v>
      </c>
      <c r="E590" s="8" t="n">
        <v>0</v>
      </c>
      <c r="F590" s="8" t="n">
        <v>0</v>
      </c>
      <c r="G590" s="7" t="n">
        <f aca="false">IFERROR(INDEX('TRANS'!$B:$B,MATCH($B590,'TRANS'!$A:$A,0)),IFERROR(INDEX('TRANS'!$B:$B,MATCH(TRIM(SUBSTITUTE($B590,CHAR(160)," ")),'TRANS'!$D:$D,0)),IFERROR(INDEX('Catalog'!$A:$A,MATCH($B590,'Catalog'!$B:$B,0)),IFERROR(INDEX('Catalog'!$A:$A,MATCH(TRIM(SUBSTITUTE($B590,CHAR(160)," ")),'Catalog'!$C:$C,0)),""))))</f>
        <v>4413348</v>
      </c>
      <c r="H590" s="7" t="str">
        <f aca="false">IFERROR(INDEX('TRANS'!$C:$C,MATCH($B590,'TRANS'!$A:$A,0)),IFERROR(INDEX('Catalog'!$B:$B,MATCH($G590,'Catalog'!$A:$A,0)),$B590))</f>
        <v>302 מדרס ג'ל לגבר</v>
      </c>
      <c r="I590" s="7" t="str">
        <f aca="false">IF($G590="","Unmatched","Matched")</f>
        <v>Matched</v>
      </c>
      <c r="J590" s="7" t="n">
        <f aca="false">IF($G590&lt;&gt;"",$G590,$B590)</f>
        <v>4413348</v>
      </c>
      <c r="K590" s="7" t="str">
        <f aca="false">IF(COUNTIF($O$2:$O$16,$A590)&gt;0,"Y","N")</f>
        <v>Y</v>
      </c>
    </row>
    <row r="591" customFormat="false" ht="15" hidden="false" customHeight="false" outlineLevel="0" collapsed="false">
      <c r="A591" s="7" t="s">
        <v>35</v>
      </c>
      <c r="B591" s="7" t="s">
        <v>296</v>
      </c>
      <c r="C591" s="8" t="n">
        <v>20</v>
      </c>
      <c r="D591" s="8" t="n">
        <v>597.44</v>
      </c>
      <c r="E591" s="8" t="n">
        <v>0</v>
      </c>
      <c r="F591" s="8" t="n">
        <v>0</v>
      </c>
      <c r="G591" s="7" t="n">
        <f aca="false">IFERROR(INDEX('TRANS'!$B:$B,MATCH($B591,'TRANS'!$A:$A,0)),IFERROR(INDEX('TRANS'!$B:$B,MATCH(TRIM(SUBSTITUTE($B591,CHAR(160)," ")),'TRANS'!$D:$D,0)),IFERROR(INDEX('Catalog'!$A:$A,MATCH($B591,'Catalog'!$B:$B,0)),IFERROR(INDEX('Catalog'!$A:$A,MATCH(TRIM(SUBSTITUTE($B591,CHAR(160)," ")),'Catalog'!$C:$C,0)),""))))</f>
        <v>4416000</v>
      </c>
      <c r="H591" s="7" t="str">
        <f aca="false">IFERROR(INDEX('TRANS'!$C:$C,MATCH($B591,'TRANS'!$A:$A,0)),IFERROR(INDEX('Catalog'!$B:$B,MATCH($G591,'Catalog'!$A:$A,0)),$B591))</f>
        <v>307 L עקבים לדורבן-זוג כריות</v>
      </c>
      <c r="I591" s="7" t="str">
        <f aca="false">IF($G591="","Unmatched","Matched")</f>
        <v>Matched</v>
      </c>
      <c r="J591" s="7" t="n">
        <f aca="false">IF($G591&lt;&gt;"",$G591,$B591)</f>
        <v>4416000</v>
      </c>
      <c r="K591" s="7" t="str">
        <f aca="false">IF(COUNTIF($O$2:$O$16,$A591)&gt;0,"Y","N")</f>
        <v>Y</v>
      </c>
    </row>
    <row r="592" customFormat="false" ht="15" hidden="false" customHeight="false" outlineLevel="0" collapsed="false">
      <c r="A592" s="7" t="s">
        <v>35</v>
      </c>
      <c r="B592" s="7" t="s">
        <v>297</v>
      </c>
      <c r="C592" s="8" t="n">
        <v>15</v>
      </c>
      <c r="D592" s="8" t="n">
        <v>448.08</v>
      </c>
      <c r="E592" s="8" t="n">
        <v>0</v>
      </c>
      <c r="F592" s="8" t="n">
        <v>0</v>
      </c>
      <c r="G592" s="7" t="n">
        <f aca="false">IFERROR(INDEX('TRANS'!$B:$B,MATCH($B592,'TRANS'!$A:$A,0)),IFERROR(INDEX('TRANS'!$B:$B,MATCH(TRIM(SUBSTITUTE($B592,CHAR(160)," ")),'TRANS'!$D:$D,0)),IFERROR(INDEX('Catalog'!$A:$A,MATCH($B592,'Catalog'!$B:$B,0)),IFERROR(INDEX('Catalog'!$A:$A,MATCH(TRIM(SUBSTITUTE($B592,CHAR(160)," ")),'Catalog'!$C:$C,0)),""))))</f>
        <v>4416001</v>
      </c>
      <c r="H592" s="7" t="str">
        <f aca="false">IFERROR(INDEX('TRANS'!$C:$C,MATCH($B592,'TRANS'!$A:$A,0)),IFERROR(INDEX('Catalog'!$B:$B,MATCH($G592,'Catalog'!$A:$A,0)),$B592))</f>
        <v>307 M עקבים לדורבן-זוג כריות</v>
      </c>
      <c r="I592" s="7" t="str">
        <f aca="false">IF($G592="","Unmatched","Matched")</f>
        <v>Matched</v>
      </c>
      <c r="J592" s="7" t="n">
        <f aca="false">IF($G592&lt;&gt;"",$G592,$B592)</f>
        <v>4416001</v>
      </c>
      <c r="K592" s="7" t="str">
        <f aca="false">IF(COUNTIF($O$2:$O$16,$A592)&gt;0,"Y","N")</f>
        <v>Y</v>
      </c>
    </row>
    <row r="593" customFormat="false" ht="15" hidden="false" customHeight="false" outlineLevel="0" collapsed="false">
      <c r="A593" s="7" t="s">
        <v>35</v>
      </c>
      <c r="B593" s="7" t="s">
        <v>298</v>
      </c>
      <c r="C593" s="8" t="n">
        <v>10</v>
      </c>
      <c r="D593" s="8" t="n">
        <v>298.72</v>
      </c>
      <c r="E593" s="8" t="n">
        <v>0</v>
      </c>
      <c r="F593" s="8" t="n">
        <v>0</v>
      </c>
      <c r="G593" s="7" t="n">
        <f aca="false">IFERROR(INDEX('TRANS'!$B:$B,MATCH($B593,'TRANS'!$A:$A,0)),IFERROR(INDEX('TRANS'!$B:$B,MATCH(TRIM(SUBSTITUTE($B593,CHAR(160)," ")),'TRANS'!$D:$D,0)),IFERROR(INDEX('Catalog'!$A:$A,MATCH($B593,'Catalog'!$B:$B,0)),IFERROR(INDEX('Catalog'!$A:$A,MATCH(TRIM(SUBSTITUTE($B593,CHAR(160)," ")),'Catalog'!$C:$C,0)),""))))</f>
        <v>4416002</v>
      </c>
      <c r="H593" s="7" t="str">
        <f aca="false">IFERROR(INDEX('TRANS'!$C:$C,MATCH($B593,'TRANS'!$A:$A,0)),IFERROR(INDEX('Catalog'!$B:$B,MATCH($G593,'Catalog'!$A:$A,0)),$B593))</f>
        <v>307 S עקבים לדורבן-זוג כריות</v>
      </c>
      <c r="I593" s="7" t="str">
        <f aca="false">IF($G593="","Unmatched","Matched")</f>
        <v>Matched</v>
      </c>
      <c r="J593" s="7" t="n">
        <f aca="false">IF($G593&lt;&gt;"",$G593,$B593)</f>
        <v>4416002</v>
      </c>
      <c r="K593" s="7" t="str">
        <f aca="false">IF(COUNTIF($O$2:$O$16,$A593)&gt;0,"Y","N")</f>
        <v>Y</v>
      </c>
    </row>
    <row r="594" customFormat="false" ht="15" hidden="false" customHeight="false" outlineLevel="0" collapsed="false">
      <c r="A594" s="7" t="s">
        <v>35</v>
      </c>
      <c r="B594" s="7" t="s">
        <v>394</v>
      </c>
      <c r="C594" s="8" t="n">
        <v>15</v>
      </c>
      <c r="D594" s="8" t="n">
        <v>448.08</v>
      </c>
      <c r="E594" s="8" t="n">
        <v>0</v>
      </c>
      <c r="F594" s="8" t="n">
        <v>0</v>
      </c>
      <c r="G594" s="7" t="n">
        <f aca="false">IFERROR(INDEX('TRANS'!$B:$B,MATCH($B594,'TRANS'!$A:$A,0)),IFERROR(INDEX('TRANS'!$B:$B,MATCH(TRIM(SUBSTITUTE($B594,CHAR(160)," ")),'TRANS'!$D:$D,0)),IFERROR(INDEX('Catalog'!$A:$A,MATCH($B594,'Catalog'!$B:$B,0)),IFERROR(INDEX('Catalog'!$A:$A,MATCH(TRIM(SUBSTITUTE($B594,CHAR(160)," ")),'Catalog'!$C:$C,0)),""))))</f>
        <v>4411016</v>
      </c>
      <c r="H594" s="7" t="str">
        <f aca="false">IFERROR(INDEX('TRANS'!$C:$C,MATCH($B594,'TRANS'!$A:$A,0)),IFERROR(INDEX('Catalog'!$B:$B,MATCH($G594,'Catalog'!$A:$A,0)),$B594))</f>
        <v>307 XL כרית סיליקון לעקב</v>
      </c>
      <c r="I594" s="7" t="str">
        <f aca="false">IF($G594="","Unmatched","Matched")</f>
        <v>Matched</v>
      </c>
      <c r="J594" s="7" t="n">
        <f aca="false">IF($G594&lt;&gt;"",$G594,$B594)</f>
        <v>4411016</v>
      </c>
      <c r="K594" s="7" t="str">
        <f aca="false">IF(COUNTIF($O$2:$O$16,$A594)&gt;0,"Y","N")</f>
        <v>Y</v>
      </c>
    </row>
    <row r="595" customFormat="false" ht="15" hidden="false" customHeight="false" outlineLevel="0" collapsed="false">
      <c r="A595" s="7" t="s">
        <v>35</v>
      </c>
      <c r="B595" s="7" t="s">
        <v>602</v>
      </c>
      <c r="C595" s="8" t="n">
        <v>30</v>
      </c>
      <c r="D595" s="8" t="n">
        <v>1746.64</v>
      </c>
      <c r="E595" s="8" t="n">
        <v>0</v>
      </c>
      <c r="F595" s="8" t="n">
        <v>0</v>
      </c>
      <c r="G595" s="7" t="n">
        <f aca="false">IFERROR(INDEX('TRANS'!$B:$B,MATCH($B595,'TRANS'!$A:$A,0)),IFERROR(INDEX('TRANS'!$B:$B,MATCH(TRIM(SUBSTITUTE($B595,CHAR(160)," ")),'TRANS'!$D:$D,0)),IFERROR(INDEX('Catalog'!$A:$A,MATCH($B595,'Catalog'!$B:$B,0)),IFERROR(INDEX('Catalog'!$A:$A,MATCH(TRIM(SUBSTITUTE($B595,CHAR(160)," ")),'Catalog'!$C:$C,0)),""))))</f>
        <v>4415019</v>
      </c>
      <c r="H595" s="7" t="str">
        <f aca="false">IFERROR(INDEX('TRANS'!$C:$C,MATCH($B595,'TRANS'!$A:$A,0)),IFERROR(INDEX('Catalog'!$B:$B,MATCH($G595,'Catalog'!$A:$A,0)),$B595))</f>
        <v>333 סד לקרסול עם כריות אויר</v>
      </c>
      <c r="I595" s="7" t="str">
        <f aca="false">IF($G595="","Unmatched","Matched")</f>
        <v>Matched</v>
      </c>
      <c r="J595" s="7" t="n">
        <f aca="false">IF($G595&lt;&gt;"",$G595,$B595)</f>
        <v>4415019</v>
      </c>
      <c r="K595" s="7" t="str">
        <f aca="false">IF(COUNTIF($O$2:$O$16,$A595)&gt;0,"Y","N")</f>
        <v>Y</v>
      </c>
    </row>
    <row r="596" customFormat="false" ht="15" hidden="false" customHeight="false" outlineLevel="0" collapsed="false">
      <c r="A596" s="7" t="s">
        <v>35</v>
      </c>
      <c r="B596" s="7" t="s">
        <v>453</v>
      </c>
      <c r="C596" s="8" t="n">
        <v>40</v>
      </c>
      <c r="D596" s="8" t="n">
        <v>1081.66</v>
      </c>
      <c r="E596" s="8" t="n">
        <v>0</v>
      </c>
      <c r="F596" s="8" t="n">
        <v>0</v>
      </c>
      <c r="G596" s="7" t="n">
        <f aca="false">IFERROR(INDEX('TRANS'!$B:$B,MATCH($B596,'TRANS'!$A:$A,0)),IFERROR(INDEX('TRANS'!$B:$B,MATCH(TRIM(SUBSTITUTE($B596,CHAR(160)," ")),'TRANS'!$D:$D,0)),IFERROR(INDEX('Catalog'!$A:$A,MATCH($B596,'Catalog'!$B:$B,0)),IFERROR(INDEX('Catalog'!$A:$A,MATCH(TRIM(SUBSTITUTE($B596,CHAR(160)," ")),'Catalog'!$C:$C,0)),""))))</f>
        <v>4421007</v>
      </c>
      <c r="H596" s="7" t="str">
        <f aca="false">IFERROR(INDEX('TRANS'!$C:$C,MATCH($B596,'TRANS'!$A:$A,0)),IFERROR(INDEX('Catalog'!$B:$B,MATCH($G596,'Catalog'!$A:$A,0)),$B596))</f>
        <v>שרוול לגבס קצר רגל</v>
      </c>
      <c r="I596" s="7" t="str">
        <f aca="false">IF($G596="","Unmatched","Matched")</f>
        <v>Matched</v>
      </c>
      <c r="J596" s="7" t="n">
        <f aca="false">IF($G596&lt;&gt;"",$G596,$B596)</f>
        <v>4421007</v>
      </c>
      <c r="K596" s="7" t="str">
        <f aca="false">IF(COUNTIF($O$2:$O$16,$A596)&gt;0,"Y","N")</f>
        <v>Y</v>
      </c>
    </row>
    <row r="597" customFormat="false" ht="15" hidden="false" customHeight="false" outlineLevel="0" collapsed="false">
      <c r="A597" s="7" t="s">
        <v>35</v>
      </c>
      <c r="B597" s="7" t="s">
        <v>454</v>
      </c>
      <c r="C597" s="8" t="n">
        <v>50</v>
      </c>
      <c r="D597" s="8" t="n">
        <v>1428.5</v>
      </c>
      <c r="E597" s="8" t="n">
        <v>0</v>
      </c>
      <c r="F597" s="8" t="n">
        <v>0</v>
      </c>
      <c r="G597" s="7" t="n">
        <f aca="false">IFERROR(INDEX('TRANS'!$B:$B,MATCH($B597,'TRANS'!$A:$A,0)),IFERROR(INDEX('TRANS'!$B:$B,MATCH(TRIM(SUBSTITUTE($B597,CHAR(160)," ")),'TRANS'!$D:$D,0)),IFERROR(INDEX('Catalog'!$A:$A,MATCH($B597,'Catalog'!$B:$B,0)),IFERROR(INDEX('Catalog'!$A:$A,MATCH(TRIM(SUBSTITUTE($B597,CHAR(160)," ")),'Catalog'!$C:$C,0)),""))))</f>
        <v>4421008</v>
      </c>
      <c r="H597" s="7" t="str">
        <f aca="false">IFERROR(INDEX('TRANS'!$C:$C,MATCH($B597,'TRANS'!$A:$A,0)),IFERROR(INDEX('Catalog'!$B:$B,MATCH($G597,'Catalog'!$A:$A,0)),$B597))</f>
        <v>שרוול לגבס ארוך רגל</v>
      </c>
      <c r="I597" s="7" t="str">
        <f aca="false">IF($G597="","Unmatched","Matched")</f>
        <v>Matched</v>
      </c>
      <c r="J597" s="7" t="n">
        <f aca="false">IF($G597&lt;&gt;"",$G597,$B597)</f>
        <v>4421008</v>
      </c>
      <c r="K597" s="7" t="str">
        <f aca="false">IF(COUNTIF($O$2:$O$16,$A597)&gt;0,"Y","N")</f>
        <v>Y</v>
      </c>
    </row>
    <row r="598" customFormat="false" ht="15" hidden="false" customHeight="false" outlineLevel="0" collapsed="false">
      <c r="A598" s="7" t="s">
        <v>35</v>
      </c>
      <c r="B598" s="7" t="s">
        <v>455</v>
      </c>
      <c r="C598" s="8" t="n">
        <v>10</v>
      </c>
      <c r="D598" s="8" t="n">
        <v>342.47</v>
      </c>
      <c r="E598" s="8" t="n">
        <v>0</v>
      </c>
      <c r="F598" s="8" t="n">
        <v>0</v>
      </c>
      <c r="G598" s="7" t="n">
        <f aca="false">IFERROR(INDEX('TRANS'!$B:$B,MATCH($B598,'TRANS'!$A:$A,0)),IFERROR(INDEX('TRANS'!$B:$B,MATCH(TRIM(SUBSTITUTE($B598,CHAR(160)," ")),'TRANS'!$D:$D,0)),IFERROR(INDEX('Catalog'!$A:$A,MATCH($B598,'Catalog'!$B:$B,0)),IFERROR(INDEX('Catalog'!$A:$A,MATCH(TRIM(SUBSTITUTE($B598,CHAR(160)," ")),'Catalog'!$C:$C,0)),""))))</f>
        <v>4421001</v>
      </c>
      <c r="H598" s="7" t="str">
        <f aca="false">IFERROR(INDEX('TRANS'!$C:$C,MATCH($B598,'TRANS'!$A:$A,0)),IFERROR(INDEX('Catalog'!$B:$B,MATCH($G598,'Catalog'!$A:$A,0)),$B598))</f>
        <v>3611 שרוול מטטרזלי מסיליקון</v>
      </c>
      <c r="I598" s="7" t="str">
        <f aca="false">IF($G598="","Unmatched","Matched")</f>
        <v>Matched</v>
      </c>
      <c r="J598" s="7" t="n">
        <f aca="false">IF($G598&lt;&gt;"",$G598,$B598)</f>
        <v>4421001</v>
      </c>
      <c r="K598" s="7" t="str">
        <f aca="false">IF(COUNTIF($O$2:$O$16,$A598)&gt;0,"Y","N")</f>
        <v>Y</v>
      </c>
    </row>
    <row r="599" customFormat="false" ht="15" hidden="false" customHeight="false" outlineLevel="0" collapsed="false">
      <c r="A599" s="7" t="s">
        <v>35</v>
      </c>
      <c r="B599" s="7" t="s">
        <v>312</v>
      </c>
      <c r="C599" s="8" t="n">
        <v>20</v>
      </c>
      <c r="D599" s="8" t="n">
        <v>334.87</v>
      </c>
      <c r="E599" s="8" t="n">
        <v>0</v>
      </c>
      <c r="F599" s="8" t="n">
        <v>0</v>
      </c>
      <c r="G599" s="7" t="n">
        <f aca="false">IFERROR(INDEX('TRANS'!$B:$B,MATCH($B599,'TRANS'!$A:$A,0)),IFERROR(INDEX('TRANS'!$B:$B,MATCH(TRIM(SUBSTITUTE($B599,CHAR(160)," ")),'TRANS'!$D:$D,0)),IFERROR(INDEX('Catalog'!$A:$A,MATCH($B599,'Catalog'!$B:$B,0)),IFERROR(INDEX('Catalog'!$A:$A,MATCH(TRIM(SUBSTITUTE($B599,CHAR(160)," ")),'Catalog'!$C:$C,0)),""))))</f>
        <v>4411001</v>
      </c>
      <c r="H599" s="7" t="str">
        <f aca="false">IFERROR(INDEX('TRANS'!$C:$C,MATCH($B599,'TRANS'!$A:$A,0)),IFERROR(INDEX('Catalog'!$B:$B,MATCH($G599,'Catalog'!$A:$A,0)),$B599))</f>
        <v>3623 כרית ליישור אצבע פטיש</v>
      </c>
      <c r="I599" s="7" t="str">
        <f aca="false">IF($G599="","Unmatched","Matched")</f>
        <v>Matched</v>
      </c>
      <c r="J599" s="7" t="n">
        <f aca="false">IF($G599&lt;&gt;"",$G599,$B599)</f>
        <v>4411001</v>
      </c>
      <c r="K599" s="7" t="str">
        <f aca="false">IF(COUNTIF($O$2:$O$16,$A599)&gt;0,"Y","N")</f>
        <v>Y</v>
      </c>
    </row>
    <row r="600" customFormat="false" ht="15" hidden="false" customHeight="false" outlineLevel="0" collapsed="false">
      <c r="A600" s="7" t="s">
        <v>35</v>
      </c>
      <c r="B600" s="7" t="s">
        <v>80</v>
      </c>
      <c r="C600" s="8" t="n">
        <v>10</v>
      </c>
      <c r="D600" s="8" t="n">
        <v>97.41</v>
      </c>
      <c r="E600" s="8" t="n">
        <v>0</v>
      </c>
      <c r="F600" s="8" t="n">
        <v>0</v>
      </c>
      <c r="G600" s="7" t="str">
        <f aca="false">IFERROR(INDEX('TRANS'!$B:$B,MATCH($B600,'TRANS'!$A:$A,0)),IFERROR(INDEX('TRANS'!$B:$B,MATCH(TRIM(SUBSTITUTE($B600,CHAR(160)," ")),'TRANS'!$D:$D,0)),IFERROR(INDEX('Catalog'!$A:$A,MATCH($B600,'Catalog'!$B:$B,0)),IFERROR(INDEX('Catalog'!$A:$A,MATCH(TRIM(SUBSTITUTE($B600,CHAR(160)," ")),'Catalog'!$C:$C,0)),""))))</f>
        <v/>
      </c>
      <c r="H600" s="7" t="str">
        <f aca="false">IFERROR(INDEX('TRANS'!$C:$C,MATCH($B600,'TRANS'!$A:$A,0)),IFERROR(INDEX('Catalog'!$B:$B,MATCH($G600,'Catalog'!$A:$A,0)),$B600))</f>
        <v>363 L/R</v>
      </c>
      <c r="I600" s="7" t="str">
        <f aca="false">IF($G600="","Unmatched","Matched")</f>
        <v>Unmatched</v>
      </c>
      <c r="J600" s="7" t="str">
        <f aca="false">IF($G600&lt;&gt;"",$G600,$B600)</f>
        <v>363 L/R</v>
      </c>
      <c r="K600" s="7" t="str">
        <f aca="false">IF(COUNTIF($O$2:$O$16,$A600)&gt;0,"Y","N")</f>
        <v>Y</v>
      </c>
    </row>
    <row r="601" customFormat="false" ht="15" hidden="false" customHeight="false" outlineLevel="0" collapsed="false">
      <c r="A601" s="7" t="s">
        <v>35</v>
      </c>
      <c r="B601" s="7" t="s">
        <v>397</v>
      </c>
      <c r="C601" s="8" t="n">
        <v>40</v>
      </c>
      <c r="D601" s="8" t="n">
        <v>228.32</v>
      </c>
      <c r="E601" s="8" t="n">
        <v>0</v>
      </c>
      <c r="F601" s="8" t="n">
        <v>0</v>
      </c>
      <c r="G601" s="7" t="n">
        <f aca="false">IFERROR(INDEX('TRANS'!$B:$B,MATCH($B601,'TRANS'!$A:$A,0)),IFERROR(INDEX('TRANS'!$B:$B,MATCH(TRIM(SUBSTITUTE($B601,CHAR(160)," ")),'TRANS'!$D:$D,0)),IFERROR(INDEX('Catalog'!$A:$A,MATCH($B601,'Catalog'!$B:$B,0)),IFERROR(INDEX('Catalog'!$A:$A,MATCH(TRIM(SUBSTITUTE($B601,CHAR(160)," ")),'Catalog'!$C:$C,0)),""))))</f>
        <v>4413061</v>
      </c>
      <c r="H601" s="7" t="str">
        <f aca="false">IFERROR(INDEX('TRANS'!$C:$C,MATCH($B601,'TRANS'!$A:$A,0)),IFERROR(INDEX('Catalog'!$B:$B,MATCH($G601,'Catalog'!$A:$A,0)),$B601))</f>
        <v>3641-מיישר בוהן סיליקון קשיח</v>
      </c>
      <c r="I601" s="7" t="str">
        <f aca="false">IF($G601="","Unmatched","Matched")</f>
        <v>Matched</v>
      </c>
      <c r="J601" s="7" t="n">
        <f aca="false">IF($G601&lt;&gt;"",$G601,$B601)</f>
        <v>4413061</v>
      </c>
      <c r="K601" s="7" t="str">
        <f aca="false">IF(COUNTIF($O$2:$O$16,$A601)&gt;0,"Y","N")</f>
        <v>Y</v>
      </c>
    </row>
    <row r="602" customFormat="false" ht="15" hidden="false" customHeight="false" outlineLevel="0" collapsed="false">
      <c r="A602" s="7" t="s">
        <v>35</v>
      </c>
      <c r="B602" s="7" t="s">
        <v>315</v>
      </c>
      <c r="C602" s="8" t="n">
        <v>15</v>
      </c>
      <c r="D602" s="8" t="n">
        <v>102.74</v>
      </c>
      <c r="E602" s="8" t="n">
        <v>0</v>
      </c>
      <c r="F602" s="8" t="n">
        <v>0</v>
      </c>
      <c r="G602" s="7" t="n">
        <f aca="false">IFERROR(INDEX('TRANS'!$B:$B,MATCH($B602,'TRANS'!$A:$A,0)),IFERROR(INDEX('TRANS'!$B:$B,MATCH(TRIM(SUBSTITUTE($B602,CHAR(160)," ")),'TRANS'!$D:$D,0)),IFERROR(INDEX('Catalog'!$A:$A,MATCH($B602,'Catalog'!$B:$B,0)),IFERROR(INDEX('Catalog'!$A:$A,MATCH(TRIM(SUBSTITUTE($B602,CHAR(160)," ")),'Catalog'!$C:$C,0)),""))))</f>
        <v>4409000</v>
      </c>
      <c r="H602" s="7" t="str">
        <f aca="false">IFERROR(INDEX('TRANS'!$C:$C,MATCH($B602,'TRANS'!$A:$A,0)),IFERROR(INDEX('Catalog'!$B:$B,MATCH($G602,'Catalog'!$A:$A,0)),$B602))</f>
        <v>365 S-Lטבעת אלסטית מסיליקון</v>
      </c>
      <c r="I602" s="7" t="str">
        <f aca="false">IF($G602="","Unmatched","Matched")</f>
        <v>Matched</v>
      </c>
      <c r="J602" s="7" t="n">
        <f aca="false">IF($G602&lt;&gt;"",$G602,$B602)</f>
        <v>4409000</v>
      </c>
      <c r="K602" s="7" t="str">
        <f aca="false">IF(COUNTIF($O$2:$O$16,$A602)&gt;0,"Y","N")</f>
        <v>Y</v>
      </c>
    </row>
    <row r="603" customFormat="false" ht="15" hidden="false" customHeight="false" outlineLevel="0" collapsed="false">
      <c r="A603" s="7" t="s">
        <v>35</v>
      </c>
      <c r="B603" s="7" t="s">
        <v>317</v>
      </c>
      <c r="C603" s="8" t="n">
        <v>20</v>
      </c>
      <c r="D603" s="8" t="n">
        <v>182.66</v>
      </c>
      <c r="E603" s="8" t="n">
        <v>0</v>
      </c>
      <c r="F603" s="8" t="n">
        <v>0</v>
      </c>
      <c r="G603" s="7" t="n">
        <f aca="false">IFERROR(INDEX('TRANS'!$B:$B,MATCH($B603,'TRANS'!$A:$A,0)),IFERROR(INDEX('TRANS'!$B:$B,MATCH(TRIM(SUBSTITUTE($B603,CHAR(160)," ")),'TRANS'!$D:$D,0)),IFERROR(INDEX('Catalog'!$A:$A,MATCH($B603,'Catalog'!$B:$B,0)),IFERROR(INDEX('Catalog'!$A:$A,MATCH(TRIM(SUBSTITUTE($B603,CHAR(160)," ")),'Catalog'!$C:$C,0)),""))))</f>
        <v>4421000</v>
      </c>
      <c r="H603" s="7" t="str">
        <f aca="false">IFERROR(INDEX('TRANS'!$C:$C,MATCH($B603,'TRANS'!$A:$A,0)),IFERROR(INDEX('Catalog'!$B:$B,MATCH($G603,'Catalog'!$A:$A,0)),$B603))</f>
        <v>3655 שרוול מסיליקון לאצבע</v>
      </c>
      <c r="I603" s="7" t="str">
        <f aca="false">IF($G603="","Unmatched","Matched")</f>
        <v>Matched</v>
      </c>
      <c r="J603" s="7" t="n">
        <f aca="false">IF($G603&lt;&gt;"",$G603,$B603)</f>
        <v>4421000</v>
      </c>
      <c r="K603" s="7" t="str">
        <f aca="false">IF(COUNTIF($O$2:$O$16,$A603)&gt;0,"Y","N")</f>
        <v>Y</v>
      </c>
    </row>
    <row r="604" customFormat="false" ht="15" hidden="false" customHeight="false" outlineLevel="0" collapsed="false">
      <c r="A604" s="7" t="s">
        <v>35</v>
      </c>
      <c r="B604" s="7" t="s">
        <v>399</v>
      </c>
      <c r="C604" s="8" t="n">
        <v>40</v>
      </c>
      <c r="D604" s="8" t="n">
        <v>707.79</v>
      </c>
      <c r="E604" s="8" t="n">
        <v>0</v>
      </c>
      <c r="F604" s="8" t="n">
        <v>0</v>
      </c>
      <c r="G604" s="7" t="n">
        <f aca="false">IFERROR(INDEX('TRANS'!$B:$B,MATCH($B604,'TRANS'!$A:$A,0)),IFERROR(INDEX('TRANS'!$B:$B,MATCH(TRIM(SUBSTITUTE($B604,CHAR(160)," ")),'TRANS'!$D:$D,0)),IFERROR(INDEX('Catalog'!$A:$A,MATCH($B604,'Catalog'!$B:$B,0)),IFERROR(INDEX('Catalog'!$A:$A,MATCH(TRIM(SUBSTITUTE($B604,CHAR(160)," ")),'Catalog'!$C:$C,0)),""))))</f>
        <v>4413370</v>
      </c>
      <c r="H604" s="7" t="str">
        <f aca="false">IFERROR(INDEX('TRANS'!$C:$C,MATCH($B604,'TRANS'!$A:$A,0)),IFERROR(INDEX('Catalog'!$B:$B,MATCH($G604,'Catalog'!$A:$A,0)),$B604))</f>
        <v>3674 0 מ.בוניון+מפריד אצבע</v>
      </c>
      <c r="I604" s="7" t="str">
        <f aca="false">IF($G604="","Unmatched","Matched")</f>
        <v>Matched</v>
      </c>
      <c r="J604" s="7" t="n">
        <f aca="false">IF($G604&lt;&gt;"",$G604,$B604)</f>
        <v>4413370</v>
      </c>
      <c r="K604" s="7" t="str">
        <f aca="false">IF(COUNTIF($O$2:$O$16,$A604)&gt;0,"Y","N")</f>
        <v>Y</v>
      </c>
    </row>
    <row r="605" customFormat="false" ht="15" hidden="false" customHeight="false" outlineLevel="0" collapsed="false">
      <c r="A605" s="7" t="s">
        <v>35</v>
      </c>
      <c r="B605" s="7" t="s">
        <v>400</v>
      </c>
      <c r="C605" s="8" t="n">
        <v>15</v>
      </c>
      <c r="D605" s="8" t="n">
        <v>216.9</v>
      </c>
      <c r="E605" s="8" t="n">
        <v>0</v>
      </c>
      <c r="F605" s="8" t="n">
        <v>0</v>
      </c>
      <c r="G605" s="7" t="n">
        <f aca="false">IFERROR(INDEX('TRANS'!$B:$B,MATCH($B605,'TRANS'!$A:$A,0)),IFERROR(INDEX('TRANS'!$B:$B,MATCH(TRIM(SUBSTITUTE($B605,CHAR(160)," ")),'TRANS'!$D:$D,0)),IFERROR(INDEX('Catalog'!$A:$A,MATCH($B605,'Catalog'!$B:$B,0)),IFERROR(INDEX('Catalog'!$A:$A,MATCH(TRIM(SUBSTITUTE($B605,CHAR(160)," ")),'Catalog'!$C:$C,0)),""))))</f>
        <v>4413371</v>
      </c>
      <c r="H605" s="7" t="str">
        <f aca="false">IFERROR(INDEX('TRANS'!$C:$C,MATCH($B605,'TRANS'!$A:$A,0)),IFERROR(INDEX('Catalog'!$B:$B,MATCH($G605,'Catalog'!$A:$A,0)),$B605))</f>
        <v>3675    מגן זרת מסיליקון</v>
      </c>
      <c r="I605" s="7" t="str">
        <f aca="false">IF($G605="","Unmatched","Matched")</f>
        <v>Matched</v>
      </c>
      <c r="J605" s="7" t="n">
        <f aca="false">IF($G605&lt;&gt;"",$G605,$B605)</f>
        <v>4413371</v>
      </c>
      <c r="K605" s="7" t="str">
        <f aca="false">IF(COUNTIF($O$2:$O$16,$A605)&gt;0,"Y","N")</f>
        <v>Y</v>
      </c>
    </row>
    <row r="606" customFormat="false" ht="15" hidden="false" customHeight="false" outlineLevel="0" collapsed="false">
      <c r="A606" s="7" t="s">
        <v>35</v>
      </c>
      <c r="B606" s="7" t="s">
        <v>528</v>
      </c>
      <c r="C606" s="8" t="n">
        <v>10</v>
      </c>
      <c r="D606" s="8" t="n">
        <v>350.09</v>
      </c>
      <c r="E606" s="8" t="n">
        <v>0</v>
      </c>
      <c r="F606" s="8" t="n">
        <v>0</v>
      </c>
      <c r="G606" s="7" t="n">
        <f aca="false">IFERROR(INDEX('TRANS'!$B:$B,MATCH($B606,'TRANS'!$A:$A,0)),IFERROR(INDEX('TRANS'!$B:$B,MATCH(TRIM(SUBSTITUTE($B606,CHAR(160)," ")),'TRANS'!$D:$D,0)),IFERROR(INDEX('Catalog'!$A:$A,MATCH($B606,'Catalog'!$B:$B,0)),IFERROR(INDEX('Catalog'!$A:$A,MATCH(TRIM(SUBSTITUTE($B606,CHAR(160)," ")),'Catalog'!$C:$C,0)),""))))</f>
        <v>4408069</v>
      </c>
      <c r="H606" s="7" t="str">
        <f aca="false">IFERROR(INDEX('TRANS'!$C:$C,MATCH($B606,'TRANS'!$A:$A,0)),IFERROR(INDEX('Catalog'!$B:$B,MATCH($G606,'Catalog'!$A:$A,0)),$B606))</f>
        <v>38 .חבישת""""הלוקס ולגוס""""לאחר נית</v>
      </c>
      <c r="I606" s="7" t="str">
        <f aca="false">IF($G606="","Unmatched","Matched")</f>
        <v>Matched</v>
      </c>
      <c r="J606" s="7" t="n">
        <f aca="false">IF($G606&lt;&gt;"",$G606,$B606)</f>
        <v>4408069</v>
      </c>
      <c r="K606" s="7" t="str">
        <f aca="false">IF(COUNTIF($O$2:$O$16,$A606)&gt;0,"Y","N")</f>
        <v>Y</v>
      </c>
    </row>
    <row r="607" customFormat="false" ht="15" hidden="false" customHeight="false" outlineLevel="0" collapsed="false">
      <c r="A607" s="7" t="s">
        <v>35</v>
      </c>
      <c r="B607" s="7" t="s">
        <v>327</v>
      </c>
      <c r="C607" s="8" t="n">
        <v>40</v>
      </c>
      <c r="D607" s="8" t="n">
        <v>715.4</v>
      </c>
      <c r="E607" s="8" t="n">
        <v>0</v>
      </c>
      <c r="F607" s="8" t="n">
        <v>0</v>
      </c>
      <c r="G607" s="7" t="n">
        <f aca="false">IFERROR(INDEX('TRANS'!$B:$B,MATCH($B607,'TRANS'!$A:$A,0)),IFERROR(INDEX('TRANS'!$B:$B,MATCH(TRIM(SUBSTITUTE($B607,CHAR(160)," ")),'TRANS'!$D:$D,0)),IFERROR(INDEX('Catalog'!$A:$A,MATCH($B607,'Catalog'!$B:$B,0)),IFERROR(INDEX('Catalog'!$A:$A,MATCH(TRIM(SUBSTITUTE($B607,CHAR(160)," ")),'Catalog'!$C:$C,0)),""))))</f>
        <v>4413452</v>
      </c>
      <c r="H607" s="7" t="str">
        <f aca="false">IFERROR(INDEX('TRANS'!$C:$C,MATCH($B607,'TRANS'!$A:$A,0)),IFERROR(INDEX('Catalog'!$B:$B,MATCH($G607,'Catalog'!$A:$A,0)),$B607))</f>
        <v>386  מיישר בוניון-האלוקס ולגוס</v>
      </c>
      <c r="I607" s="7" t="str">
        <f aca="false">IF($G607="","Unmatched","Matched")</f>
        <v>Matched</v>
      </c>
      <c r="J607" s="7" t="n">
        <f aca="false">IF($G607&lt;&gt;"",$G607,$B607)</f>
        <v>4413452</v>
      </c>
      <c r="K607" s="7" t="str">
        <f aca="false">IF(COUNTIF($O$2:$O$16,$A607)&gt;0,"Y","N")</f>
        <v>Y</v>
      </c>
    </row>
    <row r="608" customFormat="false" ht="15" hidden="false" customHeight="false" outlineLevel="0" collapsed="false">
      <c r="A608" s="7" t="s">
        <v>35</v>
      </c>
      <c r="B608" s="7" t="s">
        <v>464</v>
      </c>
      <c r="C608" s="8" t="n">
        <v>10</v>
      </c>
      <c r="D608" s="8" t="n">
        <v>364.51</v>
      </c>
      <c r="E608" s="8" t="n">
        <v>0</v>
      </c>
      <c r="F608" s="8" t="n">
        <v>0</v>
      </c>
      <c r="G608" s="7" t="n">
        <f aca="false">IFERROR(INDEX('TRANS'!$B:$B,MATCH($B608,'TRANS'!$A:$A,0)),IFERROR(INDEX('TRANS'!$B:$B,MATCH(TRIM(SUBSTITUTE($B608,CHAR(160)," ")),'TRANS'!$D:$D,0)),IFERROR(INDEX('Catalog'!$A:$A,MATCH($B608,'Catalog'!$B:$B,0)),IFERROR(INDEX('Catalog'!$A:$A,MATCH(TRIM(SUBSTITUTE($B608,CHAR(160)," ")),'Catalog'!$C:$C,0)),""))))</f>
        <v>4415298</v>
      </c>
      <c r="H608" s="7" t="str">
        <f aca="false">IFERROR(INDEX('TRANS'!$C:$C,MATCH($B608,'TRANS'!$A:$A,0)),IFERROR(INDEX('Catalog'!$B:$B,MATCH($G608,'Catalog'!$A:$A,0)),$B608))</f>
        <v>388B L סד לילה שחור לבוהן שמאל</v>
      </c>
      <c r="I608" s="7" t="str">
        <f aca="false">IF($G608="","Unmatched","Matched")</f>
        <v>Matched</v>
      </c>
      <c r="J608" s="7" t="n">
        <f aca="false">IF($G608&lt;&gt;"",$G608,$B608)</f>
        <v>4415298</v>
      </c>
      <c r="K608" s="7" t="str">
        <f aca="false">IF(COUNTIF($O$2:$O$16,$A608)&gt;0,"Y","N")</f>
        <v>Y</v>
      </c>
    </row>
    <row r="609" customFormat="false" ht="15" hidden="false" customHeight="false" outlineLevel="0" collapsed="false">
      <c r="A609" s="7" t="s">
        <v>35</v>
      </c>
      <c r="B609" s="7" t="s">
        <v>465</v>
      </c>
      <c r="C609" s="8" t="n">
        <v>10</v>
      </c>
      <c r="D609" s="8" t="n">
        <v>364.51</v>
      </c>
      <c r="E609" s="8" t="n">
        <v>0</v>
      </c>
      <c r="F609" s="8" t="n">
        <v>0</v>
      </c>
      <c r="G609" s="7" t="n">
        <f aca="false">IFERROR(INDEX('TRANS'!$B:$B,MATCH($B609,'TRANS'!$A:$A,0)),IFERROR(INDEX('TRANS'!$B:$B,MATCH(TRIM(SUBSTITUTE($B609,CHAR(160)," ")),'TRANS'!$D:$D,0)),IFERROR(INDEX('Catalog'!$A:$A,MATCH($B609,'Catalog'!$B:$B,0)),IFERROR(INDEX('Catalog'!$A:$A,MATCH(TRIM(SUBSTITUTE($B609,CHAR(160)," ")),'Catalog'!$C:$C,0)),""))))</f>
        <v>4415299</v>
      </c>
      <c r="H609" s="7" t="str">
        <f aca="false">IFERROR(INDEX('TRANS'!$C:$C,MATCH($B609,'TRANS'!$A:$A,0)),IFERROR(INDEX('Catalog'!$B:$B,MATCH($G609,'Catalog'!$A:$A,0)),$B609))</f>
        <v>388B L סד לילה שחור לבוהן ימין</v>
      </c>
      <c r="I609" s="7" t="str">
        <f aca="false">IF($G609="","Unmatched","Matched")</f>
        <v>Matched</v>
      </c>
      <c r="J609" s="7" t="n">
        <f aca="false">IF($G609&lt;&gt;"",$G609,$B609)</f>
        <v>4415299</v>
      </c>
      <c r="K609" s="7" t="str">
        <f aca="false">IF(COUNTIF($O$2:$O$16,$A609)&gt;0,"Y","N")</f>
        <v>Y</v>
      </c>
    </row>
    <row r="610" customFormat="false" ht="15" hidden="false" customHeight="false" outlineLevel="0" collapsed="false">
      <c r="A610" s="7" t="s">
        <v>35</v>
      </c>
      <c r="B610" s="7" t="s">
        <v>342</v>
      </c>
      <c r="C610" s="8" t="n">
        <v>25</v>
      </c>
      <c r="D610" s="8" t="n">
        <v>280.64</v>
      </c>
      <c r="E610" s="8" t="n">
        <v>0</v>
      </c>
      <c r="F610" s="8" t="n">
        <v>0</v>
      </c>
      <c r="G610" s="7" t="n">
        <f aca="false">IFERROR(INDEX('TRANS'!$B:$B,MATCH($B610,'TRANS'!$A:$A,0)),IFERROR(INDEX('TRANS'!$B:$B,MATCH(TRIM(SUBSTITUTE($B610,CHAR(160)," ")),'TRANS'!$D:$D,0)),IFERROR(INDEX('Catalog'!$A:$A,MATCH($B610,'Catalog'!$B:$B,0)),IFERROR(INDEX('Catalog'!$A:$A,MATCH(TRIM(SUBSTITUTE($B610,CHAR(160)," ")),'Catalog'!$C:$C,0)),""))))</f>
        <v>4413098</v>
      </c>
      <c r="H610" s="7" t="str">
        <f aca="false">IFERROR(INDEX('TRANS'!$C:$C,MATCH($B610,'TRANS'!$A:$A,0)),IFERROR(INDEX('Catalog'!$B:$B,MATCH($G610,'Catalog'!$A:$A,0)),$B610))</f>
        <v>45C L מגן ברך חום</v>
      </c>
      <c r="I610" s="7" t="str">
        <f aca="false">IF($G610="","Unmatched","Matched")</f>
        <v>Matched</v>
      </c>
      <c r="J610" s="7" t="n">
        <f aca="false">IF($G610&lt;&gt;"",$G610,$B610)</f>
        <v>4413098</v>
      </c>
      <c r="K610" s="7" t="str">
        <f aca="false">IF(COUNTIF($O$2:$O$16,$A610)&gt;0,"Y","N")</f>
        <v>Y</v>
      </c>
    </row>
    <row r="611" customFormat="false" ht="15" hidden="false" customHeight="false" outlineLevel="0" collapsed="false">
      <c r="A611" s="7" t="s">
        <v>35</v>
      </c>
      <c r="B611" s="7" t="s">
        <v>343</v>
      </c>
      <c r="C611" s="8" t="n">
        <v>20</v>
      </c>
      <c r="D611" s="8" t="n">
        <v>224.51</v>
      </c>
      <c r="E611" s="8" t="n">
        <v>0</v>
      </c>
      <c r="F611" s="8" t="n">
        <v>0</v>
      </c>
      <c r="G611" s="7" t="n">
        <f aca="false">IFERROR(INDEX('TRANS'!$B:$B,MATCH($B611,'TRANS'!$A:$A,0)),IFERROR(INDEX('TRANS'!$B:$B,MATCH(TRIM(SUBSTITUTE($B611,CHAR(160)," ")),'TRANS'!$D:$D,0)),IFERROR(INDEX('Catalog'!$A:$A,MATCH($B611,'Catalog'!$B:$B,0)),IFERROR(INDEX('Catalog'!$A:$A,MATCH(TRIM(SUBSTITUTE($B611,CHAR(160)," ")),'Catalog'!$C:$C,0)),""))))</f>
        <v>4413099</v>
      </c>
      <c r="H611" s="7" t="str">
        <f aca="false">IFERROR(INDEX('TRANS'!$C:$C,MATCH($B611,'TRANS'!$A:$A,0)),IFERROR(INDEX('Catalog'!$B:$B,MATCH($G611,'Catalog'!$A:$A,0)),$B611))</f>
        <v>45C M מגן ברך חום</v>
      </c>
      <c r="I611" s="7" t="str">
        <f aca="false">IF($G611="","Unmatched","Matched")</f>
        <v>Matched</v>
      </c>
      <c r="J611" s="7" t="n">
        <f aca="false">IF($G611&lt;&gt;"",$G611,$B611)</f>
        <v>4413099</v>
      </c>
      <c r="K611" s="7" t="str">
        <f aca="false">IF(COUNTIF($O$2:$O$16,$A611)&gt;0,"Y","N")</f>
        <v>Y</v>
      </c>
    </row>
    <row r="612" customFormat="false" ht="15" hidden="false" customHeight="false" outlineLevel="0" collapsed="false">
      <c r="A612" s="7" t="s">
        <v>35</v>
      </c>
      <c r="B612" s="7" t="s">
        <v>345</v>
      </c>
      <c r="C612" s="8" t="n">
        <v>25</v>
      </c>
      <c r="D612" s="8" t="n">
        <v>280.64</v>
      </c>
      <c r="E612" s="8" t="n">
        <v>0</v>
      </c>
      <c r="F612" s="8" t="n">
        <v>0</v>
      </c>
      <c r="G612" s="7" t="n">
        <f aca="false">IFERROR(INDEX('TRANS'!$B:$B,MATCH($B612,'TRANS'!$A:$A,0)),IFERROR(INDEX('TRANS'!$B:$B,MATCH(TRIM(SUBSTITUTE($B612,CHAR(160)," ")),'TRANS'!$D:$D,0)),IFERROR(INDEX('Catalog'!$A:$A,MATCH($B612,'Catalog'!$B:$B,0)),IFERROR(INDEX('Catalog'!$A:$A,MATCH(TRIM(SUBSTITUTE($B612,CHAR(160)," ")),'Catalog'!$C:$C,0)),""))))</f>
        <v>4413100</v>
      </c>
      <c r="H612" s="7" t="str">
        <f aca="false">IFERROR(INDEX('TRANS'!$C:$C,MATCH($B612,'TRANS'!$A:$A,0)),IFERROR(INDEX('Catalog'!$B:$B,MATCH($G612,'Catalog'!$A:$A,0)),$B612))</f>
        <v>45C XL מגן ברך חום</v>
      </c>
      <c r="I612" s="7" t="str">
        <f aca="false">IF($G612="","Unmatched","Matched")</f>
        <v>Matched</v>
      </c>
      <c r="J612" s="7" t="n">
        <f aca="false">IF($G612&lt;&gt;"",$G612,$B612)</f>
        <v>4413100</v>
      </c>
      <c r="K612" s="7" t="str">
        <f aca="false">IF(COUNTIF($O$2:$O$16,$A612)&gt;0,"Y","N")</f>
        <v>Y</v>
      </c>
    </row>
    <row r="613" customFormat="false" ht="15" hidden="false" customHeight="false" outlineLevel="0" collapsed="false">
      <c r="A613" s="7" t="s">
        <v>35</v>
      </c>
      <c r="B613" s="7" t="s">
        <v>102</v>
      </c>
      <c r="C613" s="8" t="n">
        <v>20</v>
      </c>
      <c r="D613" s="8" t="n">
        <v>224.51</v>
      </c>
      <c r="E613" s="8" t="n">
        <v>0</v>
      </c>
      <c r="F613" s="8" t="n">
        <v>0</v>
      </c>
      <c r="G613" s="7" t="str">
        <f aca="false">IFERROR(INDEX('TRANS'!$B:$B,MATCH($B613,'TRANS'!$A:$A,0)),IFERROR(INDEX('TRANS'!$B:$B,MATCH(TRIM(SUBSTITUTE($B613,CHAR(160)," ")),'TRANS'!$D:$D,0)),IFERROR(INDEX('Catalog'!$A:$A,MATCH($B613,'Catalog'!$B:$B,0)),IFERROR(INDEX('Catalog'!$A:$A,MATCH(TRIM(SUBSTITUTE($B613,CHAR(160)," ")),'Catalog'!$C:$C,0)),""))))</f>
        <v/>
      </c>
      <c r="H613" s="7" t="str">
        <f aca="false">IFERROR(INDEX('TRANS'!$C:$C,MATCH($B613,'TRANS'!$A:$A,0)),IFERROR(INDEX('Catalog'!$B:$B,MATCH($G613,'Catalog'!$A:$A,0)),$B613))</f>
        <v>45C XXL</v>
      </c>
      <c r="I613" s="7" t="str">
        <f aca="false">IF($G613="","Unmatched","Matched")</f>
        <v>Unmatched</v>
      </c>
      <c r="J613" s="7" t="str">
        <f aca="false">IF($G613&lt;&gt;"",$G613,$B613)</f>
        <v>45C XXL</v>
      </c>
      <c r="K613" s="7" t="str">
        <f aca="false">IF(COUNTIF($O$2:$O$16,$A613)&gt;0,"Y","N")</f>
        <v>Y</v>
      </c>
    </row>
    <row r="614" customFormat="false" ht="15" hidden="false" customHeight="false" outlineLevel="0" collapsed="false">
      <c r="A614" s="7" t="s">
        <v>35</v>
      </c>
      <c r="B614" s="7" t="s">
        <v>603</v>
      </c>
      <c r="C614" s="8" t="n">
        <v>20</v>
      </c>
      <c r="D614" s="8" t="n">
        <v>251.15</v>
      </c>
      <c r="E614" s="8" t="n">
        <v>0</v>
      </c>
      <c r="F614" s="8" t="n">
        <v>0</v>
      </c>
      <c r="G614" s="7" t="n">
        <f aca="false">IFERROR(INDEX('TRANS'!$B:$B,MATCH($B614,'TRANS'!$A:$A,0)),IFERROR(INDEX('TRANS'!$B:$B,MATCH(TRIM(SUBSTITUTE($B614,CHAR(160)," ")),'TRANS'!$D:$D,0)),IFERROR(INDEX('Catalog'!$A:$A,MATCH($B614,'Catalog'!$B:$B,0)),IFERROR(INDEX('Catalog'!$A:$A,MATCH(TRIM(SUBSTITUTE($B614,CHAR(160)," ")),'Catalog'!$C:$C,0)),""))))</f>
        <v>4413102</v>
      </c>
      <c r="H614" s="7" t="str">
        <f aca="false">IFERROR(INDEX('TRANS'!$C:$C,MATCH($B614,'TRANS'!$A:$A,0)),IFERROR(INDEX('Catalog'!$B:$B,MATCH($G614,'Catalog'!$A:$A,0)),$B614))</f>
        <v>45E  L        מגן ברך ארוך לבן</v>
      </c>
      <c r="I614" s="7" t="str">
        <f aca="false">IF($G614="","Unmatched","Matched")</f>
        <v>Matched</v>
      </c>
      <c r="J614" s="7" t="n">
        <f aca="false">IF($G614&lt;&gt;"",$G614,$B614)</f>
        <v>4413102</v>
      </c>
      <c r="K614" s="7" t="str">
        <f aca="false">IF(COUNTIF($O$2:$O$16,$A614)&gt;0,"Y","N")</f>
        <v>Y</v>
      </c>
    </row>
    <row r="615" customFormat="false" ht="15" hidden="false" customHeight="false" outlineLevel="0" collapsed="false">
      <c r="A615" s="7" t="s">
        <v>35</v>
      </c>
      <c r="B615" s="7" t="s">
        <v>474</v>
      </c>
      <c r="C615" s="8" t="n">
        <v>20</v>
      </c>
      <c r="D615" s="8" t="n">
        <v>251.15</v>
      </c>
      <c r="E615" s="8" t="n">
        <v>0</v>
      </c>
      <c r="F615" s="8" t="n">
        <v>0</v>
      </c>
      <c r="G615" s="7" t="n">
        <f aca="false">IFERROR(INDEX('TRANS'!$B:$B,MATCH($B615,'TRANS'!$A:$A,0)),IFERROR(INDEX('TRANS'!$B:$B,MATCH(TRIM(SUBSTITUTE($B615,CHAR(160)," ")),'TRANS'!$D:$D,0)),IFERROR(INDEX('Catalog'!$A:$A,MATCH($B615,'Catalog'!$B:$B,0)),IFERROR(INDEX('Catalog'!$A:$A,MATCH(TRIM(SUBSTITUTE($B615,CHAR(160)," ")),'Catalog'!$C:$C,0)),""))))</f>
        <v>4413103</v>
      </c>
      <c r="H615" s="7" t="str">
        <f aca="false">IFERROR(INDEX('TRANS'!$C:$C,MATCH($B615,'TRANS'!$A:$A,0)),IFERROR(INDEX('Catalog'!$B:$B,MATCH($G615,'Catalog'!$A:$A,0)),$B615))</f>
        <v>45E Mמגן ברך ארוך לבן</v>
      </c>
      <c r="I615" s="7" t="str">
        <f aca="false">IF($G615="","Unmatched","Matched")</f>
        <v>Matched</v>
      </c>
      <c r="J615" s="7" t="n">
        <f aca="false">IF($G615&lt;&gt;"",$G615,$B615)</f>
        <v>4413103</v>
      </c>
      <c r="K615" s="7" t="str">
        <f aca="false">IF(COUNTIF($O$2:$O$16,$A615)&gt;0,"Y","N")</f>
        <v>Y</v>
      </c>
    </row>
    <row r="616" customFormat="false" ht="15" hidden="false" customHeight="false" outlineLevel="0" collapsed="false">
      <c r="A616" s="7" t="s">
        <v>35</v>
      </c>
      <c r="B616" s="7" t="s">
        <v>604</v>
      </c>
      <c r="C616" s="8" t="n">
        <v>5</v>
      </c>
      <c r="D616" s="8" t="n">
        <v>62.79</v>
      </c>
      <c r="E616" s="8" t="n">
        <v>0</v>
      </c>
      <c r="F616" s="8" t="n">
        <v>0</v>
      </c>
      <c r="G616" s="7" t="n">
        <f aca="false">IFERROR(INDEX('TRANS'!$B:$B,MATCH($B616,'TRANS'!$A:$A,0)),IFERROR(INDEX('TRANS'!$B:$B,MATCH(TRIM(SUBSTITUTE($B616,CHAR(160)," ")),'TRANS'!$D:$D,0)),IFERROR(INDEX('Catalog'!$A:$A,MATCH($B616,'Catalog'!$B:$B,0)),IFERROR(INDEX('Catalog'!$A:$A,MATCH(TRIM(SUBSTITUTE($B616,CHAR(160)," ")),'Catalog'!$C:$C,0)),""))))</f>
        <v>4413101</v>
      </c>
      <c r="H616" s="7" t="str">
        <f aca="false">IFERROR(INDEX('TRANS'!$C:$C,MATCH($B616,'TRANS'!$A:$A,0)),IFERROR(INDEX('Catalog'!$B:$B,MATCH($G616,'Catalog'!$A:$A,0)),$B616))</f>
        <v>45E Sמגן ברך ארוך לבן</v>
      </c>
      <c r="I616" s="7" t="str">
        <f aca="false">IF($G616="","Unmatched","Matched")</f>
        <v>Matched</v>
      </c>
      <c r="J616" s="7" t="n">
        <f aca="false">IF($G616&lt;&gt;"",$G616,$B616)</f>
        <v>4413101</v>
      </c>
      <c r="K616" s="7" t="str">
        <f aca="false">IF(COUNTIF($O$2:$O$16,$A616)&gt;0,"Y","N")</f>
        <v>Y</v>
      </c>
    </row>
    <row r="617" customFormat="false" ht="15" hidden="false" customHeight="false" outlineLevel="0" collapsed="false">
      <c r="A617" s="7" t="s">
        <v>35</v>
      </c>
      <c r="B617" s="7" t="s">
        <v>605</v>
      </c>
      <c r="C617" s="8" t="n">
        <v>20</v>
      </c>
      <c r="D617" s="8" t="n">
        <v>251.15</v>
      </c>
      <c r="E617" s="8" t="n">
        <v>0</v>
      </c>
      <c r="F617" s="8" t="n">
        <v>0</v>
      </c>
      <c r="G617" s="7" t="n">
        <f aca="false">IFERROR(INDEX('TRANS'!$B:$B,MATCH($B617,'TRANS'!$A:$A,0)),IFERROR(INDEX('TRANS'!$B:$B,MATCH(TRIM(SUBSTITUTE($B617,CHAR(160)," ")),'TRANS'!$D:$D,0)),IFERROR(INDEX('Catalog'!$A:$A,MATCH($B617,'Catalog'!$B:$B,0)),IFERROR(INDEX('Catalog'!$A:$A,MATCH(TRIM(SUBSTITUTE($B617,CHAR(160)," ")),'Catalog'!$C:$C,0)),""))))</f>
        <v>4413104</v>
      </c>
      <c r="H617" s="7" t="str">
        <f aca="false">IFERROR(INDEX('TRANS'!$C:$C,MATCH($B617,'TRANS'!$A:$A,0)),IFERROR(INDEX('Catalog'!$B:$B,MATCH($G617,'Catalog'!$A:$A,0)),$B617))</f>
        <v>45E XLמגן ברך ארוך לבן</v>
      </c>
      <c r="I617" s="7" t="str">
        <f aca="false">IF($G617="","Unmatched","Matched")</f>
        <v>Matched</v>
      </c>
      <c r="J617" s="7" t="n">
        <f aca="false">IF($G617&lt;&gt;"",$G617,$B617)</f>
        <v>4413104</v>
      </c>
      <c r="K617" s="7" t="str">
        <f aca="false">IF(COUNTIF($O$2:$O$16,$A617)&gt;0,"Y","N")</f>
        <v>Y</v>
      </c>
    </row>
    <row r="618" customFormat="false" ht="15" hidden="false" customHeight="false" outlineLevel="0" collapsed="false">
      <c r="A618" s="7" t="s">
        <v>35</v>
      </c>
      <c r="B618" s="7" t="s">
        <v>606</v>
      </c>
      <c r="C618" s="8" t="n">
        <v>20</v>
      </c>
      <c r="D618" s="8" t="n">
        <v>251.15</v>
      </c>
      <c r="E618" s="8" t="n">
        <v>0</v>
      </c>
      <c r="F618" s="8" t="n">
        <v>0</v>
      </c>
      <c r="G618" s="7" t="n">
        <f aca="false">IFERROR(INDEX('TRANS'!$B:$B,MATCH($B618,'TRANS'!$A:$A,0)),IFERROR(INDEX('TRANS'!$B:$B,MATCH(TRIM(SUBSTITUTE($B618,CHAR(160)," ")),'TRANS'!$D:$D,0)),IFERROR(INDEX('Catalog'!$A:$A,MATCH($B618,'Catalog'!$B:$B,0)),IFERROR(INDEX('Catalog'!$A:$A,MATCH(TRIM(SUBSTITUTE($B618,CHAR(160)," ")),'Catalog'!$C:$C,0)),""))))</f>
        <v>4413105</v>
      </c>
      <c r="H618" s="7" t="str">
        <f aca="false">IFERROR(INDEX('TRANS'!$C:$C,MATCH($B618,'TRANS'!$A:$A,0)),IFERROR(INDEX('Catalog'!$B:$B,MATCH($G618,'Catalog'!$A:$A,0)),$B618))</f>
        <v>45E XXLמגן ברך ארוך לבן</v>
      </c>
      <c r="I618" s="7" t="str">
        <f aca="false">IF($G618="","Unmatched","Matched")</f>
        <v>Matched</v>
      </c>
      <c r="J618" s="7" t="n">
        <f aca="false">IF($G618&lt;&gt;"",$G618,$B618)</f>
        <v>4413105</v>
      </c>
      <c r="K618" s="7" t="str">
        <f aca="false">IF(COUNTIF($O$2:$O$16,$A618)&gt;0,"Y","N")</f>
        <v>Y</v>
      </c>
    </row>
    <row r="619" customFormat="false" ht="15" hidden="false" customHeight="false" outlineLevel="0" collapsed="false">
      <c r="A619" s="7" t="s">
        <v>35</v>
      </c>
      <c r="B619" s="7" t="s">
        <v>485</v>
      </c>
      <c r="C619" s="8" t="n">
        <v>20</v>
      </c>
      <c r="D619" s="8" t="n">
        <v>498.49</v>
      </c>
      <c r="E619" s="8" t="n">
        <v>0</v>
      </c>
      <c r="F619" s="8" t="n">
        <v>0</v>
      </c>
      <c r="G619" s="7" t="n">
        <f aca="false">IFERROR(INDEX('TRANS'!$B:$B,MATCH($B619,'TRANS'!$A:$A,0)),IFERROR(INDEX('TRANS'!$B:$B,MATCH(TRIM(SUBSTITUTE($B619,CHAR(160)," ")),'TRANS'!$D:$D,0)),IFERROR(INDEX('Catalog'!$A:$A,MATCH($B619,'Catalog'!$B:$B,0)),IFERROR(INDEX('Catalog'!$A:$A,MATCH(TRIM(SUBSTITUTE($B619,CHAR(160)," ")),'Catalog'!$C:$C,0)),""))))</f>
        <v>4418000</v>
      </c>
      <c r="H619" s="7" t="str">
        <f aca="false">IFERROR(INDEX('TRANS'!$C:$C,MATCH($B619,'TRANS'!$A:$A,0)),IFERROR(INDEX('Catalog'!$B:$B,MATCH($G619,'Catalog'!$A:$A,0)),$B619))</f>
        <v>60 L צוארון ספוגי</v>
      </c>
      <c r="I619" s="7" t="str">
        <f aca="false">IF($G619="","Unmatched","Matched")</f>
        <v>Matched</v>
      </c>
      <c r="J619" s="7" t="n">
        <f aca="false">IF($G619&lt;&gt;"",$G619,$B619)</f>
        <v>4418000</v>
      </c>
      <c r="K619" s="7" t="str">
        <f aca="false">IF(COUNTIF($O$2:$O$16,$A619)&gt;0,"Y","N")</f>
        <v>Y</v>
      </c>
    </row>
    <row r="620" customFormat="false" ht="15" hidden="false" customHeight="false" outlineLevel="0" collapsed="false">
      <c r="A620" s="7" t="s">
        <v>35</v>
      </c>
      <c r="B620" s="7" t="s">
        <v>486</v>
      </c>
      <c r="C620" s="8" t="n">
        <v>20</v>
      </c>
      <c r="D620" s="8" t="n">
        <v>498.49</v>
      </c>
      <c r="E620" s="8" t="n">
        <v>0</v>
      </c>
      <c r="F620" s="8" t="n">
        <v>0</v>
      </c>
      <c r="G620" s="7" t="n">
        <f aca="false">IFERROR(INDEX('TRANS'!$B:$B,MATCH($B620,'TRANS'!$A:$A,0)),IFERROR(INDEX('TRANS'!$B:$B,MATCH(TRIM(SUBSTITUTE($B620,CHAR(160)," ")),'TRANS'!$D:$D,0)),IFERROR(INDEX('Catalog'!$A:$A,MATCH($B620,'Catalog'!$B:$B,0)),IFERROR(INDEX('Catalog'!$A:$A,MATCH(TRIM(SUBSTITUTE($B620,CHAR(160)," ")),'Catalog'!$C:$C,0)),""))))</f>
        <v>4418001</v>
      </c>
      <c r="H620" s="7" t="str">
        <f aca="false">IFERROR(INDEX('TRANS'!$C:$C,MATCH($B620,'TRANS'!$A:$A,0)),IFERROR(INDEX('Catalog'!$B:$B,MATCH($G620,'Catalog'!$A:$A,0)),$B620))</f>
        <v>60 M צוארון ספוגי</v>
      </c>
      <c r="I620" s="7" t="str">
        <f aca="false">IF($G620="","Unmatched","Matched")</f>
        <v>Matched</v>
      </c>
      <c r="J620" s="7" t="n">
        <f aca="false">IF($G620&lt;&gt;"",$G620,$B620)</f>
        <v>4418001</v>
      </c>
      <c r="K620" s="7" t="str">
        <f aca="false">IF(COUNTIF($O$2:$O$16,$A620)&gt;0,"Y","N")</f>
        <v>Y</v>
      </c>
    </row>
    <row r="621" customFormat="false" ht="15" hidden="false" customHeight="false" outlineLevel="0" collapsed="false">
      <c r="A621" s="7" t="s">
        <v>35</v>
      </c>
      <c r="B621" s="7" t="s">
        <v>191</v>
      </c>
      <c r="C621" s="8" t="n">
        <v>7</v>
      </c>
      <c r="D621" s="8" t="n">
        <v>175.81</v>
      </c>
      <c r="E621" s="8" t="n">
        <v>0</v>
      </c>
      <c r="F621" s="8" t="n">
        <v>0</v>
      </c>
      <c r="G621" s="7" t="str">
        <f aca="false">IFERROR(INDEX('TRANS'!$B:$B,MATCH($B621,'TRANS'!$A:$A,0)),IFERROR(INDEX('TRANS'!$B:$B,MATCH(TRIM(SUBSTITUTE($B621,CHAR(160)," ")),'TRANS'!$D:$D,0)),IFERROR(INDEX('Catalog'!$A:$A,MATCH($B621,'Catalog'!$B:$B,0)),IFERROR(INDEX('Catalog'!$A:$A,MATCH(TRIM(SUBSTITUTE($B621,CHAR(160)," ")),'Catalog'!$C:$C,0)),""))))</f>
        <v/>
      </c>
      <c r="H621" s="7" t="str">
        <f aca="false">IFERROR(INDEX('TRANS'!$C:$C,MATCH($B621,'TRANS'!$A:$A,0)),IFERROR(INDEX('Catalog'!$B:$B,MATCH($G621,'Catalog'!$A:$A,0)),$B621))</f>
        <v>62 L</v>
      </c>
      <c r="I621" s="7" t="str">
        <f aca="false">IF($G621="","Unmatched","Matched")</f>
        <v>Unmatched</v>
      </c>
      <c r="J621" s="7" t="str">
        <f aca="false">IF($G621&lt;&gt;"",$G621,$B621)</f>
        <v>62 L</v>
      </c>
      <c r="K621" s="7" t="str">
        <f aca="false">IF(COUNTIF($O$2:$O$16,$A621)&gt;0,"Y","N")</f>
        <v>Y</v>
      </c>
    </row>
    <row r="622" customFormat="false" ht="15" hidden="false" customHeight="false" outlineLevel="0" collapsed="false">
      <c r="A622" s="7" t="s">
        <v>35</v>
      </c>
      <c r="B622" s="7" t="s">
        <v>351</v>
      </c>
      <c r="C622" s="8" t="n">
        <v>36</v>
      </c>
      <c r="D622" s="8" t="n">
        <v>486.32</v>
      </c>
      <c r="E622" s="8" t="n">
        <v>0</v>
      </c>
      <c r="F622" s="8" t="n">
        <v>0</v>
      </c>
      <c r="G622" s="7" t="n">
        <f aca="false">IFERROR(INDEX('TRANS'!$B:$B,MATCH($B622,'TRANS'!$A:$A,0)),IFERROR(INDEX('TRANS'!$B:$B,MATCH(TRIM(SUBSTITUTE($B622,CHAR(160)," ")),'TRANS'!$D:$D,0)),IFERROR(INDEX('Catalog'!$A:$A,MATCH($B622,'Catalog'!$B:$B,0)),IFERROR(INDEX('Catalog'!$A:$A,MATCH(TRIM(SUBSTITUTE($B622,CHAR(160)," ")),'Catalog'!$C:$C,0)),""))))</f>
        <v>4409017</v>
      </c>
      <c r="H622" s="7" t="str">
        <f aca="false">IFERROR(INDEX('TRANS'!$C:$C,MATCH($B622,'TRANS'!$A:$A,0)),IFERROR(INDEX('Catalog'!$B:$B,MATCH($G622,'Catalog'!$A:$A,0)),$B622))</f>
        <v>808KT-B        טייפ קינזיולוגי</v>
      </c>
      <c r="I622" s="7" t="str">
        <f aca="false">IF($G622="","Unmatched","Matched")</f>
        <v>Matched</v>
      </c>
      <c r="J622" s="7" t="n">
        <f aca="false">IF($G622&lt;&gt;"",$G622,$B622)</f>
        <v>4409017</v>
      </c>
      <c r="K622" s="7" t="str">
        <f aca="false">IF(COUNTIF($O$2:$O$16,$A622)&gt;0,"Y","N")</f>
        <v>Y</v>
      </c>
    </row>
    <row r="623" customFormat="false" ht="15" hidden="false" customHeight="false" outlineLevel="0" collapsed="false">
      <c r="A623" s="7" t="s">
        <v>35</v>
      </c>
      <c r="B623" s="7" t="s">
        <v>352</v>
      </c>
      <c r="C623" s="8" t="n">
        <v>36</v>
      </c>
      <c r="D623" s="8" t="n">
        <v>486.32</v>
      </c>
      <c r="E623" s="8" t="n">
        <v>0</v>
      </c>
      <c r="F623" s="8" t="n">
        <v>0</v>
      </c>
      <c r="G623" s="7" t="n">
        <f aca="false">IFERROR(INDEX('TRANS'!$B:$B,MATCH($B623,'TRANS'!$A:$A,0)),IFERROR(INDEX('TRANS'!$B:$B,MATCH(TRIM(SUBSTITUTE($B623,CHAR(160)," ")),'TRANS'!$D:$D,0)),IFERROR(INDEX('Catalog'!$A:$A,MATCH($B623,'Catalog'!$B:$B,0)),IFERROR(INDEX('Catalog'!$A:$A,MATCH(TRIM(SUBSTITUTE($B623,CHAR(160)," ")),'Catalog'!$C:$C,0)),""))))</f>
        <v>4409015</v>
      </c>
      <c r="H623" s="7" t="str">
        <f aca="false">IFERROR(INDEX('TRANS'!$C:$C,MATCH($B623,'TRANS'!$A:$A,0)),IFERROR(INDEX('Catalog'!$B:$B,MATCH($G623,'Catalog'!$A:$A,0)),$B623))</f>
        <v>808KT-BL       טייפ קינזיולוגי</v>
      </c>
      <c r="I623" s="7" t="str">
        <f aca="false">IF($G623="","Unmatched","Matched")</f>
        <v>Matched</v>
      </c>
      <c r="J623" s="7" t="n">
        <f aca="false">IF($G623&lt;&gt;"",$G623,$B623)</f>
        <v>4409015</v>
      </c>
      <c r="K623" s="7" t="str">
        <f aca="false">IF(COUNTIF($O$2:$O$16,$A623)&gt;0,"Y","N")</f>
        <v>Y</v>
      </c>
    </row>
    <row r="624" customFormat="false" ht="15" hidden="false" customHeight="false" outlineLevel="0" collapsed="false">
      <c r="A624" s="7" t="s">
        <v>35</v>
      </c>
      <c r="B624" s="7" t="s">
        <v>353</v>
      </c>
      <c r="C624" s="8" t="n">
        <v>36</v>
      </c>
      <c r="D624" s="8" t="n">
        <v>486.32</v>
      </c>
      <c r="E624" s="8" t="n">
        <v>0</v>
      </c>
      <c r="F624" s="8" t="n">
        <v>0</v>
      </c>
      <c r="G624" s="7" t="n">
        <f aca="false">IFERROR(INDEX('TRANS'!$B:$B,MATCH($B624,'TRANS'!$A:$A,0)),IFERROR(INDEX('TRANS'!$B:$B,MATCH(TRIM(SUBSTITUTE($B624,CHAR(160)," ")),'TRANS'!$D:$D,0)),IFERROR(INDEX('Catalog'!$A:$A,MATCH($B624,'Catalog'!$B:$B,0)),IFERROR(INDEX('Catalog'!$A:$A,MATCH(TRIM(SUBSTITUTE($B624,CHAR(160)," ")),'Catalog'!$C:$C,0)),""))))</f>
        <v>4409016</v>
      </c>
      <c r="H624" s="7" t="str">
        <f aca="false">IFERROR(INDEX('TRANS'!$C:$C,MATCH($B624,'TRANS'!$A:$A,0)),IFERROR(INDEX('Catalog'!$B:$B,MATCH($G624,'Catalog'!$A:$A,0)),$B624))</f>
        <v>808KT-C        טייפ קינזיולוגי</v>
      </c>
      <c r="I624" s="7" t="str">
        <f aca="false">IF($G624="","Unmatched","Matched")</f>
        <v>Matched</v>
      </c>
      <c r="J624" s="7" t="n">
        <f aca="false">IF($G624&lt;&gt;"",$G624,$B624)</f>
        <v>4409016</v>
      </c>
      <c r="K624" s="7" t="str">
        <f aca="false">IF(COUNTIF($O$2:$O$16,$A624)&gt;0,"Y","N")</f>
        <v>Y</v>
      </c>
    </row>
    <row r="625" customFormat="false" ht="15" hidden="false" customHeight="false" outlineLevel="0" collapsed="false">
      <c r="A625" s="7" t="s">
        <v>35</v>
      </c>
      <c r="B625" s="7" t="s">
        <v>354</v>
      </c>
      <c r="C625" s="8" t="n">
        <v>36</v>
      </c>
      <c r="D625" s="8" t="n">
        <v>486.32</v>
      </c>
      <c r="E625" s="8" t="n">
        <v>0</v>
      </c>
      <c r="F625" s="8" t="n">
        <v>0</v>
      </c>
      <c r="G625" s="7" t="n">
        <f aca="false">IFERROR(INDEX('TRANS'!$B:$B,MATCH($B625,'TRANS'!$A:$A,0)),IFERROR(INDEX('TRANS'!$B:$B,MATCH(TRIM(SUBSTITUTE($B625,CHAR(160)," ")),'TRANS'!$D:$D,0)),IFERROR(INDEX('Catalog'!$A:$A,MATCH($B625,'Catalog'!$B:$B,0)),IFERROR(INDEX('Catalog'!$A:$A,MATCH(TRIM(SUBSTITUTE($B625,CHAR(160)," ")),'Catalog'!$C:$C,0)),""))))</f>
        <v>4409014</v>
      </c>
      <c r="H625" s="7" t="str">
        <f aca="false">IFERROR(INDEX('TRANS'!$C:$C,MATCH($B625,'TRANS'!$A:$A,0)),IFERROR(INDEX('Catalog'!$B:$B,MATCH($G625,'Catalog'!$A:$A,0)),$B625))</f>
        <v>808KT-P        טייפ קינזיולוגי</v>
      </c>
      <c r="I625" s="7" t="str">
        <f aca="false">IF($G625="","Unmatched","Matched")</f>
        <v>Matched</v>
      </c>
      <c r="J625" s="7" t="n">
        <f aca="false">IF($G625&lt;&gt;"",$G625,$B625)</f>
        <v>4409014</v>
      </c>
      <c r="K625" s="7" t="str">
        <f aca="false">IF(COUNTIF($O$2:$O$16,$A625)&gt;0,"Y","N")</f>
        <v>Y</v>
      </c>
    </row>
    <row r="626" customFormat="false" ht="15" hidden="false" customHeight="false" outlineLevel="0" collapsed="false">
      <c r="A626" s="7" t="s">
        <v>35</v>
      </c>
      <c r="B626" s="7" t="s">
        <v>607</v>
      </c>
      <c r="C626" s="8" t="n">
        <v>10</v>
      </c>
      <c r="D626" s="8" t="n">
        <v>249.25</v>
      </c>
      <c r="E626" s="8" t="n">
        <v>0</v>
      </c>
      <c r="F626" s="8" t="n">
        <v>0</v>
      </c>
      <c r="G626" s="7" t="n">
        <f aca="false">IFERROR(INDEX('TRANS'!$B:$B,MATCH($B626,'TRANS'!$A:$A,0)),IFERROR(INDEX('TRANS'!$B:$B,MATCH(TRIM(SUBSTITUTE($B626,CHAR(160)," ")),'TRANS'!$D:$D,0)),IFERROR(INDEX('Catalog'!$A:$A,MATCH($B626,'Catalog'!$B:$B,0)),IFERROR(INDEX('Catalog'!$A:$A,MATCH(TRIM(SUBSTITUTE($B626,CHAR(160)," ")),'Catalog'!$C:$C,0)),""))))</f>
        <v>4411015</v>
      </c>
      <c r="H626" s="7" t="str">
        <f aca="false">IFERROR(INDEX('TRANS'!$C:$C,MATCH($B626,'TRANS'!$A:$A,0)),IFERROR(INDEX('Catalog'!$B:$B,MATCH($G626,'Catalog'!$A:$A,0)),$B626))</f>
        <v>820 0 כרית חום וקור</v>
      </c>
      <c r="I626" s="7" t="str">
        <f aca="false">IF($G626="","Unmatched","Matched")</f>
        <v>Matched</v>
      </c>
      <c r="J626" s="7" t="n">
        <f aca="false">IF($G626&lt;&gt;"",$G626,$B626)</f>
        <v>4411015</v>
      </c>
      <c r="K626" s="7" t="str">
        <f aca="false">IF(COUNTIF($O$2:$O$16,$A626)&gt;0,"Y","N")</f>
        <v>Y</v>
      </c>
    </row>
    <row r="627" customFormat="false" ht="15" hidden="false" customHeight="false" outlineLevel="0" collapsed="false">
      <c r="A627" s="7" t="s">
        <v>35</v>
      </c>
      <c r="B627" s="7" t="s">
        <v>608</v>
      </c>
      <c r="C627" s="8" t="n">
        <v>15</v>
      </c>
      <c r="D627" s="8" t="n">
        <v>647.85</v>
      </c>
      <c r="E627" s="8" t="n">
        <v>0</v>
      </c>
      <c r="F627" s="8" t="n">
        <v>0</v>
      </c>
      <c r="G627" s="7" t="n">
        <f aca="false">IFERROR(INDEX('TRANS'!$B:$B,MATCH($B627,'TRANS'!$A:$A,0)),IFERROR(INDEX('TRANS'!$B:$B,MATCH(TRIM(SUBSTITUTE($B627,CHAR(160)," ")),'TRANS'!$D:$D,0)),IFERROR(INDEX('Catalog'!$A:$A,MATCH($B627,'Catalog'!$B:$B,0)),IFERROR(INDEX('Catalog'!$A:$A,MATCH(TRIM(SUBSTITUTE($B627,CHAR(160)," ")),'Catalog'!$C:$C,0)),""))))</f>
        <v>4413176</v>
      </c>
      <c r="H627" s="7" t="str">
        <f aca="false">IFERROR(INDEX('TRANS'!$C:$C,MATCH($B627,'TRANS'!$A:$A,0)),IFERROR(INDEX('Catalog'!$B:$B,MATCH($G627,'Catalog'!$A:$A,0)),$B627))</f>
        <v>85+ Lמתלה ליד)כיס(+רצועת חיזוק</v>
      </c>
      <c r="I627" s="7" t="str">
        <f aca="false">IF($G627="","Unmatched","Matched")</f>
        <v>Matched</v>
      </c>
      <c r="J627" s="7" t="n">
        <f aca="false">IF($G627&lt;&gt;"",$G627,$B627)</f>
        <v>4413176</v>
      </c>
      <c r="K627" s="7" t="str">
        <f aca="false">IF(COUNTIF($O$2:$O$16,$A627)&gt;0,"Y","N")</f>
        <v>Y</v>
      </c>
    </row>
    <row r="628" customFormat="false" ht="15" hidden="false" customHeight="false" outlineLevel="0" collapsed="false">
      <c r="A628" s="7" t="s">
        <v>35</v>
      </c>
      <c r="B628" s="7" t="s">
        <v>609</v>
      </c>
      <c r="C628" s="8" t="n">
        <v>15</v>
      </c>
      <c r="D628" s="8" t="n">
        <v>647.85</v>
      </c>
      <c r="E628" s="8" t="n">
        <v>0</v>
      </c>
      <c r="F628" s="8" t="n">
        <v>0</v>
      </c>
      <c r="G628" s="7" t="n">
        <f aca="false">IFERROR(INDEX('TRANS'!$B:$B,MATCH($B628,'TRANS'!$A:$A,0)),IFERROR(INDEX('TRANS'!$B:$B,MATCH(TRIM(SUBSTITUTE($B628,CHAR(160)," ")),'TRANS'!$D:$D,0)),IFERROR(INDEX('Catalog'!$A:$A,MATCH($B628,'Catalog'!$B:$B,0)),IFERROR(INDEX('Catalog'!$A:$A,MATCH(TRIM(SUBSTITUTE($B628,CHAR(160)," ")),'Catalog'!$C:$C,0)),""))))</f>
        <v>4413175</v>
      </c>
      <c r="H628" s="7" t="str">
        <f aca="false">IFERROR(INDEX('TRANS'!$C:$C,MATCH($B628,'TRANS'!$A:$A,0)),IFERROR(INDEX('Catalog'!$B:$B,MATCH($G628,'Catalog'!$A:$A,0)),$B628))</f>
        <v>85+ Mמתלה ליד)כיס(+רצועת חיזוק</v>
      </c>
      <c r="I628" s="7" t="str">
        <f aca="false">IF($G628="","Unmatched","Matched")</f>
        <v>Matched</v>
      </c>
      <c r="J628" s="7" t="n">
        <f aca="false">IF($G628&lt;&gt;"",$G628,$B628)</f>
        <v>4413175</v>
      </c>
      <c r="K628" s="7" t="str">
        <f aca="false">IF(COUNTIF($O$2:$O$16,$A628)&gt;0,"Y","N")</f>
        <v>Y</v>
      </c>
    </row>
    <row r="629" customFormat="false" ht="15" hidden="false" customHeight="false" outlineLevel="0" collapsed="false">
      <c r="A629" s="7" t="s">
        <v>35</v>
      </c>
      <c r="B629" s="7" t="s">
        <v>610</v>
      </c>
      <c r="C629" s="8" t="n">
        <v>10</v>
      </c>
      <c r="D629" s="8" t="n">
        <v>431.91</v>
      </c>
      <c r="E629" s="8" t="n">
        <v>0</v>
      </c>
      <c r="F629" s="8" t="n">
        <v>0</v>
      </c>
      <c r="G629" s="7" t="n">
        <f aca="false">IFERROR(INDEX('TRANS'!$B:$B,MATCH($B629,'TRANS'!$A:$A,0)),IFERROR(INDEX('TRANS'!$B:$B,MATCH(TRIM(SUBSTITUTE($B629,CHAR(160)," ")),'TRANS'!$D:$D,0)),IFERROR(INDEX('Catalog'!$A:$A,MATCH($B629,'Catalog'!$B:$B,0)),IFERROR(INDEX('Catalog'!$A:$A,MATCH(TRIM(SUBSTITUTE($B629,CHAR(160)," ")),'Catalog'!$C:$C,0)),""))))</f>
        <v>4413177</v>
      </c>
      <c r="H629" s="7" t="str">
        <f aca="false">IFERROR(INDEX('TRANS'!$C:$C,MATCH($B629,'TRANS'!$A:$A,0)),IFERROR(INDEX('Catalog'!$B:$B,MATCH($G629,'Catalog'!$A:$A,0)),$B629))</f>
        <v>85+ XLמתלה ליד)כיס(רצועת חיזוק</v>
      </c>
      <c r="I629" s="7" t="str">
        <f aca="false">IF($G629="","Unmatched","Matched")</f>
        <v>Matched</v>
      </c>
      <c r="J629" s="7" t="n">
        <f aca="false">IF($G629&lt;&gt;"",$G629,$B629)</f>
        <v>4413177</v>
      </c>
      <c r="K629" s="7" t="str">
        <f aca="false">IF(COUNTIF($O$2:$O$16,$A629)&gt;0,"Y","N")</f>
        <v>Y</v>
      </c>
    </row>
    <row r="630" customFormat="false" ht="15" hidden="false" customHeight="false" outlineLevel="0" collapsed="false">
      <c r="A630" s="7" t="s">
        <v>35</v>
      </c>
      <c r="B630" s="7" t="s">
        <v>360</v>
      </c>
      <c r="C630" s="8" t="n">
        <v>20</v>
      </c>
      <c r="D630" s="8" t="n">
        <v>224.51</v>
      </c>
      <c r="E630" s="8" t="n">
        <v>0</v>
      </c>
      <c r="F630" s="8" t="n">
        <v>0</v>
      </c>
      <c r="G630" s="7" t="n">
        <f aca="false">IFERROR(INDEX('TRANS'!$B:$B,MATCH($B630,'TRANS'!$A:$A,0)),IFERROR(INDEX('TRANS'!$B:$B,MATCH(TRIM(SUBSTITUTE($B630,CHAR(160)," ")),'TRANS'!$D:$D,0)),IFERROR(INDEX('Catalog'!$A:$A,MATCH($B630,'Catalog'!$B:$B,0)),IFERROR(INDEX('Catalog'!$A:$A,MATCH(TRIM(SUBSTITUTE($B630,CHAR(160)," ")),'Catalog'!$C:$C,0)),""))))</f>
        <v>4413139</v>
      </c>
      <c r="H630" s="7" t="str">
        <f aca="false">IFERROR(INDEX('TRANS'!$C:$C,MATCH($B630,'TRANS'!$A:$A,0)),IFERROR(INDEX('Catalog'!$B:$B,MATCH($G630,'Catalog'!$A:$A,0)),$B630))</f>
        <v>95 L מגן מרפק רגיל לבן</v>
      </c>
      <c r="I630" s="7" t="str">
        <f aca="false">IF($G630="","Unmatched","Matched")</f>
        <v>Matched</v>
      </c>
      <c r="J630" s="7" t="n">
        <f aca="false">IF($G630&lt;&gt;"",$G630,$B630)</f>
        <v>4413139</v>
      </c>
      <c r="K630" s="7" t="str">
        <f aca="false">IF(COUNTIF($O$2:$O$16,$A630)&gt;0,"Y","N")</f>
        <v>Y</v>
      </c>
    </row>
    <row r="631" customFormat="false" ht="15" hidden="false" customHeight="false" outlineLevel="0" collapsed="false">
      <c r="A631" s="7" t="s">
        <v>35</v>
      </c>
      <c r="B631" s="7" t="s">
        <v>361</v>
      </c>
      <c r="C631" s="8" t="n">
        <v>20</v>
      </c>
      <c r="D631" s="8" t="n">
        <v>224.51</v>
      </c>
      <c r="E631" s="8" t="n">
        <v>0</v>
      </c>
      <c r="F631" s="8" t="n">
        <v>0</v>
      </c>
      <c r="G631" s="7" t="n">
        <f aca="false">IFERROR(INDEX('TRANS'!$B:$B,MATCH($B631,'TRANS'!$A:$A,0)),IFERROR(INDEX('TRANS'!$B:$B,MATCH(TRIM(SUBSTITUTE($B631,CHAR(160)," ")),'TRANS'!$D:$D,0)),IFERROR(INDEX('Catalog'!$A:$A,MATCH($B631,'Catalog'!$B:$B,0)),IFERROR(INDEX('Catalog'!$A:$A,MATCH(TRIM(SUBSTITUTE($B631,CHAR(160)," ")),'Catalog'!$C:$C,0)),""))))</f>
        <v>4413140</v>
      </c>
      <c r="H631" s="7" t="str">
        <f aca="false">IFERROR(INDEX('TRANS'!$C:$C,MATCH($B631,'TRANS'!$A:$A,0)),IFERROR(INDEX('Catalog'!$B:$B,MATCH($G631,'Catalog'!$A:$A,0)),$B631))</f>
        <v>95 M מגן מרפק רגיל לבן</v>
      </c>
      <c r="I631" s="7" t="str">
        <f aca="false">IF($G631="","Unmatched","Matched")</f>
        <v>Matched</v>
      </c>
      <c r="J631" s="7" t="n">
        <f aca="false">IF($G631&lt;&gt;"",$G631,$B631)</f>
        <v>4413140</v>
      </c>
      <c r="K631" s="7" t="str">
        <f aca="false">IF(COUNTIF($O$2:$O$16,$A631)&gt;0,"Y","N")</f>
        <v>Y</v>
      </c>
    </row>
    <row r="632" customFormat="false" ht="15" hidden="false" customHeight="false" outlineLevel="0" collapsed="false">
      <c r="A632" s="7" t="s">
        <v>35</v>
      </c>
      <c r="B632" s="7" t="s">
        <v>362</v>
      </c>
      <c r="C632" s="8" t="n">
        <v>10</v>
      </c>
      <c r="D632" s="8" t="n">
        <v>112.26</v>
      </c>
      <c r="E632" s="8" t="n">
        <v>0</v>
      </c>
      <c r="F632" s="8" t="n">
        <v>0</v>
      </c>
      <c r="G632" s="7" t="n">
        <f aca="false">IFERROR(INDEX('TRANS'!$B:$B,MATCH($B632,'TRANS'!$A:$A,0)),IFERROR(INDEX('TRANS'!$B:$B,MATCH(TRIM(SUBSTITUTE($B632,CHAR(160)," ")),'TRANS'!$D:$D,0)),IFERROR(INDEX('Catalog'!$A:$A,MATCH($B632,'Catalog'!$B:$B,0)),IFERROR(INDEX('Catalog'!$A:$A,MATCH(TRIM(SUBSTITUTE($B632,CHAR(160)," ")),'Catalog'!$C:$C,0)),""))))</f>
        <v>4413141</v>
      </c>
      <c r="H632" s="7" t="str">
        <f aca="false">IFERROR(INDEX('TRANS'!$C:$C,MATCH($B632,'TRANS'!$A:$A,0)),IFERROR(INDEX('Catalog'!$B:$B,MATCH($G632,'Catalog'!$A:$A,0)),$B632))</f>
        <v>95 S מגן מרפק רגיל לבן</v>
      </c>
      <c r="I632" s="7" t="str">
        <f aca="false">IF($G632="","Unmatched","Matched")</f>
        <v>Matched</v>
      </c>
      <c r="J632" s="7" t="n">
        <f aca="false">IF($G632&lt;&gt;"",$G632,$B632)</f>
        <v>4413141</v>
      </c>
      <c r="K632" s="7" t="str">
        <f aca="false">IF(COUNTIF($O$2:$O$16,$A632)&gt;0,"Y","N")</f>
        <v>Y</v>
      </c>
    </row>
    <row r="633" customFormat="false" ht="15" hidden="false" customHeight="false" outlineLevel="0" collapsed="false">
      <c r="A633" s="7" t="s">
        <v>35</v>
      </c>
      <c r="B633" s="7" t="s">
        <v>611</v>
      </c>
      <c r="C633" s="8" t="n">
        <v>15</v>
      </c>
      <c r="D633" s="8" t="n">
        <v>168.39</v>
      </c>
      <c r="E633" s="8" t="n">
        <v>0</v>
      </c>
      <c r="F633" s="8" t="n">
        <v>0</v>
      </c>
      <c r="G633" s="7" t="n">
        <f aca="false">IFERROR(INDEX('TRANS'!$B:$B,MATCH($B633,'TRANS'!$A:$A,0)),IFERROR(INDEX('TRANS'!$B:$B,MATCH(TRIM(SUBSTITUTE($B633,CHAR(160)," ")),'TRANS'!$D:$D,0)),IFERROR(INDEX('Catalog'!$A:$A,MATCH($B633,'Catalog'!$B:$B,0)),IFERROR(INDEX('Catalog'!$A:$A,MATCH(TRIM(SUBSTITUTE($B633,CHAR(160)," ")),'Catalog'!$C:$C,0)),""))))</f>
        <v>4413142</v>
      </c>
      <c r="H633" s="7" t="str">
        <f aca="false">IFERROR(INDEX('TRANS'!$C:$C,MATCH($B633,'TRANS'!$A:$A,0)),IFERROR(INDEX('Catalog'!$B:$B,MATCH($G633,'Catalog'!$A:$A,0)),$B633))</f>
        <v>95 XL מגן מרפק רגיל לבן</v>
      </c>
      <c r="I633" s="7" t="str">
        <f aca="false">IF($G633="","Unmatched","Matched")</f>
        <v>Matched</v>
      </c>
      <c r="J633" s="7" t="n">
        <f aca="false">IF($G633&lt;&gt;"",$G633,$B633)</f>
        <v>4413142</v>
      </c>
      <c r="K633" s="7" t="str">
        <f aca="false">IF(COUNTIF($O$2:$O$16,$A633)&gt;0,"Y","N")</f>
        <v>Y</v>
      </c>
    </row>
    <row r="634" customFormat="false" ht="15" hidden="false" customHeight="false" outlineLevel="0" collapsed="false">
      <c r="A634" s="7" t="s">
        <v>35</v>
      </c>
      <c r="B634" s="7" t="s">
        <v>379</v>
      </c>
      <c r="C634" s="8" t="n">
        <v>50</v>
      </c>
      <c r="D634" s="8" t="n">
        <v>1734.44</v>
      </c>
      <c r="E634" s="8" t="n">
        <v>0</v>
      </c>
      <c r="F634" s="8" t="n">
        <v>0</v>
      </c>
      <c r="G634" s="7" t="n">
        <f aca="false">IFERROR(INDEX('TRANS'!$B:$B,MATCH($B634,'TRANS'!$A:$A,0)),IFERROR(INDEX('TRANS'!$B:$B,MATCH(TRIM(SUBSTITUTE($B634,CHAR(160)," ")),'TRANS'!$D:$D,0)),IFERROR(INDEX('Catalog'!$A:$A,MATCH($B634,'Catalog'!$B:$B,0)),IFERROR(INDEX('Catalog'!$A:$A,MATCH(TRIM(SUBSTITUTE($B634,CHAR(160)," ")),'Catalog'!$C:$C,0)),""))))</f>
        <v>4413453</v>
      </c>
      <c r="H634" s="7" t="str">
        <f aca="false">IFERROR(INDEX('TRANS'!$C:$C,MATCH($B634,'TRANS'!$A:$A,0)),IFERROR(INDEX('Catalog'!$B:$B,MATCH($G634,'Catalog'!$A:$A,0)),$B634))</f>
        <v>AC75 מישר כתפיים אקטיב</v>
      </c>
      <c r="I634" s="7" t="str">
        <f aca="false">IF($G634="","Unmatched","Matched")</f>
        <v>Matched</v>
      </c>
      <c r="J634" s="7" t="n">
        <f aca="false">IF($G634&lt;&gt;"",$G634,$B634)</f>
        <v>4413453</v>
      </c>
      <c r="K634" s="7" t="str">
        <f aca="false">IF(COUNTIF($O$2:$O$16,$A634)&gt;0,"Y","N")</f>
        <v>Y</v>
      </c>
    </row>
    <row r="635" customFormat="false" ht="15" hidden="false" customHeight="false" outlineLevel="0" collapsed="false">
      <c r="A635" s="7" t="s">
        <v>35</v>
      </c>
      <c r="B635" s="7" t="s">
        <v>390</v>
      </c>
      <c r="C635" s="8" t="n">
        <v>10</v>
      </c>
      <c r="D635" s="8" t="n">
        <v>186.46</v>
      </c>
      <c r="E635" s="8" t="n">
        <v>0</v>
      </c>
      <c r="F635" s="8" t="n">
        <v>0</v>
      </c>
      <c r="G635" s="7" t="n">
        <f aca="false">IFERROR(INDEX('TRANS'!$B:$B,MATCH($B635,'TRANS'!$A:$A,0)),IFERROR(INDEX('TRANS'!$B:$B,MATCH(TRIM(SUBSTITUTE($B635,CHAR(160)," ")),'TRANS'!$D:$D,0)),IFERROR(INDEX('Catalog'!$A:$A,MATCH($B635,'Catalog'!$B:$B,0)),IFERROR(INDEX('Catalog'!$A:$A,MATCH(TRIM(SUBSTITUTE($B635,CHAR(160)," ")),'Catalog'!$C:$C,0)),""))))</f>
        <v>4408098</v>
      </c>
      <c r="H635" s="7" t="str">
        <f aca="false">IFERROR(INDEX('TRANS'!$C:$C,MATCH($B635,'TRANS'!$A:$A,0)),IFERROR(INDEX('Catalog'!$B:$B,MATCH($G635,'Catalog'!$A:$A,0)),$B635))</f>
        <v>T25-חבק יד אגודלי</v>
      </c>
      <c r="I635" s="7" t="str">
        <f aca="false">IF($G635="","Unmatched","Matched")</f>
        <v>Matched</v>
      </c>
      <c r="J635" s="7" t="n">
        <f aca="false">IF($G635&lt;&gt;"",$G635,$B635)</f>
        <v>4408098</v>
      </c>
      <c r="K635" s="7" t="str">
        <f aca="false">IF(COUNTIF($O$2:$O$16,$A635)&gt;0,"Y","N")</f>
        <v>Y</v>
      </c>
    </row>
    <row r="636" customFormat="false" ht="15" hidden="false" customHeight="false" outlineLevel="0" collapsed="false">
      <c r="A636" s="7" t="s">
        <v>35</v>
      </c>
      <c r="B636" s="7" t="s">
        <v>165</v>
      </c>
      <c r="C636" s="8" t="n">
        <v>30</v>
      </c>
      <c r="D636" s="8" t="n">
        <v>1771.01</v>
      </c>
      <c r="E636" s="8" t="n">
        <v>0</v>
      </c>
      <c r="F636" s="8" t="n">
        <v>0</v>
      </c>
      <c r="G636" s="7" t="str">
        <f aca="false">IFERROR(INDEX('TRANS'!$B:$B,MATCH($B636,'TRANS'!$A:$A,0)),IFERROR(INDEX('TRANS'!$B:$B,MATCH(TRIM(SUBSTITUTE($B636,CHAR(160)," ")),'TRANS'!$D:$D,0)),IFERROR(INDEX('Catalog'!$A:$A,MATCH($B636,'Catalog'!$B:$B,0)),IFERROR(INDEX('Catalog'!$A:$A,MATCH(TRIM(SUBSTITUTE($B636,CHAR(160)," ")),'Catalog'!$C:$C,0)),""))))</f>
        <v/>
      </c>
      <c r="H636" s="7" t="str">
        <f aca="false">IFERROR(INDEX('TRANS'!$C:$C,MATCH($B636,'TRANS'!$A:$A,0)),IFERROR(INDEX('Catalog'!$B:$B,MATCH($G636,'Catalog'!$A:$A,0)),$B636))</f>
        <v>T33 L</v>
      </c>
      <c r="I636" s="7" t="str">
        <f aca="false">IF($G636="","Unmatched","Matched")</f>
        <v>Unmatched</v>
      </c>
      <c r="J636" s="7" t="str">
        <f aca="false">IF($G636&lt;&gt;"",$G636,$B636)</f>
        <v>T33 L</v>
      </c>
      <c r="K636" s="7" t="str">
        <f aca="false">IF(COUNTIF($O$2:$O$16,$A636)&gt;0,"Y","N")</f>
        <v>Y</v>
      </c>
    </row>
    <row r="637" customFormat="false" ht="15" hidden="false" customHeight="false" outlineLevel="0" collapsed="false">
      <c r="A637" s="7" t="s">
        <v>35</v>
      </c>
      <c r="B637" s="7" t="s">
        <v>192</v>
      </c>
      <c r="C637" s="8" t="n">
        <v>20</v>
      </c>
      <c r="D637" s="8" t="n">
        <v>1180.68</v>
      </c>
      <c r="E637" s="8" t="n">
        <v>0</v>
      </c>
      <c r="F637" s="8" t="n">
        <v>0</v>
      </c>
      <c r="G637" s="7" t="str">
        <f aca="false">IFERROR(INDEX('TRANS'!$B:$B,MATCH($B637,'TRANS'!$A:$A,0)),IFERROR(INDEX('TRANS'!$B:$B,MATCH(TRIM(SUBSTITUTE($B637,CHAR(160)," ")),'TRANS'!$D:$D,0)),IFERROR(INDEX('Catalog'!$A:$A,MATCH($B637,'Catalog'!$B:$B,0)),IFERROR(INDEX('Catalog'!$A:$A,MATCH(TRIM(SUBSTITUTE($B637,CHAR(160)," ")),'Catalog'!$C:$C,0)),""))))</f>
        <v/>
      </c>
      <c r="H637" s="7" t="str">
        <f aca="false">IFERROR(INDEX('TRANS'!$C:$C,MATCH($B637,'TRANS'!$A:$A,0)),IFERROR(INDEX('Catalog'!$B:$B,MATCH($G637,'Catalog'!$A:$A,0)),$B637))</f>
        <v>T33 M</v>
      </c>
      <c r="I637" s="7" t="str">
        <f aca="false">IF($G637="","Unmatched","Matched")</f>
        <v>Unmatched</v>
      </c>
      <c r="J637" s="7" t="str">
        <f aca="false">IF($G637&lt;&gt;"",$G637,$B637)</f>
        <v>T33 M</v>
      </c>
      <c r="K637" s="7" t="str">
        <f aca="false">IF(COUNTIF($O$2:$O$16,$A637)&gt;0,"Y","N")</f>
        <v>Y</v>
      </c>
    </row>
    <row r="638" customFormat="false" ht="15" hidden="false" customHeight="false" outlineLevel="0" collapsed="false">
      <c r="A638" s="7" t="s">
        <v>35</v>
      </c>
      <c r="B638" s="7" t="s">
        <v>193</v>
      </c>
      <c r="C638" s="8" t="n">
        <v>10</v>
      </c>
      <c r="D638" s="8" t="n">
        <v>590.35</v>
      </c>
      <c r="E638" s="8" t="n">
        <v>0</v>
      </c>
      <c r="F638" s="8" t="n">
        <v>0</v>
      </c>
      <c r="G638" s="7" t="str">
        <f aca="false">IFERROR(INDEX('TRANS'!$B:$B,MATCH($B638,'TRANS'!$A:$A,0)),IFERROR(INDEX('TRANS'!$B:$B,MATCH(TRIM(SUBSTITUTE($B638,CHAR(160)," ")),'TRANS'!$D:$D,0)),IFERROR(INDEX('Catalog'!$A:$A,MATCH($B638,'Catalog'!$B:$B,0)),IFERROR(INDEX('Catalog'!$A:$A,MATCH(TRIM(SUBSTITUTE($B638,CHAR(160)," ")),'Catalog'!$C:$C,0)),""))))</f>
        <v/>
      </c>
      <c r="H638" s="7" t="str">
        <f aca="false">IFERROR(INDEX('TRANS'!$C:$C,MATCH($B638,'TRANS'!$A:$A,0)),IFERROR(INDEX('Catalog'!$B:$B,MATCH($G638,'Catalog'!$A:$A,0)),$B638))</f>
        <v>T33 S</v>
      </c>
      <c r="I638" s="7" t="str">
        <f aca="false">IF($G638="","Unmatched","Matched")</f>
        <v>Unmatched</v>
      </c>
      <c r="J638" s="7" t="str">
        <f aca="false">IF($G638&lt;&gt;"",$G638,$B638)</f>
        <v>T33 S</v>
      </c>
      <c r="K638" s="7" t="str">
        <f aca="false">IF(COUNTIF($O$2:$O$16,$A638)&gt;0,"Y","N")</f>
        <v>Y</v>
      </c>
    </row>
    <row r="639" customFormat="false" ht="15" hidden="false" customHeight="false" outlineLevel="0" collapsed="false">
      <c r="A639" s="7" t="s">
        <v>35</v>
      </c>
      <c r="B639" s="7" t="s">
        <v>152</v>
      </c>
      <c r="C639" s="8" t="n">
        <v>30</v>
      </c>
      <c r="D639" s="8" t="n">
        <v>1771.54</v>
      </c>
      <c r="E639" s="8" t="n">
        <v>0</v>
      </c>
      <c r="F639" s="8" t="n">
        <v>0</v>
      </c>
      <c r="G639" s="7" t="str">
        <f aca="false">IFERROR(INDEX('TRANS'!$B:$B,MATCH($B639,'TRANS'!$A:$A,0)),IFERROR(INDEX('TRANS'!$B:$B,MATCH(TRIM(SUBSTITUTE($B639,CHAR(160)," ")),'TRANS'!$D:$D,0)),IFERROR(INDEX('Catalog'!$A:$A,MATCH($B639,'Catalog'!$B:$B,0)),IFERROR(INDEX('Catalog'!$A:$A,MATCH(TRIM(SUBSTITUTE($B639,CHAR(160)," ")),'Catalog'!$C:$C,0)),""))))</f>
        <v/>
      </c>
      <c r="H639" s="7" t="str">
        <f aca="false">IFERROR(INDEX('TRANS'!$C:$C,MATCH($B639,'TRANS'!$A:$A,0)),IFERROR(INDEX('Catalog'!$B:$B,MATCH($G639,'Catalog'!$A:$A,0)),$B639))</f>
        <v>T33 XL</v>
      </c>
      <c r="I639" s="7" t="str">
        <f aca="false">IF($G639="","Unmatched","Matched")</f>
        <v>Unmatched</v>
      </c>
      <c r="J639" s="7" t="str">
        <f aca="false">IF($G639&lt;&gt;"",$G639,$B639)</f>
        <v>T33 XL</v>
      </c>
      <c r="K639" s="7" t="str">
        <f aca="false">IF(COUNTIF($O$2:$O$16,$A639)&gt;0,"Y","N")</f>
        <v>Y</v>
      </c>
    </row>
    <row r="640" customFormat="false" ht="15" hidden="false" customHeight="false" outlineLevel="0" collapsed="false">
      <c r="A640" s="7" t="s">
        <v>35</v>
      </c>
      <c r="B640" s="7" t="s">
        <v>194</v>
      </c>
      <c r="C640" s="8" t="n">
        <v>30</v>
      </c>
      <c r="D640" s="8" t="n">
        <v>1772.56</v>
      </c>
      <c r="E640" s="8" t="n">
        <v>0</v>
      </c>
      <c r="F640" s="8" t="n">
        <v>0</v>
      </c>
      <c r="G640" s="7" t="str">
        <f aca="false">IFERROR(INDEX('TRANS'!$B:$B,MATCH($B640,'TRANS'!$A:$A,0)),IFERROR(INDEX('TRANS'!$B:$B,MATCH(TRIM(SUBSTITUTE($B640,CHAR(160)," ")),'TRANS'!$D:$D,0)),IFERROR(INDEX('Catalog'!$A:$A,MATCH($B640,'Catalog'!$B:$B,0)),IFERROR(INDEX('Catalog'!$A:$A,MATCH(TRIM(SUBSTITUTE($B640,CHAR(160)," ")),'Catalog'!$C:$C,0)),""))))</f>
        <v/>
      </c>
      <c r="H640" s="7" t="str">
        <f aca="false">IFERROR(INDEX('TRANS'!$C:$C,MATCH($B640,'TRANS'!$A:$A,0)),IFERROR(INDEX('Catalog'!$B:$B,MATCH($G640,'Catalog'!$A:$A,0)),$B640))</f>
        <v>T33 XXL</v>
      </c>
      <c r="I640" s="7" t="str">
        <f aca="false">IF($G640="","Unmatched","Matched")</f>
        <v>Unmatched</v>
      </c>
      <c r="J640" s="7" t="str">
        <f aca="false">IF($G640&lt;&gt;"",$G640,$B640)</f>
        <v>T33 XXL</v>
      </c>
      <c r="K640" s="7" t="str">
        <f aca="false">IF(COUNTIF($O$2:$O$16,$A640)&gt;0,"Y","N")</f>
        <v>Y</v>
      </c>
    </row>
    <row r="641" customFormat="false" ht="15" hidden="false" customHeight="false" outlineLevel="0" collapsed="false">
      <c r="A641" s="7" t="s">
        <v>36</v>
      </c>
      <c r="B641" s="7" t="s">
        <v>272</v>
      </c>
      <c r="C641" s="8" t="n">
        <v>21</v>
      </c>
      <c r="D641" s="8" t="n">
        <v>1149.45</v>
      </c>
      <c r="E641" s="8" t="n">
        <v>41</v>
      </c>
      <c r="F641" s="8" t="n">
        <v>1904.32</v>
      </c>
      <c r="G641" s="7" t="n">
        <f aca="false">IFERROR(INDEX('TRANS'!$B:$B,MATCH($B641,'TRANS'!$A:$A,0)),IFERROR(INDEX('TRANS'!$B:$B,MATCH(TRIM(SUBSTITUTE($B641,CHAR(160)," ")),'TRANS'!$D:$D,0)),IFERROR(INDEX('Catalog'!$A:$A,MATCH($B641,'Catalog'!$B:$B,0)),IFERROR(INDEX('Catalog'!$A:$A,MATCH(TRIM(SUBSTITUTE($B641,CHAR(160)," ")),'Catalog'!$C:$C,0)),""))))</f>
        <v>4408192</v>
      </c>
      <c r="H641" s="7" t="str">
        <f aca="false">IFERROR(INDEX('TRANS'!$C:$C,MATCH($B641,'TRANS'!$A:$A,0)),IFERROR(INDEX('Catalog'!$B:$B,MATCH($G641,'Catalog'!$A:$A,0)),$B641))</f>
        <v>078 L חגורת גב +סגירה</v>
      </c>
      <c r="I641" s="7" t="str">
        <f aca="false">IF($G641="","Unmatched","Matched")</f>
        <v>Matched</v>
      </c>
      <c r="J641" s="7" t="n">
        <f aca="false">IF($G641&lt;&gt;"",$G641,$B641)</f>
        <v>4408192</v>
      </c>
      <c r="K641" s="7" t="str">
        <f aca="false">IF(COUNTIF($O$2:$O$16,$A641)&gt;0,"Y","N")</f>
        <v>Y</v>
      </c>
    </row>
    <row r="642" customFormat="false" ht="15" hidden="false" customHeight="false" outlineLevel="0" collapsed="false">
      <c r="A642" s="7" t="s">
        <v>36</v>
      </c>
      <c r="B642" s="7" t="s">
        <v>273</v>
      </c>
      <c r="C642" s="8" t="n">
        <v>10</v>
      </c>
      <c r="D642" s="8" t="n">
        <v>574.7</v>
      </c>
      <c r="E642" s="8" t="n">
        <v>20</v>
      </c>
      <c r="F642" s="8" t="n">
        <v>960.49</v>
      </c>
      <c r="G642" s="7" t="n">
        <f aca="false">IFERROR(INDEX('TRANS'!$B:$B,MATCH($B642,'TRANS'!$A:$A,0)),IFERROR(INDEX('TRANS'!$B:$B,MATCH(TRIM(SUBSTITUTE($B642,CHAR(160)," ")),'TRANS'!$D:$D,0)),IFERROR(INDEX('Catalog'!$A:$A,MATCH($B642,'Catalog'!$B:$B,0)),IFERROR(INDEX('Catalog'!$A:$A,MATCH(TRIM(SUBSTITUTE($B642,CHAR(160)," ")),'Catalog'!$C:$C,0)),""))))</f>
        <v>4408190</v>
      </c>
      <c r="H642" s="7" t="str">
        <f aca="false">IFERROR(INDEX('TRANS'!$C:$C,MATCH($B642,'TRANS'!$A:$A,0)),IFERROR(INDEX('Catalog'!$B:$B,MATCH($G642,'Catalog'!$A:$A,0)),$B642))</f>
        <v>M078 חגורת גב +סגירה כפולה</v>
      </c>
      <c r="I642" s="7" t="str">
        <f aca="false">IF($G642="","Unmatched","Matched")</f>
        <v>Matched</v>
      </c>
      <c r="J642" s="7" t="n">
        <f aca="false">IF($G642&lt;&gt;"",$G642,$B642)</f>
        <v>4408190</v>
      </c>
      <c r="K642" s="7" t="str">
        <f aca="false">IF(COUNTIF($O$2:$O$16,$A642)&gt;0,"Y","N")</f>
        <v>Y</v>
      </c>
    </row>
    <row r="643" customFormat="false" ht="15" hidden="false" customHeight="false" outlineLevel="0" collapsed="false">
      <c r="A643" s="7" t="s">
        <v>36</v>
      </c>
      <c r="B643" s="7" t="s">
        <v>274</v>
      </c>
      <c r="C643" s="8" t="n">
        <v>10</v>
      </c>
      <c r="D643" s="8" t="n">
        <v>574.7</v>
      </c>
      <c r="E643" s="8" t="n">
        <v>0</v>
      </c>
      <c r="F643" s="8" t="n">
        <v>0</v>
      </c>
      <c r="G643" s="7" t="n">
        <f aca="false">IFERROR(INDEX('TRANS'!$B:$B,MATCH($B643,'TRANS'!$A:$A,0)),IFERROR(INDEX('TRANS'!$B:$B,MATCH(TRIM(SUBSTITUTE($B643,CHAR(160)," ")),'TRANS'!$D:$D,0)),IFERROR(INDEX('Catalog'!$A:$A,MATCH($B643,'Catalog'!$B:$B,0)),IFERROR(INDEX('Catalog'!$A:$A,MATCH(TRIM(SUBSTITUTE($B643,CHAR(160)," ")),'Catalog'!$C:$C,0)),""))))</f>
        <v>4408217</v>
      </c>
      <c r="H643" s="7" t="str">
        <f aca="false">IFERROR(INDEX('TRANS'!$C:$C,MATCH($B643,'TRANS'!$A:$A,0)),IFERROR(INDEX('Catalog'!$B:$B,MATCH($G643,'Catalog'!$A:$A,0)),$B643))</f>
        <v>S078 חגורת גב +סגירה כפולה</v>
      </c>
      <c r="I643" s="7" t="str">
        <f aca="false">IF($G643="","Unmatched","Matched")</f>
        <v>Matched</v>
      </c>
      <c r="J643" s="7" t="n">
        <f aca="false">IF($G643&lt;&gt;"",$G643,$B643)</f>
        <v>4408217</v>
      </c>
      <c r="K643" s="7" t="str">
        <f aca="false">IF(COUNTIF($O$2:$O$16,$A643)&gt;0,"Y","N")</f>
        <v>Y</v>
      </c>
    </row>
    <row r="644" customFormat="false" ht="15" hidden="false" customHeight="false" outlineLevel="0" collapsed="false">
      <c r="A644" s="7" t="s">
        <v>36</v>
      </c>
      <c r="B644" s="7" t="s">
        <v>275</v>
      </c>
      <c r="C644" s="8" t="n">
        <v>20</v>
      </c>
      <c r="D644" s="8" t="n">
        <v>1149.41</v>
      </c>
      <c r="E644" s="8" t="n">
        <v>20</v>
      </c>
      <c r="F644" s="8" t="n">
        <v>960.49</v>
      </c>
      <c r="G644" s="7" t="n">
        <f aca="false">IFERROR(INDEX('TRANS'!$B:$B,MATCH($B644,'TRANS'!$A:$A,0)),IFERROR(INDEX('TRANS'!$B:$B,MATCH(TRIM(SUBSTITUTE($B644,CHAR(160)," ")),'TRANS'!$D:$D,0)),IFERROR(INDEX('Catalog'!$A:$A,MATCH($B644,'Catalog'!$B:$B,0)),IFERROR(INDEX('Catalog'!$A:$A,MATCH(TRIM(SUBSTITUTE($B644,CHAR(160)," ")),'Catalog'!$C:$C,0)),""))))</f>
        <v>4408218</v>
      </c>
      <c r="H644" s="7" t="str">
        <f aca="false">IFERROR(INDEX('TRANS'!$C:$C,MATCH($B644,'TRANS'!$A:$A,0)),IFERROR(INDEX('Catalog'!$B:$B,MATCH($G644,'Catalog'!$A:$A,0)),$B644))</f>
        <v>078XL חגורת גב +סגירה כפולה</v>
      </c>
      <c r="I644" s="7" t="str">
        <f aca="false">IF($G644="","Unmatched","Matched")</f>
        <v>Matched</v>
      </c>
      <c r="J644" s="7" t="n">
        <f aca="false">IF($G644&lt;&gt;"",$G644,$B644)</f>
        <v>4408218</v>
      </c>
      <c r="K644" s="7" t="str">
        <f aca="false">IF(COUNTIF($O$2:$O$16,$A644)&gt;0,"Y","N")</f>
        <v>Y</v>
      </c>
    </row>
    <row r="645" customFormat="false" ht="15" hidden="false" customHeight="false" outlineLevel="0" collapsed="false">
      <c r="A645" s="7" t="s">
        <v>36</v>
      </c>
      <c r="B645" s="7" t="s">
        <v>406</v>
      </c>
      <c r="C645" s="8" t="n">
        <v>10</v>
      </c>
      <c r="D645" s="8" t="n">
        <v>574.7</v>
      </c>
      <c r="E645" s="8" t="n">
        <v>0</v>
      </c>
      <c r="F645" s="8" t="n">
        <v>0</v>
      </c>
      <c r="G645" s="7" t="n">
        <f aca="false">IFERROR(INDEX('TRANS'!$B:$B,MATCH($B645,'TRANS'!$A:$A,0)),IFERROR(INDEX('TRANS'!$B:$B,MATCH(TRIM(SUBSTITUTE($B645,CHAR(160)," ")),'TRANS'!$D:$D,0)),IFERROR(INDEX('Catalog'!$A:$A,MATCH($B645,'Catalog'!$B:$B,0)),IFERROR(INDEX('Catalog'!$A:$A,MATCH(TRIM(SUBSTITUTE($B645,CHAR(160)," ")),'Catalog'!$C:$C,0)),""))))</f>
        <v>4408265</v>
      </c>
      <c r="H645" s="7" t="str">
        <f aca="false">IFERROR(INDEX('TRANS'!$C:$C,MATCH($B645,'TRANS'!$A:$A,0)),IFERROR(INDEX('Catalog'!$B:$B,MATCH($G645,'Catalog'!$A:$A,0)),$B645))</f>
        <v>078XXL חגורת גב +סגירה כפולה</v>
      </c>
      <c r="I645" s="7" t="str">
        <f aca="false">IF($G645="","Unmatched","Matched")</f>
        <v>Matched</v>
      </c>
      <c r="J645" s="7" t="n">
        <f aca="false">IF($G645&lt;&gt;"",$G645,$B645)</f>
        <v>4408265</v>
      </c>
      <c r="K645" s="7" t="str">
        <f aca="false">IF(COUNTIF($O$2:$O$16,$A645)&gt;0,"Y","N")</f>
        <v>Y</v>
      </c>
    </row>
    <row r="646" customFormat="false" ht="15" hidden="false" customHeight="false" outlineLevel="0" collapsed="false">
      <c r="A646" s="7" t="s">
        <v>36</v>
      </c>
      <c r="B646" s="7" t="s">
        <v>281</v>
      </c>
      <c r="C646" s="8" t="n">
        <v>48</v>
      </c>
      <c r="D646" s="8" t="n">
        <v>2083.24</v>
      </c>
      <c r="E646" s="8" t="n">
        <v>190</v>
      </c>
      <c r="F646" s="8" t="n">
        <v>8127.63</v>
      </c>
      <c r="G646" s="7" t="n">
        <f aca="false">IFERROR(INDEX('TRANS'!$B:$B,MATCH($B646,'TRANS'!$A:$A,0)),IFERROR(INDEX('TRANS'!$B:$B,MATCH(TRIM(SUBSTITUTE($B646,CHAR(160)," ")),'TRANS'!$D:$D,0)),IFERROR(INDEX('Catalog'!$A:$A,MATCH($B646,'Catalog'!$B:$B,0)),IFERROR(INDEX('Catalog'!$A:$A,MATCH(TRIM(SUBSTITUTE($B646,CHAR(160)," ")),'Catalog'!$C:$C,0)),""))))</f>
        <v>4408032</v>
      </c>
      <c r="H646" s="7" t="str">
        <f aca="false">IFERROR(INDEX('TRANS'!$C:$C,MATCH($B646,'TRANS'!$A:$A,0)),IFERROR(INDEX('Catalog'!$B:$B,MATCH($G646,'Catalog'!$A:$A,0)),$B646))</f>
        <v>11 L""""חגורת בטן""""אורירית</v>
      </c>
      <c r="I646" s="7" t="str">
        <f aca="false">IF($G646="","Unmatched","Matched")</f>
        <v>Matched</v>
      </c>
      <c r="J646" s="7" t="n">
        <f aca="false">IF($G646&lt;&gt;"",$G646,$B646)</f>
        <v>4408032</v>
      </c>
      <c r="K646" s="7" t="str">
        <f aca="false">IF(COUNTIF($O$2:$O$16,$A646)&gt;0,"Y","N")</f>
        <v>Y</v>
      </c>
    </row>
    <row r="647" customFormat="false" ht="15" hidden="false" customHeight="false" outlineLevel="0" collapsed="false">
      <c r="A647" s="7" t="s">
        <v>36</v>
      </c>
      <c r="B647" s="7" t="s">
        <v>282</v>
      </c>
      <c r="C647" s="8" t="n">
        <v>24</v>
      </c>
      <c r="D647" s="8" t="n">
        <v>1046.86</v>
      </c>
      <c r="E647" s="8" t="n">
        <v>134</v>
      </c>
      <c r="F647" s="8" t="n">
        <v>5745.53</v>
      </c>
      <c r="G647" s="7" t="n">
        <f aca="false">IFERROR(INDEX('TRANS'!$B:$B,MATCH($B647,'TRANS'!$A:$A,0)),IFERROR(INDEX('TRANS'!$B:$B,MATCH(TRIM(SUBSTITUTE($B647,CHAR(160)," ")),'TRANS'!$D:$D,0)),IFERROR(INDEX('Catalog'!$A:$A,MATCH($B647,'Catalog'!$B:$B,0)),IFERROR(INDEX('Catalog'!$A:$A,MATCH(TRIM(SUBSTITUTE($B647,CHAR(160)," ")),'Catalog'!$C:$C,0)),""))))</f>
        <v>4408033</v>
      </c>
      <c r="H647" s="7" t="str">
        <f aca="false">IFERROR(INDEX('TRANS'!$C:$C,MATCH($B647,'TRANS'!$A:$A,0)),IFERROR(INDEX('Catalog'!$B:$B,MATCH($G647,'Catalog'!$A:$A,0)),$B647))</f>
        <v>11 M""""חגורת בטן""""אורירית</v>
      </c>
      <c r="I647" s="7" t="str">
        <f aca="false">IF($G647="","Unmatched","Matched")</f>
        <v>Matched</v>
      </c>
      <c r="J647" s="7" t="n">
        <f aca="false">IF($G647&lt;&gt;"",$G647,$B647)</f>
        <v>4408033</v>
      </c>
      <c r="K647" s="7" t="str">
        <f aca="false">IF(COUNTIF($O$2:$O$16,$A647)&gt;0,"Y","N")</f>
        <v>Y</v>
      </c>
    </row>
    <row r="648" customFormat="false" ht="15" hidden="false" customHeight="false" outlineLevel="0" collapsed="false">
      <c r="A648" s="7" t="s">
        <v>36</v>
      </c>
      <c r="B648" s="7" t="s">
        <v>283</v>
      </c>
      <c r="C648" s="8" t="n">
        <v>0</v>
      </c>
      <c r="D648" s="8" t="n">
        <v>0</v>
      </c>
      <c r="E648" s="8" t="n">
        <v>55</v>
      </c>
      <c r="F648" s="8" t="n">
        <v>2376.88</v>
      </c>
      <c r="G648" s="7" t="n">
        <f aca="false">IFERROR(INDEX('TRANS'!$B:$B,MATCH($B648,'TRANS'!$A:$A,0)),IFERROR(INDEX('TRANS'!$B:$B,MATCH(TRIM(SUBSTITUTE($B648,CHAR(160)," ")),'TRANS'!$D:$D,0)),IFERROR(INDEX('Catalog'!$A:$A,MATCH($B648,'Catalog'!$B:$B,0)),IFERROR(INDEX('Catalog'!$A:$A,MATCH(TRIM(SUBSTITUTE($B648,CHAR(160)," ")),'Catalog'!$C:$C,0)),""))))</f>
        <v>4408031</v>
      </c>
      <c r="H648" s="7" t="str">
        <f aca="false">IFERROR(INDEX('TRANS'!$C:$C,MATCH($B648,'TRANS'!$A:$A,0)),IFERROR(INDEX('Catalog'!$B:$B,MATCH($G648,'Catalog'!$A:$A,0)),$B648))</f>
        <v>11 S""""חגורת בטן""""אורירית</v>
      </c>
      <c r="I648" s="7" t="str">
        <f aca="false">IF($G648="","Unmatched","Matched")</f>
        <v>Matched</v>
      </c>
      <c r="J648" s="7" t="n">
        <f aca="false">IF($G648&lt;&gt;"",$G648,$B648)</f>
        <v>4408031</v>
      </c>
      <c r="K648" s="7" t="str">
        <f aca="false">IF(COUNTIF($O$2:$O$16,$A648)&gt;0,"Y","N")</f>
        <v>Y</v>
      </c>
    </row>
    <row r="649" customFormat="false" ht="15" hidden="false" customHeight="false" outlineLevel="0" collapsed="false">
      <c r="A649" s="7" t="s">
        <v>36</v>
      </c>
      <c r="B649" s="7" t="s">
        <v>284</v>
      </c>
      <c r="C649" s="8" t="n">
        <v>96</v>
      </c>
      <c r="D649" s="8" t="n">
        <v>4293.24</v>
      </c>
      <c r="E649" s="8" t="n">
        <v>165</v>
      </c>
      <c r="F649" s="8" t="n">
        <v>7168.64</v>
      </c>
      <c r="G649" s="7" t="n">
        <f aca="false">IFERROR(INDEX('TRANS'!$B:$B,MATCH($B649,'TRANS'!$A:$A,0)),IFERROR(INDEX('TRANS'!$B:$B,MATCH(TRIM(SUBSTITUTE($B649,CHAR(160)," ")),'TRANS'!$D:$D,0)),IFERROR(INDEX('Catalog'!$A:$A,MATCH($B649,'Catalog'!$B:$B,0)),IFERROR(INDEX('Catalog'!$A:$A,MATCH(TRIM(SUBSTITUTE($B649,CHAR(160)," ")),'Catalog'!$C:$C,0)),""))))</f>
        <v>4408034</v>
      </c>
      <c r="H649" s="7" t="str">
        <f aca="false">IFERROR(INDEX('TRANS'!$C:$C,MATCH($B649,'TRANS'!$A:$A,0)),IFERROR(INDEX('Catalog'!$B:$B,MATCH($G649,'Catalog'!$A:$A,0)),$B649))</f>
        <v>11 XL""""חגורת בטן""""אורירית</v>
      </c>
      <c r="I649" s="7" t="str">
        <f aca="false">IF($G649="","Unmatched","Matched")</f>
        <v>Matched</v>
      </c>
      <c r="J649" s="7" t="n">
        <f aca="false">IF($G649&lt;&gt;"",$G649,$B649)</f>
        <v>4408034</v>
      </c>
      <c r="K649" s="7" t="str">
        <f aca="false">IF(COUNTIF($O$2:$O$16,$A649)&gt;0,"Y","N")</f>
        <v>Y</v>
      </c>
    </row>
    <row r="650" customFormat="false" ht="15" hidden="false" customHeight="false" outlineLevel="0" collapsed="false">
      <c r="A650" s="7" t="s">
        <v>36</v>
      </c>
      <c r="B650" s="7" t="s">
        <v>413</v>
      </c>
      <c r="C650" s="8" t="n">
        <v>60</v>
      </c>
      <c r="D650" s="8" t="n">
        <v>2679.46</v>
      </c>
      <c r="E650" s="8" t="n">
        <v>77</v>
      </c>
      <c r="F650" s="8" t="n">
        <v>3327.6</v>
      </c>
      <c r="G650" s="7" t="n">
        <f aca="false">IFERROR(INDEX('TRANS'!$B:$B,MATCH($B650,'TRANS'!$A:$A,0)),IFERROR(INDEX('TRANS'!$B:$B,MATCH(TRIM(SUBSTITUTE($B650,CHAR(160)," ")),'TRANS'!$D:$D,0)),IFERROR(INDEX('Catalog'!$A:$A,MATCH($B650,'Catalog'!$B:$B,0)),IFERROR(INDEX('Catalog'!$A:$A,MATCH(TRIM(SUBSTITUTE($B650,CHAR(160)," ")),'Catalog'!$C:$C,0)),""))))</f>
        <v>4408035</v>
      </c>
      <c r="H650" s="7" t="str">
        <f aca="false">IFERROR(INDEX('TRANS'!$C:$C,MATCH($B650,'TRANS'!$A:$A,0)),IFERROR(INDEX('Catalog'!$B:$B,MATCH($G650,'Catalog'!$A:$A,0)),$B650))</f>
        <v>11 XXL""""חגורת בטן""""אורירית</v>
      </c>
      <c r="I650" s="7" t="str">
        <f aca="false">IF($G650="","Unmatched","Matched")</f>
        <v>Matched</v>
      </c>
      <c r="J650" s="7" t="n">
        <f aca="false">IF($G650&lt;&gt;"",$G650,$B650)</f>
        <v>4408035</v>
      </c>
      <c r="K650" s="7" t="str">
        <f aca="false">IF(COUNTIF($O$2:$O$16,$A650)&gt;0,"Y","N")</f>
        <v>Y</v>
      </c>
    </row>
    <row r="651" customFormat="false" ht="15" hidden="false" customHeight="false" outlineLevel="0" collapsed="false">
      <c r="A651" s="7" t="s">
        <v>36</v>
      </c>
      <c r="B651" s="7" t="s">
        <v>612</v>
      </c>
      <c r="C651" s="8" t="n">
        <v>60</v>
      </c>
      <c r="D651" s="8" t="n">
        <v>3158.62</v>
      </c>
      <c r="E651" s="8" t="n">
        <v>58</v>
      </c>
      <c r="F651" s="8" t="n">
        <v>2923.56</v>
      </c>
      <c r="G651" s="7" t="n">
        <f aca="false">IFERROR(INDEX('TRANS'!$B:$B,MATCH($B651,'TRANS'!$A:$A,0)),IFERROR(INDEX('TRANS'!$B:$B,MATCH(TRIM(SUBSTITUTE($B651,CHAR(160)," ")),'TRANS'!$D:$D,0)),IFERROR(INDEX('Catalog'!$A:$A,MATCH($B651,'Catalog'!$B:$B,0)),IFERROR(INDEX('Catalog'!$A:$A,MATCH(TRIM(SUBSTITUTE($B651,CHAR(160)," ")),'Catalog'!$C:$C,0)),""))))</f>
        <v>4408147</v>
      </c>
      <c r="H651" s="7" t="str">
        <f aca="false">IFERROR(INDEX('TRANS'!$C:$C,MATCH($B651,'TRANS'!$A:$A,0)),IFERROR(INDEX('Catalog'!$B:$B,MATCH($G651,'Catalog'!$A:$A,0)),$B651))</f>
        <v>11PS Lחגורה למנותחי בטן</v>
      </c>
      <c r="I651" s="7" t="str">
        <f aca="false">IF($G651="","Unmatched","Matched")</f>
        <v>Matched</v>
      </c>
      <c r="J651" s="7" t="n">
        <f aca="false">IF($G651&lt;&gt;"",$G651,$B651)</f>
        <v>4408147</v>
      </c>
      <c r="K651" s="7" t="str">
        <f aca="false">IF(COUNTIF($O$2:$O$16,$A651)&gt;0,"Y","N")</f>
        <v>Y</v>
      </c>
    </row>
    <row r="652" customFormat="false" ht="15" hidden="false" customHeight="false" outlineLevel="0" collapsed="false">
      <c r="A652" s="7" t="s">
        <v>36</v>
      </c>
      <c r="B652" s="7" t="s">
        <v>98</v>
      </c>
      <c r="C652" s="8" t="n">
        <v>60</v>
      </c>
      <c r="D652" s="8" t="n">
        <v>3197.73</v>
      </c>
      <c r="E652" s="8" t="n">
        <v>46</v>
      </c>
      <c r="F652" s="8" t="n">
        <v>2277.78</v>
      </c>
      <c r="G652" s="7" t="str">
        <f aca="false">IFERROR(INDEX('TRANS'!$B:$B,MATCH($B652,'TRANS'!$A:$A,0)),IFERROR(INDEX('TRANS'!$B:$B,MATCH(TRIM(SUBSTITUTE($B652,CHAR(160)," ")),'TRANS'!$D:$D,0)),IFERROR(INDEX('Catalog'!$A:$A,MATCH($B652,'Catalog'!$B:$B,0)),IFERROR(INDEX('Catalog'!$A:$A,MATCH(TRIM(SUBSTITUTE($B652,CHAR(160)," ")),'Catalog'!$C:$C,0)),""))))</f>
        <v/>
      </c>
      <c r="H652" s="7" t="str">
        <f aca="false">IFERROR(INDEX('TRANS'!$C:$C,MATCH($B652,'TRANS'!$A:$A,0)),IFERROR(INDEX('Catalog'!$B:$B,MATCH($G652,'Catalog'!$A:$A,0)),$B652))</f>
        <v>11PS M</v>
      </c>
      <c r="I652" s="7" t="str">
        <f aca="false">IF($G652="","Unmatched","Matched")</f>
        <v>Unmatched</v>
      </c>
      <c r="J652" s="7" t="str">
        <f aca="false">IF($G652&lt;&gt;"",$G652,$B652)</f>
        <v>11PS M</v>
      </c>
      <c r="K652" s="7" t="str">
        <f aca="false">IF(COUNTIF($O$2:$O$16,$A652)&gt;0,"Y","N")</f>
        <v>Y</v>
      </c>
    </row>
    <row r="653" customFormat="false" ht="15" hidden="false" customHeight="false" outlineLevel="0" collapsed="false">
      <c r="A653" s="7" t="s">
        <v>36</v>
      </c>
      <c r="B653" s="7" t="s">
        <v>613</v>
      </c>
      <c r="C653" s="8" t="n">
        <v>24</v>
      </c>
      <c r="D653" s="8" t="n">
        <v>1279.11</v>
      </c>
      <c r="E653" s="8" t="n">
        <v>23</v>
      </c>
      <c r="F653" s="8" t="n">
        <v>1138.92</v>
      </c>
      <c r="G653" s="7" t="n">
        <f aca="false">IFERROR(INDEX('TRANS'!$B:$B,MATCH($B653,'TRANS'!$A:$A,0)),IFERROR(INDEX('TRANS'!$B:$B,MATCH(TRIM(SUBSTITUTE($B653,CHAR(160)," ")),'TRANS'!$D:$D,0)),IFERROR(INDEX('Catalog'!$A:$A,MATCH($B653,'Catalog'!$B:$B,0)),IFERROR(INDEX('Catalog'!$A:$A,MATCH(TRIM(SUBSTITUTE($B653,CHAR(160)," ")),'Catalog'!$C:$C,0)),""))))</f>
        <v>4408145</v>
      </c>
      <c r="H653" s="7" t="str">
        <f aca="false">IFERROR(INDEX('TRANS'!$C:$C,MATCH($B653,'TRANS'!$A:$A,0)),IFERROR(INDEX('Catalog'!$B:$B,MATCH($G653,'Catalog'!$A:$A,0)),$B653))</f>
        <v>11PS Sחגורה למנותחי בטן</v>
      </c>
      <c r="I653" s="7" t="str">
        <f aca="false">IF($G653="","Unmatched","Matched")</f>
        <v>Matched</v>
      </c>
      <c r="J653" s="7" t="n">
        <f aca="false">IF($G653&lt;&gt;"",$G653,$B653)</f>
        <v>4408145</v>
      </c>
      <c r="K653" s="7" t="str">
        <f aca="false">IF(COUNTIF($O$2:$O$16,$A653)&gt;0,"Y","N")</f>
        <v>Y</v>
      </c>
    </row>
    <row r="654" customFormat="false" ht="15" hidden="false" customHeight="false" outlineLevel="0" collapsed="false">
      <c r="A654" s="7" t="s">
        <v>36</v>
      </c>
      <c r="B654" s="7" t="s">
        <v>614</v>
      </c>
      <c r="C654" s="8" t="n">
        <v>84</v>
      </c>
      <c r="D654" s="8" t="n">
        <v>4705.74</v>
      </c>
      <c r="E654" s="8" t="n">
        <v>44</v>
      </c>
      <c r="F654" s="8" t="n">
        <v>2323.35</v>
      </c>
      <c r="G654" s="7" t="n">
        <f aca="false">IFERROR(INDEX('TRANS'!$B:$B,MATCH($B654,'TRANS'!$A:$A,0)),IFERROR(INDEX('TRANS'!$B:$B,MATCH(TRIM(SUBSTITUTE($B654,CHAR(160)," ")),'TRANS'!$D:$D,0)),IFERROR(INDEX('Catalog'!$A:$A,MATCH($B654,'Catalog'!$B:$B,0)),IFERROR(INDEX('Catalog'!$A:$A,MATCH(TRIM(SUBSTITUTE($B654,CHAR(160)," ")),'Catalog'!$C:$C,0)),""))))</f>
        <v>4408148</v>
      </c>
      <c r="H654" s="7" t="str">
        <f aca="false">IFERROR(INDEX('TRANS'!$C:$C,MATCH($B654,'TRANS'!$A:$A,0)),IFERROR(INDEX('Catalog'!$B:$B,MATCH($G654,'Catalog'!$A:$A,0)),$B654))</f>
        <v>11PS XLחגורה למנותחי בטן</v>
      </c>
      <c r="I654" s="7" t="str">
        <f aca="false">IF($G654="","Unmatched","Matched")</f>
        <v>Matched</v>
      </c>
      <c r="J654" s="7" t="n">
        <f aca="false">IF($G654&lt;&gt;"",$G654,$B654)</f>
        <v>4408148</v>
      </c>
      <c r="K654" s="7" t="str">
        <f aca="false">IF(COUNTIF($O$2:$O$16,$A654)&gt;0,"Y","N")</f>
        <v>Y</v>
      </c>
    </row>
    <row r="655" customFormat="false" ht="15" hidden="false" customHeight="false" outlineLevel="0" collapsed="false">
      <c r="A655" s="7" t="s">
        <v>36</v>
      </c>
      <c r="B655" s="7" t="s">
        <v>615</v>
      </c>
      <c r="C655" s="8" t="n">
        <v>12</v>
      </c>
      <c r="D655" s="8" t="n">
        <v>633.15</v>
      </c>
      <c r="E655" s="8" t="n">
        <v>0</v>
      </c>
      <c r="F655" s="8" t="n">
        <v>0</v>
      </c>
      <c r="G655" s="7" t="n">
        <f aca="false">IFERROR(INDEX('TRANS'!$B:$B,MATCH($B655,'TRANS'!$A:$A,0)),IFERROR(INDEX('TRANS'!$B:$B,MATCH(TRIM(SUBSTITUTE($B655,CHAR(160)," ")),'TRANS'!$D:$D,0)),IFERROR(INDEX('Catalog'!$A:$A,MATCH($B655,'Catalog'!$B:$B,0)),IFERROR(INDEX('Catalog'!$A:$A,MATCH(TRIM(SUBSTITUTE($B655,CHAR(160)," ")),'Catalog'!$C:$C,0)),""))))</f>
        <v>4408149</v>
      </c>
      <c r="H655" s="7" t="str">
        <f aca="false">IFERROR(INDEX('TRANS'!$C:$C,MATCH($B655,'TRANS'!$A:$A,0)),IFERROR(INDEX('Catalog'!$B:$B,MATCH($G655,'Catalog'!$A:$A,0)),$B655))</f>
        <v>11PS XXLחגורה למנותחי בטן</v>
      </c>
      <c r="I655" s="7" t="str">
        <f aca="false">IF($G655="","Unmatched","Matched")</f>
        <v>Matched</v>
      </c>
      <c r="J655" s="7" t="n">
        <f aca="false">IF($G655&lt;&gt;"",$G655,$B655)</f>
        <v>4408149</v>
      </c>
      <c r="K655" s="7" t="str">
        <f aca="false">IF(COUNTIF($O$2:$O$16,$A655)&gt;0,"Y","N")</f>
        <v>Y</v>
      </c>
    </row>
    <row r="656" customFormat="false" ht="15" hidden="false" customHeight="false" outlineLevel="0" collapsed="false">
      <c r="A656" s="7" t="s">
        <v>36</v>
      </c>
      <c r="B656" s="7" t="s">
        <v>115</v>
      </c>
      <c r="C656" s="8" t="n">
        <v>36</v>
      </c>
      <c r="D656" s="8" t="n">
        <v>1954.64</v>
      </c>
      <c r="E656" s="8" t="n">
        <v>12</v>
      </c>
      <c r="F656" s="8" t="n">
        <v>574.96</v>
      </c>
      <c r="G656" s="7" t="str">
        <f aca="false">IFERROR(INDEX('TRANS'!$B:$B,MATCH($B656,'TRANS'!$A:$A,0)),IFERROR(INDEX('TRANS'!$B:$B,MATCH(TRIM(SUBSTITUTE($B656,CHAR(160)," ")),'TRANS'!$D:$D,0)),IFERROR(INDEX('Catalog'!$A:$A,MATCH($B656,'Catalog'!$B:$B,0)),IFERROR(INDEX('Catalog'!$A:$A,MATCH(TRIM(SUBSTITUTE($B656,CHAR(160)," ")),'Catalog'!$C:$C,0)),""))))</f>
        <v/>
      </c>
      <c r="H656" s="7" t="str">
        <f aca="false">IFERROR(INDEX('TRANS'!$C:$C,MATCH($B656,'TRANS'!$A:$A,0)),IFERROR(INDEX('Catalog'!$B:$B,MATCH($G656,'Catalog'!$A:$A,0)),$B656))</f>
        <v>15M L</v>
      </c>
      <c r="I656" s="7" t="str">
        <f aca="false">IF($G656="","Unmatched","Matched")</f>
        <v>Unmatched</v>
      </c>
      <c r="J656" s="7" t="str">
        <f aca="false">IF($G656&lt;&gt;"",$G656,$B656)</f>
        <v>15M L</v>
      </c>
      <c r="K656" s="7" t="str">
        <f aca="false">IF(COUNTIF($O$2:$O$16,$A656)&gt;0,"Y","N")</f>
        <v>Y</v>
      </c>
    </row>
    <row r="657" customFormat="false" ht="15" hidden="false" customHeight="false" outlineLevel="0" collapsed="false">
      <c r="A657" s="7" t="s">
        <v>36</v>
      </c>
      <c r="B657" s="7" t="s">
        <v>195</v>
      </c>
      <c r="C657" s="8" t="n">
        <v>12</v>
      </c>
      <c r="D657" s="8" t="n">
        <v>669.64</v>
      </c>
      <c r="E657" s="8" t="n">
        <v>0</v>
      </c>
      <c r="F657" s="8" t="n">
        <v>0</v>
      </c>
      <c r="G657" s="7" t="str">
        <f aca="false">IFERROR(INDEX('TRANS'!$B:$B,MATCH($B657,'TRANS'!$A:$A,0)),IFERROR(INDEX('TRANS'!$B:$B,MATCH(TRIM(SUBSTITUTE($B657,CHAR(160)," ")),'TRANS'!$D:$D,0)),IFERROR(INDEX('Catalog'!$A:$A,MATCH($B657,'Catalog'!$B:$B,0)),IFERROR(INDEX('Catalog'!$A:$A,MATCH(TRIM(SUBSTITUTE($B657,CHAR(160)," ")),'Catalog'!$C:$C,0)),""))))</f>
        <v/>
      </c>
      <c r="H657" s="7" t="str">
        <f aca="false">IFERROR(INDEX('TRANS'!$C:$C,MATCH($B657,'TRANS'!$A:$A,0)),IFERROR(INDEX('Catalog'!$B:$B,MATCH($G657,'Catalog'!$A:$A,0)),$B657))</f>
        <v>15M M</v>
      </c>
      <c r="I657" s="7" t="str">
        <f aca="false">IF($G657="","Unmatched","Matched")</f>
        <v>Unmatched</v>
      </c>
      <c r="J657" s="7" t="str">
        <f aca="false">IF($G657&lt;&gt;"",$G657,$B657)</f>
        <v>15M M</v>
      </c>
      <c r="K657" s="7" t="str">
        <f aca="false">IF(COUNTIF($O$2:$O$16,$A657)&gt;0,"Y","N")</f>
        <v>Y</v>
      </c>
    </row>
    <row r="658" customFormat="false" ht="15" hidden="false" customHeight="false" outlineLevel="0" collapsed="false">
      <c r="A658" s="7" t="s">
        <v>36</v>
      </c>
      <c r="B658" s="7" t="s">
        <v>119</v>
      </c>
      <c r="C658" s="8" t="n">
        <v>12</v>
      </c>
      <c r="D658" s="8" t="n">
        <v>626.11</v>
      </c>
      <c r="E658" s="8" t="n">
        <v>11</v>
      </c>
      <c r="F658" s="8" t="n">
        <v>540.73</v>
      </c>
      <c r="G658" s="7" t="str">
        <f aca="false">IFERROR(INDEX('TRANS'!$B:$B,MATCH($B658,'TRANS'!$A:$A,0)),IFERROR(INDEX('TRANS'!$B:$B,MATCH(TRIM(SUBSTITUTE($B658,CHAR(160)," ")),'TRANS'!$D:$D,0)),IFERROR(INDEX('Catalog'!$A:$A,MATCH($B658,'Catalog'!$B:$B,0)),IFERROR(INDEX('Catalog'!$A:$A,MATCH(TRIM(SUBSTITUTE($B658,CHAR(160)," ")),'Catalog'!$C:$C,0)),""))))</f>
        <v/>
      </c>
      <c r="H658" s="7" t="str">
        <f aca="false">IFERROR(INDEX('TRANS'!$C:$C,MATCH($B658,'TRANS'!$A:$A,0)),IFERROR(INDEX('Catalog'!$B:$B,MATCH($G658,'Catalog'!$A:$A,0)),$B658))</f>
        <v>15M XL</v>
      </c>
      <c r="I658" s="7" t="str">
        <f aca="false">IF($G658="","Unmatched","Matched")</f>
        <v>Unmatched</v>
      </c>
      <c r="J658" s="7" t="str">
        <f aca="false">IF($G658&lt;&gt;"",$G658,$B658)</f>
        <v>15M XL</v>
      </c>
      <c r="K658" s="7" t="str">
        <f aca="false">IF(COUNTIF($O$2:$O$16,$A658)&gt;0,"Y","N")</f>
        <v>Y</v>
      </c>
    </row>
    <row r="659" customFormat="false" ht="15" hidden="false" customHeight="false" outlineLevel="0" collapsed="false">
      <c r="A659" s="7" t="s">
        <v>36</v>
      </c>
      <c r="B659" s="7" t="s">
        <v>616</v>
      </c>
      <c r="C659" s="8" t="n">
        <v>12</v>
      </c>
      <c r="D659" s="8" t="n">
        <v>551.69</v>
      </c>
      <c r="E659" s="8" t="n">
        <v>0</v>
      </c>
      <c r="F659" s="8" t="n">
        <v>0</v>
      </c>
      <c r="G659" s="7" t="n">
        <f aca="false">IFERROR(INDEX('TRANS'!$B:$B,MATCH($B659,'TRANS'!$A:$A,0)),IFERROR(INDEX('TRANS'!$B:$B,MATCH(TRIM(SUBSTITUTE($B659,CHAR(160)," ")),'TRANS'!$D:$D,0)),IFERROR(INDEX('Catalog'!$A:$A,MATCH($B659,'Catalog'!$B:$B,0)),IFERROR(INDEX('Catalog'!$A:$A,MATCH(TRIM(SUBSTITUTE($B659,CHAR(160)," ")),'Catalog'!$C:$C,0)),""))))</f>
        <v>4408131</v>
      </c>
      <c r="H659" s="7" t="str">
        <f aca="false">IFERROR(INDEX('TRANS'!$C:$C,MATCH($B659,'TRANS'!$A:$A,0)),IFERROR(INDEX('Catalog'!$B:$B,MATCH($G659,'Catalog'!$A:$A,0)),$B659))</f>
        <v>15W L חגורת צלעות לאשה</v>
      </c>
      <c r="I659" s="7" t="str">
        <f aca="false">IF($G659="","Unmatched","Matched")</f>
        <v>Matched</v>
      </c>
      <c r="J659" s="7" t="n">
        <f aca="false">IF($G659&lt;&gt;"",$G659,$B659)</f>
        <v>4408131</v>
      </c>
      <c r="K659" s="7" t="str">
        <f aca="false">IF(COUNTIF($O$2:$O$16,$A659)&gt;0,"Y","N")</f>
        <v>Y</v>
      </c>
    </row>
    <row r="660" customFormat="false" ht="15" hidden="false" customHeight="false" outlineLevel="0" collapsed="false">
      <c r="A660" s="7" t="s">
        <v>36</v>
      </c>
      <c r="B660" s="7" t="s">
        <v>116</v>
      </c>
      <c r="C660" s="8" t="n">
        <v>12</v>
      </c>
      <c r="D660" s="8" t="n">
        <v>593.66</v>
      </c>
      <c r="E660" s="8" t="n">
        <v>12</v>
      </c>
      <c r="F660" s="8" t="n">
        <v>513.14</v>
      </c>
      <c r="G660" s="7" t="str">
        <f aca="false">IFERROR(INDEX('TRANS'!$B:$B,MATCH($B660,'TRANS'!$A:$A,0)),IFERROR(INDEX('TRANS'!$B:$B,MATCH(TRIM(SUBSTITUTE($B660,CHAR(160)," ")),'TRANS'!$D:$D,0)),IFERROR(INDEX('Catalog'!$A:$A,MATCH($B660,'Catalog'!$B:$B,0)),IFERROR(INDEX('Catalog'!$A:$A,MATCH(TRIM(SUBSTITUTE($B660,CHAR(160)," ")),'Catalog'!$C:$C,0)),""))))</f>
        <v/>
      </c>
      <c r="H660" s="7" t="str">
        <f aca="false">IFERROR(INDEX('TRANS'!$C:$C,MATCH($B660,'TRANS'!$A:$A,0)),IFERROR(INDEX('Catalog'!$B:$B,MATCH($G660,'Catalog'!$A:$A,0)),$B660))</f>
        <v>15W M</v>
      </c>
      <c r="I660" s="7" t="str">
        <f aca="false">IF($G660="","Unmatched","Matched")</f>
        <v>Unmatched</v>
      </c>
      <c r="J660" s="7" t="str">
        <f aca="false">IF($G660&lt;&gt;"",$G660,$B660)</f>
        <v>15W M</v>
      </c>
      <c r="K660" s="7" t="str">
        <f aca="false">IF(COUNTIF($O$2:$O$16,$A660)&gt;0,"Y","N")</f>
        <v>Y</v>
      </c>
    </row>
    <row r="661" customFormat="false" ht="15" hidden="false" customHeight="false" outlineLevel="0" collapsed="false">
      <c r="A661" s="7" t="s">
        <v>36</v>
      </c>
      <c r="B661" s="7" t="s">
        <v>114</v>
      </c>
      <c r="C661" s="8" t="n">
        <v>6</v>
      </c>
      <c r="D661" s="8" t="n">
        <v>276.59</v>
      </c>
      <c r="E661" s="8" t="n">
        <v>11</v>
      </c>
      <c r="F661" s="8" t="n">
        <v>514.63</v>
      </c>
      <c r="G661" s="7" t="str">
        <f aca="false">IFERROR(INDEX('TRANS'!$B:$B,MATCH($B661,'TRANS'!$A:$A,0)),IFERROR(INDEX('TRANS'!$B:$B,MATCH(TRIM(SUBSTITUTE($B661,CHAR(160)," ")),'TRANS'!$D:$D,0)),IFERROR(INDEX('Catalog'!$A:$A,MATCH($B661,'Catalog'!$B:$B,0)),IFERROR(INDEX('Catalog'!$A:$A,MATCH(TRIM(SUBSTITUTE($B661,CHAR(160)," ")),'Catalog'!$C:$C,0)),""))))</f>
        <v/>
      </c>
      <c r="H661" s="7" t="str">
        <f aca="false">IFERROR(INDEX('TRANS'!$C:$C,MATCH($B661,'TRANS'!$A:$A,0)),IFERROR(INDEX('Catalog'!$B:$B,MATCH($G661,'Catalog'!$A:$A,0)),$B661))</f>
        <v>15W S</v>
      </c>
      <c r="I661" s="7" t="str">
        <f aca="false">IF($G661="","Unmatched","Matched")</f>
        <v>Unmatched</v>
      </c>
      <c r="J661" s="7" t="str">
        <f aca="false">IF($G661&lt;&gt;"",$G661,$B661)</f>
        <v>15W S</v>
      </c>
      <c r="K661" s="7" t="str">
        <f aca="false">IF(COUNTIF($O$2:$O$16,$A661)&gt;0,"Y","N")</f>
        <v>Y</v>
      </c>
    </row>
    <row r="662" customFormat="false" ht="15" hidden="false" customHeight="false" outlineLevel="0" collapsed="false">
      <c r="A662" s="7" t="s">
        <v>36</v>
      </c>
      <c r="B662" s="7" t="s">
        <v>196</v>
      </c>
      <c r="C662" s="8" t="n">
        <v>12</v>
      </c>
      <c r="D662" s="8" t="n">
        <v>593.66</v>
      </c>
      <c r="E662" s="8" t="n">
        <v>0</v>
      </c>
      <c r="F662" s="8" t="n">
        <v>0</v>
      </c>
      <c r="G662" s="7" t="str">
        <f aca="false">IFERROR(INDEX('TRANS'!$B:$B,MATCH($B662,'TRANS'!$A:$A,0)),IFERROR(INDEX('TRANS'!$B:$B,MATCH(TRIM(SUBSTITUTE($B662,CHAR(160)," ")),'TRANS'!$D:$D,0)),IFERROR(INDEX('Catalog'!$A:$A,MATCH($B662,'Catalog'!$B:$B,0)),IFERROR(INDEX('Catalog'!$A:$A,MATCH(TRIM(SUBSTITUTE($B662,CHAR(160)," ")),'Catalog'!$C:$C,0)),""))))</f>
        <v/>
      </c>
      <c r="H662" s="7" t="str">
        <f aca="false">IFERROR(INDEX('TRANS'!$C:$C,MATCH($B662,'TRANS'!$A:$A,0)),IFERROR(INDEX('Catalog'!$B:$B,MATCH($G662,'Catalog'!$A:$A,0)),$B662))</f>
        <v>15W XL</v>
      </c>
      <c r="I662" s="7" t="str">
        <f aca="false">IF($G662="","Unmatched","Matched")</f>
        <v>Unmatched</v>
      </c>
      <c r="J662" s="7" t="str">
        <f aca="false">IF($G662&lt;&gt;"",$G662,$B662)</f>
        <v>15W XL</v>
      </c>
      <c r="K662" s="7" t="str">
        <f aca="false">IF(COUNTIF($O$2:$O$16,$A662)&gt;0,"Y","N")</f>
        <v>Y</v>
      </c>
    </row>
    <row r="663" customFormat="false" ht="15" hidden="false" customHeight="false" outlineLevel="0" collapsed="false">
      <c r="A663" s="7" t="s">
        <v>36</v>
      </c>
      <c r="B663" s="7" t="s">
        <v>197</v>
      </c>
      <c r="C663" s="8" t="n">
        <v>6</v>
      </c>
      <c r="D663" s="8" t="n">
        <v>276.59</v>
      </c>
      <c r="E663" s="8" t="n">
        <v>0</v>
      </c>
      <c r="F663" s="8" t="n">
        <v>0</v>
      </c>
      <c r="G663" s="7" t="str">
        <f aca="false">IFERROR(INDEX('TRANS'!$B:$B,MATCH($B663,'TRANS'!$A:$A,0)),IFERROR(INDEX('TRANS'!$B:$B,MATCH(TRIM(SUBSTITUTE($B663,CHAR(160)," ")),'TRANS'!$D:$D,0)),IFERROR(INDEX('Catalog'!$A:$A,MATCH($B663,'Catalog'!$B:$B,0)),IFERROR(INDEX('Catalog'!$A:$A,MATCH(TRIM(SUBSTITUTE($B663,CHAR(160)," ")),'Catalog'!$C:$C,0)),""))))</f>
        <v/>
      </c>
      <c r="H663" s="7" t="str">
        <f aca="false">IFERROR(INDEX('TRANS'!$C:$C,MATCH($B663,'TRANS'!$A:$A,0)),IFERROR(INDEX('Catalog'!$B:$B,MATCH($G663,'Catalog'!$A:$A,0)),$B663))</f>
        <v>15W XS</v>
      </c>
      <c r="I663" s="7" t="str">
        <f aca="false">IF($G663="","Unmatched","Matched")</f>
        <v>Unmatched</v>
      </c>
      <c r="J663" s="7" t="str">
        <f aca="false">IF($G663&lt;&gt;"",$G663,$B663)</f>
        <v>15W XS</v>
      </c>
      <c r="K663" s="7" t="str">
        <f aca="false">IF(COUNTIF($O$2:$O$16,$A663)&gt;0,"Y","N")</f>
        <v>Y</v>
      </c>
    </row>
    <row r="664" customFormat="false" ht="15" hidden="false" customHeight="false" outlineLevel="0" collapsed="false">
      <c r="A664" s="7" t="s">
        <v>36</v>
      </c>
      <c r="B664" s="7" t="s">
        <v>198</v>
      </c>
      <c r="C664" s="8" t="n">
        <v>12</v>
      </c>
      <c r="D664" s="8" t="n">
        <v>611.58</v>
      </c>
      <c r="E664" s="8" t="n">
        <v>0</v>
      </c>
      <c r="F664" s="8" t="n">
        <v>0</v>
      </c>
      <c r="G664" s="7" t="str">
        <f aca="false">IFERROR(INDEX('TRANS'!$B:$B,MATCH($B664,'TRANS'!$A:$A,0)),IFERROR(INDEX('TRANS'!$B:$B,MATCH(TRIM(SUBSTITUTE($B664,CHAR(160)," ")),'TRANS'!$D:$D,0)),IFERROR(INDEX('Catalog'!$A:$A,MATCH($B664,'Catalog'!$B:$B,0)),IFERROR(INDEX('Catalog'!$A:$A,MATCH(TRIM(SUBSTITUTE($B664,CHAR(160)," ")),'Catalog'!$C:$C,0)),""))))</f>
        <v/>
      </c>
      <c r="H664" s="7" t="str">
        <f aca="false">IFERROR(INDEX('TRANS'!$C:$C,MATCH($B664,'TRANS'!$A:$A,0)),IFERROR(INDEX('Catalog'!$B:$B,MATCH($G664,'Catalog'!$A:$A,0)),$B664))</f>
        <v>15W XXL</v>
      </c>
      <c r="I664" s="7" t="str">
        <f aca="false">IF($G664="","Unmatched","Matched")</f>
        <v>Unmatched</v>
      </c>
      <c r="J664" s="7" t="str">
        <f aca="false">IF($G664&lt;&gt;"",$G664,$B664)</f>
        <v>15W XXL</v>
      </c>
      <c r="K664" s="7" t="str">
        <f aca="false">IF(COUNTIF($O$2:$O$16,$A664)&gt;0,"Y","N")</f>
        <v>Y</v>
      </c>
    </row>
    <row r="665" customFormat="false" ht="15" hidden="false" customHeight="false" outlineLevel="0" collapsed="false">
      <c r="A665" s="7" t="s">
        <v>36</v>
      </c>
      <c r="B665" s="7" t="s">
        <v>287</v>
      </c>
      <c r="C665" s="8" t="n">
        <v>12</v>
      </c>
      <c r="D665" s="8" t="n">
        <v>161.52</v>
      </c>
      <c r="E665" s="8" t="n">
        <v>0</v>
      </c>
      <c r="F665" s="8" t="n">
        <v>0</v>
      </c>
      <c r="G665" s="7" t="n">
        <f aca="false">IFERROR(INDEX('TRANS'!$B:$B,MATCH($B665,'TRANS'!$A:$A,0)),IFERROR(INDEX('TRANS'!$B:$B,MATCH(TRIM(SUBSTITUTE($B665,CHAR(160)," ")),'TRANS'!$D:$D,0)),IFERROR(INDEX('Catalog'!$A:$A,MATCH($B665,'Catalog'!$B:$B,0)),IFERROR(INDEX('Catalog'!$A:$A,MATCH(TRIM(SUBSTITUTE($B665,CHAR(160)," ")),'Catalog'!$C:$C,0)),""))))</f>
        <v>4408046</v>
      </c>
      <c r="H665" s="7" t="str">
        <f aca="false">IFERROR(INDEX('TRANS'!$C:$C,MATCH($B665,'TRANS'!$A:$A,0)),IFERROR(INDEX('Catalog'!$B:$B,MATCH($G665,'Catalog'!$A:$A,0)),$B665))</f>
        <v>20 L חבק יד מתכוון עם צמדן</v>
      </c>
      <c r="I665" s="7" t="str">
        <f aca="false">IF($G665="","Unmatched","Matched")</f>
        <v>Matched</v>
      </c>
      <c r="J665" s="7" t="n">
        <f aca="false">IF($G665&lt;&gt;"",$G665,$B665)</f>
        <v>4408046</v>
      </c>
      <c r="K665" s="7" t="str">
        <f aca="false">IF(COUNTIF($O$2:$O$16,$A665)&gt;0,"Y","N")</f>
        <v>Y</v>
      </c>
    </row>
    <row r="666" customFormat="false" ht="15" hidden="false" customHeight="false" outlineLevel="0" collapsed="false">
      <c r="A666" s="7" t="s">
        <v>36</v>
      </c>
      <c r="B666" s="7" t="s">
        <v>288</v>
      </c>
      <c r="C666" s="8" t="n">
        <v>12</v>
      </c>
      <c r="D666" s="8" t="n">
        <v>165</v>
      </c>
      <c r="E666" s="8" t="n">
        <v>23</v>
      </c>
      <c r="F666" s="8" t="n">
        <v>296.96</v>
      </c>
      <c r="G666" s="7" t="n">
        <f aca="false">IFERROR(INDEX('TRANS'!$B:$B,MATCH($B666,'TRANS'!$A:$A,0)),IFERROR(INDEX('TRANS'!$B:$B,MATCH(TRIM(SUBSTITUTE($B666,CHAR(160)," ")),'TRANS'!$D:$D,0)),IFERROR(INDEX('Catalog'!$A:$A,MATCH($B666,'Catalog'!$B:$B,0)),IFERROR(INDEX('Catalog'!$A:$A,MATCH(TRIM(SUBSTITUTE($B666,CHAR(160)," ")),'Catalog'!$C:$C,0)),""))))</f>
        <v>4408047</v>
      </c>
      <c r="H666" s="7" t="str">
        <f aca="false">IFERROR(INDEX('TRANS'!$C:$C,MATCH($B666,'TRANS'!$A:$A,0)),IFERROR(INDEX('Catalog'!$B:$B,MATCH($G666,'Catalog'!$A:$A,0)),$B666))</f>
        <v>20 M חבק יד מתכוון עם צמדן</v>
      </c>
      <c r="I666" s="7" t="str">
        <f aca="false">IF($G666="","Unmatched","Matched")</f>
        <v>Matched</v>
      </c>
      <c r="J666" s="7" t="n">
        <f aca="false">IF($G666&lt;&gt;"",$G666,$B666)</f>
        <v>4408047</v>
      </c>
      <c r="K666" s="7" t="str">
        <f aca="false">IF(COUNTIF($O$2:$O$16,$A666)&gt;0,"Y","N")</f>
        <v>Y</v>
      </c>
    </row>
    <row r="667" customFormat="false" ht="15" hidden="false" customHeight="false" outlineLevel="0" collapsed="false">
      <c r="A667" s="7" t="s">
        <v>36</v>
      </c>
      <c r="B667" s="7" t="s">
        <v>289</v>
      </c>
      <c r="C667" s="8" t="n">
        <v>12</v>
      </c>
      <c r="D667" s="8" t="n">
        <v>161.52</v>
      </c>
      <c r="E667" s="8" t="n">
        <v>0</v>
      </c>
      <c r="F667" s="8" t="n">
        <v>0</v>
      </c>
      <c r="G667" s="7" t="n">
        <f aca="false">IFERROR(INDEX('TRANS'!$B:$B,MATCH($B667,'TRANS'!$A:$A,0)),IFERROR(INDEX('TRANS'!$B:$B,MATCH(TRIM(SUBSTITUTE($B667,CHAR(160)," ")),'TRANS'!$D:$D,0)),IFERROR(INDEX('Catalog'!$A:$A,MATCH($B667,'Catalog'!$B:$B,0)),IFERROR(INDEX('Catalog'!$A:$A,MATCH(TRIM(SUBSTITUTE($B667,CHAR(160)," ")),'Catalog'!$C:$C,0)),""))))</f>
        <v>4408048</v>
      </c>
      <c r="H667" s="7" t="str">
        <f aca="false">IFERROR(INDEX('TRANS'!$C:$C,MATCH($B667,'TRANS'!$A:$A,0)),IFERROR(INDEX('Catalog'!$B:$B,MATCH($G667,'Catalog'!$A:$A,0)),$B667))</f>
        <v>20 S חבק יד מתכוון עם צמדן</v>
      </c>
      <c r="I667" s="7" t="str">
        <f aca="false">IF($G667="","Unmatched","Matched")</f>
        <v>Matched</v>
      </c>
      <c r="J667" s="7" t="n">
        <f aca="false">IF($G667&lt;&gt;"",$G667,$B667)</f>
        <v>4408048</v>
      </c>
      <c r="K667" s="7" t="str">
        <f aca="false">IF(COUNTIF($O$2:$O$16,$A667)&gt;0,"Y","N")</f>
        <v>Y</v>
      </c>
    </row>
    <row r="668" customFormat="false" ht="15" hidden="false" customHeight="false" outlineLevel="0" collapsed="false">
      <c r="A668" s="7" t="s">
        <v>36</v>
      </c>
      <c r="B668" s="7" t="s">
        <v>421</v>
      </c>
      <c r="C668" s="8" t="n">
        <v>15</v>
      </c>
      <c r="D668" s="8" t="n">
        <v>575.1</v>
      </c>
      <c r="E668" s="8" t="n">
        <v>10</v>
      </c>
      <c r="F668" s="8" t="n">
        <v>364.25</v>
      </c>
      <c r="G668" s="7" t="n">
        <f aca="false">IFERROR(INDEX('TRANS'!$B:$B,MATCH($B668,'TRANS'!$A:$A,0)),IFERROR(INDEX('TRANS'!$B:$B,MATCH(TRIM(SUBSTITUTE($B668,CHAR(160)," ")),'TRANS'!$D:$D,0)),IFERROR(INDEX('Catalog'!$A:$A,MATCH($B668,'Catalog'!$B:$B,0)),IFERROR(INDEX('Catalog'!$A:$A,MATCH(TRIM(SUBSTITUTE($B668,CHAR(160)," ")),'Catalog'!$C:$C,0)),""))))</f>
        <v>4411026</v>
      </c>
      <c r="H668" s="7" t="str">
        <f aca="false">IFERROR(INDEX('TRANS'!$C:$C,MATCH($B668,'TRANS'!$A:$A,0)),IFERROR(INDEX('Catalog'!$B:$B,MATCH($G668,'Catalog'!$A:$A,0)),$B668))</f>
        <v>213CTSL L שמאל CTS כפפות</v>
      </c>
      <c r="I668" s="7" t="str">
        <f aca="false">IF($G668="","Unmatched","Matched")</f>
        <v>Matched</v>
      </c>
      <c r="J668" s="7" t="n">
        <f aca="false">IF($G668&lt;&gt;"",$G668,$B668)</f>
        <v>4411026</v>
      </c>
      <c r="K668" s="7" t="str">
        <f aca="false">IF(COUNTIF($O$2:$O$16,$A668)&gt;0,"Y","N")</f>
        <v>Y</v>
      </c>
    </row>
    <row r="669" customFormat="false" ht="15" hidden="false" customHeight="false" outlineLevel="0" collapsed="false">
      <c r="A669" s="7" t="s">
        <v>36</v>
      </c>
      <c r="B669" s="7" t="s">
        <v>422</v>
      </c>
      <c r="C669" s="8" t="n">
        <v>15</v>
      </c>
      <c r="D669" s="8" t="n">
        <v>575.1</v>
      </c>
      <c r="E669" s="8" t="n">
        <v>50</v>
      </c>
      <c r="F669" s="8" t="n">
        <v>1811.15</v>
      </c>
      <c r="G669" s="7" t="n">
        <f aca="false">IFERROR(INDEX('TRANS'!$B:$B,MATCH($B669,'TRANS'!$A:$A,0)),IFERROR(INDEX('TRANS'!$B:$B,MATCH(TRIM(SUBSTITUTE($B669,CHAR(160)," ")),'TRANS'!$D:$D,0)),IFERROR(INDEX('Catalog'!$A:$A,MATCH($B669,'Catalog'!$B:$B,0)),IFERROR(INDEX('Catalog'!$A:$A,MATCH(TRIM(SUBSTITUTE($B669,CHAR(160)," ")),'Catalog'!$C:$C,0)),""))))</f>
        <v>4411027</v>
      </c>
      <c r="H669" s="7" t="str">
        <f aca="false">IFERROR(INDEX('TRANS'!$C:$C,MATCH($B669,'TRANS'!$A:$A,0)),IFERROR(INDEX('Catalog'!$B:$B,MATCH($G669,'Catalog'!$A:$A,0)),$B669))</f>
        <v>213CTSL M שמאל CTS כפפות</v>
      </c>
      <c r="I669" s="7" t="str">
        <f aca="false">IF($G669="","Unmatched","Matched")</f>
        <v>Matched</v>
      </c>
      <c r="J669" s="7" t="n">
        <f aca="false">IF($G669&lt;&gt;"",$G669,$B669)</f>
        <v>4411027</v>
      </c>
      <c r="K669" s="7" t="str">
        <f aca="false">IF(COUNTIF($O$2:$O$16,$A669)&gt;0,"Y","N")</f>
        <v>Y</v>
      </c>
    </row>
    <row r="670" customFormat="false" ht="15" hidden="false" customHeight="false" outlineLevel="0" collapsed="false">
      <c r="A670" s="7" t="s">
        <v>36</v>
      </c>
      <c r="B670" s="7" t="s">
        <v>423</v>
      </c>
      <c r="C670" s="8" t="n">
        <v>15</v>
      </c>
      <c r="D670" s="8" t="n">
        <v>575.1</v>
      </c>
      <c r="E670" s="8" t="n">
        <v>40</v>
      </c>
      <c r="F670" s="8" t="n">
        <v>1446.9</v>
      </c>
      <c r="G670" s="7" t="n">
        <f aca="false">IFERROR(INDEX('TRANS'!$B:$B,MATCH($B670,'TRANS'!$A:$A,0)),IFERROR(INDEX('TRANS'!$B:$B,MATCH(TRIM(SUBSTITUTE($B670,CHAR(160)," ")),'TRANS'!$D:$D,0)),IFERROR(INDEX('Catalog'!$A:$A,MATCH($B670,'Catalog'!$B:$B,0)),IFERROR(INDEX('Catalog'!$A:$A,MATCH(TRIM(SUBSTITUTE($B670,CHAR(160)," ")),'Catalog'!$C:$C,0)),""))))</f>
        <v>4411028</v>
      </c>
      <c r="H670" s="7" t="str">
        <f aca="false">IFERROR(INDEX('TRANS'!$C:$C,MATCH($B670,'TRANS'!$A:$A,0)),IFERROR(INDEX('Catalog'!$B:$B,MATCH($G670,'Catalog'!$A:$A,0)),$B670))</f>
        <v>213CTSL S שמאל CTS כפפות</v>
      </c>
      <c r="I670" s="7" t="str">
        <f aca="false">IF($G670="","Unmatched","Matched")</f>
        <v>Matched</v>
      </c>
      <c r="J670" s="7" t="n">
        <f aca="false">IF($G670&lt;&gt;"",$G670,$B670)</f>
        <v>4411028</v>
      </c>
      <c r="K670" s="7" t="str">
        <f aca="false">IF(COUNTIF($O$2:$O$16,$A670)&gt;0,"Y","N")</f>
        <v>Y</v>
      </c>
    </row>
    <row r="671" customFormat="false" ht="15" hidden="false" customHeight="false" outlineLevel="0" collapsed="false">
      <c r="A671" s="7" t="s">
        <v>36</v>
      </c>
      <c r="B671" s="7" t="s">
        <v>424</v>
      </c>
      <c r="C671" s="8" t="n">
        <v>15</v>
      </c>
      <c r="D671" s="8" t="n">
        <v>575.1</v>
      </c>
      <c r="E671" s="8" t="n">
        <v>20</v>
      </c>
      <c r="F671" s="8" t="n">
        <v>723.45</v>
      </c>
      <c r="G671" s="7" t="n">
        <f aca="false">IFERROR(INDEX('TRANS'!$B:$B,MATCH($B671,'TRANS'!$A:$A,0)),IFERROR(INDEX('TRANS'!$B:$B,MATCH(TRIM(SUBSTITUTE($B671,CHAR(160)," ")),'TRANS'!$D:$D,0)),IFERROR(INDEX('Catalog'!$A:$A,MATCH($B671,'Catalog'!$B:$B,0)),IFERROR(INDEX('Catalog'!$A:$A,MATCH(TRIM(SUBSTITUTE($B671,CHAR(160)," ")),'Catalog'!$C:$C,0)),""))))</f>
        <v>4411029</v>
      </c>
      <c r="H671" s="7" t="str">
        <f aca="false">IFERROR(INDEX('TRANS'!$C:$C,MATCH($B671,'TRANS'!$A:$A,0)),IFERROR(INDEX('Catalog'!$B:$B,MATCH($G671,'Catalog'!$A:$A,0)),$B671))</f>
        <v>213CTSR L ימין CTS כפפות</v>
      </c>
      <c r="I671" s="7" t="str">
        <f aca="false">IF($G671="","Unmatched","Matched")</f>
        <v>Matched</v>
      </c>
      <c r="J671" s="7" t="n">
        <f aca="false">IF($G671&lt;&gt;"",$G671,$B671)</f>
        <v>4411029</v>
      </c>
      <c r="K671" s="7" t="str">
        <f aca="false">IF(COUNTIF($O$2:$O$16,$A671)&gt;0,"Y","N")</f>
        <v>Y</v>
      </c>
    </row>
    <row r="672" customFormat="false" ht="15" hidden="false" customHeight="false" outlineLevel="0" collapsed="false">
      <c r="A672" s="7" t="s">
        <v>36</v>
      </c>
      <c r="B672" s="7" t="s">
        <v>425</v>
      </c>
      <c r="C672" s="8" t="n">
        <v>15</v>
      </c>
      <c r="D672" s="8" t="n">
        <v>575.1</v>
      </c>
      <c r="E672" s="8" t="n">
        <v>50</v>
      </c>
      <c r="F672" s="8" t="n">
        <v>1788.47</v>
      </c>
      <c r="G672" s="7" t="n">
        <f aca="false">IFERROR(INDEX('TRANS'!$B:$B,MATCH($B672,'TRANS'!$A:$A,0)),IFERROR(INDEX('TRANS'!$B:$B,MATCH(TRIM(SUBSTITUTE($B672,CHAR(160)," ")),'TRANS'!$D:$D,0)),IFERROR(INDEX('Catalog'!$A:$A,MATCH($B672,'Catalog'!$B:$B,0)),IFERROR(INDEX('Catalog'!$A:$A,MATCH(TRIM(SUBSTITUTE($B672,CHAR(160)," ")),'Catalog'!$C:$C,0)),""))))</f>
        <v>4411030</v>
      </c>
      <c r="H672" s="7" t="str">
        <f aca="false">IFERROR(INDEX('TRANS'!$C:$C,MATCH($B672,'TRANS'!$A:$A,0)),IFERROR(INDEX('Catalog'!$B:$B,MATCH($G672,'Catalog'!$A:$A,0)),$B672))</f>
        <v>213CTSR M ימין CTS כפפות</v>
      </c>
      <c r="I672" s="7" t="str">
        <f aca="false">IF($G672="","Unmatched","Matched")</f>
        <v>Matched</v>
      </c>
      <c r="J672" s="7" t="n">
        <f aca="false">IF($G672&lt;&gt;"",$G672,$B672)</f>
        <v>4411030</v>
      </c>
      <c r="K672" s="7" t="str">
        <f aca="false">IF(COUNTIF($O$2:$O$16,$A672)&gt;0,"Y","N")</f>
        <v>Y</v>
      </c>
    </row>
    <row r="673" customFormat="false" ht="15" hidden="false" customHeight="false" outlineLevel="0" collapsed="false">
      <c r="A673" s="7" t="s">
        <v>36</v>
      </c>
      <c r="B673" s="7" t="s">
        <v>426</v>
      </c>
      <c r="C673" s="8" t="n">
        <v>15</v>
      </c>
      <c r="D673" s="8" t="n">
        <v>575.1</v>
      </c>
      <c r="E673" s="8" t="n">
        <v>30</v>
      </c>
      <c r="F673" s="8" t="n">
        <v>1082.65</v>
      </c>
      <c r="G673" s="7" t="n">
        <f aca="false">IFERROR(INDEX('TRANS'!$B:$B,MATCH($B673,'TRANS'!$A:$A,0)),IFERROR(INDEX('TRANS'!$B:$B,MATCH(TRIM(SUBSTITUTE($B673,CHAR(160)," ")),'TRANS'!$D:$D,0)),IFERROR(INDEX('Catalog'!$A:$A,MATCH($B673,'Catalog'!$B:$B,0)),IFERROR(INDEX('Catalog'!$A:$A,MATCH(TRIM(SUBSTITUTE($B673,CHAR(160)," ")),'Catalog'!$C:$C,0)),""))))</f>
        <v>4411031</v>
      </c>
      <c r="H673" s="7" t="str">
        <f aca="false">IFERROR(INDEX('TRANS'!$C:$C,MATCH($B673,'TRANS'!$A:$A,0)),IFERROR(INDEX('Catalog'!$B:$B,MATCH($G673,'Catalog'!$A:$A,0)),$B673))</f>
        <v>213CTS  S ימין CTS כפפות</v>
      </c>
      <c r="I673" s="7" t="str">
        <f aca="false">IF($G673="","Unmatched","Matched")</f>
        <v>Matched</v>
      </c>
      <c r="J673" s="7" t="n">
        <f aca="false">IF($G673&lt;&gt;"",$G673,$B673)</f>
        <v>4411031</v>
      </c>
      <c r="K673" s="7" t="str">
        <f aca="false">IF(COUNTIF($O$2:$O$16,$A673)&gt;0,"Y","N")</f>
        <v>Y</v>
      </c>
    </row>
    <row r="674" customFormat="false" ht="15" hidden="false" customHeight="false" outlineLevel="0" collapsed="false">
      <c r="A674" s="7" t="s">
        <v>36</v>
      </c>
      <c r="B674" s="7" t="s">
        <v>428</v>
      </c>
      <c r="C674" s="8" t="n">
        <v>180</v>
      </c>
      <c r="D674" s="8" t="n">
        <v>1479.51</v>
      </c>
      <c r="E674" s="8" t="n">
        <v>93</v>
      </c>
      <c r="F674" s="8" t="n">
        <v>713.31</v>
      </c>
      <c r="G674" s="7" t="n">
        <f aca="false">IFERROR(INDEX('TRANS'!$B:$B,MATCH($B674,'TRANS'!$A:$A,0)),IFERROR(INDEX('TRANS'!$B:$B,MATCH(TRIM(SUBSTITUTE($B674,CHAR(160)," ")),'TRANS'!$D:$D,0)),IFERROR(INDEX('Catalog'!$A:$A,MATCH($B674,'Catalog'!$B:$B,0)),IFERROR(INDEX('Catalog'!$A:$A,MATCH(TRIM(SUBSTITUTE($B674,CHAR(160)," ")),'Catalog'!$C:$C,0)),""))))</f>
        <v>4415162</v>
      </c>
      <c r="H674" s="7" t="str">
        <f aca="false">IFERROR(INDEX('TRANS'!$C:$C,MATCH($B674,'TRANS'!$A:$A,0)),IFERROR(INDEX('Catalog'!$B:$B,MATCH($G674,'Catalog'!$A:$A,0)),$B674))</f>
        <v>238L סד ליישור אצבע</v>
      </c>
      <c r="I674" s="7" t="str">
        <f aca="false">IF($G674="","Unmatched","Matched")</f>
        <v>Matched</v>
      </c>
      <c r="J674" s="7" t="n">
        <f aca="false">IF($G674&lt;&gt;"",$G674,$B674)</f>
        <v>4415162</v>
      </c>
      <c r="K674" s="7" t="str">
        <f aca="false">IF(COUNTIF($O$2:$O$16,$A674)&gt;0,"Y","N")</f>
        <v>Y</v>
      </c>
    </row>
    <row r="675" customFormat="false" ht="15" hidden="false" customHeight="false" outlineLevel="0" collapsed="false">
      <c r="A675" s="7" t="s">
        <v>36</v>
      </c>
      <c r="B675" s="7" t="s">
        <v>429</v>
      </c>
      <c r="C675" s="8" t="n">
        <v>132</v>
      </c>
      <c r="D675" s="8" t="n">
        <v>1082.3</v>
      </c>
      <c r="E675" s="8" t="n">
        <v>104</v>
      </c>
      <c r="F675" s="8" t="n">
        <v>799.1</v>
      </c>
      <c r="G675" s="7" t="n">
        <f aca="false">IFERROR(INDEX('TRANS'!$B:$B,MATCH($B675,'TRANS'!$A:$A,0)),IFERROR(INDEX('TRANS'!$B:$B,MATCH(TRIM(SUBSTITUTE($B675,CHAR(160)," ")),'TRANS'!$D:$D,0)),IFERROR(INDEX('Catalog'!$A:$A,MATCH($B675,'Catalog'!$B:$B,0)),IFERROR(INDEX('Catalog'!$A:$A,MATCH(TRIM(SUBSTITUTE($B675,CHAR(160)," ")),'Catalog'!$C:$C,0)),""))))</f>
        <v>4415161</v>
      </c>
      <c r="H675" s="7" t="str">
        <f aca="false">IFERROR(INDEX('TRANS'!$C:$C,MATCH($B675,'TRANS'!$A:$A,0)),IFERROR(INDEX('Catalog'!$B:$B,MATCH($G675,'Catalog'!$A:$A,0)),$B675))</f>
        <v>238M סד ליישור אצבע</v>
      </c>
      <c r="I675" s="7" t="str">
        <f aca="false">IF($G675="","Unmatched","Matched")</f>
        <v>Matched</v>
      </c>
      <c r="J675" s="7" t="n">
        <f aca="false">IF($G675&lt;&gt;"",$G675,$B675)</f>
        <v>4415161</v>
      </c>
      <c r="K675" s="7" t="str">
        <f aca="false">IF(COUNTIF($O$2:$O$16,$A675)&gt;0,"Y","N")</f>
        <v>Y</v>
      </c>
    </row>
    <row r="676" customFormat="false" ht="15" hidden="false" customHeight="false" outlineLevel="0" collapsed="false">
      <c r="A676" s="7" t="s">
        <v>36</v>
      </c>
      <c r="B676" s="7" t="s">
        <v>430</v>
      </c>
      <c r="C676" s="8" t="n">
        <v>120</v>
      </c>
      <c r="D676" s="8" t="n">
        <v>998.44</v>
      </c>
      <c r="E676" s="8" t="n">
        <v>82</v>
      </c>
      <c r="F676" s="8" t="n">
        <v>627.49</v>
      </c>
      <c r="G676" s="7" t="n">
        <f aca="false">IFERROR(INDEX('TRANS'!$B:$B,MATCH($B676,'TRANS'!$A:$A,0)),IFERROR(INDEX('TRANS'!$B:$B,MATCH(TRIM(SUBSTITUTE($B676,CHAR(160)," ")),'TRANS'!$D:$D,0)),IFERROR(INDEX('Catalog'!$A:$A,MATCH($B676,'Catalog'!$B:$B,0)),IFERROR(INDEX('Catalog'!$A:$A,MATCH(TRIM(SUBSTITUTE($B676,CHAR(160)," ")),'Catalog'!$C:$C,0)),""))))</f>
        <v>4415160</v>
      </c>
      <c r="H676" s="7" t="str">
        <f aca="false">IFERROR(INDEX('TRANS'!$C:$C,MATCH($B676,'TRANS'!$A:$A,0)),IFERROR(INDEX('Catalog'!$B:$B,MATCH($G676,'Catalog'!$A:$A,0)),$B676))</f>
        <v>238S סד ליישור אצבע</v>
      </c>
      <c r="I676" s="7" t="str">
        <f aca="false">IF($G676="","Unmatched","Matched")</f>
        <v>Matched</v>
      </c>
      <c r="J676" s="7" t="n">
        <f aca="false">IF($G676&lt;&gt;"",$G676,$B676)</f>
        <v>4415160</v>
      </c>
      <c r="K676" s="7" t="str">
        <f aca="false">IF(COUNTIF($O$2:$O$16,$A676)&gt;0,"Y","N")</f>
        <v>Y</v>
      </c>
    </row>
    <row r="677" customFormat="false" ht="15" hidden="false" customHeight="false" outlineLevel="0" collapsed="false">
      <c r="A677" s="7" t="s">
        <v>36</v>
      </c>
      <c r="B677" s="7" t="s">
        <v>431</v>
      </c>
      <c r="C677" s="8" t="n">
        <v>60</v>
      </c>
      <c r="D677" s="8" t="n">
        <v>491.5</v>
      </c>
      <c r="E677" s="8" t="n">
        <v>48</v>
      </c>
      <c r="F677" s="8" t="n">
        <v>364.77</v>
      </c>
      <c r="G677" s="7" t="n">
        <f aca="false">IFERROR(INDEX('TRANS'!$B:$B,MATCH($B677,'TRANS'!$A:$A,0)),IFERROR(INDEX('TRANS'!$B:$B,MATCH(TRIM(SUBSTITUTE($B677,CHAR(160)," ")),'TRANS'!$D:$D,0)),IFERROR(INDEX('Catalog'!$A:$A,MATCH($B677,'Catalog'!$B:$B,0)),IFERROR(INDEX('Catalog'!$A:$A,MATCH(TRIM(SUBSTITUTE($B677,CHAR(160)," ")),'Catalog'!$C:$C,0)),""))))</f>
        <v>4415163</v>
      </c>
      <c r="H677" s="7" t="str">
        <f aca="false">IFERROR(INDEX('TRANS'!$C:$C,MATCH($B677,'TRANS'!$A:$A,0)),IFERROR(INDEX('Catalog'!$B:$B,MATCH($G677,'Catalog'!$A:$A,0)),$B677))</f>
        <v>238XL סד ליישור אצבע</v>
      </c>
      <c r="I677" s="7" t="str">
        <f aca="false">IF($G677="","Unmatched","Matched")</f>
        <v>Matched</v>
      </c>
      <c r="J677" s="7" t="n">
        <f aca="false">IF($G677&lt;&gt;"",$G677,$B677)</f>
        <v>4415163</v>
      </c>
      <c r="K677" s="7" t="str">
        <f aca="false">IF(COUNTIF($O$2:$O$16,$A677)&gt;0,"Y","N")</f>
        <v>Y</v>
      </c>
    </row>
    <row r="678" customFormat="false" ht="15" hidden="false" customHeight="false" outlineLevel="0" collapsed="false">
      <c r="A678" s="7" t="s">
        <v>36</v>
      </c>
      <c r="B678" s="7" t="s">
        <v>617</v>
      </c>
      <c r="C678" s="8" t="n">
        <v>12</v>
      </c>
      <c r="D678" s="8" t="n">
        <v>499.83</v>
      </c>
      <c r="E678" s="8" t="n">
        <v>11</v>
      </c>
      <c r="F678" s="8" t="n">
        <v>436.08</v>
      </c>
      <c r="G678" s="7" t="n">
        <f aca="false">IFERROR(INDEX('TRANS'!$B:$B,MATCH($B678,'TRANS'!$A:$A,0)),IFERROR(INDEX('TRANS'!$B:$B,MATCH(TRIM(SUBSTITUTE($B678,CHAR(160)," ")),'TRANS'!$D:$D,0)),IFERROR(INDEX('Catalog'!$A:$A,MATCH($B678,'Catalog'!$B:$B,0)),IFERROR(INDEX('Catalog'!$A:$A,MATCH(TRIM(SUBSTITUTE($B678,CHAR(160)," ")),'Catalog'!$C:$C,0)),""))))</f>
        <v>4415000</v>
      </c>
      <c r="H678" s="7" t="str">
        <f aca="false">IFERROR(INDEX('TRANS'!$C:$C,MATCH($B678,'TRANS'!$A:$A,0)),IFERROR(INDEX('Catalog'!$B:$B,MATCH($G678,'Catalog'!$A:$A,0)),$B678))</f>
        <v>26 L סד ליד דו צדדי לאחר שבר</v>
      </c>
      <c r="I678" s="7" t="str">
        <f aca="false">IF($G678="","Unmatched","Matched")</f>
        <v>Matched</v>
      </c>
      <c r="J678" s="7" t="n">
        <f aca="false">IF($G678&lt;&gt;"",$G678,$B678)</f>
        <v>4415000</v>
      </c>
      <c r="K678" s="7" t="str">
        <f aca="false">IF(COUNTIF($O$2:$O$16,$A678)&gt;0,"Y","N")</f>
        <v>Y</v>
      </c>
    </row>
    <row r="679" customFormat="false" ht="15" hidden="false" customHeight="false" outlineLevel="0" collapsed="false">
      <c r="A679" s="7" t="s">
        <v>36</v>
      </c>
      <c r="B679" s="7" t="s">
        <v>618</v>
      </c>
      <c r="C679" s="8" t="n">
        <v>12</v>
      </c>
      <c r="D679" s="8" t="n">
        <v>499.83</v>
      </c>
      <c r="E679" s="8" t="n">
        <v>11</v>
      </c>
      <c r="F679" s="8" t="n">
        <v>436.08</v>
      </c>
      <c r="G679" s="7" t="n">
        <f aca="false">IFERROR(INDEX('TRANS'!$B:$B,MATCH($B679,'TRANS'!$A:$A,0)),IFERROR(INDEX('TRANS'!$B:$B,MATCH(TRIM(SUBSTITUTE($B679,CHAR(160)," ")),'TRANS'!$D:$D,0)),IFERROR(INDEX('Catalog'!$A:$A,MATCH($B679,'Catalog'!$B:$B,0)),IFERROR(INDEX('Catalog'!$A:$A,MATCH(TRIM(SUBSTITUTE($B679,CHAR(160)," ")),'Catalog'!$C:$C,0)),""))))</f>
        <v>4415001</v>
      </c>
      <c r="H679" s="7" t="str">
        <f aca="false">IFERROR(INDEX('TRANS'!$C:$C,MATCH($B679,'TRANS'!$A:$A,0)),IFERROR(INDEX('Catalog'!$B:$B,MATCH($G679,'Catalog'!$A:$A,0)),$B679))</f>
        <v>26 M סד ליד דו צדדי לאחר שבר</v>
      </c>
      <c r="I679" s="7" t="str">
        <f aca="false">IF($G679="","Unmatched","Matched")</f>
        <v>Matched</v>
      </c>
      <c r="J679" s="7" t="n">
        <f aca="false">IF($G679&lt;&gt;"",$G679,$B679)</f>
        <v>4415001</v>
      </c>
      <c r="K679" s="7" t="str">
        <f aca="false">IF(COUNTIF($O$2:$O$16,$A679)&gt;0,"Y","N")</f>
        <v>Y</v>
      </c>
    </row>
    <row r="680" customFormat="false" ht="15" hidden="false" customHeight="false" outlineLevel="0" collapsed="false">
      <c r="A680" s="7" t="s">
        <v>36</v>
      </c>
      <c r="B680" s="7" t="s">
        <v>619</v>
      </c>
      <c r="C680" s="8" t="n">
        <v>17</v>
      </c>
      <c r="D680" s="8" t="n">
        <v>765.75</v>
      </c>
      <c r="E680" s="8" t="n">
        <v>0</v>
      </c>
      <c r="F680" s="8" t="n">
        <v>0</v>
      </c>
      <c r="G680" s="7" t="n">
        <f aca="false">IFERROR(INDEX('TRANS'!$B:$B,MATCH($B680,'TRANS'!$A:$A,0)),IFERROR(INDEX('TRANS'!$B:$B,MATCH(TRIM(SUBSTITUTE($B680,CHAR(160)," ")),'TRANS'!$D:$D,0)),IFERROR(INDEX('Catalog'!$A:$A,MATCH($B680,'Catalog'!$B:$B,0)),IFERROR(INDEX('Catalog'!$A:$A,MATCH(TRIM(SUBSTITUTE($B680,CHAR(160)," ")),'Catalog'!$C:$C,0)),""))))</f>
        <v>4415002</v>
      </c>
      <c r="H680" s="7" t="str">
        <f aca="false">IFERROR(INDEX('TRANS'!$C:$C,MATCH($B680,'TRANS'!$A:$A,0)),IFERROR(INDEX('Catalog'!$B:$B,MATCH($G680,'Catalog'!$A:$A,0)),$B680))</f>
        <v>26 S סד ליד דו צדדי לאחר שבר</v>
      </c>
      <c r="I680" s="7" t="str">
        <f aca="false">IF($G680="","Unmatched","Matched")</f>
        <v>Matched</v>
      </c>
      <c r="J680" s="7" t="n">
        <f aca="false">IF($G680&lt;&gt;"",$G680,$B680)</f>
        <v>4415002</v>
      </c>
      <c r="K680" s="7" t="str">
        <f aca="false">IF(COUNTIF($O$2:$O$16,$A680)&gt;0,"Y","N")</f>
        <v>Y</v>
      </c>
    </row>
    <row r="681" customFormat="false" ht="15" hidden="false" customHeight="false" outlineLevel="0" collapsed="false">
      <c r="A681" s="7" t="s">
        <v>36</v>
      </c>
      <c r="B681" s="7" t="s">
        <v>620</v>
      </c>
      <c r="C681" s="8" t="n">
        <v>12</v>
      </c>
      <c r="D681" s="8" t="n">
        <v>499.83</v>
      </c>
      <c r="E681" s="8" t="n">
        <v>6</v>
      </c>
      <c r="F681" s="8" t="n">
        <v>218.06</v>
      </c>
      <c r="G681" s="7" t="n">
        <f aca="false">IFERROR(INDEX('TRANS'!$B:$B,MATCH($B681,'TRANS'!$A:$A,0)),IFERROR(INDEX('TRANS'!$B:$B,MATCH(TRIM(SUBSTITUTE($B681,CHAR(160)," ")),'TRANS'!$D:$D,0)),IFERROR(INDEX('Catalog'!$A:$A,MATCH($B681,'Catalog'!$B:$B,0)),IFERROR(INDEX('Catalog'!$A:$A,MATCH(TRIM(SUBSTITUTE($B681,CHAR(160)," ")),'Catalog'!$C:$C,0)),""))))</f>
        <v>4415003</v>
      </c>
      <c r="H681" s="7" t="str">
        <f aca="false">IFERROR(INDEX('TRANS'!$C:$C,MATCH($B681,'TRANS'!$A:$A,0)),IFERROR(INDEX('Catalog'!$B:$B,MATCH($G681,'Catalog'!$A:$A,0)),$B681))</f>
        <v>26 XL סד ליד דו צדדי לאחר שבר</v>
      </c>
      <c r="I681" s="7" t="str">
        <f aca="false">IF($G681="","Unmatched","Matched")</f>
        <v>Matched</v>
      </c>
      <c r="J681" s="7" t="n">
        <f aca="false">IF($G681&lt;&gt;"",$G681,$B681)</f>
        <v>4415003</v>
      </c>
      <c r="K681" s="7" t="str">
        <f aca="false">IF(COUNTIF($O$2:$O$16,$A681)&gt;0,"Y","N")</f>
        <v>Y</v>
      </c>
    </row>
    <row r="682" customFormat="false" ht="15" hidden="false" customHeight="false" outlineLevel="0" collapsed="false">
      <c r="A682" s="7" t="s">
        <v>36</v>
      </c>
      <c r="B682" s="7" t="s">
        <v>621</v>
      </c>
      <c r="C682" s="8" t="n">
        <v>5</v>
      </c>
      <c r="D682" s="8" t="n">
        <v>270</v>
      </c>
      <c r="E682" s="8" t="n">
        <v>5</v>
      </c>
      <c r="F682" s="8" t="n">
        <v>218.03</v>
      </c>
      <c r="G682" s="7" t="n">
        <f aca="false">IFERROR(INDEX('TRANS'!$B:$B,MATCH($B682,'TRANS'!$A:$A,0)),IFERROR(INDEX('TRANS'!$B:$B,MATCH(TRIM(SUBSTITUTE($B682,CHAR(160)," ")),'TRANS'!$D:$D,0)),IFERROR(INDEX('Catalog'!$A:$A,MATCH($B682,'Catalog'!$B:$B,0)),IFERROR(INDEX('Catalog'!$A:$A,MATCH(TRIM(SUBSTITUTE($B682,CHAR(160)," ")),'Catalog'!$C:$C,0)),""))))</f>
        <v>4415004</v>
      </c>
      <c r="H682" s="7" t="str">
        <f aca="false">IFERROR(INDEX('TRANS'!$C:$C,MATCH($B682,'TRANS'!$A:$A,0)),IFERROR(INDEX('Catalog'!$B:$B,MATCH($G682,'Catalog'!$A:$A,0)),$B682))</f>
        <v>26 XXL סד ליד דו צדדי לאחר שבר</v>
      </c>
      <c r="I682" s="7" t="str">
        <f aca="false">IF($G682="","Unmatched","Matched")</f>
        <v>Matched</v>
      </c>
      <c r="J682" s="7" t="n">
        <f aca="false">IF($G682&lt;&gt;"",$G682,$B682)</f>
        <v>4415004</v>
      </c>
      <c r="K682" s="7" t="str">
        <f aca="false">IF(COUNTIF($O$2:$O$16,$A682)&gt;0,"Y","N")</f>
        <v>Y</v>
      </c>
    </row>
    <row r="683" customFormat="false" ht="15" hidden="false" customHeight="false" outlineLevel="0" collapsed="false">
      <c r="A683" s="7" t="s">
        <v>36</v>
      </c>
      <c r="B683" s="7" t="s">
        <v>393</v>
      </c>
      <c r="C683" s="8" t="n">
        <v>24</v>
      </c>
      <c r="D683" s="8" t="n">
        <v>691.24</v>
      </c>
      <c r="E683" s="8" t="n">
        <v>33</v>
      </c>
      <c r="F683" s="8" t="n">
        <v>880.45</v>
      </c>
      <c r="G683" s="7" t="n">
        <f aca="false">IFERROR(INDEX('TRANS'!$B:$B,MATCH($B683,'TRANS'!$A:$A,0)),IFERROR(INDEX('TRANS'!$B:$B,MATCH(TRIM(SUBSTITUTE($B683,CHAR(160)," ")),'TRANS'!$D:$D,0)),IFERROR(INDEX('Catalog'!$A:$A,MATCH($B683,'Catalog'!$B:$B,0)),IFERROR(INDEX('Catalog'!$A:$A,MATCH(TRIM(SUBSTITUTE($B683,CHAR(160)," ")),'Catalog'!$C:$C,0)),""))))</f>
        <v>4415158</v>
      </c>
      <c r="H683" s="7" t="str">
        <f aca="false">IFERROR(INDEX('TRANS'!$C:$C,MATCH($B683,'TRANS'!$A:$A,0)),IFERROR(INDEX('Catalog'!$B:$B,MATCH($G683,'Catalog'!$A:$A,0)),$B683))</f>
        <v>266 סד ליד דו צדדי</v>
      </c>
      <c r="I683" s="7" t="str">
        <f aca="false">IF($G683="","Unmatched","Matched")</f>
        <v>Matched</v>
      </c>
      <c r="J683" s="7" t="n">
        <f aca="false">IF($G683&lt;&gt;"",$G683,$B683)</f>
        <v>4415158</v>
      </c>
      <c r="K683" s="7" t="str">
        <f aca="false">IF(COUNTIF($O$2:$O$16,$A683)&gt;0,"Y","N")</f>
        <v>Y</v>
      </c>
    </row>
    <row r="684" customFormat="false" ht="15" hidden="false" customHeight="false" outlineLevel="0" collapsed="false">
      <c r="A684" s="7" t="s">
        <v>36</v>
      </c>
      <c r="B684" s="7" t="s">
        <v>74</v>
      </c>
      <c r="C684" s="8" t="n">
        <v>0</v>
      </c>
      <c r="D684" s="8" t="n">
        <v>0</v>
      </c>
      <c r="E684" s="8" t="n">
        <v>1</v>
      </c>
      <c r="F684" s="8" t="n">
        <v>34.26</v>
      </c>
      <c r="G684" s="7" t="str">
        <f aca="false">IFERROR(INDEX('TRANS'!$B:$B,MATCH($B684,'TRANS'!$A:$A,0)),IFERROR(INDEX('TRANS'!$B:$B,MATCH(TRIM(SUBSTITUTE($B684,CHAR(160)," ")),'TRANS'!$D:$D,0)),IFERROR(INDEX('Catalog'!$A:$A,MATCH($B684,'Catalog'!$B:$B,0)),IFERROR(INDEX('Catalog'!$A:$A,MATCH(TRIM(SUBSTITUTE($B684,CHAR(160)," ")),'Catalog'!$C:$C,0)),""))))</f>
        <v/>
      </c>
      <c r="H684" s="7" t="str">
        <f aca="false">IFERROR(INDEX('TRANS'!$C:$C,MATCH($B684,'TRANS'!$A:$A,0)),IFERROR(INDEX('Catalog'!$B:$B,MATCH($G684,'Catalog'!$A:$A,0)),$B684))</f>
        <v>305-37-38</v>
      </c>
      <c r="I684" s="7" t="str">
        <f aca="false">IF($G684="","Unmatched","Matched")</f>
        <v>Unmatched</v>
      </c>
      <c r="J684" s="7" t="str">
        <f aca="false">IF($G684&lt;&gt;"",$G684,$B684)</f>
        <v>305-37-38</v>
      </c>
      <c r="K684" s="7" t="str">
        <f aca="false">IF(COUNTIF($O$2:$O$16,$A684)&gt;0,"Y","N")</f>
        <v>Y</v>
      </c>
    </row>
    <row r="685" customFormat="false" ht="15" hidden="false" customHeight="false" outlineLevel="0" collapsed="false">
      <c r="A685" s="7" t="s">
        <v>36</v>
      </c>
      <c r="B685" s="7" t="s">
        <v>67</v>
      </c>
      <c r="C685" s="8" t="n">
        <v>0</v>
      </c>
      <c r="D685" s="8" t="n">
        <v>0</v>
      </c>
      <c r="E685" s="8" t="n">
        <v>4</v>
      </c>
      <c r="F685" s="8" t="n">
        <v>137.05</v>
      </c>
      <c r="G685" s="7" t="str">
        <f aca="false">IFERROR(INDEX('TRANS'!$B:$B,MATCH($B685,'TRANS'!$A:$A,0)),IFERROR(INDEX('TRANS'!$B:$B,MATCH(TRIM(SUBSTITUTE($B685,CHAR(160)," ")),'TRANS'!$D:$D,0)),IFERROR(INDEX('Catalog'!$A:$A,MATCH($B685,'Catalog'!$B:$B,0)),IFERROR(INDEX('Catalog'!$A:$A,MATCH(TRIM(SUBSTITUTE($B685,CHAR(160)," ")),'Catalog'!$C:$C,0)),""))))</f>
        <v/>
      </c>
      <c r="H685" s="7" t="str">
        <f aca="false">IFERROR(INDEX('TRANS'!$C:$C,MATCH($B685,'TRANS'!$A:$A,0)),IFERROR(INDEX('Catalog'!$B:$B,MATCH($G685,'Catalog'!$A:$A,0)),$B685))</f>
        <v>305-39-40</v>
      </c>
      <c r="I685" s="7" t="str">
        <f aca="false">IF($G685="","Unmatched","Matched")</f>
        <v>Unmatched</v>
      </c>
      <c r="J685" s="7" t="str">
        <f aca="false">IF($G685&lt;&gt;"",$G685,$B685)</f>
        <v>305-39-40</v>
      </c>
      <c r="K685" s="7" t="str">
        <f aca="false">IF(COUNTIF($O$2:$O$16,$A685)&gt;0,"Y","N")</f>
        <v>Y</v>
      </c>
    </row>
    <row r="686" customFormat="false" ht="15" hidden="false" customHeight="false" outlineLevel="0" collapsed="false">
      <c r="A686" s="7" t="s">
        <v>36</v>
      </c>
      <c r="B686" s="7" t="s">
        <v>300</v>
      </c>
      <c r="C686" s="8" t="n">
        <v>0</v>
      </c>
      <c r="D686" s="8" t="n">
        <v>0</v>
      </c>
      <c r="E686" s="8" t="n">
        <v>11</v>
      </c>
      <c r="F686" s="8" t="n">
        <v>114.67</v>
      </c>
      <c r="G686" s="7" t="n">
        <f aca="false">IFERROR(INDEX('TRANS'!$B:$B,MATCH($B686,'TRANS'!$A:$A,0)),IFERROR(INDEX('TRANS'!$B:$B,MATCH(TRIM(SUBSTITUTE($B686,CHAR(160)," ")),'TRANS'!$D:$D,0)),IFERROR(INDEX('Catalog'!$A:$A,MATCH($B686,'Catalog'!$B:$B,0)),IFERROR(INDEX('Catalog'!$A:$A,MATCH(TRIM(SUBSTITUTE($B686,CHAR(160)," ")),'Catalog'!$C:$C,0)),""))))</f>
        <v>4413048</v>
      </c>
      <c r="H686" s="7" t="str">
        <f aca="false">IFERROR(INDEX('TRANS'!$C:$C,MATCH($B686,'TRANS'!$A:$A,0)),IFERROR(INDEX('Catalog'!$B:$B,MATCH($G686,'Catalog'!$A:$A,0)),$B686))</f>
        <v>35 L מגן קרסול לבן</v>
      </c>
      <c r="I686" s="7" t="str">
        <f aca="false">IF($G686="","Unmatched","Matched")</f>
        <v>Matched</v>
      </c>
      <c r="J686" s="7" t="n">
        <f aca="false">IF($G686&lt;&gt;"",$G686,$B686)</f>
        <v>4413048</v>
      </c>
      <c r="K686" s="7" t="str">
        <f aca="false">IF(COUNTIF($O$2:$O$16,$A686)&gt;0,"Y","N")</f>
        <v>Y</v>
      </c>
    </row>
    <row r="687" customFormat="false" ht="15" hidden="false" customHeight="false" outlineLevel="0" collapsed="false">
      <c r="A687" s="7" t="s">
        <v>36</v>
      </c>
      <c r="B687" s="7" t="s">
        <v>301</v>
      </c>
      <c r="C687" s="8" t="n">
        <v>0</v>
      </c>
      <c r="D687" s="8" t="n">
        <v>0</v>
      </c>
      <c r="E687" s="8" t="n">
        <v>11</v>
      </c>
      <c r="F687" s="8" t="n">
        <v>116.28</v>
      </c>
      <c r="G687" s="7" t="n">
        <f aca="false">IFERROR(INDEX('TRANS'!$B:$B,MATCH($B687,'TRANS'!$A:$A,0)),IFERROR(INDEX('TRANS'!$B:$B,MATCH(TRIM(SUBSTITUTE($B687,CHAR(160)," ")),'TRANS'!$D:$D,0)),IFERROR(INDEX('Catalog'!$A:$A,MATCH($B687,'Catalog'!$B:$B,0)),IFERROR(INDEX('Catalog'!$A:$A,MATCH(TRIM(SUBSTITUTE($B687,CHAR(160)," ")),'Catalog'!$C:$C,0)),""))))</f>
        <v>4413049</v>
      </c>
      <c r="H687" s="7" t="str">
        <f aca="false">IFERROR(INDEX('TRANS'!$C:$C,MATCH($B687,'TRANS'!$A:$A,0)),IFERROR(INDEX('Catalog'!$B:$B,MATCH($G687,'Catalog'!$A:$A,0)),$B687))</f>
        <v>35 M מגן קרסול לבן</v>
      </c>
      <c r="I687" s="7" t="str">
        <f aca="false">IF($G687="","Unmatched","Matched")</f>
        <v>Matched</v>
      </c>
      <c r="J687" s="7" t="n">
        <f aca="false">IF($G687&lt;&gt;"",$G687,$B687)</f>
        <v>4413049</v>
      </c>
      <c r="K687" s="7" t="str">
        <f aca="false">IF(COUNTIF($O$2:$O$16,$A687)&gt;0,"Y","N")</f>
        <v>Y</v>
      </c>
    </row>
    <row r="688" customFormat="false" ht="15" hidden="false" customHeight="false" outlineLevel="0" collapsed="false">
      <c r="A688" s="7" t="s">
        <v>36</v>
      </c>
      <c r="B688" s="7" t="s">
        <v>303</v>
      </c>
      <c r="C688" s="8" t="n">
        <v>0</v>
      </c>
      <c r="D688" s="8" t="n">
        <v>0</v>
      </c>
      <c r="E688" s="8" t="n">
        <v>5</v>
      </c>
      <c r="F688" s="8" t="n">
        <v>58.13</v>
      </c>
      <c r="G688" s="7" t="n">
        <f aca="false">IFERROR(INDEX('TRANS'!$B:$B,MATCH($B688,'TRANS'!$A:$A,0)),IFERROR(INDEX('TRANS'!$B:$B,MATCH(TRIM(SUBSTITUTE($B688,CHAR(160)," ")),'TRANS'!$D:$D,0)),IFERROR(INDEX('Catalog'!$A:$A,MATCH($B688,'Catalog'!$B:$B,0)),IFERROR(INDEX('Catalog'!$A:$A,MATCH(TRIM(SUBSTITUTE($B688,CHAR(160)," ")),'Catalog'!$C:$C,0)),""))))</f>
        <v>4413050</v>
      </c>
      <c r="H688" s="7" t="str">
        <f aca="false">IFERROR(INDEX('TRANS'!$C:$C,MATCH($B688,'TRANS'!$A:$A,0)),IFERROR(INDEX('Catalog'!$B:$B,MATCH($G688,'Catalog'!$A:$A,0)),$B688))</f>
        <v>35 XL מגן קרסול לבן</v>
      </c>
      <c r="I688" s="7" t="str">
        <f aca="false">IF($G688="","Unmatched","Matched")</f>
        <v>Matched</v>
      </c>
      <c r="J688" s="7" t="n">
        <f aca="false">IF($G688&lt;&gt;"",$G688,$B688)</f>
        <v>4413050</v>
      </c>
      <c r="K688" s="7" t="str">
        <f aca="false">IF(COUNTIF($O$2:$O$16,$A688)&gt;0,"Y","N")</f>
        <v>Y</v>
      </c>
    </row>
    <row r="689" customFormat="false" ht="15" hidden="false" customHeight="false" outlineLevel="0" collapsed="false">
      <c r="A689" s="7" t="s">
        <v>36</v>
      </c>
      <c r="B689" s="7" t="s">
        <v>92</v>
      </c>
      <c r="C689" s="8" t="n">
        <v>60</v>
      </c>
      <c r="D689" s="8" t="n">
        <v>1931.87</v>
      </c>
      <c r="E689" s="8" t="n">
        <v>79</v>
      </c>
      <c r="F689" s="8" t="n">
        <v>2388.95</v>
      </c>
      <c r="G689" s="7" t="str">
        <f aca="false">IFERROR(INDEX('TRANS'!$B:$B,MATCH($B689,'TRANS'!$A:$A,0)),IFERROR(INDEX('TRANS'!$B:$B,MATCH(TRIM(SUBSTITUTE($B689,CHAR(160)," ")),'TRANS'!$D:$D,0)),IFERROR(INDEX('Catalog'!$A:$A,MATCH($B689,'Catalog'!$B:$B,0)),IFERROR(INDEX('Catalog'!$A:$A,MATCH(TRIM(SUBSTITUTE($B689,CHAR(160)," ")),'Catalog'!$C:$C,0)),""))))</f>
        <v/>
      </c>
      <c r="H689" s="7" t="str">
        <f aca="false">IFERROR(INDEX('TRANS'!$C:$C,MATCH($B689,'TRANS'!$A:$A,0)),IFERROR(INDEX('Catalog'!$B:$B,MATCH($G689,'Catalog'!$A:$A,0)),$B689))</f>
        <v>38L 0</v>
      </c>
      <c r="I689" s="7" t="str">
        <f aca="false">IF($G689="","Unmatched","Matched")</f>
        <v>Unmatched</v>
      </c>
      <c r="J689" s="7" t="str">
        <f aca="false">IF($G689&lt;&gt;"",$G689,$B689)</f>
        <v>38L 0</v>
      </c>
      <c r="K689" s="7" t="str">
        <f aca="false">IF(COUNTIF($O$2:$O$16,$A689)&gt;0,"Y","N")</f>
        <v>Y</v>
      </c>
    </row>
    <row r="690" customFormat="false" ht="15" hidden="false" customHeight="false" outlineLevel="0" collapsed="false">
      <c r="A690" s="7" t="s">
        <v>36</v>
      </c>
      <c r="B690" s="7" t="s">
        <v>83</v>
      </c>
      <c r="C690" s="8" t="n">
        <v>48</v>
      </c>
      <c r="D690" s="8" t="n">
        <v>1587.63</v>
      </c>
      <c r="E690" s="8" t="n">
        <v>123</v>
      </c>
      <c r="F690" s="8" t="n">
        <v>3755.85</v>
      </c>
      <c r="G690" s="7" t="str">
        <f aca="false">IFERROR(INDEX('TRANS'!$B:$B,MATCH($B690,'TRANS'!$A:$A,0)),IFERROR(INDEX('TRANS'!$B:$B,MATCH(TRIM(SUBSTITUTE($B690,CHAR(160)," ")),'TRANS'!$D:$D,0)),IFERROR(INDEX('Catalog'!$A:$A,MATCH($B690,'Catalog'!$B:$B,0)),IFERROR(INDEX('Catalog'!$A:$A,MATCH(TRIM(SUBSTITUTE($B690,CHAR(160)," ")),'Catalog'!$C:$C,0)),""))))</f>
        <v/>
      </c>
      <c r="H690" s="7" t="str">
        <f aca="false">IFERROR(INDEX('TRANS'!$C:$C,MATCH($B690,'TRANS'!$A:$A,0)),IFERROR(INDEX('Catalog'!$B:$B,MATCH($G690,'Catalog'!$A:$A,0)),$B690))</f>
        <v>38R 0</v>
      </c>
      <c r="I690" s="7" t="str">
        <f aca="false">IF($G690="","Unmatched","Matched")</f>
        <v>Unmatched</v>
      </c>
      <c r="J690" s="7" t="str">
        <f aca="false">IF($G690&lt;&gt;"",$G690,$B690)</f>
        <v>38R 0</v>
      </c>
      <c r="K690" s="7" t="str">
        <f aca="false">IF(COUNTIF($O$2:$O$16,$A690)&gt;0,"Y","N")</f>
        <v>Y</v>
      </c>
    </row>
    <row r="691" customFormat="false" ht="15" hidden="false" customHeight="false" outlineLevel="0" collapsed="false">
      <c r="A691" s="7" t="s">
        <v>36</v>
      </c>
      <c r="B691" s="7" t="s">
        <v>327</v>
      </c>
      <c r="C691" s="8" t="n">
        <v>1</v>
      </c>
      <c r="D691" s="8" t="n">
        <v>0.03</v>
      </c>
      <c r="E691" s="8" t="n">
        <v>0</v>
      </c>
      <c r="F691" s="8" t="n">
        <v>0</v>
      </c>
      <c r="G691" s="7" t="n">
        <f aca="false">IFERROR(INDEX('TRANS'!$B:$B,MATCH($B691,'TRANS'!$A:$A,0)),IFERROR(INDEX('TRANS'!$B:$B,MATCH(TRIM(SUBSTITUTE($B691,CHAR(160)," ")),'TRANS'!$D:$D,0)),IFERROR(INDEX('Catalog'!$A:$A,MATCH($B691,'Catalog'!$B:$B,0)),IFERROR(INDEX('Catalog'!$A:$A,MATCH(TRIM(SUBSTITUTE($B691,CHAR(160)," ")),'Catalog'!$C:$C,0)),""))))</f>
        <v>4413452</v>
      </c>
      <c r="H691" s="7" t="str">
        <f aca="false">IFERROR(INDEX('TRANS'!$C:$C,MATCH($B691,'TRANS'!$A:$A,0)),IFERROR(INDEX('Catalog'!$B:$B,MATCH($G691,'Catalog'!$A:$A,0)),$B691))</f>
        <v>386  מיישר בוניון-האלוקס ולגוס</v>
      </c>
      <c r="I691" s="7" t="str">
        <f aca="false">IF($G691="","Unmatched","Matched")</f>
        <v>Matched</v>
      </c>
      <c r="J691" s="7" t="n">
        <f aca="false">IF($G691&lt;&gt;"",$G691,$B691)</f>
        <v>4413452</v>
      </c>
      <c r="K691" s="7" t="str">
        <f aca="false">IF(COUNTIF($O$2:$O$16,$A691)&gt;0,"Y","N")</f>
        <v>Y</v>
      </c>
    </row>
    <row r="692" customFormat="false" ht="15" hidden="false" customHeight="false" outlineLevel="0" collapsed="false">
      <c r="A692" s="7" t="s">
        <v>36</v>
      </c>
      <c r="B692" s="7" t="s">
        <v>464</v>
      </c>
      <c r="C692" s="8" t="n">
        <v>1</v>
      </c>
      <c r="D692" s="8" t="n">
        <v>0.03</v>
      </c>
      <c r="E692" s="8" t="n">
        <v>0</v>
      </c>
      <c r="F692" s="8" t="n">
        <v>0</v>
      </c>
      <c r="G692" s="7" t="n">
        <f aca="false">IFERROR(INDEX('TRANS'!$B:$B,MATCH($B692,'TRANS'!$A:$A,0)),IFERROR(INDEX('TRANS'!$B:$B,MATCH(TRIM(SUBSTITUTE($B692,CHAR(160)," ")),'TRANS'!$D:$D,0)),IFERROR(INDEX('Catalog'!$A:$A,MATCH($B692,'Catalog'!$B:$B,0)),IFERROR(INDEX('Catalog'!$A:$A,MATCH(TRIM(SUBSTITUTE($B692,CHAR(160)," ")),'Catalog'!$C:$C,0)),""))))</f>
        <v>4415298</v>
      </c>
      <c r="H692" s="7" t="str">
        <f aca="false">IFERROR(INDEX('TRANS'!$C:$C,MATCH($B692,'TRANS'!$A:$A,0)),IFERROR(INDEX('Catalog'!$B:$B,MATCH($G692,'Catalog'!$A:$A,0)),$B692))</f>
        <v>388B L סד לילה שחור לבוהן שמאל</v>
      </c>
      <c r="I692" s="7" t="str">
        <f aca="false">IF($G692="","Unmatched","Matched")</f>
        <v>Matched</v>
      </c>
      <c r="J692" s="7" t="n">
        <f aca="false">IF($G692&lt;&gt;"",$G692,$B692)</f>
        <v>4415298</v>
      </c>
      <c r="K692" s="7" t="str">
        <f aca="false">IF(COUNTIF($O$2:$O$16,$A692)&gt;0,"Y","N")</f>
        <v>Y</v>
      </c>
    </row>
    <row r="693" customFormat="false" ht="15" hidden="false" customHeight="false" outlineLevel="0" collapsed="false">
      <c r="A693" s="7" t="s">
        <v>36</v>
      </c>
      <c r="B693" s="7" t="s">
        <v>465</v>
      </c>
      <c r="C693" s="8" t="n">
        <v>1</v>
      </c>
      <c r="D693" s="8" t="n">
        <v>0.03</v>
      </c>
      <c r="E693" s="8" t="n">
        <v>0</v>
      </c>
      <c r="F693" s="8" t="n">
        <v>0</v>
      </c>
      <c r="G693" s="7" t="n">
        <f aca="false">IFERROR(INDEX('TRANS'!$B:$B,MATCH($B693,'TRANS'!$A:$A,0)),IFERROR(INDEX('TRANS'!$B:$B,MATCH(TRIM(SUBSTITUTE($B693,CHAR(160)," ")),'TRANS'!$D:$D,0)),IFERROR(INDEX('Catalog'!$A:$A,MATCH($B693,'Catalog'!$B:$B,0)),IFERROR(INDEX('Catalog'!$A:$A,MATCH(TRIM(SUBSTITUTE($B693,CHAR(160)," ")),'Catalog'!$C:$C,0)),""))))</f>
        <v>4415299</v>
      </c>
      <c r="H693" s="7" t="str">
        <f aca="false">IFERROR(INDEX('TRANS'!$C:$C,MATCH($B693,'TRANS'!$A:$A,0)),IFERROR(INDEX('Catalog'!$B:$B,MATCH($G693,'Catalog'!$A:$A,0)),$B693))</f>
        <v>388B L סד לילה שחור לבוהן ימין</v>
      </c>
      <c r="I693" s="7" t="str">
        <f aca="false">IF($G693="","Unmatched","Matched")</f>
        <v>Matched</v>
      </c>
      <c r="J693" s="7" t="n">
        <f aca="false">IF($G693&lt;&gt;"",$G693,$B693)</f>
        <v>4415299</v>
      </c>
      <c r="K693" s="7" t="str">
        <f aca="false">IF(COUNTIF($O$2:$O$16,$A693)&gt;0,"Y","N")</f>
        <v>Y</v>
      </c>
    </row>
    <row r="694" customFormat="false" ht="15" hidden="false" customHeight="false" outlineLevel="0" collapsed="false">
      <c r="A694" s="7" t="s">
        <v>36</v>
      </c>
      <c r="B694" s="7" t="s">
        <v>199</v>
      </c>
      <c r="C694" s="8" t="n">
        <v>24</v>
      </c>
      <c r="D694" s="8" t="n">
        <v>1767.01</v>
      </c>
      <c r="E694" s="8" t="n">
        <v>0</v>
      </c>
      <c r="F694" s="8" t="n">
        <v>0</v>
      </c>
      <c r="G694" s="7" t="str">
        <f aca="false">IFERROR(INDEX('TRANS'!$B:$B,MATCH($B694,'TRANS'!$A:$A,0)),IFERROR(INDEX('TRANS'!$B:$B,MATCH(TRIM(SUBSTITUTE($B694,CHAR(160)," ")),'TRANS'!$D:$D,0)),IFERROR(INDEX('Catalog'!$A:$A,MATCH($B694,'Catalog'!$B:$B,0)),IFERROR(INDEX('Catalog'!$A:$A,MATCH(TRIM(SUBSTITUTE($B694,CHAR(160)," ")),'Catalog'!$C:$C,0)),""))))</f>
        <v/>
      </c>
      <c r="H694" s="7" t="str">
        <f aca="false">IFERROR(INDEX('TRANS'!$C:$C,MATCH($B694,'TRANS'!$A:$A,0)),IFERROR(INDEX('Catalog'!$B:$B,MATCH($G694,'Catalog'!$A:$A,0)),$B694))</f>
        <v>422N L</v>
      </c>
      <c r="I694" s="7" t="str">
        <f aca="false">IF($G694="","Unmatched","Matched")</f>
        <v>Unmatched</v>
      </c>
      <c r="J694" s="7" t="str">
        <f aca="false">IF($G694&lt;&gt;"",$G694,$B694)</f>
        <v>422N L</v>
      </c>
      <c r="K694" s="7" t="str">
        <f aca="false">IF(COUNTIF($O$2:$O$16,$A694)&gt;0,"Y","N")</f>
        <v>Y</v>
      </c>
    </row>
    <row r="695" customFormat="false" ht="15" hidden="false" customHeight="false" outlineLevel="0" collapsed="false">
      <c r="A695" s="7" t="s">
        <v>36</v>
      </c>
      <c r="B695" s="7" t="s">
        <v>200</v>
      </c>
      <c r="C695" s="8" t="n">
        <v>24</v>
      </c>
      <c r="D695" s="8" t="n">
        <v>1840.52</v>
      </c>
      <c r="E695" s="8" t="n">
        <v>0</v>
      </c>
      <c r="F695" s="8" t="n">
        <v>0</v>
      </c>
      <c r="G695" s="7" t="str">
        <f aca="false">IFERROR(INDEX('TRANS'!$B:$B,MATCH($B695,'TRANS'!$A:$A,0)),IFERROR(INDEX('TRANS'!$B:$B,MATCH(TRIM(SUBSTITUTE($B695,CHAR(160)," ")),'TRANS'!$D:$D,0)),IFERROR(INDEX('Catalog'!$A:$A,MATCH($B695,'Catalog'!$B:$B,0)),IFERROR(INDEX('Catalog'!$A:$A,MATCH(TRIM(SUBSTITUTE($B695,CHAR(160)," ")),'Catalog'!$C:$C,0)),""))))</f>
        <v/>
      </c>
      <c r="H695" s="7" t="str">
        <f aca="false">IFERROR(INDEX('TRANS'!$C:$C,MATCH($B695,'TRANS'!$A:$A,0)),IFERROR(INDEX('Catalog'!$B:$B,MATCH($G695,'Catalog'!$A:$A,0)),$B695))</f>
        <v>422N M</v>
      </c>
      <c r="I695" s="7" t="str">
        <f aca="false">IF($G695="","Unmatched","Matched")</f>
        <v>Unmatched</v>
      </c>
      <c r="J695" s="7" t="str">
        <f aca="false">IF($G695&lt;&gt;"",$G695,$B695)</f>
        <v>422N M</v>
      </c>
      <c r="K695" s="7" t="str">
        <f aca="false">IF(COUNTIF($O$2:$O$16,$A695)&gt;0,"Y","N")</f>
        <v>Y</v>
      </c>
    </row>
    <row r="696" customFormat="false" ht="15" hidden="false" customHeight="false" outlineLevel="0" collapsed="false">
      <c r="A696" s="7" t="s">
        <v>36</v>
      </c>
      <c r="B696" s="7" t="s">
        <v>201</v>
      </c>
      <c r="C696" s="8" t="n">
        <v>24</v>
      </c>
      <c r="D696" s="8" t="n">
        <v>1767.01</v>
      </c>
      <c r="E696" s="8" t="n">
        <v>0</v>
      </c>
      <c r="F696" s="8" t="n">
        <v>0</v>
      </c>
      <c r="G696" s="7" t="str">
        <f aca="false">IFERROR(INDEX('TRANS'!$B:$B,MATCH($B696,'TRANS'!$A:$A,0)),IFERROR(INDEX('TRANS'!$B:$B,MATCH(TRIM(SUBSTITUTE($B696,CHAR(160)," ")),'TRANS'!$D:$D,0)),IFERROR(INDEX('Catalog'!$A:$A,MATCH($B696,'Catalog'!$B:$B,0)),IFERROR(INDEX('Catalog'!$A:$A,MATCH(TRIM(SUBSTITUTE($B696,CHAR(160)," ")),'Catalog'!$C:$C,0)),""))))</f>
        <v/>
      </c>
      <c r="H696" s="7" t="str">
        <f aca="false">IFERROR(INDEX('TRANS'!$C:$C,MATCH($B696,'TRANS'!$A:$A,0)),IFERROR(INDEX('Catalog'!$B:$B,MATCH($G696,'Catalog'!$A:$A,0)),$B696))</f>
        <v>422N XL</v>
      </c>
      <c r="I696" s="7" t="str">
        <f aca="false">IF($G696="","Unmatched","Matched")</f>
        <v>Unmatched</v>
      </c>
      <c r="J696" s="7" t="str">
        <f aca="false">IF($G696&lt;&gt;"",$G696,$B696)</f>
        <v>422N XL</v>
      </c>
      <c r="K696" s="7" t="str">
        <f aca="false">IF(COUNTIF($O$2:$O$16,$A696)&gt;0,"Y","N")</f>
        <v>Y</v>
      </c>
    </row>
    <row r="697" customFormat="false" ht="15" hidden="false" customHeight="false" outlineLevel="0" collapsed="false">
      <c r="A697" s="7" t="s">
        <v>36</v>
      </c>
      <c r="B697" s="7" t="s">
        <v>202</v>
      </c>
      <c r="C697" s="8" t="n">
        <v>24</v>
      </c>
      <c r="D697" s="8" t="n">
        <v>2317.29</v>
      </c>
      <c r="E697" s="8" t="n">
        <v>0</v>
      </c>
      <c r="F697" s="8" t="n">
        <v>0</v>
      </c>
      <c r="G697" s="7" t="str">
        <f aca="false">IFERROR(INDEX('TRANS'!$B:$B,MATCH($B697,'TRANS'!$A:$A,0)),IFERROR(INDEX('TRANS'!$B:$B,MATCH(TRIM(SUBSTITUTE($B697,CHAR(160)," ")),'TRANS'!$D:$D,0)),IFERROR(INDEX('Catalog'!$A:$A,MATCH($B697,'Catalog'!$B:$B,0)),IFERROR(INDEX('Catalog'!$A:$A,MATCH(TRIM(SUBSTITUTE($B697,CHAR(160)," ")),'Catalog'!$C:$C,0)),""))))</f>
        <v/>
      </c>
      <c r="H697" s="7" t="str">
        <f aca="false">IFERROR(INDEX('TRANS'!$C:$C,MATCH($B697,'TRANS'!$A:$A,0)),IFERROR(INDEX('Catalog'!$B:$B,MATCH($G697,'Catalog'!$A:$A,0)),$B697))</f>
        <v>422N+ XL</v>
      </c>
      <c r="I697" s="7" t="str">
        <f aca="false">IF($G697="","Unmatched","Matched")</f>
        <v>Unmatched</v>
      </c>
      <c r="J697" s="7" t="str">
        <f aca="false">IF($G697&lt;&gt;"",$G697,$B697)</f>
        <v>422N+ XL</v>
      </c>
      <c r="K697" s="7" t="str">
        <f aca="false">IF(COUNTIF($O$2:$O$16,$A697)&gt;0,"Y","N")</f>
        <v>Y</v>
      </c>
    </row>
    <row r="698" customFormat="false" ht="15" hidden="false" customHeight="false" outlineLevel="0" collapsed="false">
      <c r="A698" s="7" t="s">
        <v>36</v>
      </c>
      <c r="B698" s="7" t="s">
        <v>334</v>
      </c>
      <c r="C698" s="8" t="n">
        <v>12</v>
      </c>
      <c r="D698" s="8" t="n">
        <v>134.14</v>
      </c>
      <c r="E698" s="8" t="n">
        <v>11</v>
      </c>
      <c r="F698" s="8" t="n">
        <v>114.67</v>
      </c>
      <c r="G698" s="7" t="n">
        <f aca="false">IFERROR(INDEX('TRANS'!$B:$B,MATCH($B698,'TRANS'!$A:$A,0)),IFERROR(INDEX('TRANS'!$B:$B,MATCH(TRIM(SUBSTITUTE($B698,CHAR(160)," ")),'TRANS'!$D:$D,0)),IFERROR(INDEX('Catalog'!$A:$A,MATCH($B698,'Catalog'!$B:$B,0)),IFERROR(INDEX('Catalog'!$A:$A,MATCH(TRIM(SUBSTITUTE($B698,CHAR(160)," ")),'Catalog'!$C:$C,0)),""))))</f>
        <v>4413092</v>
      </c>
      <c r="H698" s="7" t="str">
        <f aca="false">IFERROR(INDEX('TRANS'!$C:$C,MATCH($B698,'TRANS'!$A:$A,0)),IFERROR(INDEX('Catalog'!$B:$B,MATCH($G698,'Catalog'!$A:$A,0)),$B698))</f>
        <v>45 L מגן ברך לבן</v>
      </c>
      <c r="I698" s="7" t="str">
        <f aca="false">IF($G698="","Unmatched","Matched")</f>
        <v>Matched</v>
      </c>
      <c r="J698" s="7" t="n">
        <f aca="false">IF($G698&lt;&gt;"",$G698,$B698)</f>
        <v>4413092</v>
      </c>
      <c r="K698" s="7" t="str">
        <f aca="false">IF(COUNTIF($O$2:$O$16,$A698)&gt;0,"Y","N")</f>
        <v>Y</v>
      </c>
    </row>
    <row r="699" customFormat="false" ht="15" hidden="false" customHeight="false" outlineLevel="0" collapsed="false">
      <c r="A699" s="7" t="s">
        <v>36</v>
      </c>
      <c r="B699" s="7" t="s">
        <v>335</v>
      </c>
      <c r="C699" s="8" t="n">
        <v>42</v>
      </c>
      <c r="D699" s="8" t="n">
        <v>467.55</v>
      </c>
      <c r="E699" s="8" t="n">
        <v>0</v>
      </c>
      <c r="F699" s="8" t="n">
        <v>0</v>
      </c>
      <c r="G699" s="7" t="n">
        <f aca="false">IFERROR(INDEX('TRANS'!$B:$B,MATCH($B699,'TRANS'!$A:$A,0)),IFERROR(INDEX('TRANS'!$B:$B,MATCH(TRIM(SUBSTITUTE($B699,CHAR(160)," ")),'TRANS'!$D:$D,0)),IFERROR(INDEX('Catalog'!$A:$A,MATCH($B699,'Catalog'!$B:$B,0)),IFERROR(INDEX('Catalog'!$A:$A,MATCH(TRIM(SUBSTITUTE($B699,CHAR(160)," ")),'Catalog'!$C:$C,0)),""))))</f>
        <v>4413093</v>
      </c>
      <c r="H699" s="7" t="str">
        <f aca="false">IFERROR(INDEX('TRANS'!$C:$C,MATCH($B699,'TRANS'!$A:$A,0)),IFERROR(INDEX('Catalog'!$B:$B,MATCH($G699,'Catalog'!$A:$A,0)),$B699))</f>
        <v>45 M מגן ברך לבן</v>
      </c>
      <c r="I699" s="7" t="str">
        <f aca="false">IF($G699="","Unmatched","Matched")</f>
        <v>Matched</v>
      </c>
      <c r="J699" s="7" t="n">
        <f aca="false">IF($G699&lt;&gt;"",$G699,$B699)</f>
        <v>4413093</v>
      </c>
      <c r="K699" s="7" t="str">
        <f aca="false">IF(COUNTIF($O$2:$O$16,$A699)&gt;0,"Y","N")</f>
        <v>Y</v>
      </c>
    </row>
    <row r="700" customFormat="false" ht="15" hidden="false" customHeight="false" outlineLevel="0" collapsed="false">
      <c r="A700" s="7" t="s">
        <v>36</v>
      </c>
      <c r="B700" s="7" t="s">
        <v>336</v>
      </c>
      <c r="C700" s="8" t="n">
        <v>6</v>
      </c>
      <c r="D700" s="8" t="n">
        <v>62.51</v>
      </c>
      <c r="E700" s="8" t="n">
        <v>0</v>
      </c>
      <c r="F700" s="8" t="n">
        <v>0</v>
      </c>
      <c r="G700" s="7" t="n">
        <f aca="false">IFERROR(INDEX('TRANS'!$B:$B,MATCH($B700,'TRANS'!$A:$A,0)),IFERROR(INDEX('TRANS'!$B:$B,MATCH(TRIM(SUBSTITUTE($B700,CHAR(160)," ")),'TRANS'!$D:$D,0)),IFERROR(INDEX('Catalog'!$A:$A,MATCH($B700,'Catalog'!$B:$B,0)),IFERROR(INDEX('Catalog'!$A:$A,MATCH(TRIM(SUBSTITUTE($B700,CHAR(160)," ")),'Catalog'!$C:$C,0)),""))))</f>
        <v>4413094</v>
      </c>
      <c r="H700" s="7" t="str">
        <f aca="false">IFERROR(INDEX('TRANS'!$C:$C,MATCH($B700,'TRANS'!$A:$A,0)),IFERROR(INDEX('Catalog'!$B:$B,MATCH($G700,'Catalog'!$A:$A,0)),$B700))</f>
        <v>45 S מגן ברך לבן</v>
      </c>
      <c r="I700" s="7" t="str">
        <f aca="false">IF($G700="","Unmatched","Matched")</f>
        <v>Matched</v>
      </c>
      <c r="J700" s="7" t="n">
        <f aca="false">IF($G700&lt;&gt;"",$G700,$B700)</f>
        <v>4413094</v>
      </c>
      <c r="K700" s="7" t="str">
        <f aca="false">IF(COUNTIF($O$2:$O$16,$A700)&gt;0,"Y","N")</f>
        <v>Y</v>
      </c>
    </row>
    <row r="701" customFormat="false" ht="15" hidden="false" customHeight="false" outlineLevel="0" collapsed="false">
      <c r="A701" s="7" t="s">
        <v>36</v>
      </c>
      <c r="B701" s="7" t="s">
        <v>337</v>
      </c>
      <c r="C701" s="8" t="n">
        <v>24</v>
      </c>
      <c r="D701" s="8" t="n">
        <v>256.16</v>
      </c>
      <c r="E701" s="8" t="n">
        <v>0</v>
      </c>
      <c r="F701" s="8" t="n">
        <v>0</v>
      </c>
      <c r="G701" s="7" t="n">
        <f aca="false">IFERROR(INDEX('TRANS'!$B:$B,MATCH($B701,'TRANS'!$A:$A,0)),IFERROR(INDEX('TRANS'!$B:$B,MATCH(TRIM(SUBSTITUTE($B701,CHAR(160)," ")),'TRANS'!$D:$D,0)),IFERROR(INDEX('Catalog'!$A:$A,MATCH($B701,'Catalog'!$B:$B,0)),IFERROR(INDEX('Catalog'!$A:$A,MATCH(TRIM(SUBSTITUTE($B701,CHAR(160)," ")),'Catalog'!$C:$C,0)),""))))</f>
        <v>4413095</v>
      </c>
      <c r="H701" s="7" t="str">
        <f aca="false">IFERROR(INDEX('TRANS'!$C:$C,MATCH($B701,'TRANS'!$A:$A,0)),IFERROR(INDEX('Catalog'!$B:$B,MATCH($G701,'Catalog'!$A:$A,0)),$B701))</f>
        <v>45 XL מגן ברך לבן</v>
      </c>
      <c r="I701" s="7" t="str">
        <f aca="false">IF($G701="","Unmatched","Matched")</f>
        <v>Matched</v>
      </c>
      <c r="J701" s="7" t="n">
        <f aca="false">IF($G701&lt;&gt;"",$G701,$B701)</f>
        <v>4413095</v>
      </c>
      <c r="K701" s="7" t="str">
        <f aca="false">IF(COUNTIF($O$2:$O$16,$A701)&gt;0,"Y","N")</f>
        <v>Y</v>
      </c>
    </row>
    <row r="702" customFormat="false" ht="15" hidden="false" customHeight="false" outlineLevel="0" collapsed="false">
      <c r="A702" s="7" t="s">
        <v>36</v>
      </c>
      <c r="B702" s="7" t="s">
        <v>622</v>
      </c>
      <c r="C702" s="8" t="n">
        <v>12</v>
      </c>
      <c r="D702" s="8" t="n">
        <v>124.68</v>
      </c>
      <c r="E702" s="8" t="n">
        <v>0</v>
      </c>
      <c r="F702" s="8" t="n">
        <v>0</v>
      </c>
      <c r="G702" s="7" t="n">
        <f aca="false">IFERROR(INDEX('TRANS'!$B:$B,MATCH($B702,'TRANS'!$A:$A,0)),IFERROR(INDEX('TRANS'!$B:$B,MATCH(TRIM(SUBSTITUTE($B702,CHAR(160)," ")),'TRANS'!$D:$D,0)),IFERROR(INDEX('Catalog'!$A:$A,MATCH($B702,'Catalog'!$B:$B,0)),IFERROR(INDEX('Catalog'!$A:$A,MATCH(TRIM(SUBSTITUTE($B702,CHAR(160)," ")),'Catalog'!$C:$C,0)),""))))</f>
        <v>4413096</v>
      </c>
      <c r="H702" s="7" t="str">
        <f aca="false">IFERROR(INDEX('TRANS'!$C:$C,MATCH($B702,'TRANS'!$A:$A,0)),IFERROR(INDEX('Catalog'!$B:$B,MATCH($G702,'Catalog'!$A:$A,0)),$B702))</f>
        <v>45 XXL מגן ברך לבן</v>
      </c>
      <c r="I702" s="7" t="str">
        <f aca="false">IF($G702="","Unmatched","Matched")</f>
        <v>Matched</v>
      </c>
      <c r="J702" s="7" t="n">
        <f aca="false">IF($G702&lt;&gt;"",$G702,$B702)</f>
        <v>4413096</v>
      </c>
      <c r="K702" s="7" t="str">
        <f aca="false">IF(COUNTIF($O$2:$O$16,$A702)&gt;0,"Y","N")</f>
        <v>Y</v>
      </c>
    </row>
    <row r="703" customFormat="false" ht="15" hidden="false" customHeight="false" outlineLevel="0" collapsed="false">
      <c r="A703" s="7" t="s">
        <v>36</v>
      </c>
      <c r="B703" s="7" t="s">
        <v>60</v>
      </c>
      <c r="C703" s="8" t="n">
        <v>961</v>
      </c>
      <c r="D703" s="8" t="n">
        <v>56565.47</v>
      </c>
      <c r="E703" s="8" t="n">
        <v>1595</v>
      </c>
      <c r="F703" s="8" t="n">
        <v>88667.91</v>
      </c>
      <c r="G703" s="7" t="str">
        <f aca="false">IFERROR(INDEX('TRANS'!$B:$B,MATCH($B703,'TRANS'!$A:$A,0)),IFERROR(INDEX('TRANS'!$B:$B,MATCH(TRIM(SUBSTITUTE($B703,CHAR(160)," ")),'TRANS'!$D:$D,0)),IFERROR(INDEX('Catalog'!$A:$A,MATCH($B703,'Catalog'!$B:$B,0)),IFERROR(INDEX('Catalog'!$A:$A,MATCH(TRIM(SUBSTITUTE($B703,CHAR(160)," ")),'Catalog'!$C:$C,0)),""))))</f>
        <v/>
      </c>
      <c r="H703" s="7" t="str">
        <f aca="false">IFERROR(INDEX('TRANS'!$C:$C,MATCH($B703,'TRANS'!$A:$A,0)),IFERROR(INDEX('Catalog'!$B:$B,MATCH($G703,'Catalog'!$A:$A,0)),$B703))</f>
        <v>49PS L</v>
      </c>
      <c r="I703" s="7" t="str">
        <f aca="false">IF($G703="","Unmatched","Matched")</f>
        <v>Unmatched</v>
      </c>
      <c r="J703" s="7" t="str">
        <f aca="false">IF($G703&lt;&gt;"",$G703,$B703)</f>
        <v>49PS L</v>
      </c>
      <c r="K703" s="7" t="str">
        <f aca="false">IF(COUNTIF($O$2:$O$16,$A703)&gt;0,"Y","N")</f>
        <v>Y</v>
      </c>
    </row>
    <row r="704" customFormat="false" ht="15" hidden="false" customHeight="false" outlineLevel="0" collapsed="false">
      <c r="A704" s="7" t="s">
        <v>36</v>
      </c>
      <c r="B704" s="7" t="s">
        <v>65</v>
      </c>
      <c r="C704" s="8" t="n">
        <v>1201</v>
      </c>
      <c r="D704" s="8" t="n">
        <v>71527.56</v>
      </c>
      <c r="E704" s="8" t="n">
        <v>936</v>
      </c>
      <c r="F704" s="8" t="n">
        <v>51233.33</v>
      </c>
      <c r="G704" s="7" t="str">
        <f aca="false">IFERROR(INDEX('TRANS'!$B:$B,MATCH($B704,'TRANS'!$A:$A,0)),IFERROR(INDEX('TRANS'!$B:$B,MATCH(TRIM(SUBSTITUTE($B704,CHAR(160)," ")),'TRANS'!$D:$D,0)),IFERROR(INDEX('Catalog'!$A:$A,MATCH($B704,'Catalog'!$B:$B,0)),IFERROR(INDEX('Catalog'!$A:$A,MATCH(TRIM(SUBSTITUTE($B704,CHAR(160)," ")),'Catalog'!$C:$C,0)),""))))</f>
        <v/>
      </c>
      <c r="H704" s="7" t="str">
        <f aca="false">IFERROR(INDEX('TRANS'!$C:$C,MATCH($B704,'TRANS'!$A:$A,0)),IFERROR(INDEX('Catalog'!$B:$B,MATCH($G704,'Catalog'!$A:$A,0)),$B704))</f>
        <v>49PS M</v>
      </c>
      <c r="I704" s="7" t="str">
        <f aca="false">IF($G704="","Unmatched","Matched")</f>
        <v>Unmatched</v>
      </c>
      <c r="J704" s="7" t="str">
        <f aca="false">IF($G704&lt;&gt;"",$G704,$B704)</f>
        <v>49PS M</v>
      </c>
      <c r="K704" s="7" t="str">
        <f aca="false">IF(COUNTIF($O$2:$O$16,$A704)&gt;0,"Y","N")</f>
        <v>Y</v>
      </c>
    </row>
    <row r="705" customFormat="false" ht="15" hidden="false" customHeight="false" outlineLevel="0" collapsed="false">
      <c r="A705" s="7" t="s">
        <v>36</v>
      </c>
      <c r="B705" s="7" t="s">
        <v>107</v>
      </c>
      <c r="C705" s="8" t="n">
        <v>97</v>
      </c>
      <c r="D705" s="8" t="n">
        <v>5547.16</v>
      </c>
      <c r="E705" s="8" t="n">
        <v>22</v>
      </c>
      <c r="F705" s="8" t="n">
        <v>1299.26</v>
      </c>
      <c r="G705" s="7" t="str">
        <f aca="false">IFERROR(INDEX('TRANS'!$B:$B,MATCH($B705,'TRANS'!$A:$A,0)),IFERROR(INDEX('TRANS'!$B:$B,MATCH(TRIM(SUBSTITUTE($B705,CHAR(160)," ")),'TRANS'!$D:$D,0)),IFERROR(INDEX('Catalog'!$A:$A,MATCH($B705,'Catalog'!$B:$B,0)),IFERROR(INDEX('Catalog'!$A:$A,MATCH(TRIM(SUBSTITUTE($B705,CHAR(160)," ")),'Catalog'!$C:$C,0)),""))))</f>
        <v/>
      </c>
      <c r="H705" s="7" t="str">
        <f aca="false">IFERROR(INDEX('TRANS'!$C:$C,MATCH($B705,'TRANS'!$A:$A,0)),IFERROR(INDEX('Catalog'!$B:$B,MATCH($G705,'Catalog'!$A:$A,0)),$B705))</f>
        <v>49PS S</v>
      </c>
      <c r="I705" s="7" t="str">
        <f aca="false">IF($G705="","Unmatched","Matched")</f>
        <v>Unmatched</v>
      </c>
      <c r="J705" s="7" t="str">
        <f aca="false">IF($G705&lt;&gt;"",$G705,$B705)</f>
        <v>49PS S</v>
      </c>
      <c r="K705" s="7" t="str">
        <f aca="false">IF(COUNTIF($O$2:$O$16,$A705)&gt;0,"Y","N")</f>
        <v>Y</v>
      </c>
    </row>
    <row r="706" customFormat="false" ht="15" hidden="false" customHeight="false" outlineLevel="0" collapsed="false">
      <c r="A706" s="7" t="s">
        <v>36</v>
      </c>
      <c r="B706" s="7" t="s">
        <v>70</v>
      </c>
      <c r="C706" s="8" t="n">
        <v>457</v>
      </c>
      <c r="D706" s="8" t="n">
        <v>26963.79</v>
      </c>
      <c r="E706" s="8" t="n">
        <v>550</v>
      </c>
      <c r="F706" s="8" t="n">
        <v>31868.69</v>
      </c>
      <c r="G706" s="7" t="str">
        <f aca="false">IFERROR(INDEX('TRANS'!$B:$B,MATCH($B706,'TRANS'!$A:$A,0)),IFERROR(INDEX('TRANS'!$B:$B,MATCH(TRIM(SUBSTITUTE($B706,CHAR(160)," ")),'TRANS'!$D:$D,0)),IFERROR(INDEX('Catalog'!$A:$A,MATCH($B706,'Catalog'!$B:$B,0)),IFERROR(INDEX('Catalog'!$A:$A,MATCH(TRIM(SUBSTITUTE($B706,CHAR(160)," ")),'Catalog'!$C:$C,0)),""))))</f>
        <v/>
      </c>
      <c r="H706" s="7" t="str">
        <f aca="false">IFERROR(INDEX('TRANS'!$C:$C,MATCH($B706,'TRANS'!$A:$A,0)),IFERROR(INDEX('Catalog'!$B:$B,MATCH($G706,'Catalog'!$A:$A,0)),$B706))</f>
        <v>49PS XL</v>
      </c>
      <c r="I706" s="7" t="str">
        <f aca="false">IF($G706="","Unmatched","Matched")</f>
        <v>Unmatched</v>
      </c>
      <c r="J706" s="7" t="str">
        <f aca="false">IF($G706&lt;&gt;"",$G706,$B706)</f>
        <v>49PS XL</v>
      </c>
      <c r="K706" s="7" t="str">
        <f aca="false">IF(COUNTIF($O$2:$O$16,$A706)&gt;0,"Y","N")</f>
        <v>Y</v>
      </c>
    </row>
    <row r="707" customFormat="false" ht="15" hidden="false" customHeight="false" outlineLevel="0" collapsed="false">
      <c r="A707" s="7" t="s">
        <v>36</v>
      </c>
      <c r="B707" s="7" t="s">
        <v>100</v>
      </c>
      <c r="C707" s="8" t="n">
        <v>61</v>
      </c>
      <c r="D707" s="8" t="n">
        <v>3467</v>
      </c>
      <c r="E707" s="8" t="n">
        <v>44</v>
      </c>
      <c r="F707" s="8" t="n">
        <v>2598.48</v>
      </c>
      <c r="G707" s="7" t="str">
        <f aca="false">IFERROR(INDEX('TRANS'!$B:$B,MATCH($B707,'TRANS'!$A:$A,0)),IFERROR(INDEX('TRANS'!$B:$B,MATCH(TRIM(SUBSTITUTE($B707,CHAR(160)," ")),'TRANS'!$D:$D,0)),IFERROR(INDEX('Catalog'!$A:$A,MATCH($B707,'Catalog'!$B:$B,0)),IFERROR(INDEX('Catalog'!$A:$A,MATCH(TRIM(SUBSTITUTE($B707,CHAR(160)," ")),'Catalog'!$C:$C,0)),""))))</f>
        <v/>
      </c>
      <c r="H707" s="7" t="str">
        <f aca="false">IFERROR(INDEX('TRANS'!$C:$C,MATCH($B707,'TRANS'!$A:$A,0)),IFERROR(INDEX('Catalog'!$B:$B,MATCH($G707,'Catalog'!$A:$A,0)),$B707))</f>
        <v>49PS XXL</v>
      </c>
      <c r="I707" s="7" t="str">
        <f aca="false">IF($G707="","Unmatched","Matched")</f>
        <v>Unmatched</v>
      </c>
      <c r="J707" s="7" t="str">
        <f aca="false">IF($G707&lt;&gt;"",$G707,$B707)</f>
        <v>49PS XXL</v>
      </c>
      <c r="K707" s="7" t="str">
        <f aca="false">IF(COUNTIF($O$2:$O$16,$A707)&gt;0,"Y","N")</f>
        <v>Y</v>
      </c>
    </row>
    <row r="708" customFormat="false" ht="15" hidden="false" customHeight="false" outlineLevel="0" collapsed="false">
      <c r="A708" s="7" t="s">
        <v>36</v>
      </c>
      <c r="B708" s="7" t="s">
        <v>485</v>
      </c>
      <c r="C708" s="8" t="n">
        <v>60</v>
      </c>
      <c r="D708" s="8" t="n">
        <v>1353.58</v>
      </c>
      <c r="E708" s="8" t="n">
        <v>11</v>
      </c>
      <c r="F708" s="8" t="n">
        <v>232.59</v>
      </c>
      <c r="G708" s="7" t="n">
        <f aca="false">IFERROR(INDEX('TRANS'!$B:$B,MATCH($B708,'TRANS'!$A:$A,0)),IFERROR(INDEX('TRANS'!$B:$B,MATCH(TRIM(SUBSTITUTE($B708,CHAR(160)," ")),'TRANS'!$D:$D,0)),IFERROR(INDEX('Catalog'!$A:$A,MATCH($B708,'Catalog'!$B:$B,0)),IFERROR(INDEX('Catalog'!$A:$A,MATCH(TRIM(SUBSTITUTE($B708,CHAR(160)," ")),'Catalog'!$C:$C,0)),""))))</f>
        <v>4418000</v>
      </c>
      <c r="H708" s="7" t="str">
        <f aca="false">IFERROR(INDEX('TRANS'!$C:$C,MATCH($B708,'TRANS'!$A:$A,0)),IFERROR(INDEX('Catalog'!$B:$B,MATCH($G708,'Catalog'!$A:$A,0)),$B708))</f>
        <v>60 L צוארון ספוגי</v>
      </c>
      <c r="I708" s="7" t="str">
        <f aca="false">IF($G708="","Unmatched","Matched")</f>
        <v>Matched</v>
      </c>
      <c r="J708" s="7" t="n">
        <f aca="false">IF($G708&lt;&gt;"",$G708,$B708)</f>
        <v>4418000</v>
      </c>
      <c r="K708" s="7" t="str">
        <f aca="false">IF(COUNTIF($O$2:$O$16,$A708)&gt;0,"Y","N")</f>
        <v>Y</v>
      </c>
    </row>
    <row r="709" customFormat="false" ht="15" hidden="false" customHeight="false" outlineLevel="0" collapsed="false">
      <c r="A709" s="7" t="s">
        <v>36</v>
      </c>
      <c r="B709" s="7" t="s">
        <v>486</v>
      </c>
      <c r="C709" s="8" t="n">
        <v>108</v>
      </c>
      <c r="D709" s="8" t="n">
        <v>2454.28</v>
      </c>
      <c r="E709" s="8" t="n">
        <v>69</v>
      </c>
      <c r="F709" s="8" t="n">
        <v>1439.64</v>
      </c>
      <c r="G709" s="7" t="n">
        <f aca="false">IFERROR(INDEX('TRANS'!$B:$B,MATCH($B709,'TRANS'!$A:$A,0)),IFERROR(INDEX('TRANS'!$B:$B,MATCH(TRIM(SUBSTITUTE($B709,CHAR(160)," ")),'TRANS'!$D:$D,0)),IFERROR(INDEX('Catalog'!$A:$A,MATCH($B709,'Catalog'!$B:$B,0)),IFERROR(INDEX('Catalog'!$A:$A,MATCH(TRIM(SUBSTITUTE($B709,CHAR(160)," ")),'Catalog'!$C:$C,0)),""))))</f>
        <v>4418001</v>
      </c>
      <c r="H709" s="7" t="str">
        <f aca="false">IFERROR(INDEX('TRANS'!$C:$C,MATCH($B709,'TRANS'!$A:$A,0)),IFERROR(INDEX('Catalog'!$B:$B,MATCH($G709,'Catalog'!$A:$A,0)),$B709))</f>
        <v>60 M צוארון ספוגי</v>
      </c>
      <c r="I709" s="7" t="str">
        <f aca="false">IF($G709="","Unmatched","Matched")</f>
        <v>Matched</v>
      </c>
      <c r="J709" s="7" t="n">
        <f aca="false">IF($G709&lt;&gt;"",$G709,$B709)</f>
        <v>4418001</v>
      </c>
      <c r="K709" s="7" t="str">
        <f aca="false">IF(COUNTIF($O$2:$O$16,$A709)&gt;0,"Y","N")</f>
        <v>Y</v>
      </c>
    </row>
    <row r="710" customFormat="false" ht="15" hidden="false" customHeight="false" outlineLevel="0" collapsed="false">
      <c r="A710" s="7" t="s">
        <v>36</v>
      </c>
      <c r="B710" s="7" t="s">
        <v>487</v>
      </c>
      <c r="C710" s="8" t="n">
        <v>60</v>
      </c>
      <c r="D710" s="8" t="n">
        <v>1374.44</v>
      </c>
      <c r="E710" s="8" t="n">
        <v>44</v>
      </c>
      <c r="F710" s="8" t="n">
        <v>961.21</v>
      </c>
      <c r="G710" s="7" t="n">
        <f aca="false">IFERROR(INDEX('TRANS'!$B:$B,MATCH($B710,'TRANS'!$A:$A,0)),IFERROR(INDEX('TRANS'!$B:$B,MATCH(TRIM(SUBSTITUTE($B710,CHAR(160)," ")),'TRANS'!$D:$D,0)),IFERROR(INDEX('Catalog'!$A:$A,MATCH($B710,'Catalog'!$B:$B,0)),IFERROR(INDEX('Catalog'!$A:$A,MATCH(TRIM(SUBSTITUTE($B710,CHAR(160)," ")),'Catalog'!$C:$C,0)),""))))</f>
        <v>4418002</v>
      </c>
      <c r="H710" s="7" t="str">
        <f aca="false">IFERROR(INDEX('TRANS'!$C:$C,MATCH($B710,'TRANS'!$A:$A,0)),IFERROR(INDEX('Catalog'!$B:$B,MATCH($G710,'Catalog'!$A:$A,0)),$B710))</f>
        <v>60 S צוארון ספוגי</v>
      </c>
      <c r="I710" s="7" t="str">
        <f aca="false">IF($G710="","Unmatched","Matched")</f>
        <v>Matched</v>
      </c>
      <c r="J710" s="7" t="n">
        <f aca="false">IF($G710&lt;&gt;"",$G710,$B710)</f>
        <v>4418002</v>
      </c>
      <c r="K710" s="7" t="str">
        <f aca="false">IF(COUNTIF($O$2:$O$16,$A710)&gt;0,"Y","N")</f>
        <v>Y</v>
      </c>
    </row>
    <row r="711" customFormat="false" ht="15" hidden="false" customHeight="false" outlineLevel="0" collapsed="false">
      <c r="A711" s="7" t="s">
        <v>36</v>
      </c>
      <c r="B711" s="7" t="s">
        <v>203</v>
      </c>
      <c r="C711" s="8" t="n">
        <v>12</v>
      </c>
      <c r="D711" s="8" t="n">
        <v>286.12</v>
      </c>
      <c r="E711" s="8" t="n">
        <v>0</v>
      </c>
      <c r="F711" s="8" t="n">
        <v>0</v>
      </c>
      <c r="G711" s="7" t="str">
        <f aca="false">IFERROR(INDEX('TRANS'!$B:$B,MATCH($B711,'TRANS'!$A:$A,0)),IFERROR(INDEX('TRANS'!$B:$B,MATCH(TRIM(SUBSTITUTE($B711,CHAR(160)," ")),'TRANS'!$D:$D,0)),IFERROR(INDEX('Catalog'!$A:$A,MATCH($B711,'Catalog'!$B:$B,0)),IFERROR(INDEX('Catalog'!$A:$A,MATCH(TRIM(SUBSTITUTE($B711,CHAR(160)," ")),'Catalog'!$C:$C,0)),""))))</f>
        <v/>
      </c>
      <c r="H711" s="7" t="str">
        <f aca="false">IFERROR(INDEX('TRANS'!$C:$C,MATCH($B711,'TRANS'!$A:$A,0)),IFERROR(INDEX('Catalog'!$B:$B,MATCH($G711,'Catalog'!$A:$A,0)),$B711))</f>
        <v>60 XS</v>
      </c>
      <c r="I711" s="7" t="str">
        <f aca="false">IF($G711="","Unmatched","Matched")</f>
        <v>Unmatched</v>
      </c>
      <c r="J711" s="7" t="str">
        <f aca="false">IF($G711&lt;&gt;"",$G711,$B711)</f>
        <v>60 XS</v>
      </c>
      <c r="K711" s="7" t="str">
        <f aca="false">IF(COUNTIF($O$2:$O$16,$A711)&gt;0,"Y","N")</f>
        <v>Y</v>
      </c>
    </row>
    <row r="712" customFormat="false" ht="15" hidden="false" customHeight="false" outlineLevel="0" collapsed="false">
      <c r="A712" s="7" t="s">
        <v>36</v>
      </c>
      <c r="B712" s="7" t="s">
        <v>204</v>
      </c>
      <c r="C712" s="8" t="n">
        <v>60</v>
      </c>
      <c r="D712" s="8" t="n">
        <v>1477.77</v>
      </c>
      <c r="E712" s="8" t="n">
        <v>0</v>
      </c>
      <c r="F712" s="8" t="n">
        <v>0</v>
      </c>
      <c r="G712" s="7" t="str">
        <f aca="false">IFERROR(INDEX('TRANS'!$B:$B,MATCH($B712,'TRANS'!$A:$A,0)),IFERROR(INDEX('TRANS'!$B:$B,MATCH(TRIM(SUBSTITUTE($B712,CHAR(160)," ")),'TRANS'!$D:$D,0)),IFERROR(INDEX('Catalog'!$A:$A,MATCH($B712,'Catalog'!$B:$B,0)),IFERROR(INDEX('Catalog'!$A:$A,MATCH(TRIM(SUBSTITUTE($B712,CHAR(160)," ")),'Catalog'!$C:$C,0)),""))))</f>
        <v/>
      </c>
      <c r="H712" s="7" t="str">
        <f aca="false">IFERROR(INDEX('TRANS'!$C:$C,MATCH($B712,'TRANS'!$A:$A,0)),IFERROR(INDEX('Catalog'!$B:$B,MATCH($G712,'Catalog'!$A:$A,0)),$B712))</f>
        <v>62FC L</v>
      </c>
      <c r="I712" s="7" t="str">
        <f aca="false">IF($G712="","Unmatched","Matched")</f>
        <v>Unmatched</v>
      </c>
      <c r="J712" s="7" t="str">
        <f aca="false">IF($G712&lt;&gt;"",$G712,$B712)</f>
        <v>62FC L</v>
      </c>
      <c r="K712" s="7" t="str">
        <f aca="false">IF(COUNTIF($O$2:$O$16,$A712)&gt;0,"Y","N")</f>
        <v>Y</v>
      </c>
    </row>
    <row r="713" customFormat="false" ht="15" hidden="false" customHeight="false" outlineLevel="0" collapsed="false">
      <c r="A713" s="7" t="s">
        <v>36</v>
      </c>
      <c r="B713" s="7" t="s">
        <v>205</v>
      </c>
      <c r="C713" s="8" t="n">
        <v>96</v>
      </c>
      <c r="D713" s="8" t="n">
        <v>2423.08</v>
      </c>
      <c r="E713" s="8" t="n">
        <v>0</v>
      </c>
      <c r="F713" s="8" t="n">
        <v>0</v>
      </c>
      <c r="G713" s="7" t="str">
        <f aca="false">IFERROR(INDEX('TRANS'!$B:$B,MATCH($B713,'TRANS'!$A:$A,0)),IFERROR(INDEX('TRANS'!$B:$B,MATCH(TRIM(SUBSTITUTE($B713,CHAR(160)," ")),'TRANS'!$D:$D,0)),IFERROR(INDEX('Catalog'!$A:$A,MATCH($B713,'Catalog'!$B:$B,0)),IFERROR(INDEX('Catalog'!$A:$A,MATCH(TRIM(SUBSTITUTE($B713,CHAR(160)," ")),'Catalog'!$C:$C,0)),""))))</f>
        <v/>
      </c>
      <c r="H713" s="7" t="str">
        <f aca="false">IFERROR(INDEX('TRANS'!$C:$C,MATCH($B713,'TRANS'!$A:$A,0)),IFERROR(INDEX('Catalog'!$B:$B,MATCH($G713,'Catalog'!$A:$A,0)),$B713))</f>
        <v>62FC M</v>
      </c>
      <c r="I713" s="7" t="str">
        <f aca="false">IF($G713="","Unmatched","Matched")</f>
        <v>Unmatched</v>
      </c>
      <c r="J713" s="7" t="str">
        <f aca="false">IF($G713&lt;&gt;"",$G713,$B713)</f>
        <v>62FC M</v>
      </c>
      <c r="K713" s="7" t="str">
        <f aca="false">IF(COUNTIF($O$2:$O$16,$A713)&gt;0,"Y","N")</f>
        <v>Y</v>
      </c>
    </row>
    <row r="714" customFormat="false" ht="15" hidden="false" customHeight="false" outlineLevel="0" collapsed="false">
      <c r="A714" s="7" t="s">
        <v>36</v>
      </c>
      <c r="B714" s="7" t="s">
        <v>135</v>
      </c>
      <c r="C714" s="8" t="n">
        <v>36</v>
      </c>
      <c r="D714" s="8" t="n">
        <v>887.28</v>
      </c>
      <c r="E714" s="8" t="n">
        <v>5</v>
      </c>
      <c r="F714" s="8" t="n">
        <v>130.82</v>
      </c>
      <c r="G714" s="7" t="str">
        <f aca="false">IFERROR(INDEX('TRANS'!$B:$B,MATCH($B714,'TRANS'!$A:$A,0)),IFERROR(INDEX('TRANS'!$B:$B,MATCH(TRIM(SUBSTITUTE($B714,CHAR(160)," ")),'TRANS'!$D:$D,0)),IFERROR(INDEX('Catalog'!$A:$A,MATCH($B714,'Catalog'!$B:$B,0)),IFERROR(INDEX('Catalog'!$A:$A,MATCH(TRIM(SUBSTITUTE($B714,CHAR(160)," ")),'Catalog'!$C:$C,0)),""))))</f>
        <v/>
      </c>
      <c r="H714" s="7" t="str">
        <f aca="false">IFERROR(INDEX('TRANS'!$C:$C,MATCH($B714,'TRANS'!$A:$A,0)),IFERROR(INDEX('Catalog'!$B:$B,MATCH($G714,'Catalog'!$A:$A,0)),$B714))</f>
        <v>62FC S</v>
      </c>
      <c r="I714" s="7" t="str">
        <f aca="false">IF($G714="","Unmatched","Matched")</f>
        <v>Unmatched</v>
      </c>
      <c r="J714" s="7" t="str">
        <f aca="false">IF($G714&lt;&gt;"",$G714,$B714)</f>
        <v>62FC S</v>
      </c>
      <c r="K714" s="7" t="str">
        <f aca="false">IF(COUNTIF($O$2:$O$16,$A714)&gt;0,"Y","N")</f>
        <v>Y</v>
      </c>
    </row>
    <row r="715" customFormat="false" ht="15" hidden="false" customHeight="false" outlineLevel="0" collapsed="false">
      <c r="A715" s="7" t="s">
        <v>36</v>
      </c>
      <c r="B715" s="7" t="s">
        <v>206</v>
      </c>
      <c r="C715" s="8" t="n">
        <v>12</v>
      </c>
      <c r="D715" s="8" t="n">
        <v>293.7</v>
      </c>
      <c r="E715" s="8" t="n">
        <v>0</v>
      </c>
      <c r="F715" s="8" t="n">
        <v>0</v>
      </c>
      <c r="G715" s="7" t="str">
        <f aca="false">IFERROR(INDEX('TRANS'!$B:$B,MATCH($B715,'TRANS'!$A:$A,0)),IFERROR(INDEX('TRANS'!$B:$B,MATCH(TRIM(SUBSTITUTE($B715,CHAR(160)," ")),'TRANS'!$D:$D,0)),IFERROR(INDEX('Catalog'!$A:$A,MATCH($B715,'Catalog'!$B:$B,0)),IFERROR(INDEX('Catalog'!$A:$A,MATCH(TRIM(SUBSTITUTE($B715,CHAR(160)," ")),'Catalog'!$C:$C,0)),""))))</f>
        <v/>
      </c>
      <c r="H715" s="7" t="str">
        <f aca="false">IFERROR(INDEX('TRANS'!$C:$C,MATCH($B715,'TRANS'!$A:$A,0)),IFERROR(INDEX('Catalog'!$B:$B,MATCH($G715,'Catalog'!$A:$A,0)),$B715))</f>
        <v>62FC XL</v>
      </c>
      <c r="I715" s="7" t="str">
        <f aca="false">IF($G715="","Unmatched","Matched")</f>
        <v>Unmatched</v>
      </c>
      <c r="J715" s="7" t="str">
        <f aca="false">IF($G715&lt;&gt;"",$G715,$B715)</f>
        <v>62FC XL</v>
      </c>
      <c r="K715" s="7" t="str">
        <f aca="false">IF(COUNTIF($O$2:$O$16,$A715)&gt;0,"Y","N")</f>
        <v>Y</v>
      </c>
    </row>
    <row r="716" customFormat="false" ht="15" hidden="false" customHeight="false" outlineLevel="0" collapsed="false">
      <c r="A716" s="7" t="s">
        <v>36</v>
      </c>
      <c r="B716" s="7" t="s">
        <v>111</v>
      </c>
      <c r="C716" s="8" t="n">
        <v>0</v>
      </c>
      <c r="D716" s="8" t="n">
        <v>0</v>
      </c>
      <c r="E716" s="8" t="n">
        <v>16</v>
      </c>
      <c r="F716" s="8" t="n">
        <v>401.07</v>
      </c>
      <c r="G716" s="7" t="str">
        <f aca="false">IFERROR(INDEX('TRANS'!$B:$B,MATCH($B716,'TRANS'!$A:$A,0)),IFERROR(INDEX('TRANS'!$B:$B,MATCH(TRIM(SUBSTITUTE($B716,CHAR(160)," ")),'TRANS'!$D:$D,0)),IFERROR(INDEX('Catalog'!$A:$A,MATCH($B716,'Catalog'!$B:$B,0)),IFERROR(INDEX('Catalog'!$A:$A,MATCH(TRIM(SUBSTITUTE($B716,CHAR(160)," ")),'Catalog'!$C:$C,0)),""))))</f>
        <v/>
      </c>
      <c r="H716" s="7" t="str">
        <f aca="false">IFERROR(INDEX('TRANS'!$C:$C,MATCH($B716,'TRANS'!$A:$A,0)),IFERROR(INDEX('Catalog'!$B:$B,MATCH($G716,'Catalog'!$A:$A,0)),$B716))</f>
        <v>62FC XS</v>
      </c>
      <c r="I716" s="7" t="str">
        <f aca="false">IF($G716="","Unmatched","Matched")</f>
        <v>Unmatched</v>
      </c>
      <c r="J716" s="7" t="str">
        <f aca="false">IF($G716&lt;&gt;"",$G716,$B716)</f>
        <v>62FC XS</v>
      </c>
      <c r="K716" s="7" t="str">
        <f aca="false">IF(COUNTIF($O$2:$O$16,$A716)&gt;0,"Y","N")</f>
        <v>Y</v>
      </c>
    </row>
    <row r="717" customFormat="false" ht="15" hidden="false" customHeight="false" outlineLevel="0" collapsed="false">
      <c r="A717" s="7" t="s">
        <v>36</v>
      </c>
      <c r="B717" s="7" t="s">
        <v>623</v>
      </c>
      <c r="C717" s="8" t="n">
        <v>24</v>
      </c>
      <c r="D717" s="8" t="n">
        <v>1954.03</v>
      </c>
      <c r="E717" s="8" t="n">
        <v>27</v>
      </c>
      <c r="F717" s="8" t="n">
        <v>2155.84</v>
      </c>
      <c r="G717" s="7" t="n">
        <f aca="false">IFERROR(INDEX('TRANS'!$B:$B,MATCH($B717,'TRANS'!$A:$A,0)),IFERROR(INDEX('TRANS'!$B:$B,MATCH(TRIM(SUBSTITUTE($B717,CHAR(160)," ")),'TRANS'!$D:$D,0)),IFERROR(INDEX('Catalog'!$A:$A,MATCH($B717,'Catalog'!$B:$B,0)),IFERROR(INDEX('Catalog'!$A:$A,MATCH(TRIM(SUBSTITUTE($B717,CHAR(160)," ")),'Catalog'!$C:$C,0)),""))))</f>
        <v>4413165</v>
      </c>
      <c r="H717" s="7" t="str">
        <f aca="false">IFERROR(INDEX('TRANS'!$C:$C,MATCH($B717,'TRANS'!$A:$A,0)),IFERROR(INDEX('Catalog'!$B:$B,MATCH($G717,'Catalog'!$A:$A,0)),$B717))</f>
        <v>74 L-XL מיצב כתפיים</v>
      </c>
      <c r="I717" s="7" t="str">
        <f aca="false">IF($G717="","Unmatched","Matched")</f>
        <v>Matched</v>
      </c>
      <c r="J717" s="7" t="n">
        <f aca="false">IF($G717&lt;&gt;"",$G717,$B717)</f>
        <v>4413165</v>
      </c>
      <c r="K717" s="7" t="str">
        <f aca="false">IF(COUNTIF($O$2:$O$16,$A717)&gt;0,"Y","N")</f>
        <v>Y</v>
      </c>
    </row>
    <row r="718" customFormat="false" ht="15" hidden="false" customHeight="false" outlineLevel="0" collapsed="false">
      <c r="A718" s="7" t="s">
        <v>36</v>
      </c>
      <c r="B718" s="7" t="s">
        <v>136</v>
      </c>
      <c r="C718" s="8" t="n">
        <v>12</v>
      </c>
      <c r="D718" s="8" t="n">
        <v>934.66</v>
      </c>
      <c r="E718" s="8" t="n">
        <v>5</v>
      </c>
      <c r="F718" s="8" t="n">
        <v>407.71</v>
      </c>
      <c r="G718" s="7" t="str">
        <f aca="false">IFERROR(INDEX('TRANS'!$B:$B,MATCH($B718,'TRANS'!$A:$A,0)),IFERROR(INDEX('TRANS'!$B:$B,MATCH(TRIM(SUBSTITUTE($B718,CHAR(160)," ")),'TRANS'!$D:$D,0)),IFERROR(INDEX('Catalog'!$A:$A,MATCH($B718,'Catalog'!$B:$B,0)),IFERROR(INDEX('Catalog'!$A:$A,MATCH(TRIM(SUBSTITUTE($B718,CHAR(160)," ")),'Catalog'!$C:$C,0)),""))))</f>
        <v/>
      </c>
      <c r="H718" s="7" t="str">
        <f aca="false">IFERROR(INDEX('TRANS'!$C:$C,MATCH($B718,'TRANS'!$A:$A,0)),IFERROR(INDEX('Catalog'!$B:$B,MATCH($G718,'Catalog'!$A:$A,0)),$B718))</f>
        <v>74-S-M</v>
      </c>
      <c r="I718" s="7" t="str">
        <f aca="false">IF($G718="","Unmatched","Matched")</f>
        <v>Unmatched</v>
      </c>
      <c r="J718" s="7" t="str">
        <f aca="false">IF($G718&lt;&gt;"",$G718,$B718)</f>
        <v>74-S-M</v>
      </c>
      <c r="K718" s="7" t="str">
        <f aca="false">IF(COUNTIF($O$2:$O$16,$A718)&gt;0,"Y","N")</f>
        <v>Y</v>
      </c>
    </row>
    <row r="719" customFormat="false" ht="15" hidden="false" customHeight="false" outlineLevel="0" collapsed="false">
      <c r="A719" s="7" t="s">
        <v>36</v>
      </c>
      <c r="B719" s="7" t="s">
        <v>82</v>
      </c>
      <c r="C719" s="8" t="n">
        <v>192</v>
      </c>
      <c r="D719" s="8" t="n">
        <v>17774.47</v>
      </c>
      <c r="E719" s="8" t="n">
        <v>140</v>
      </c>
      <c r="F719" s="8" t="n">
        <v>12019.86</v>
      </c>
      <c r="G719" s="7" t="str">
        <f aca="false">IFERROR(INDEX('TRANS'!$B:$B,MATCH($B719,'TRANS'!$A:$A,0)),IFERROR(INDEX('TRANS'!$B:$B,MATCH(TRIM(SUBSTITUTE($B719,CHAR(160)," ")),'TRANS'!$D:$D,0)),IFERROR(INDEX('Catalog'!$A:$A,MATCH($B719,'Catalog'!$B:$B,0)),IFERROR(INDEX('Catalog'!$A:$A,MATCH(TRIM(SUBSTITUTE($B719,CHAR(160)," ")),'Catalog'!$C:$C,0)),""))))</f>
        <v/>
      </c>
      <c r="H719" s="7" t="str">
        <f aca="false">IFERROR(INDEX('TRANS'!$C:$C,MATCH($B719,'TRANS'!$A:$A,0)),IFERROR(INDEX('Catalog'!$B:$B,MATCH($G719,'Catalog'!$A:$A,0)),$B719))</f>
        <v>86U L</v>
      </c>
      <c r="I719" s="7" t="str">
        <f aca="false">IF($G719="","Unmatched","Matched")</f>
        <v>Unmatched</v>
      </c>
      <c r="J719" s="7" t="str">
        <f aca="false">IF($G719&lt;&gt;"",$G719,$B719)</f>
        <v>86U L</v>
      </c>
      <c r="K719" s="7" t="str">
        <f aca="false">IF(COUNTIF($O$2:$O$16,$A719)&gt;0,"Y","N")</f>
        <v>Y</v>
      </c>
    </row>
    <row r="720" customFormat="false" ht="15" hidden="false" customHeight="false" outlineLevel="0" collapsed="false">
      <c r="A720" s="7" t="s">
        <v>36</v>
      </c>
      <c r="B720" s="7" t="s">
        <v>84</v>
      </c>
      <c r="C720" s="8" t="n">
        <v>144</v>
      </c>
      <c r="D720" s="8" t="n">
        <v>13547.77</v>
      </c>
      <c r="E720" s="8" t="n">
        <v>115</v>
      </c>
      <c r="F720" s="8" t="n">
        <v>10036.64</v>
      </c>
      <c r="G720" s="7" t="str">
        <f aca="false">IFERROR(INDEX('TRANS'!$B:$B,MATCH($B720,'TRANS'!$A:$A,0)),IFERROR(INDEX('TRANS'!$B:$B,MATCH(TRIM(SUBSTITUTE($B720,CHAR(160)," ")),'TRANS'!$D:$D,0)),IFERROR(INDEX('Catalog'!$A:$A,MATCH($B720,'Catalog'!$B:$B,0)),IFERROR(INDEX('Catalog'!$A:$A,MATCH(TRIM(SUBSTITUTE($B720,CHAR(160)," ")),'Catalog'!$C:$C,0)),""))))</f>
        <v/>
      </c>
      <c r="H720" s="7" t="str">
        <f aca="false">IFERROR(INDEX('TRANS'!$C:$C,MATCH($B720,'TRANS'!$A:$A,0)),IFERROR(INDEX('Catalog'!$B:$B,MATCH($G720,'Catalog'!$A:$A,0)),$B720))</f>
        <v>86U M</v>
      </c>
      <c r="I720" s="7" t="str">
        <f aca="false">IF($G720="","Unmatched","Matched")</f>
        <v>Unmatched</v>
      </c>
      <c r="J720" s="7" t="str">
        <f aca="false">IF($G720&lt;&gt;"",$G720,$B720)</f>
        <v>86U M</v>
      </c>
      <c r="K720" s="7" t="str">
        <f aca="false">IF(COUNTIF($O$2:$O$16,$A720)&gt;0,"Y","N")</f>
        <v>Y</v>
      </c>
    </row>
    <row r="721" customFormat="false" ht="15" hidden="false" customHeight="false" outlineLevel="0" collapsed="false">
      <c r="A721" s="7" t="s">
        <v>36</v>
      </c>
      <c r="B721" s="7" t="s">
        <v>85</v>
      </c>
      <c r="C721" s="8" t="n">
        <v>120</v>
      </c>
      <c r="D721" s="8" t="n">
        <v>10937.03</v>
      </c>
      <c r="E721" s="8" t="n">
        <v>115</v>
      </c>
      <c r="F721" s="8" t="n">
        <v>9990.34</v>
      </c>
      <c r="G721" s="7" t="str">
        <f aca="false">IFERROR(INDEX('TRANS'!$B:$B,MATCH($B721,'TRANS'!$A:$A,0)),IFERROR(INDEX('TRANS'!$B:$B,MATCH(TRIM(SUBSTITUTE($B721,CHAR(160)," ")),'TRANS'!$D:$D,0)),IFERROR(INDEX('Catalog'!$A:$A,MATCH($B721,'Catalog'!$B:$B,0)),IFERROR(INDEX('Catalog'!$A:$A,MATCH(TRIM(SUBSTITUTE($B721,CHAR(160)," ")),'Catalog'!$C:$C,0)),""))))</f>
        <v/>
      </c>
      <c r="H721" s="7" t="str">
        <f aca="false">IFERROR(INDEX('TRANS'!$C:$C,MATCH($B721,'TRANS'!$A:$A,0)),IFERROR(INDEX('Catalog'!$B:$B,MATCH($G721,'Catalog'!$A:$A,0)),$B721))</f>
        <v>86U XL</v>
      </c>
      <c r="I721" s="7" t="str">
        <f aca="false">IF($G721="","Unmatched","Matched")</f>
        <v>Unmatched</v>
      </c>
      <c r="J721" s="7" t="str">
        <f aca="false">IF($G721&lt;&gt;"",$G721,$B721)</f>
        <v>86U XL</v>
      </c>
      <c r="K721" s="7" t="str">
        <f aca="false">IF(COUNTIF($O$2:$O$16,$A721)&gt;0,"Y","N")</f>
        <v>Y</v>
      </c>
    </row>
    <row r="722" customFormat="false" ht="15" hidden="false" customHeight="false" outlineLevel="0" collapsed="false">
      <c r="A722" s="7" t="s">
        <v>36</v>
      </c>
      <c r="B722" s="7" t="s">
        <v>137</v>
      </c>
      <c r="C722" s="8" t="n">
        <v>0</v>
      </c>
      <c r="D722" s="8" t="n">
        <v>0</v>
      </c>
      <c r="E722" s="8" t="n">
        <v>5</v>
      </c>
      <c r="F722" s="8" t="n">
        <v>487.46</v>
      </c>
      <c r="G722" s="7" t="str">
        <f aca="false">IFERROR(INDEX('TRANS'!$B:$B,MATCH($B722,'TRANS'!$A:$A,0)),IFERROR(INDEX('TRANS'!$B:$B,MATCH(TRIM(SUBSTITUTE($B722,CHAR(160)," ")),'TRANS'!$D:$D,0)),IFERROR(INDEX('Catalog'!$A:$A,MATCH($B722,'Catalog'!$B:$B,0)),IFERROR(INDEX('Catalog'!$A:$A,MATCH(TRIM(SUBSTITUTE($B722,CHAR(160)," ")),'Catalog'!$C:$C,0)),""))))</f>
        <v/>
      </c>
      <c r="H722" s="7" t="str">
        <f aca="false">IFERROR(INDEX('TRANS'!$C:$C,MATCH($B722,'TRANS'!$A:$A,0)),IFERROR(INDEX('Catalog'!$B:$B,MATCH($G722,'Catalog'!$A:$A,0)),$B722))</f>
        <v>86U XXL</v>
      </c>
      <c r="I722" s="7" t="str">
        <f aca="false">IF($G722="","Unmatched","Matched")</f>
        <v>Unmatched</v>
      </c>
      <c r="J722" s="7" t="str">
        <f aca="false">IF($G722&lt;&gt;"",$G722,$B722)</f>
        <v>86U XXL</v>
      </c>
      <c r="K722" s="7" t="str">
        <f aca="false">IF(COUNTIF($O$2:$O$16,$A722)&gt;0,"Y","N")</f>
        <v>Y</v>
      </c>
    </row>
    <row r="723" customFormat="false" ht="15" hidden="false" customHeight="false" outlineLevel="0" collapsed="false">
      <c r="A723" s="7" t="s">
        <v>36</v>
      </c>
      <c r="B723" s="7" t="s">
        <v>495</v>
      </c>
      <c r="C723" s="8" t="n">
        <v>100</v>
      </c>
      <c r="D723" s="8" t="n">
        <v>4071.36</v>
      </c>
      <c r="E723" s="8" t="n">
        <v>130</v>
      </c>
      <c r="F723" s="8" t="n">
        <v>4715.64</v>
      </c>
      <c r="G723" s="7" t="n">
        <f aca="false">IFERROR(INDEX('TRANS'!$B:$B,MATCH($B723,'TRANS'!$A:$A,0)),IFERROR(INDEX('TRANS'!$B:$B,MATCH(TRIM(SUBSTITUTE($B723,CHAR(160)," ")),'TRANS'!$D:$D,0)),IFERROR(INDEX('Catalog'!$A:$A,MATCH($B723,'Catalog'!$B:$B,0)),IFERROR(INDEX('Catalog'!$A:$A,MATCH(TRIM(SUBSTITUTE($B723,CHAR(160)," ")),'Catalog'!$C:$C,0)),""))))</f>
        <v>4408266</v>
      </c>
      <c r="H723" s="7" t="str">
        <f aca="false">IFERROR(INDEX('TRANS'!$C:$C,MATCH($B723,'TRANS'!$A:$A,0)),IFERROR(INDEX('Catalog'!$B:$B,MATCH($G723,'Catalog'!$A:$A,0)),$B723))</f>
        <v>91B חבק טניס אלבו</v>
      </c>
      <c r="I723" s="7" t="str">
        <f aca="false">IF($G723="","Unmatched","Matched")</f>
        <v>Matched</v>
      </c>
      <c r="J723" s="7" t="n">
        <f aca="false">IF($G723&lt;&gt;"",$G723,$B723)</f>
        <v>4408266</v>
      </c>
      <c r="K723" s="7" t="str">
        <f aca="false">IF(COUNTIF($O$2:$O$16,$A723)&gt;0,"Y","N")</f>
        <v>Y</v>
      </c>
    </row>
    <row r="724" customFormat="false" ht="15" hidden="false" customHeight="false" outlineLevel="0" collapsed="false">
      <c r="A724" s="7" t="s">
        <v>36</v>
      </c>
      <c r="B724" s="7" t="s">
        <v>363</v>
      </c>
      <c r="C724" s="8" t="n">
        <v>0</v>
      </c>
      <c r="D724" s="8" t="n">
        <v>0</v>
      </c>
      <c r="E724" s="8" t="n">
        <v>0</v>
      </c>
      <c r="F724" s="8" t="n">
        <v>0.03</v>
      </c>
      <c r="G724" s="7" t="n">
        <f aca="false">IFERROR(INDEX('TRANS'!$B:$B,MATCH($B724,'TRANS'!$A:$A,0)),IFERROR(INDEX('TRANS'!$B:$B,MATCH(TRIM(SUBSTITUTE($B724,CHAR(160)," ")),'TRANS'!$D:$D,0)),IFERROR(INDEX('Catalog'!$A:$A,MATCH($B724,'Catalog'!$B:$B,0)),IFERROR(INDEX('Catalog'!$A:$A,MATCH(TRIM(SUBSTITUTE($B724,CHAR(160)," ")),'Catalog'!$C:$C,0)),""))))</f>
        <v>4413500</v>
      </c>
      <c r="H724" s="7" t="str">
        <f aca="false">IFERROR(INDEX('TRANS'!$C:$C,MATCH($B724,'TRANS'!$A:$A,0)),IFERROR(INDEX('Catalog'!$B:$B,MATCH($G724,'Catalog'!$A:$A,0)),$B724))</f>
        <v>95B L מגן מרפק שחור</v>
      </c>
      <c r="I724" s="7" t="str">
        <f aca="false">IF($G724="","Unmatched","Matched")</f>
        <v>Matched</v>
      </c>
      <c r="J724" s="7" t="n">
        <f aca="false">IF($G724&lt;&gt;"",$G724,$B724)</f>
        <v>4413500</v>
      </c>
      <c r="K724" s="7" t="str">
        <f aca="false">IF(COUNTIF($O$2:$O$16,$A724)&gt;0,"Y","N")</f>
        <v>Y</v>
      </c>
    </row>
    <row r="725" customFormat="false" ht="15" hidden="false" customHeight="false" outlineLevel="0" collapsed="false">
      <c r="A725" s="7" t="s">
        <v>36</v>
      </c>
      <c r="B725" s="7" t="s">
        <v>371</v>
      </c>
      <c r="C725" s="8" t="n">
        <v>0</v>
      </c>
      <c r="D725" s="8" t="n">
        <v>0</v>
      </c>
      <c r="E725" s="8" t="n">
        <v>11</v>
      </c>
      <c r="F725" s="8" t="n">
        <v>161.27</v>
      </c>
      <c r="G725" s="7" t="n">
        <f aca="false">IFERROR(INDEX('TRANS'!$B:$B,MATCH($B725,'TRANS'!$A:$A,0)),IFERROR(INDEX('TRANS'!$B:$B,MATCH(TRIM(SUBSTITUTE($B725,CHAR(160)," ")),'TRANS'!$D:$D,0)),IFERROR(INDEX('Catalog'!$A:$A,MATCH($B725,'Catalog'!$B:$B,0)),IFERROR(INDEX('Catalog'!$A:$A,MATCH(TRIM(SUBSTITUTE($B725,CHAR(160)," ")),'Catalog'!$C:$C,0)),""))))</f>
        <v>4408207</v>
      </c>
      <c r="H725" s="7" t="str">
        <f aca="false">IFERROR(INDEX('TRANS'!$C:$C,MATCH($B725,'TRANS'!$A:$A,0)),IFERROR(INDEX('Catalog'!$B:$B,MATCH($G725,'Catalog'!$A:$A,0)),$B725))</f>
        <v>AC-25 חבק לשורש כף היד</v>
      </c>
      <c r="I725" s="7" t="str">
        <f aca="false">IF($G725="","Unmatched","Matched")</f>
        <v>Matched</v>
      </c>
      <c r="J725" s="7" t="n">
        <f aca="false">IF($G725&lt;&gt;"",$G725,$B725)</f>
        <v>4408207</v>
      </c>
      <c r="K725" s="7" t="str">
        <f aca="false">IF(COUNTIF($O$2:$O$16,$A725)&gt;0,"Y","N")</f>
        <v>Y</v>
      </c>
    </row>
    <row r="726" customFormat="false" ht="15" hidden="false" customHeight="false" outlineLevel="0" collapsed="false">
      <c r="A726" s="7" t="s">
        <v>36</v>
      </c>
      <c r="B726" s="7" t="s">
        <v>375</v>
      </c>
      <c r="C726" s="8" t="n">
        <v>36</v>
      </c>
      <c r="D726" s="8" t="n">
        <v>739.08</v>
      </c>
      <c r="E726" s="8" t="n">
        <v>46</v>
      </c>
      <c r="F726" s="8" t="n">
        <v>885.37</v>
      </c>
      <c r="G726" s="7" t="n">
        <f aca="false">IFERROR(INDEX('TRANS'!$B:$B,MATCH($B726,'TRANS'!$A:$A,0)),IFERROR(INDEX('TRANS'!$B:$B,MATCH(TRIM(SUBSTITUTE($B726,CHAR(160)," ")),'TRANS'!$D:$D,0)),IFERROR(INDEX('Catalog'!$A:$A,MATCH($B726,'Catalog'!$B:$B,0)),IFERROR(INDEX('Catalog'!$A:$A,MATCH(TRIM(SUBSTITUTE($B726,CHAR(160)," ")),'Catalog'!$C:$C,0)),""))))</f>
        <v>4413326</v>
      </c>
      <c r="H726" s="7" t="str">
        <f aca="false">IFERROR(INDEX('TRANS'!$C:$C,MATCH($B726,'TRANS'!$A:$A,0)),IFERROR(INDEX('Catalog'!$B:$B,MATCH($G726,'Catalog'!$A:$A,0)),$B726))</f>
        <v>AC37 מגן קרסול נושם</v>
      </c>
      <c r="I726" s="7" t="str">
        <f aca="false">IF($G726="","Unmatched","Matched")</f>
        <v>Matched</v>
      </c>
      <c r="J726" s="7" t="n">
        <f aca="false">IF($G726&lt;&gt;"",$G726,$B726)</f>
        <v>4413326</v>
      </c>
      <c r="K726" s="7" t="str">
        <f aca="false">IF(COUNTIF($O$2:$O$16,$A726)&gt;0,"Y","N")</f>
        <v>Y</v>
      </c>
    </row>
    <row r="727" customFormat="false" ht="15" hidden="false" customHeight="false" outlineLevel="0" collapsed="false">
      <c r="A727" s="7" t="s">
        <v>36</v>
      </c>
      <c r="B727" s="7" t="s">
        <v>376</v>
      </c>
      <c r="C727" s="8" t="n">
        <v>24</v>
      </c>
      <c r="D727" s="8" t="n">
        <v>1177.97</v>
      </c>
      <c r="E727" s="8" t="n">
        <v>117</v>
      </c>
      <c r="F727" s="8" t="n">
        <v>5965.53</v>
      </c>
      <c r="G727" s="7" t="n">
        <f aca="false">IFERROR(INDEX('TRANS'!$B:$B,MATCH($B727,'TRANS'!$A:$A,0)),IFERROR(INDEX('TRANS'!$B:$B,MATCH(TRIM(SUBSTITUTE($B727,CHAR(160)," ")),'TRANS'!$D:$D,0)),IFERROR(INDEX('Catalog'!$A:$A,MATCH($B727,'Catalog'!$B:$B,0)),IFERROR(INDEX('Catalog'!$A:$A,MATCH(TRIM(SUBSTITUTE($B727,CHAR(160)," ")),'Catalog'!$C:$C,0)),""))))</f>
        <v>4413328</v>
      </c>
      <c r="H727" s="7" t="str">
        <f aca="false">IFERROR(INDEX('TRANS'!$C:$C,MATCH($B727,'TRANS'!$A:$A,0)),IFERROR(INDEX('Catalog'!$B:$B,MATCH($G727,'Catalog'!$A:$A,0)),$B727))</f>
        <v>AC43D מגן ברך + צירים</v>
      </c>
      <c r="I727" s="7" t="str">
        <f aca="false">IF($G727="","Unmatched","Matched")</f>
        <v>Matched</v>
      </c>
      <c r="J727" s="7" t="n">
        <f aca="false">IF($G727&lt;&gt;"",$G727,$B727)</f>
        <v>4413328</v>
      </c>
      <c r="K727" s="7" t="str">
        <f aca="false">IF(COUNTIF($O$2:$O$16,$A727)&gt;0,"Y","N")</f>
        <v>Y</v>
      </c>
    </row>
    <row r="728" customFormat="false" ht="15" hidden="false" customHeight="false" outlineLevel="0" collapsed="false">
      <c r="A728" s="7" t="s">
        <v>36</v>
      </c>
      <c r="B728" s="7" t="s">
        <v>624</v>
      </c>
      <c r="C728" s="8" t="n">
        <v>0</v>
      </c>
      <c r="D728" s="8" t="n">
        <v>0</v>
      </c>
      <c r="E728" s="8" t="n">
        <v>1</v>
      </c>
      <c r="F728" s="8" t="n">
        <v>0.03</v>
      </c>
      <c r="G728" s="7" t="n">
        <f aca="false">IFERROR(INDEX('TRANS'!$B:$B,MATCH($B728,'TRANS'!$A:$A,0)),IFERROR(INDEX('TRANS'!$B:$B,MATCH(TRIM(SUBSTITUTE($B728,CHAR(160)," ")),'TRANS'!$D:$D,0)),IFERROR(INDEX('Catalog'!$A:$A,MATCH($B728,'Catalog'!$B:$B,0)),IFERROR(INDEX('Catalog'!$A:$A,MATCH(TRIM(SUBSTITUTE($B728,CHAR(160)," ")),'Catalog'!$C:$C,0)),""))))</f>
        <v>4413407</v>
      </c>
      <c r="H728" s="7" t="str">
        <f aca="false">IFERROR(INDEX('TRANS'!$C:$C,MATCH($B728,'TRANS'!$A:$A,0)),IFERROR(INDEX('Catalog'!$B:$B,MATCH($G728,'Catalog'!$A:$A,0)),$B728))</f>
        <v>SC95 L מגן מרפק</v>
      </c>
      <c r="I728" s="7" t="str">
        <f aca="false">IF($G728="","Unmatched","Matched")</f>
        <v>Matched</v>
      </c>
      <c r="J728" s="7" t="n">
        <f aca="false">IF($G728&lt;&gt;"",$G728,$B728)</f>
        <v>4413407</v>
      </c>
      <c r="K728" s="7" t="str">
        <f aca="false">IF(COUNTIF($O$2:$O$16,$A728)&gt;0,"Y","N")</f>
        <v>Y</v>
      </c>
    </row>
    <row r="729" customFormat="false" ht="15" hidden="false" customHeight="false" outlineLevel="0" collapsed="false">
      <c r="A729" s="7" t="s">
        <v>36</v>
      </c>
      <c r="B729" s="7" t="s">
        <v>507</v>
      </c>
      <c r="C729" s="8" t="n">
        <v>1</v>
      </c>
      <c r="D729" s="8" t="n">
        <v>0.03</v>
      </c>
      <c r="E729" s="8" t="n">
        <v>0</v>
      </c>
      <c r="F729" s="8" t="n">
        <v>0</v>
      </c>
      <c r="G729" s="7" t="n">
        <f aca="false">IFERROR(INDEX('TRANS'!$B:$B,MATCH($B729,'TRANS'!$A:$A,0)),IFERROR(INDEX('TRANS'!$B:$B,MATCH(TRIM(SUBSTITUTE($B729,CHAR(160)," ")),'TRANS'!$D:$D,0)),IFERROR(INDEX('Catalog'!$A:$A,MATCH($B729,'Catalog'!$B:$B,0)),IFERROR(INDEX('Catalog'!$A:$A,MATCH(TRIM(SUBSTITUTE($B729,CHAR(160)," ")),'Catalog'!$C:$C,0)),""))))</f>
        <v>4413534</v>
      </c>
      <c r="H729" s="7" t="str">
        <f aca="false">IFERROR(INDEX('TRANS'!$C:$C,MATCH($B729,'TRANS'!$A:$A,0)),IFERROR(INDEX('Catalog'!$B:$B,MATCH($G729,'Catalog'!$A:$A,0)),$B729))</f>
        <v>SH333 מקבע קרסול</v>
      </c>
      <c r="I729" s="7" t="str">
        <f aca="false">IF($G729="","Unmatched","Matched")</f>
        <v>Matched</v>
      </c>
      <c r="J729" s="7" t="n">
        <f aca="false">IF($G729&lt;&gt;"",$G729,$B729)</f>
        <v>4413534</v>
      </c>
      <c r="K729" s="7" t="str">
        <f aca="false">IF(COUNTIF($O$2:$O$16,$A729)&gt;0,"Y","N")</f>
        <v>Y</v>
      </c>
    </row>
    <row r="730" customFormat="false" ht="15" hidden="false" customHeight="false" outlineLevel="0" collapsed="false">
      <c r="A730" s="7" t="s">
        <v>36</v>
      </c>
      <c r="B730" s="7" t="s">
        <v>508</v>
      </c>
      <c r="C730" s="8" t="n">
        <v>3</v>
      </c>
      <c r="D730" s="8" t="n">
        <v>262.35</v>
      </c>
      <c r="E730" s="8" t="n">
        <v>2</v>
      </c>
      <c r="F730" s="8" t="n">
        <v>163.86</v>
      </c>
      <c r="G730" s="7" t="n">
        <f aca="false">IFERROR(INDEX('TRANS'!$B:$B,MATCH($B730,'TRANS'!$A:$A,0)),IFERROR(INDEX('TRANS'!$B:$B,MATCH(TRIM(SUBSTITUTE($B730,CHAR(160)," ")),'TRANS'!$D:$D,0)),IFERROR(INDEX('Catalog'!$A:$A,MATCH($B730,'Catalog'!$B:$B,0)),IFERROR(INDEX('Catalog'!$A:$A,MATCH(TRIM(SUBSTITUTE($B730,CHAR(160)," ")),'Catalog'!$C:$C,0)),""))))</f>
        <v>4422037</v>
      </c>
      <c r="H730" s="7" t="str">
        <f aca="false">IFERROR(INDEX('TRANS'!$C:$C,MATCH($B730,'TRANS'!$A:$A,0)),IFERROR(INDEX('Catalog'!$B:$B,MATCH($G730,'Catalog'!$A:$A,0)),$B730))</f>
        <v>SH422 1 תומך ברך גנושילד</v>
      </c>
      <c r="I730" s="7" t="str">
        <f aca="false">IF($G730="","Unmatched","Matched")</f>
        <v>Matched</v>
      </c>
      <c r="J730" s="7" t="n">
        <f aca="false">IF($G730&lt;&gt;"",$G730,$B730)</f>
        <v>4422037</v>
      </c>
      <c r="K730" s="7" t="str">
        <f aca="false">IF(COUNTIF($O$2:$O$16,$A730)&gt;0,"Y","N")</f>
        <v>Y</v>
      </c>
    </row>
    <row r="731" customFormat="false" ht="15" hidden="false" customHeight="false" outlineLevel="0" collapsed="false">
      <c r="A731" s="7" t="s">
        <v>36</v>
      </c>
      <c r="B731" s="7" t="s">
        <v>509</v>
      </c>
      <c r="C731" s="8" t="n">
        <v>5</v>
      </c>
      <c r="D731" s="8" t="n">
        <v>437.24</v>
      </c>
      <c r="E731" s="8" t="n">
        <v>15</v>
      </c>
      <c r="F731" s="8" t="n">
        <v>1234.68</v>
      </c>
      <c r="G731" s="7" t="n">
        <f aca="false">IFERROR(INDEX('TRANS'!$B:$B,MATCH($B731,'TRANS'!$A:$A,0)),IFERROR(INDEX('TRANS'!$B:$B,MATCH(TRIM(SUBSTITUTE($B731,CHAR(160)," ")),'TRANS'!$D:$D,0)),IFERROR(INDEX('Catalog'!$A:$A,MATCH($B731,'Catalog'!$B:$B,0)),IFERROR(INDEX('Catalog'!$A:$A,MATCH(TRIM(SUBSTITUTE($B731,CHAR(160)," ")),'Catalog'!$C:$C,0)),""))))</f>
        <v>4422038</v>
      </c>
      <c r="H731" s="7" t="str">
        <f aca="false">IFERROR(INDEX('TRANS'!$C:$C,MATCH($B731,'TRANS'!$A:$A,0)),IFERROR(INDEX('Catalog'!$B:$B,MATCH($G731,'Catalog'!$A:$A,0)),$B731))</f>
        <v>SH422 2 תומך ברך גנושילד</v>
      </c>
      <c r="I731" s="7" t="str">
        <f aca="false">IF($G731="","Unmatched","Matched")</f>
        <v>Matched</v>
      </c>
      <c r="J731" s="7" t="n">
        <f aca="false">IF($G731&lt;&gt;"",$G731,$B731)</f>
        <v>4422038</v>
      </c>
      <c r="K731" s="7" t="str">
        <f aca="false">IF(COUNTIF($O$2:$O$16,$A731)&gt;0,"Y","N")</f>
        <v>Y</v>
      </c>
    </row>
    <row r="732" customFormat="false" ht="15" hidden="false" customHeight="false" outlineLevel="0" collapsed="false">
      <c r="A732" s="7" t="s">
        <v>36</v>
      </c>
      <c r="B732" s="7" t="s">
        <v>510</v>
      </c>
      <c r="C732" s="8" t="n">
        <v>7</v>
      </c>
      <c r="D732" s="8" t="n">
        <v>524.72</v>
      </c>
      <c r="E732" s="8" t="n">
        <v>20</v>
      </c>
      <c r="F732" s="8" t="n">
        <v>1609.88</v>
      </c>
      <c r="G732" s="7" t="n">
        <f aca="false">IFERROR(INDEX('TRANS'!$B:$B,MATCH($B732,'TRANS'!$A:$A,0)),IFERROR(INDEX('TRANS'!$B:$B,MATCH(TRIM(SUBSTITUTE($B732,CHAR(160)," ")),'TRANS'!$D:$D,0)),IFERROR(INDEX('Catalog'!$A:$A,MATCH($B732,'Catalog'!$B:$B,0)),IFERROR(INDEX('Catalog'!$A:$A,MATCH(TRIM(SUBSTITUTE($B732,CHAR(160)," ")),'Catalog'!$C:$C,0)),""))))</f>
        <v>4422039</v>
      </c>
      <c r="H732" s="7" t="str">
        <f aca="false">IFERROR(INDEX('TRANS'!$C:$C,MATCH($B732,'TRANS'!$A:$A,0)),IFERROR(INDEX('Catalog'!$B:$B,MATCH($G732,'Catalog'!$A:$A,0)),$B732))</f>
        <v>SH422 3 תומך ברך גנושילד</v>
      </c>
      <c r="I732" s="7" t="str">
        <f aca="false">IF($G732="","Unmatched","Matched")</f>
        <v>Matched</v>
      </c>
      <c r="J732" s="7" t="n">
        <f aca="false">IF($G732&lt;&gt;"",$G732,$B732)</f>
        <v>4422039</v>
      </c>
      <c r="K732" s="7" t="str">
        <f aca="false">IF(COUNTIF($O$2:$O$16,$A732)&gt;0,"Y","N")</f>
        <v>Y</v>
      </c>
    </row>
    <row r="733" customFormat="false" ht="15" hidden="false" customHeight="false" outlineLevel="0" collapsed="false">
      <c r="A733" s="7" t="s">
        <v>36</v>
      </c>
      <c r="B733" s="7" t="s">
        <v>511</v>
      </c>
      <c r="C733" s="8" t="n">
        <v>6</v>
      </c>
      <c r="D733" s="8" t="n">
        <v>524.69</v>
      </c>
      <c r="E733" s="8" t="n">
        <v>30</v>
      </c>
      <c r="F733" s="8" t="n">
        <v>2429.16</v>
      </c>
      <c r="G733" s="7" t="n">
        <f aca="false">IFERROR(INDEX('TRANS'!$B:$B,MATCH($B733,'TRANS'!$A:$A,0)),IFERROR(INDEX('TRANS'!$B:$B,MATCH(TRIM(SUBSTITUTE($B733,CHAR(160)," ")),'TRANS'!$D:$D,0)),IFERROR(INDEX('Catalog'!$A:$A,MATCH($B733,'Catalog'!$B:$B,0)),IFERROR(INDEX('Catalog'!$A:$A,MATCH(TRIM(SUBSTITUTE($B733,CHAR(160)," ")),'Catalog'!$C:$C,0)),""))))</f>
        <v>4422040</v>
      </c>
      <c r="H733" s="7" t="str">
        <f aca="false">IFERROR(INDEX('TRANS'!$C:$C,MATCH($B733,'TRANS'!$A:$A,0)),IFERROR(INDEX('Catalog'!$B:$B,MATCH($G733,'Catalog'!$A:$A,0)),$B733))</f>
        <v>SH422 4 תומך ברך גנושילד</v>
      </c>
      <c r="I733" s="7" t="str">
        <f aca="false">IF($G733="","Unmatched","Matched")</f>
        <v>Matched</v>
      </c>
      <c r="J733" s="7" t="n">
        <f aca="false">IF($G733&lt;&gt;"",$G733,$B733)</f>
        <v>4422040</v>
      </c>
      <c r="K733" s="7" t="str">
        <f aca="false">IF(COUNTIF($O$2:$O$16,$A733)&gt;0,"Y","N")</f>
        <v>Y</v>
      </c>
    </row>
    <row r="734" customFormat="false" ht="15" hidden="false" customHeight="false" outlineLevel="0" collapsed="false">
      <c r="A734" s="7" t="s">
        <v>36</v>
      </c>
      <c r="B734" s="7" t="s">
        <v>512</v>
      </c>
      <c r="C734" s="8" t="n">
        <v>5</v>
      </c>
      <c r="D734" s="8" t="n">
        <v>437.24</v>
      </c>
      <c r="E734" s="8" t="n">
        <v>25</v>
      </c>
      <c r="F734" s="8" t="n">
        <v>2059.71</v>
      </c>
      <c r="G734" s="7" t="n">
        <f aca="false">IFERROR(INDEX('TRANS'!$B:$B,MATCH($B734,'TRANS'!$A:$A,0)),IFERROR(INDEX('TRANS'!$B:$B,MATCH(TRIM(SUBSTITUTE($B734,CHAR(160)," ")),'TRANS'!$D:$D,0)),IFERROR(INDEX('Catalog'!$A:$A,MATCH($B734,'Catalog'!$B:$B,0)),IFERROR(INDEX('Catalog'!$A:$A,MATCH(TRIM(SUBSTITUTE($B734,CHAR(160)," ")),'Catalog'!$C:$C,0)),""))))</f>
        <v>4422041</v>
      </c>
      <c r="H734" s="7" t="str">
        <f aca="false">IFERROR(INDEX('TRANS'!$C:$C,MATCH($B734,'TRANS'!$A:$A,0)),IFERROR(INDEX('Catalog'!$B:$B,MATCH($G734,'Catalog'!$A:$A,0)),$B734))</f>
        <v>SH422 5 תומך ברך גנושילד</v>
      </c>
      <c r="I734" s="7" t="str">
        <f aca="false">IF($G734="","Unmatched","Matched")</f>
        <v>Matched</v>
      </c>
      <c r="J734" s="7" t="n">
        <f aca="false">IF($G734&lt;&gt;"",$G734,$B734)</f>
        <v>4422041</v>
      </c>
      <c r="K734" s="7" t="str">
        <f aca="false">IF(COUNTIF($O$2:$O$16,$A734)&gt;0,"Y","N")</f>
        <v>Y</v>
      </c>
    </row>
    <row r="735" customFormat="false" ht="15" hidden="false" customHeight="false" outlineLevel="0" collapsed="false">
      <c r="A735" s="7" t="s">
        <v>36</v>
      </c>
      <c r="B735" s="7" t="s">
        <v>625</v>
      </c>
      <c r="C735" s="8" t="n">
        <v>5</v>
      </c>
      <c r="D735" s="8" t="n">
        <v>437.24</v>
      </c>
      <c r="E735" s="8" t="n">
        <v>30</v>
      </c>
      <c r="F735" s="8" t="n">
        <v>2335.09</v>
      </c>
      <c r="G735" s="7" t="n">
        <f aca="false">IFERROR(INDEX('TRANS'!$B:$B,MATCH($B735,'TRANS'!$A:$A,0)),IFERROR(INDEX('TRANS'!$B:$B,MATCH(TRIM(SUBSTITUTE($B735,CHAR(160)," ")),'TRANS'!$D:$D,0)),IFERROR(INDEX('Catalog'!$A:$A,MATCH($B735,'Catalog'!$B:$B,0)),IFERROR(INDEX('Catalog'!$A:$A,MATCH(TRIM(SUBSTITUTE($B735,CHAR(160)," ")),'Catalog'!$C:$C,0)),""))))</f>
        <v>4422042</v>
      </c>
      <c r="H735" s="7" t="str">
        <f aca="false">IFERROR(INDEX('TRANS'!$C:$C,MATCH($B735,'TRANS'!$A:$A,0)),IFERROR(INDEX('Catalog'!$B:$B,MATCH($G735,'Catalog'!$A:$A,0)),$B735))</f>
        <v>SH422 6 תומך ברך גנושילד</v>
      </c>
      <c r="I735" s="7" t="str">
        <f aca="false">IF($G735="","Unmatched","Matched")</f>
        <v>Matched</v>
      </c>
      <c r="J735" s="7" t="n">
        <f aca="false">IF($G735&lt;&gt;"",$G735,$B735)</f>
        <v>4422042</v>
      </c>
      <c r="K735" s="7" t="str">
        <f aca="false">IF(COUNTIF($O$2:$O$16,$A735)&gt;0,"Y","N")</f>
        <v>Y</v>
      </c>
    </row>
    <row r="736" customFormat="false" ht="15" hidden="false" customHeight="false" outlineLevel="0" collapsed="false">
      <c r="A736" s="7" t="s">
        <v>36</v>
      </c>
      <c r="B736" s="7" t="s">
        <v>626</v>
      </c>
      <c r="C736" s="8" t="n">
        <v>96</v>
      </c>
      <c r="D736" s="8" t="n">
        <v>1016.86</v>
      </c>
      <c r="E736" s="8" t="n">
        <v>171</v>
      </c>
      <c r="F736" s="8" t="n">
        <v>1727.62</v>
      </c>
      <c r="G736" s="7" t="n">
        <f aca="false">IFERROR(INDEX('TRANS'!$B:$B,MATCH($B736,'TRANS'!$A:$A,0)),IFERROR(INDEX('TRANS'!$B:$B,MATCH(TRIM(SUBSTITUTE($B736,CHAR(160)," ")),'TRANS'!$D:$D,0)),IFERROR(INDEX('Catalog'!$A:$A,MATCH($B736,'Catalog'!$B:$B,0)),IFERROR(INDEX('Catalog'!$A:$A,MATCH(TRIM(SUBSTITUTE($B736,CHAR(160)," ")),'Catalog'!$C:$C,0)),""))))</f>
        <v>4408268</v>
      </c>
      <c r="H736" s="7" t="str">
        <f aca="false">IFERROR(INDEX('TRANS'!$C:$C,MATCH($B736,'TRANS'!$A:$A,0)),IFERROR(INDEX('Catalog'!$B:$B,MATCH($G736,'Catalog'!$A:$A,0)),$B736))</f>
        <v>ST20 חבק יד</v>
      </c>
      <c r="I736" s="7" t="str">
        <f aca="false">IF($G736="","Unmatched","Matched")</f>
        <v>Matched</v>
      </c>
      <c r="J736" s="7" t="n">
        <f aca="false">IF($G736&lt;&gt;"",$G736,$B736)</f>
        <v>4408268</v>
      </c>
      <c r="K736" s="7" t="str">
        <f aca="false">IF(COUNTIF($O$2:$O$16,$A736)&gt;0,"Y","N")</f>
        <v>Y</v>
      </c>
    </row>
    <row r="737" customFormat="false" ht="15" hidden="false" customHeight="false" outlineLevel="0" collapsed="false">
      <c r="A737" s="7" t="s">
        <v>36</v>
      </c>
      <c r="B737" s="7" t="s">
        <v>514</v>
      </c>
      <c r="C737" s="8" t="n">
        <v>216</v>
      </c>
      <c r="D737" s="8" t="n">
        <v>2892</v>
      </c>
      <c r="E737" s="8" t="n">
        <v>143</v>
      </c>
      <c r="F737" s="8" t="n">
        <v>1850.23</v>
      </c>
      <c r="G737" s="7" t="n">
        <f aca="false">IFERROR(INDEX('TRANS'!$B:$B,MATCH($B737,'TRANS'!$A:$A,0)),IFERROR(INDEX('TRANS'!$B:$B,MATCH(TRIM(SUBSTITUTE($B737,CHAR(160)," ")),'TRANS'!$D:$D,0)),IFERROR(INDEX('Catalog'!$A:$A,MATCH($B737,'Catalog'!$B:$B,0)),IFERROR(INDEX('Catalog'!$A:$A,MATCH(TRIM(SUBSTITUTE($B737,CHAR(160)," ")),'Catalog'!$C:$C,0)),""))))</f>
        <v>4408267</v>
      </c>
      <c r="H737" s="7" t="str">
        <f aca="false">IFERROR(INDEX('TRANS'!$C:$C,MATCH($B737,'TRANS'!$A:$A,0)),IFERROR(INDEX('Catalog'!$B:$B,MATCH($G737,'Catalog'!$A:$A,0)),$B737))</f>
        <v>ST25 חבק שורש לכף היד</v>
      </c>
      <c r="I737" s="7" t="str">
        <f aca="false">IF($G737="","Unmatched","Matched")</f>
        <v>Matched</v>
      </c>
      <c r="J737" s="7" t="n">
        <f aca="false">IF($G737&lt;&gt;"",$G737,$B737)</f>
        <v>4408267</v>
      </c>
      <c r="K737" s="7" t="str">
        <f aca="false">IF(COUNTIF($O$2:$O$16,$A737)&gt;0,"Y","N")</f>
        <v>Y</v>
      </c>
    </row>
    <row r="738" customFormat="false" ht="15" hidden="false" customHeight="false" outlineLevel="0" collapsed="false">
      <c r="A738" s="7" t="s">
        <v>36</v>
      </c>
      <c r="B738" s="7" t="s">
        <v>77</v>
      </c>
      <c r="C738" s="8" t="n">
        <v>24</v>
      </c>
      <c r="D738" s="8" t="n">
        <v>383.88</v>
      </c>
      <c r="E738" s="8" t="n">
        <v>0</v>
      </c>
      <c r="F738" s="8" t="n">
        <v>0</v>
      </c>
      <c r="G738" s="7" t="str">
        <f aca="false">IFERROR(INDEX('TRANS'!$B:$B,MATCH($B738,'TRANS'!$A:$A,0)),IFERROR(INDEX('TRANS'!$B:$B,MATCH(TRIM(SUBSTITUTE($B738,CHAR(160)," ")),'TRANS'!$D:$D,0)),IFERROR(INDEX('Catalog'!$A:$A,MATCH($B738,'Catalog'!$B:$B,0)),IFERROR(INDEX('Catalog'!$A:$A,MATCH(TRIM(SUBSTITUTE($B738,CHAR(160)," ")),'Catalog'!$C:$C,0)),""))))</f>
        <v/>
      </c>
      <c r="H738" s="7" t="str">
        <f aca="false">IFERROR(INDEX('TRANS'!$C:$C,MATCH($B738,'TRANS'!$A:$A,0)),IFERROR(INDEX('Catalog'!$B:$B,MATCH($G738,'Catalog'!$A:$A,0)),$B738))</f>
        <v>ST27L 0</v>
      </c>
      <c r="I738" s="7" t="str">
        <f aca="false">IF($G738="","Unmatched","Matched")</f>
        <v>Unmatched</v>
      </c>
      <c r="J738" s="7" t="str">
        <f aca="false">IF($G738&lt;&gt;"",$G738,$B738)</f>
        <v>ST27L 0</v>
      </c>
      <c r="K738" s="7" t="str">
        <f aca="false">IF(COUNTIF($O$2:$O$16,$A738)&gt;0,"Y","N")</f>
        <v>Y</v>
      </c>
    </row>
    <row r="739" customFormat="false" ht="15" hidden="false" customHeight="false" outlineLevel="0" collapsed="false">
      <c r="A739" s="7" t="s">
        <v>36</v>
      </c>
      <c r="B739" s="7" t="s">
        <v>75</v>
      </c>
      <c r="C739" s="8" t="n">
        <v>24</v>
      </c>
      <c r="D739" s="8" t="n">
        <v>383.88</v>
      </c>
      <c r="E739" s="8" t="n">
        <v>0</v>
      </c>
      <c r="F739" s="8" t="n">
        <v>0</v>
      </c>
      <c r="G739" s="7" t="str">
        <f aca="false">IFERROR(INDEX('TRANS'!$B:$B,MATCH($B739,'TRANS'!$A:$A,0)),IFERROR(INDEX('TRANS'!$B:$B,MATCH(TRIM(SUBSTITUTE($B739,CHAR(160)," ")),'TRANS'!$D:$D,0)),IFERROR(INDEX('Catalog'!$A:$A,MATCH($B739,'Catalog'!$B:$B,0)),IFERROR(INDEX('Catalog'!$A:$A,MATCH(TRIM(SUBSTITUTE($B739,CHAR(160)," ")),'Catalog'!$C:$C,0)),""))))</f>
        <v/>
      </c>
      <c r="H739" s="7" t="str">
        <f aca="false">IFERROR(INDEX('TRANS'!$C:$C,MATCH($B739,'TRANS'!$A:$A,0)),IFERROR(INDEX('Catalog'!$B:$B,MATCH($G739,'Catalog'!$A:$A,0)),$B739))</f>
        <v>ST27R 0</v>
      </c>
      <c r="I739" s="7" t="str">
        <f aca="false">IF($G739="","Unmatched","Matched")</f>
        <v>Unmatched</v>
      </c>
      <c r="J739" s="7" t="str">
        <f aca="false">IF($G739&lt;&gt;"",$G739,$B739)</f>
        <v>ST27R 0</v>
      </c>
      <c r="K739" s="7" t="str">
        <f aca="false">IF(COUNTIF($O$2:$O$16,$A739)&gt;0,"Y","N")</f>
        <v>Y</v>
      </c>
    </row>
    <row r="740" customFormat="false" ht="15" hidden="false" customHeight="false" outlineLevel="0" collapsed="false">
      <c r="A740" s="7" t="s">
        <v>36</v>
      </c>
      <c r="B740" s="7" t="s">
        <v>515</v>
      </c>
      <c r="C740" s="8" t="n">
        <v>0</v>
      </c>
      <c r="D740" s="8" t="n">
        <v>0</v>
      </c>
      <c r="E740" s="8" t="n">
        <v>11</v>
      </c>
      <c r="F740" s="8" t="n">
        <v>167.25</v>
      </c>
      <c r="G740" s="7" t="n">
        <f aca="false">IFERROR(INDEX('TRANS'!$B:$B,MATCH($B740,'TRANS'!$A:$A,0)),IFERROR(INDEX('TRANS'!$B:$B,MATCH(TRIM(SUBSTITUTE($B740,CHAR(160)," ")),'TRANS'!$D:$D,0)),IFERROR(INDEX('Catalog'!$A:$A,MATCH($B740,'Catalog'!$B:$B,0)),IFERROR(INDEX('Catalog'!$A:$A,MATCH(TRIM(SUBSTITUTE($B740,CHAR(160)," ")),'Catalog'!$C:$C,0)),""))))</f>
        <v>4415177</v>
      </c>
      <c r="H740" s="7" t="str">
        <f aca="false">IFERROR(INDEX('TRANS'!$C:$C,MATCH($B740,'TRANS'!$A:$A,0)),IFERROR(INDEX('Catalog'!$B:$B,MATCH($G740,'Catalog'!$A:$A,0)),$B740))</f>
        <v>ST28 סד אגודלי עם מוט תמיכה</v>
      </c>
      <c r="I740" s="7" t="str">
        <f aca="false">IF($G740="","Unmatched","Matched")</f>
        <v>Matched</v>
      </c>
      <c r="J740" s="7" t="n">
        <f aca="false">IF($G740&lt;&gt;"",$G740,$B740)</f>
        <v>4415177</v>
      </c>
      <c r="K740" s="7" t="str">
        <f aca="false">IF(COUNTIF($O$2:$O$16,$A740)&gt;0,"Y","N")</f>
        <v>Y</v>
      </c>
    </row>
    <row r="741" customFormat="false" ht="15" hidden="false" customHeight="false" outlineLevel="0" collapsed="false">
      <c r="A741" s="7" t="s">
        <v>36</v>
      </c>
      <c r="B741" s="7" t="s">
        <v>390</v>
      </c>
      <c r="C741" s="8" t="n">
        <v>72</v>
      </c>
      <c r="D741" s="8" t="n">
        <v>1312.77</v>
      </c>
      <c r="E741" s="8" t="n">
        <v>139</v>
      </c>
      <c r="F741" s="8" t="n">
        <v>2400</v>
      </c>
      <c r="G741" s="7" t="n">
        <f aca="false">IFERROR(INDEX('TRANS'!$B:$B,MATCH($B741,'TRANS'!$A:$A,0)),IFERROR(INDEX('TRANS'!$B:$B,MATCH(TRIM(SUBSTITUTE($B741,CHAR(160)," ")),'TRANS'!$D:$D,0)),IFERROR(INDEX('Catalog'!$A:$A,MATCH($B741,'Catalog'!$B:$B,0)),IFERROR(INDEX('Catalog'!$A:$A,MATCH(TRIM(SUBSTITUTE($B741,CHAR(160)," ")),'Catalog'!$C:$C,0)),""))))</f>
        <v>4408098</v>
      </c>
      <c r="H741" s="7" t="str">
        <f aca="false">IFERROR(INDEX('TRANS'!$C:$C,MATCH($B741,'TRANS'!$A:$A,0)),IFERROR(INDEX('Catalog'!$B:$B,MATCH($G741,'Catalog'!$A:$A,0)),$B741))</f>
        <v>T25-חבק יד אגודלי</v>
      </c>
      <c r="I741" s="7" t="str">
        <f aca="false">IF($G741="","Unmatched","Matched")</f>
        <v>Matched</v>
      </c>
      <c r="J741" s="7" t="n">
        <f aca="false">IF($G741&lt;&gt;"",$G741,$B741)</f>
        <v>4408098</v>
      </c>
      <c r="K741" s="7" t="str">
        <f aca="false">IF(COUNTIF($O$2:$O$16,$A741)&gt;0,"Y","N")</f>
        <v>Y</v>
      </c>
    </row>
    <row r="742" customFormat="false" ht="15" hidden="false" customHeight="false" outlineLevel="0" collapsed="false">
      <c r="A742" s="7" t="s">
        <v>36</v>
      </c>
      <c r="B742" s="7" t="s">
        <v>86</v>
      </c>
      <c r="C742" s="8" t="n">
        <v>264</v>
      </c>
      <c r="D742" s="8" t="n">
        <v>31736.14</v>
      </c>
      <c r="E742" s="8" t="n">
        <v>115</v>
      </c>
      <c r="F742" s="8" t="n">
        <v>12910.86</v>
      </c>
      <c r="G742" s="7" t="str">
        <f aca="false">IFERROR(INDEX('TRANS'!$B:$B,MATCH($B742,'TRANS'!$A:$A,0)),IFERROR(INDEX('TRANS'!$B:$B,MATCH(TRIM(SUBSTITUTE($B742,CHAR(160)," ")),'TRANS'!$D:$D,0)),IFERROR(INDEX('Catalog'!$A:$A,MATCH($B742,'Catalog'!$B:$B,0)),IFERROR(INDEX('Catalog'!$A:$A,MATCH(TRIM(SUBSTITUTE($B742,CHAR(160)," ")),'Catalog'!$C:$C,0)),""))))</f>
        <v/>
      </c>
      <c r="H742" s="7" t="str">
        <f aca="false">IFERROR(INDEX('TRANS'!$C:$C,MATCH($B742,'TRANS'!$A:$A,0)),IFERROR(INDEX('Catalog'!$B:$B,MATCH($G742,'Catalog'!$A:$A,0)),$B742))</f>
        <v>T43V L</v>
      </c>
      <c r="I742" s="7" t="str">
        <f aca="false">IF($G742="","Unmatched","Matched")</f>
        <v>Unmatched</v>
      </c>
      <c r="J742" s="7" t="str">
        <f aca="false">IF($G742&lt;&gt;"",$G742,$B742)</f>
        <v>T43V L</v>
      </c>
      <c r="K742" s="7" t="str">
        <f aca="false">IF(COUNTIF($O$2:$O$16,$A742)&gt;0,"Y","N")</f>
        <v>Y</v>
      </c>
    </row>
    <row r="743" customFormat="false" ht="15" hidden="false" customHeight="false" outlineLevel="0" collapsed="false">
      <c r="A743" s="7" t="s">
        <v>36</v>
      </c>
      <c r="B743" s="7" t="s">
        <v>97</v>
      </c>
      <c r="C743" s="8" t="n">
        <v>252</v>
      </c>
      <c r="D743" s="8" t="n">
        <v>29952.79</v>
      </c>
      <c r="E743" s="8" t="n">
        <v>55</v>
      </c>
      <c r="F743" s="8" t="n">
        <v>6419.73</v>
      </c>
      <c r="G743" s="7" t="str">
        <f aca="false">IFERROR(INDEX('TRANS'!$B:$B,MATCH($B743,'TRANS'!$A:$A,0)),IFERROR(INDEX('TRANS'!$B:$B,MATCH(TRIM(SUBSTITUTE($B743,CHAR(160)," ")),'TRANS'!$D:$D,0)),IFERROR(INDEX('Catalog'!$A:$A,MATCH($B743,'Catalog'!$B:$B,0)),IFERROR(INDEX('Catalog'!$A:$A,MATCH(TRIM(SUBSTITUTE($B743,CHAR(160)," ")),'Catalog'!$C:$C,0)),""))))</f>
        <v/>
      </c>
      <c r="H743" s="7" t="str">
        <f aca="false">IFERROR(INDEX('TRANS'!$C:$C,MATCH($B743,'TRANS'!$A:$A,0)),IFERROR(INDEX('Catalog'!$B:$B,MATCH($G743,'Catalog'!$A:$A,0)),$B743))</f>
        <v>T43V M</v>
      </c>
      <c r="I743" s="7" t="str">
        <f aca="false">IF($G743="","Unmatched","Matched")</f>
        <v>Unmatched</v>
      </c>
      <c r="J743" s="7" t="str">
        <f aca="false">IF($G743&lt;&gt;"",$G743,$B743)</f>
        <v>T43V M</v>
      </c>
      <c r="K743" s="7" t="str">
        <f aca="false">IF(COUNTIF($O$2:$O$16,$A743)&gt;0,"Y","N")</f>
        <v>Y</v>
      </c>
    </row>
    <row r="744" customFormat="false" ht="15" hidden="false" customHeight="false" outlineLevel="0" collapsed="false">
      <c r="A744" s="7" t="s">
        <v>36</v>
      </c>
      <c r="B744" s="7" t="s">
        <v>108</v>
      </c>
      <c r="C744" s="8" t="n">
        <v>96</v>
      </c>
      <c r="D744" s="8" t="n">
        <v>11266.98</v>
      </c>
      <c r="E744" s="8" t="n">
        <v>22</v>
      </c>
      <c r="F744" s="8" t="n">
        <v>2508.3</v>
      </c>
      <c r="G744" s="7" t="str">
        <f aca="false">IFERROR(INDEX('TRANS'!$B:$B,MATCH($B744,'TRANS'!$A:$A,0)),IFERROR(INDEX('TRANS'!$B:$B,MATCH(TRIM(SUBSTITUTE($B744,CHAR(160)," ")),'TRANS'!$D:$D,0)),IFERROR(INDEX('Catalog'!$A:$A,MATCH($B744,'Catalog'!$B:$B,0)),IFERROR(INDEX('Catalog'!$A:$A,MATCH(TRIM(SUBSTITUTE($B744,CHAR(160)," ")),'Catalog'!$C:$C,0)),""))))</f>
        <v/>
      </c>
      <c r="H744" s="7" t="str">
        <f aca="false">IFERROR(INDEX('TRANS'!$C:$C,MATCH($B744,'TRANS'!$A:$A,0)),IFERROR(INDEX('Catalog'!$B:$B,MATCH($G744,'Catalog'!$A:$A,0)),$B744))</f>
        <v>T43V S</v>
      </c>
      <c r="I744" s="7" t="str">
        <f aca="false">IF($G744="","Unmatched","Matched")</f>
        <v>Unmatched</v>
      </c>
      <c r="J744" s="7" t="str">
        <f aca="false">IF($G744&lt;&gt;"",$G744,$B744)</f>
        <v>T43V S</v>
      </c>
      <c r="K744" s="7" t="str">
        <f aca="false">IF(COUNTIF($O$2:$O$16,$A744)&gt;0,"Y","N")</f>
        <v>Y</v>
      </c>
    </row>
    <row r="745" customFormat="false" ht="15" hidden="false" customHeight="false" outlineLevel="0" collapsed="false">
      <c r="A745" s="7" t="s">
        <v>36</v>
      </c>
      <c r="B745" s="7" t="s">
        <v>95</v>
      </c>
      <c r="C745" s="8" t="n">
        <v>156</v>
      </c>
      <c r="D745" s="8" t="n">
        <v>19580.51</v>
      </c>
      <c r="E745" s="8" t="n">
        <v>66</v>
      </c>
      <c r="F745" s="8" t="n">
        <v>7703.67</v>
      </c>
      <c r="G745" s="7" t="str">
        <f aca="false">IFERROR(INDEX('TRANS'!$B:$B,MATCH($B745,'TRANS'!$A:$A,0)),IFERROR(INDEX('TRANS'!$B:$B,MATCH(TRIM(SUBSTITUTE($B745,CHAR(160)," ")),'TRANS'!$D:$D,0)),IFERROR(INDEX('Catalog'!$A:$A,MATCH($B745,'Catalog'!$B:$B,0)),IFERROR(INDEX('Catalog'!$A:$A,MATCH(TRIM(SUBSTITUTE($B745,CHAR(160)," ")),'Catalog'!$C:$C,0)),""))))</f>
        <v/>
      </c>
      <c r="H745" s="7" t="str">
        <f aca="false">IFERROR(INDEX('TRANS'!$C:$C,MATCH($B745,'TRANS'!$A:$A,0)),IFERROR(INDEX('Catalog'!$B:$B,MATCH($G745,'Catalog'!$A:$A,0)),$B745))</f>
        <v>T43V XL</v>
      </c>
      <c r="I745" s="7" t="str">
        <f aca="false">IF($G745="","Unmatched","Matched")</f>
        <v>Unmatched</v>
      </c>
      <c r="J745" s="7" t="str">
        <f aca="false">IF($G745&lt;&gt;"",$G745,$B745)</f>
        <v>T43V XL</v>
      </c>
      <c r="K745" s="7" t="str">
        <f aca="false">IF(COUNTIF($O$2:$O$16,$A745)&gt;0,"Y","N")</f>
        <v>Y</v>
      </c>
    </row>
    <row r="746" customFormat="false" ht="15" hidden="false" customHeight="false" outlineLevel="0" collapsed="false">
      <c r="A746" s="7" t="s">
        <v>36</v>
      </c>
      <c r="B746" s="7" t="s">
        <v>207</v>
      </c>
      <c r="C746" s="8" t="n">
        <v>12</v>
      </c>
      <c r="D746" s="8" t="n">
        <v>1547.32</v>
      </c>
      <c r="E746" s="8" t="n">
        <v>0</v>
      </c>
      <c r="F746" s="8" t="n">
        <v>0</v>
      </c>
      <c r="G746" s="7" t="str">
        <f aca="false">IFERROR(INDEX('TRANS'!$B:$B,MATCH($B746,'TRANS'!$A:$A,0)),IFERROR(INDEX('TRANS'!$B:$B,MATCH(TRIM(SUBSTITUTE($B746,CHAR(160)," ")),'TRANS'!$D:$D,0)),IFERROR(INDEX('Catalog'!$A:$A,MATCH($B746,'Catalog'!$B:$B,0)),IFERROR(INDEX('Catalog'!$A:$A,MATCH(TRIM(SUBSTITUTE($B746,CHAR(160)," ")),'Catalog'!$C:$C,0)),""))))</f>
        <v/>
      </c>
      <c r="H746" s="7" t="str">
        <f aca="false">IFERROR(INDEX('TRANS'!$C:$C,MATCH($B746,'TRANS'!$A:$A,0)),IFERROR(INDEX('Catalog'!$B:$B,MATCH($G746,'Catalog'!$A:$A,0)),$B746))</f>
        <v>T43V XS</v>
      </c>
      <c r="I746" s="7" t="str">
        <f aca="false">IF($G746="","Unmatched","Matched")</f>
        <v>Unmatched</v>
      </c>
      <c r="J746" s="7" t="str">
        <f aca="false">IF($G746&lt;&gt;"",$G746,$B746)</f>
        <v>T43V XS</v>
      </c>
      <c r="K746" s="7" t="str">
        <f aca="false">IF(COUNTIF($O$2:$O$16,$A746)&gt;0,"Y","N")</f>
        <v>Y</v>
      </c>
    </row>
    <row r="747" customFormat="false" ht="15" hidden="false" customHeight="false" outlineLevel="0" collapsed="false">
      <c r="A747" s="7" t="s">
        <v>36</v>
      </c>
      <c r="B747" s="7" t="s">
        <v>96</v>
      </c>
      <c r="C747" s="8" t="n">
        <v>132</v>
      </c>
      <c r="D747" s="8" t="n">
        <v>16148.34</v>
      </c>
      <c r="E747" s="8" t="n">
        <v>66</v>
      </c>
      <c r="F747" s="8" t="n">
        <v>7673.88</v>
      </c>
      <c r="G747" s="7" t="str">
        <f aca="false">IFERROR(INDEX('TRANS'!$B:$B,MATCH($B747,'TRANS'!$A:$A,0)),IFERROR(INDEX('TRANS'!$B:$B,MATCH(TRIM(SUBSTITUTE($B747,CHAR(160)," ")),'TRANS'!$D:$D,0)),IFERROR(INDEX('Catalog'!$A:$A,MATCH($B747,'Catalog'!$B:$B,0)),IFERROR(INDEX('Catalog'!$A:$A,MATCH(TRIM(SUBSTITUTE($B747,CHAR(160)," ")),'Catalog'!$C:$C,0)),""))))</f>
        <v/>
      </c>
      <c r="H747" s="7" t="str">
        <f aca="false">IFERROR(INDEX('TRANS'!$C:$C,MATCH($B747,'TRANS'!$A:$A,0)),IFERROR(INDEX('Catalog'!$B:$B,MATCH($G747,'Catalog'!$A:$A,0)),$B747))</f>
        <v>T43V XXL</v>
      </c>
      <c r="I747" s="7" t="str">
        <f aca="false">IF($G747="","Unmatched","Matched")</f>
        <v>Unmatched</v>
      </c>
      <c r="J747" s="7" t="str">
        <f aca="false">IF($G747&lt;&gt;"",$G747,$B747)</f>
        <v>T43V XXL</v>
      </c>
      <c r="K747" s="7" t="str">
        <f aca="false">IF(COUNTIF($O$2:$O$16,$A747)&gt;0,"Y","N")</f>
        <v>Y</v>
      </c>
    </row>
    <row r="748" customFormat="false" ht="15" hidden="false" customHeight="false" outlineLevel="0" collapsed="false">
      <c r="A748" s="7" t="s">
        <v>36</v>
      </c>
      <c r="B748" s="7" t="s">
        <v>99</v>
      </c>
      <c r="C748" s="8" t="n">
        <v>36</v>
      </c>
      <c r="D748" s="8" t="n">
        <v>4111.41</v>
      </c>
      <c r="E748" s="8" t="n">
        <v>46</v>
      </c>
      <c r="F748" s="8" t="n">
        <v>5104.74</v>
      </c>
      <c r="G748" s="7" t="str">
        <f aca="false">IFERROR(INDEX('TRANS'!$B:$B,MATCH($B748,'TRANS'!$A:$A,0)),IFERROR(INDEX('TRANS'!$B:$B,MATCH(TRIM(SUBSTITUTE($B748,CHAR(160)," ")),'TRANS'!$D:$D,0)),IFERROR(INDEX('Catalog'!$A:$A,MATCH($B748,'Catalog'!$B:$B,0)),IFERROR(INDEX('Catalog'!$A:$A,MATCH(TRIM(SUBSTITUTE($B748,CHAR(160)," ")),'Catalog'!$C:$C,0)),""))))</f>
        <v/>
      </c>
      <c r="H748" s="7" t="str">
        <f aca="false">IFERROR(INDEX('TRANS'!$C:$C,MATCH($B748,'TRANS'!$A:$A,0)),IFERROR(INDEX('Catalog'!$B:$B,MATCH($G748,'Catalog'!$A:$A,0)),$B748))</f>
        <v>T43V XXXL</v>
      </c>
      <c r="I748" s="7" t="str">
        <f aca="false">IF($G748="","Unmatched","Matched")</f>
        <v>Unmatched</v>
      </c>
      <c r="J748" s="7" t="str">
        <f aca="false">IF($G748&lt;&gt;"",$G748,$B748)</f>
        <v>T43V XXXL</v>
      </c>
      <c r="K748" s="7" t="str">
        <f aca="false">IF(COUNTIF($O$2:$O$16,$A748)&gt;0,"Y","N")</f>
        <v>Y</v>
      </c>
    </row>
    <row r="749" customFormat="false" ht="15" hidden="false" customHeight="false" outlineLevel="0" collapsed="false">
      <c r="A749" s="7" t="s">
        <v>36</v>
      </c>
      <c r="B749" s="7" t="s">
        <v>208</v>
      </c>
      <c r="C749" s="8" t="n">
        <v>1</v>
      </c>
      <c r="D749" s="8" t="n">
        <v>0.04</v>
      </c>
      <c r="E749" s="8" t="n">
        <v>0</v>
      </c>
      <c r="F749" s="8" t="n">
        <v>0</v>
      </c>
      <c r="G749" s="7" t="str">
        <f aca="false">IFERROR(INDEX('TRANS'!$B:$B,MATCH($B749,'TRANS'!$A:$A,0)),IFERROR(INDEX('TRANS'!$B:$B,MATCH(TRIM(SUBSTITUTE($B749,CHAR(160)," ")),'TRANS'!$D:$D,0)),IFERROR(INDEX('Catalog'!$A:$A,MATCH($B749,'Catalog'!$B:$B,0)),IFERROR(INDEX('Catalog'!$A:$A,MATCH(TRIM(SUBSTITUTE($B749,CHAR(160)," ")),'Catalog'!$C:$C,0)),""))))</f>
        <v/>
      </c>
      <c r="H749" s="7" t="str">
        <f aca="false">IFERROR(INDEX('TRANS'!$C:$C,MATCH($B749,'TRANS'!$A:$A,0)),IFERROR(INDEX('Catalog'!$B:$B,MATCH($G749,'Catalog'!$A:$A,0)),$B749))</f>
        <v>T95 L</v>
      </c>
      <c r="I749" s="7" t="str">
        <f aca="false">IF($G749="","Unmatched","Matched")</f>
        <v>Unmatched</v>
      </c>
      <c r="J749" s="7" t="str">
        <f aca="false">IF($G749&lt;&gt;"",$G749,$B749)</f>
        <v>T95 L</v>
      </c>
      <c r="K749" s="7" t="str">
        <f aca="false">IF(COUNTIF($O$2:$O$16,$A749)&gt;0,"Y","N")</f>
        <v>Y</v>
      </c>
    </row>
    <row r="750" customFormat="false" ht="15" hidden="false" customHeight="false" outlineLevel="0" collapsed="false">
      <c r="A750" s="7" t="s">
        <v>36</v>
      </c>
      <c r="B750" s="7" t="s">
        <v>209</v>
      </c>
      <c r="C750" s="8" t="n">
        <v>6</v>
      </c>
      <c r="D750" s="8" t="n">
        <v>239.63</v>
      </c>
      <c r="E750" s="8" t="n">
        <v>0</v>
      </c>
      <c r="F750" s="8" t="n">
        <v>0</v>
      </c>
      <c r="G750" s="7" t="str">
        <f aca="false">IFERROR(INDEX('TRANS'!$B:$B,MATCH($B750,'TRANS'!$A:$A,0)),IFERROR(INDEX('TRANS'!$B:$B,MATCH(TRIM(SUBSTITUTE($B750,CHAR(160)," ")),'TRANS'!$D:$D,0)),IFERROR(INDEX('Catalog'!$A:$A,MATCH($B750,'Catalog'!$B:$B,0)),IFERROR(INDEX('Catalog'!$A:$A,MATCH(TRIM(SUBSTITUTE($B750,CHAR(160)," ")),'Catalog'!$C:$C,0)),""))))</f>
        <v/>
      </c>
      <c r="H750" s="7" t="str">
        <f aca="false">IFERROR(INDEX('TRANS'!$C:$C,MATCH($B750,'TRANS'!$A:$A,0)),IFERROR(INDEX('Catalog'!$B:$B,MATCH($G750,'Catalog'!$A:$A,0)),$B750))</f>
        <v>T95 M</v>
      </c>
      <c r="I750" s="7" t="str">
        <f aca="false">IF($G750="","Unmatched","Matched")</f>
        <v>Unmatched</v>
      </c>
      <c r="J750" s="7" t="str">
        <f aca="false">IF($G750&lt;&gt;"",$G750,$B750)</f>
        <v>T95 M</v>
      </c>
      <c r="K750" s="7" t="str">
        <f aca="false">IF(COUNTIF($O$2:$O$16,$A750)&gt;0,"Y","N")</f>
        <v>Y</v>
      </c>
    </row>
    <row r="751" customFormat="false" ht="15" hidden="false" customHeight="false" outlineLevel="0" collapsed="false">
      <c r="A751" s="7" t="s">
        <v>36</v>
      </c>
      <c r="B751" s="7" t="s">
        <v>627</v>
      </c>
      <c r="C751" s="8" t="n">
        <v>5</v>
      </c>
      <c r="D751" s="8" t="n">
        <v>239.59</v>
      </c>
      <c r="E751" s="8" t="n">
        <v>0</v>
      </c>
      <c r="F751" s="8" t="n">
        <v>0</v>
      </c>
      <c r="G751" s="7" t="n">
        <f aca="false">IFERROR(INDEX('TRANS'!$B:$B,MATCH($B751,'TRANS'!$A:$A,0)),IFERROR(INDEX('TRANS'!$B:$B,MATCH(TRIM(SUBSTITUTE($B751,CHAR(160)," ")),'TRANS'!$D:$D,0)),IFERROR(INDEX('Catalog'!$A:$A,MATCH($B751,'Catalog'!$B:$B,0)),IFERROR(INDEX('Catalog'!$A:$A,MATCH(TRIM(SUBSTITUTE($B751,CHAR(160)," ")),'Catalog'!$C:$C,0)),""))))</f>
        <v>4413210</v>
      </c>
      <c r="H751" s="7" t="str">
        <f aca="false">IFERROR(INDEX('TRANS'!$C:$C,MATCH($B751,'TRANS'!$A:$A,0)),IFERROR(INDEX('Catalog'!$B:$B,MATCH($G751,'Catalog'!$A:$A,0)),$B751))</f>
        <v>T95 S מגן מרפק רגיל</v>
      </c>
      <c r="I751" s="7" t="str">
        <f aca="false">IF($G751="","Unmatched","Matched")</f>
        <v>Matched</v>
      </c>
      <c r="J751" s="7" t="n">
        <f aca="false">IF($G751&lt;&gt;"",$G751,$B751)</f>
        <v>4413210</v>
      </c>
      <c r="K751" s="7" t="str">
        <f aca="false">IF(COUNTIF($O$2:$O$16,$A751)&gt;0,"Y","N")</f>
        <v>Y</v>
      </c>
    </row>
    <row r="752" customFormat="false" ht="15" hidden="false" customHeight="false" outlineLevel="0" collapsed="false">
      <c r="A752" s="7" t="s">
        <v>37</v>
      </c>
      <c r="B752" s="7" t="s">
        <v>276</v>
      </c>
      <c r="C752" s="8" t="n">
        <v>0</v>
      </c>
      <c r="D752" s="8" t="n">
        <v>0</v>
      </c>
      <c r="E752" s="8" t="n">
        <v>10</v>
      </c>
      <c r="F752" s="8" t="n">
        <v>439.07</v>
      </c>
      <c r="G752" s="7" t="n">
        <f aca="false">IFERROR(INDEX('TRANS'!$B:$B,MATCH($B752,'TRANS'!$A:$A,0)),IFERROR(INDEX('TRANS'!$B:$B,MATCH(TRIM(SUBSTITUTE($B752,CHAR(160)," ")),'TRANS'!$D:$D,0)),IFERROR(INDEX('Catalog'!$A:$A,MATCH($B752,'Catalog'!$B:$B,0)),IFERROR(INDEX('Catalog'!$A:$A,MATCH(TRIM(SUBSTITUTE($B752,CHAR(160)," ")),'Catalog'!$C:$C,0)),""))))</f>
        <v>4408221</v>
      </c>
      <c r="H752" s="7" t="str">
        <f aca="false">IFERROR(INDEX('TRANS'!$C:$C,MATCH($B752,'TRANS'!$A:$A,0)),IFERROR(INDEX('Catalog'!$B:$B,MATCH($G752,'Catalog'!$A:$A,0)),$B752))</f>
        <v>078G-L חגורת גב אפורה</v>
      </c>
      <c r="I752" s="7" t="str">
        <f aca="false">IF($G752="","Unmatched","Matched")</f>
        <v>Matched</v>
      </c>
      <c r="J752" s="7" t="n">
        <f aca="false">IF($G752&lt;&gt;"",$G752,$B752)</f>
        <v>4408221</v>
      </c>
      <c r="K752" s="7" t="str">
        <f aca="false">IF(COUNTIF($O$2:$O$16,$A752)&gt;0,"Y","N")</f>
        <v>Y</v>
      </c>
    </row>
    <row r="753" customFormat="false" ht="15" hidden="false" customHeight="false" outlineLevel="0" collapsed="false">
      <c r="A753" s="7" t="s">
        <v>37</v>
      </c>
      <c r="B753" s="7" t="s">
        <v>277</v>
      </c>
      <c r="C753" s="8" t="n">
        <v>0</v>
      </c>
      <c r="D753" s="8" t="n">
        <v>0</v>
      </c>
      <c r="E753" s="8" t="n">
        <v>3</v>
      </c>
      <c r="F753" s="8" t="n">
        <v>131.72</v>
      </c>
      <c r="G753" s="7" t="n">
        <f aca="false">IFERROR(INDEX('TRANS'!$B:$B,MATCH($B753,'TRANS'!$A:$A,0)),IFERROR(INDEX('TRANS'!$B:$B,MATCH(TRIM(SUBSTITUTE($B753,CHAR(160)," ")),'TRANS'!$D:$D,0)),IFERROR(INDEX('Catalog'!$A:$A,MATCH($B753,'Catalog'!$B:$B,0)),IFERROR(INDEX('Catalog'!$A:$A,MATCH(TRIM(SUBSTITUTE($B753,CHAR(160)," ")),'Catalog'!$C:$C,0)),""))))</f>
        <v>4408220</v>
      </c>
      <c r="H753" s="7" t="str">
        <f aca="false">IFERROR(INDEX('TRANS'!$C:$C,MATCH($B753,'TRANS'!$A:$A,0)),IFERROR(INDEX('Catalog'!$B:$B,MATCH($G753,'Catalog'!$A:$A,0)),$B753))</f>
        <v>078G-M חגורת גב אפורה</v>
      </c>
      <c r="I753" s="7" t="str">
        <f aca="false">IF($G753="","Unmatched","Matched")</f>
        <v>Matched</v>
      </c>
      <c r="J753" s="7" t="n">
        <f aca="false">IF($G753&lt;&gt;"",$G753,$B753)</f>
        <v>4408220</v>
      </c>
      <c r="K753" s="7" t="str">
        <f aca="false">IF(COUNTIF($O$2:$O$16,$A753)&gt;0,"Y","N")</f>
        <v>Y</v>
      </c>
    </row>
    <row r="754" customFormat="false" ht="15" hidden="false" customHeight="false" outlineLevel="0" collapsed="false">
      <c r="A754" s="7" t="s">
        <v>37</v>
      </c>
      <c r="B754" s="7" t="s">
        <v>278</v>
      </c>
      <c r="C754" s="8" t="n">
        <v>0</v>
      </c>
      <c r="D754" s="8" t="n">
        <v>0</v>
      </c>
      <c r="E754" s="8" t="n">
        <v>3</v>
      </c>
      <c r="F754" s="8" t="n">
        <v>131.72</v>
      </c>
      <c r="G754" s="7" t="n">
        <f aca="false">IFERROR(INDEX('TRANS'!$B:$B,MATCH($B754,'TRANS'!$A:$A,0)),IFERROR(INDEX('TRANS'!$B:$B,MATCH(TRIM(SUBSTITUTE($B754,CHAR(160)," ")),'TRANS'!$D:$D,0)),IFERROR(INDEX('Catalog'!$A:$A,MATCH($B754,'Catalog'!$B:$B,0)),IFERROR(INDEX('Catalog'!$A:$A,MATCH(TRIM(SUBSTITUTE($B754,CHAR(160)," ")),'Catalog'!$C:$C,0)),""))))</f>
        <v>4408219</v>
      </c>
      <c r="H754" s="7" t="str">
        <f aca="false">IFERROR(INDEX('TRANS'!$C:$C,MATCH($B754,'TRANS'!$A:$A,0)),IFERROR(INDEX('Catalog'!$B:$B,MATCH($G754,'Catalog'!$A:$A,0)),$B754))</f>
        <v>078G-S חגורת גב אפורה</v>
      </c>
      <c r="I754" s="7" t="str">
        <f aca="false">IF($G754="","Unmatched","Matched")</f>
        <v>Matched</v>
      </c>
      <c r="J754" s="7" t="n">
        <f aca="false">IF($G754&lt;&gt;"",$G754,$B754)</f>
        <v>4408219</v>
      </c>
      <c r="K754" s="7" t="str">
        <f aca="false">IF(COUNTIF($O$2:$O$16,$A754)&gt;0,"Y","N")</f>
        <v>Y</v>
      </c>
    </row>
    <row r="755" customFormat="false" ht="15" hidden="false" customHeight="false" outlineLevel="0" collapsed="false">
      <c r="A755" s="7" t="s">
        <v>37</v>
      </c>
      <c r="B755" s="7" t="s">
        <v>279</v>
      </c>
      <c r="C755" s="8" t="n">
        <v>0</v>
      </c>
      <c r="D755" s="8" t="n">
        <v>0</v>
      </c>
      <c r="E755" s="8" t="n">
        <v>6</v>
      </c>
      <c r="F755" s="8" t="n">
        <v>263.44</v>
      </c>
      <c r="G755" s="7" t="n">
        <f aca="false">IFERROR(INDEX('TRANS'!$B:$B,MATCH($B755,'TRANS'!$A:$A,0)),IFERROR(INDEX('TRANS'!$B:$B,MATCH(TRIM(SUBSTITUTE($B755,CHAR(160)," ")),'TRANS'!$D:$D,0)),IFERROR(INDEX('Catalog'!$A:$A,MATCH($B755,'Catalog'!$B:$B,0)),IFERROR(INDEX('Catalog'!$A:$A,MATCH(TRIM(SUBSTITUTE($B755,CHAR(160)," ")),'Catalog'!$C:$C,0)),""))))</f>
        <v>4408222</v>
      </c>
      <c r="H755" s="7" t="str">
        <f aca="false">IFERROR(INDEX('TRANS'!$C:$C,MATCH($B755,'TRANS'!$A:$A,0)),IFERROR(INDEX('Catalog'!$B:$B,MATCH($G755,'Catalog'!$A:$A,0)),$B755))</f>
        <v>078G-XLחגורת גב אפורה</v>
      </c>
      <c r="I755" s="7" t="str">
        <f aca="false">IF($G755="","Unmatched","Matched")</f>
        <v>Matched</v>
      </c>
      <c r="J755" s="7" t="n">
        <f aca="false">IF($G755&lt;&gt;"",$G755,$B755)</f>
        <v>4408222</v>
      </c>
      <c r="K755" s="7" t="str">
        <f aca="false">IF(COUNTIF($O$2:$O$16,$A755)&gt;0,"Y","N")</f>
        <v>Y</v>
      </c>
    </row>
    <row r="756" customFormat="false" ht="15" hidden="false" customHeight="false" outlineLevel="0" collapsed="false">
      <c r="A756" s="7" t="s">
        <v>37</v>
      </c>
      <c r="B756" s="7" t="s">
        <v>280</v>
      </c>
      <c r="C756" s="8" t="n">
        <v>0</v>
      </c>
      <c r="D756" s="8" t="n">
        <v>0</v>
      </c>
      <c r="E756" s="8" t="n">
        <v>10</v>
      </c>
      <c r="F756" s="8" t="n">
        <v>439.07</v>
      </c>
      <c r="G756" s="7" t="n">
        <f aca="false">IFERROR(INDEX('TRANS'!$B:$B,MATCH($B756,'TRANS'!$A:$A,0)),IFERROR(INDEX('TRANS'!$B:$B,MATCH(TRIM(SUBSTITUTE($B756,CHAR(160)," ")),'TRANS'!$D:$D,0)),IFERROR(INDEX('Catalog'!$A:$A,MATCH($B756,'Catalog'!$B:$B,0)),IFERROR(INDEX('Catalog'!$A:$A,MATCH(TRIM(SUBSTITUTE($B756,CHAR(160)," ")),'Catalog'!$C:$C,0)),""))))</f>
        <v>4408223</v>
      </c>
      <c r="H756" s="7" t="str">
        <f aca="false">IFERROR(INDEX('TRANS'!$C:$C,MATCH($B756,'TRANS'!$A:$A,0)),IFERROR(INDEX('Catalog'!$B:$B,MATCH($G756,'Catalog'!$A:$A,0)),$B756))</f>
        <v>078G-XXLחגורת גב אפורה</v>
      </c>
      <c r="I756" s="7" t="str">
        <f aca="false">IF($G756="","Unmatched","Matched")</f>
        <v>Matched</v>
      </c>
      <c r="J756" s="7" t="n">
        <f aca="false">IF($G756&lt;&gt;"",$G756,$B756)</f>
        <v>4408223</v>
      </c>
      <c r="K756" s="7" t="str">
        <f aca="false">IF(COUNTIF($O$2:$O$16,$A756)&gt;0,"Y","N")</f>
        <v>Y</v>
      </c>
    </row>
    <row r="757" customFormat="false" ht="15" hidden="false" customHeight="false" outlineLevel="0" collapsed="false">
      <c r="A757" s="7" t="s">
        <v>37</v>
      </c>
      <c r="B757" s="7" t="s">
        <v>407</v>
      </c>
      <c r="C757" s="8" t="n">
        <v>3</v>
      </c>
      <c r="D757" s="8" t="n">
        <v>395.81</v>
      </c>
      <c r="E757" s="8" t="n">
        <v>4</v>
      </c>
      <c r="F757" s="8" t="n">
        <v>441.73</v>
      </c>
      <c r="G757" s="7" t="n">
        <f aca="false">IFERROR(INDEX('TRANS'!$B:$B,MATCH($B757,'TRANS'!$A:$A,0)),IFERROR(INDEX('TRANS'!$B:$B,MATCH(TRIM(SUBSTITUTE($B757,CHAR(160)," ")),'TRANS'!$D:$D,0)),IFERROR(INDEX('Catalog'!$A:$A,MATCH($B757,'Catalog'!$B:$B,0)),IFERROR(INDEX('Catalog'!$A:$A,MATCH(TRIM(SUBSTITUTE($B757,CHAR(160)," ")),'Catalog'!$C:$C,0)),""))))</f>
        <v>4408015</v>
      </c>
      <c r="H757" s="7" t="str">
        <f aca="false">IFERROR(INDEX('TRANS'!$C:$C,MATCH($B757,'TRANS'!$A:$A,0)),IFERROR(INDEX('Catalog'!$B:$B,MATCH($G757,'Catalog'!$A:$A,0)),$B757))</f>
        <v>07AU L ח.גב """"איטלקית"""" אורירית</v>
      </c>
      <c r="I757" s="7" t="str">
        <f aca="false">IF($G757="","Unmatched","Matched")</f>
        <v>Matched</v>
      </c>
      <c r="J757" s="7" t="n">
        <f aca="false">IF($G757&lt;&gt;"",$G757,$B757)</f>
        <v>4408015</v>
      </c>
      <c r="K757" s="7" t="str">
        <f aca="false">IF(COUNTIF($O$2:$O$16,$A757)&gt;0,"Y","N")</f>
        <v>Y</v>
      </c>
    </row>
    <row r="758" customFormat="false" ht="15" hidden="false" customHeight="false" outlineLevel="0" collapsed="false">
      <c r="A758" s="7" t="s">
        <v>37</v>
      </c>
      <c r="B758" s="7" t="s">
        <v>408</v>
      </c>
      <c r="C758" s="8" t="n">
        <v>3</v>
      </c>
      <c r="D758" s="8" t="n">
        <v>395.81</v>
      </c>
      <c r="E758" s="8" t="n">
        <v>2</v>
      </c>
      <c r="F758" s="8" t="n">
        <v>220.87</v>
      </c>
      <c r="G758" s="7" t="n">
        <f aca="false">IFERROR(INDEX('TRANS'!$B:$B,MATCH($B758,'TRANS'!$A:$A,0)),IFERROR(INDEX('TRANS'!$B:$B,MATCH(TRIM(SUBSTITUTE($B758,CHAR(160)," ")),'TRANS'!$D:$D,0)),IFERROR(INDEX('Catalog'!$A:$A,MATCH($B758,'Catalog'!$B:$B,0)),IFERROR(INDEX('Catalog'!$A:$A,MATCH(TRIM(SUBSTITUTE($B758,CHAR(160)," ")),'Catalog'!$C:$C,0)),""))))</f>
        <v>4408016</v>
      </c>
      <c r="H758" s="7" t="str">
        <f aca="false">IFERROR(INDEX('TRANS'!$C:$C,MATCH($B758,'TRANS'!$A:$A,0)),IFERROR(INDEX('Catalog'!$B:$B,MATCH($G758,'Catalog'!$A:$A,0)),$B758))</f>
        <v>07AU M ח.גב """"איטלקית"""" אורירית</v>
      </c>
      <c r="I758" s="7" t="str">
        <f aca="false">IF($G758="","Unmatched","Matched")</f>
        <v>Matched</v>
      </c>
      <c r="J758" s="7" t="n">
        <f aca="false">IF($G758&lt;&gt;"",$G758,$B758)</f>
        <v>4408016</v>
      </c>
      <c r="K758" s="7" t="str">
        <f aca="false">IF(COUNTIF($O$2:$O$16,$A758)&gt;0,"Y","N")</f>
        <v>Y</v>
      </c>
    </row>
    <row r="759" customFormat="false" ht="15" hidden="false" customHeight="false" outlineLevel="0" collapsed="false">
      <c r="A759" s="7" t="s">
        <v>37</v>
      </c>
      <c r="B759" s="7" t="s">
        <v>409</v>
      </c>
      <c r="C759" s="8" t="n">
        <v>2</v>
      </c>
      <c r="D759" s="8" t="n">
        <v>263.87</v>
      </c>
      <c r="E759" s="8" t="n">
        <v>0</v>
      </c>
      <c r="F759" s="8" t="n">
        <v>0</v>
      </c>
      <c r="G759" s="7" t="n">
        <f aca="false">IFERROR(INDEX('TRANS'!$B:$B,MATCH($B759,'TRANS'!$A:$A,0)),IFERROR(INDEX('TRANS'!$B:$B,MATCH(TRIM(SUBSTITUTE($B759,CHAR(160)," ")),'TRANS'!$D:$D,0)),IFERROR(INDEX('Catalog'!$A:$A,MATCH($B759,'Catalog'!$B:$B,0)),IFERROR(INDEX('Catalog'!$A:$A,MATCH(TRIM(SUBSTITUTE($B759,CHAR(160)," ")),'Catalog'!$C:$C,0)),""))))</f>
        <v>4408014</v>
      </c>
      <c r="H759" s="7" t="str">
        <f aca="false">IFERROR(INDEX('TRANS'!$C:$C,MATCH($B759,'TRANS'!$A:$A,0)),IFERROR(INDEX('Catalog'!$B:$B,MATCH($G759,'Catalog'!$A:$A,0)),$B759))</f>
        <v>07AU S ח.גב """"איטלקית"""" אורירית</v>
      </c>
      <c r="I759" s="7" t="str">
        <f aca="false">IF($G759="","Unmatched","Matched")</f>
        <v>Matched</v>
      </c>
      <c r="J759" s="7" t="n">
        <f aca="false">IF($G759&lt;&gt;"",$G759,$B759)</f>
        <v>4408014</v>
      </c>
      <c r="K759" s="7" t="str">
        <f aca="false">IF(COUNTIF($O$2:$O$16,$A759)&gt;0,"Y","N")</f>
        <v>Y</v>
      </c>
    </row>
    <row r="760" customFormat="false" ht="15" hidden="false" customHeight="false" outlineLevel="0" collapsed="false">
      <c r="A760" s="7" t="s">
        <v>37</v>
      </c>
      <c r="B760" s="7" t="s">
        <v>410</v>
      </c>
      <c r="C760" s="8" t="n">
        <v>6</v>
      </c>
      <c r="D760" s="8" t="n">
        <v>751.76</v>
      </c>
      <c r="E760" s="8" t="n">
        <v>6</v>
      </c>
      <c r="F760" s="8" t="n">
        <v>662.6</v>
      </c>
      <c r="G760" s="7" t="n">
        <f aca="false">IFERROR(INDEX('TRANS'!$B:$B,MATCH($B760,'TRANS'!$A:$A,0)),IFERROR(INDEX('TRANS'!$B:$B,MATCH(TRIM(SUBSTITUTE($B760,CHAR(160)," ")),'TRANS'!$D:$D,0)),IFERROR(INDEX('Catalog'!$A:$A,MATCH($B760,'Catalog'!$B:$B,0)),IFERROR(INDEX('Catalog'!$A:$A,MATCH(TRIM(SUBSTITUTE($B760,CHAR(160)," ")),'Catalog'!$C:$C,0)),""))))</f>
        <v>4408017</v>
      </c>
      <c r="H760" s="7" t="str">
        <f aca="false">IFERROR(INDEX('TRANS'!$C:$C,MATCH($B760,'TRANS'!$A:$A,0)),IFERROR(INDEX('Catalog'!$B:$B,MATCH($G760,'Catalog'!$A:$A,0)),$B760))</f>
        <v>07AU XL ח.גב """"איטלקית"""" אורירית</v>
      </c>
      <c r="I760" s="7" t="str">
        <f aca="false">IF($G760="","Unmatched","Matched")</f>
        <v>Matched</v>
      </c>
      <c r="J760" s="7" t="n">
        <f aca="false">IF($G760&lt;&gt;"",$G760,$B760)</f>
        <v>4408017</v>
      </c>
      <c r="K760" s="7" t="str">
        <f aca="false">IF(COUNTIF($O$2:$O$16,$A760)&gt;0,"Y","N")</f>
        <v>Y</v>
      </c>
    </row>
    <row r="761" customFormat="false" ht="15" hidden="false" customHeight="false" outlineLevel="0" collapsed="false">
      <c r="A761" s="7" t="s">
        <v>37</v>
      </c>
      <c r="B761" s="7" t="s">
        <v>411</v>
      </c>
      <c r="C761" s="8" t="n">
        <v>3</v>
      </c>
      <c r="D761" s="8" t="n">
        <v>375.88</v>
      </c>
      <c r="E761" s="8" t="n">
        <v>6</v>
      </c>
      <c r="F761" s="8" t="n">
        <v>662.6</v>
      </c>
      <c r="G761" s="7" t="n">
        <f aca="false">IFERROR(INDEX('TRANS'!$B:$B,MATCH($B761,'TRANS'!$A:$A,0)),IFERROR(INDEX('TRANS'!$B:$B,MATCH(TRIM(SUBSTITUTE($B761,CHAR(160)," ")),'TRANS'!$D:$D,0)),IFERROR(INDEX('Catalog'!$A:$A,MATCH($B761,'Catalog'!$B:$B,0)),IFERROR(INDEX('Catalog'!$A:$A,MATCH(TRIM(SUBSTITUTE($B761,CHAR(160)," ")),'Catalog'!$C:$C,0)),""))))</f>
        <v>4408018</v>
      </c>
      <c r="H761" s="7" t="str">
        <f aca="false">IFERROR(INDEX('TRANS'!$C:$C,MATCH($B761,'TRANS'!$A:$A,0)),IFERROR(INDEX('Catalog'!$B:$B,MATCH($G761,'Catalog'!$A:$A,0)),$B761))</f>
        <v>07AU XXL.ח.גב """"איטלקית"""" אוריר</v>
      </c>
      <c r="I761" s="7" t="str">
        <f aca="false">IF($G761="","Unmatched","Matched")</f>
        <v>Matched</v>
      </c>
      <c r="J761" s="7" t="n">
        <f aca="false">IF($G761&lt;&gt;"",$G761,$B761)</f>
        <v>4408018</v>
      </c>
      <c r="K761" s="7" t="str">
        <f aca="false">IF(COUNTIF($O$2:$O$16,$A761)&gt;0,"Y","N")</f>
        <v>Y</v>
      </c>
    </row>
    <row r="762" customFormat="false" ht="15" hidden="false" customHeight="false" outlineLevel="0" collapsed="false">
      <c r="A762" s="7" t="s">
        <v>37</v>
      </c>
      <c r="B762" s="7" t="s">
        <v>628</v>
      </c>
      <c r="C762" s="8" t="n">
        <v>6</v>
      </c>
      <c r="D762" s="8" t="n">
        <v>467.34</v>
      </c>
      <c r="E762" s="8" t="n">
        <v>0</v>
      </c>
      <c r="F762" s="8" t="n">
        <v>0</v>
      </c>
      <c r="G762" s="7" t="n">
        <f aca="false">IFERROR(INDEX('TRANS'!$B:$B,MATCH($B762,'TRANS'!$A:$A,0)),IFERROR(INDEX('TRANS'!$B:$B,MATCH(TRIM(SUBSTITUTE($B762,CHAR(160)," ")),'TRANS'!$D:$D,0)),IFERROR(INDEX('Catalog'!$A:$A,MATCH($B762,'Catalog'!$B:$B,0)),IFERROR(INDEX('Catalog'!$A:$A,MATCH(TRIM(SUBSTITUTE($B762,CHAR(160)," ")),'Catalog'!$C:$C,0)),""))))</f>
        <v>4408027</v>
      </c>
      <c r="H762" s="7" t="str">
        <f aca="false">IFERROR(INDEX('TRANS'!$C:$C,MATCH($B762,'TRANS'!$A:$A,0)),IFERROR(INDEX('Catalog'!$B:$B,MATCH($G762,'Catalog'!$A:$A,0)),$B762))</f>
        <v>10 L """"חגורת גב """"לומבו</v>
      </c>
      <c r="I762" s="7" t="str">
        <f aca="false">IF($G762="","Unmatched","Matched")</f>
        <v>Matched</v>
      </c>
      <c r="J762" s="7" t="n">
        <f aca="false">IF($G762&lt;&gt;"",$G762,$B762)</f>
        <v>4408027</v>
      </c>
      <c r="K762" s="7" t="str">
        <f aca="false">IF(COUNTIF($O$2:$O$16,$A762)&gt;0,"Y","N")</f>
        <v>Y</v>
      </c>
    </row>
    <row r="763" customFormat="false" ht="15" hidden="false" customHeight="false" outlineLevel="0" collapsed="false">
      <c r="A763" s="7" t="s">
        <v>37</v>
      </c>
      <c r="B763" s="7" t="s">
        <v>412</v>
      </c>
      <c r="C763" s="8" t="n">
        <v>2</v>
      </c>
      <c r="D763" s="8" t="n">
        <v>155.78</v>
      </c>
      <c r="E763" s="8" t="n">
        <v>2</v>
      </c>
      <c r="F763" s="8" t="n">
        <v>130.39</v>
      </c>
      <c r="G763" s="7" t="n">
        <f aca="false">IFERROR(INDEX('TRANS'!$B:$B,MATCH($B763,'TRANS'!$A:$A,0)),IFERROR(INDEX('TRANS'!$B:$B,MATCH(TRIM(SUBSTITUTE($B763,CHAR(160)," ")),'TRANS'!$D:$D,0)),IFERROR(INDEX('Catalog'!$A:$A,MATCH($B763,'Catalog'!$B:$B,0)),IFERROR(INDEX('Catalog'!$A:$A,MATCH(TRIM(SUBSTITUTE($B763,CHAR(160)," ")),'Catalog'!$C:$C,0)),""))))</f>
        <v>4408028</v>
      </c>
      <c r="H763" s="7" t="str">
        <f aca="false">IFERROR(INDEX('TRANS'!$C:$C,MATCH($B763,'TRANS'!$A:$A,0)),IFERROR(INDEX('Catalog'!$B:$B,MATCH($G763,'Catalog'!$A:$A,0)),$B763))</f>
        <v>10 M """"חגורת גב """"לומבו</v>
      </c>
      <c r="I763" s="7" t="str">
        <f aca="false">IF($G763="","Unmatched","Matched")</f>
        <v>Matched</v>
      </c>
      <c r="J763" s="7" t="n">
        <f aca="false">IF($G763&lt;&gt;"",$G763,$B763)</f>
        <v>4408028</v>
      </c>
      <c r="K763" s="7" t="str">
        <f aca="false">IF(COUNTIF($O$2:$O$16,$A763)&gt;0,"Y","N")</f>
        <v>Y</v>
      </c>
    </row>
    <row r="764" customFormat="false" ht="15" hidden="false" customHeight="false" outlineLevel="0" collapsed="false">
      <c r="A764" s="7" t="s">
        <v>37</v>
      </c>
      <c r="B764" s="7" t="s">
        <v>629</v>
      </c>
      <c r="C764" s="8" t="n">
        <v>6</v>
      </c>
      <c r="D764" s="8" t="n">
        <v>467.34</v>
      </c>
      <c r="E764" s="8" t="n">
        <v>4</v>
      </c>
      <c r="F764" s="8" t="n">
        <v>260.78</v>
      </c>
      <c r="G764" s="7" t="n">
        <f aca="false">IFERROR(INDEX('TRANS'!$B:$B,MATCH($B764,'TRANS'!$A:$A,0)),IFERROR(INDEX('TRANS'!$B:$B,MATCH(TRIM(SUBSTITUTE($B764,CHAR(160)," ")),'TRANS'!$D:$D,0)),IFERROR(INDEX('Catalog'!$A:$A,MATCH($B764,'Catalog'!$B:$B,0)),IFERROR(INDEX('Catalog'!$A:$A,MATCH(TRIM(SUBSTITUTE($B764,CHAR(160)," ")),'Catalog'!$C:$C,0)),""))))</f>
        <v>4408029</v>
      </c>
      <c r="H764" s="7" t="str">
        <f aca="false">IFERROR(INDEX('TRANS'!$C:$C,MATCH($B764,'TRANS'!$A:$A,0)),IFERROR(INDEX('Catalog'!$B:$B,MATCH($G764,'Catalog'!$A:$A,0)),$B764))</f>
        <v>10 XL """"חגורת גב """"לומבו</v>
      </c>
      <c r="I764" s="7" t="str">
        <f aca="false">IF($G764="","Unmatched","Matched")</f>
        <v>Matched</v>
      </c>
      <c r="J764" s="7" t="n">
        <f aca="false">IF($G764&lt;&gt;"",$G764,$B764)</f>
        <v>4408029</v>
      </c>
      <c r="K764" s="7" t="str">
        <f aca="false">IF(COUNTIF($O$2:$O$16,$A764)&gt;0,"Y","N")</f>
        <v>Y</v>
      </c>
    </row>
    <row r="765" customFormat="false" ht="15" hidden="false" customHeight="false" outlineLevel="0" collapsed="false">
      <c r="A765" s="7" t="s">
        <v>37</v>
      </c>
      <c r="B765" s="7" t="s">
        <v>145</v>
      </c>
      <c r="C765" s="8" t="n">
        <v>2</v>
      </c>
      <c r="D765" s="8" t="n">
        <v>155.78</v>
      </c>
      <c r="E765" s="8" t="n">
        <v>4</v>
      </c>
      <c r="F765" s="8" t="n">
        <v>260.78</v>
      </c>
      <c r="G765" s="7" t="str">
        <f aca="false">IFERROR(INDEX('TRANS'!$B:$B,MATCH($B765,'TRANS'!$A:$A,0)),IFERROR(INDEX('TRANS'!$B:$B,MATCH(TRIM(SUBSTITUTE($B765,CHAR(160)," ")),'TRANS'!$D:$D,0)),IFERROR(INDEX('Catalog'!$A:$A,MATCH($B765,'Catalog'!$B:$B,0)),IFERROR(INDEX('Catalog'!$A:$A,MATCH(TRIM(SUBSTITUTE($B765,CHAR(160)," ")),'Catalog'!$C:$C,0)),""))))</f>
        <v/>
      </c>
      <c r="H765" s="7" t="str">
        <f aca="false">IFERROR(INDEX('TRANS'!$C:$C,MATCH($B765,'TRANS'!$A:$A,0)),IFERROR(INDEX('Catalog'!$B:$B,MATCH($G765,'Catalog'!$A:$A,0)),$B765))</f>
        <v>10 XXL</v>
      </c>
      <c r="I765" s="7" t="str">
        <f aca="false">IF($G765="","Unmatched","Matched")</f>
        <v>Unmatched</v>
      </c>
      <c r="J765" s="7" t="str">
        <f aca="false">IF($G765&lt;&gt;"",$G765,$B765)</f>
        <v>10 XXL</v>
      </c>
      <c r="K765" s="7" t="str">
        <f aca="false">IF(COUNTIF($O$2:$O$16,$A765)&gt;0,"Y","N")</f>
        <v>Y</v>
      </c>
    </row>
    <row r="766" customFormat="false" ht="15" hidden="false" customHeight="false" outlineLevel="0" collapsed="false">
      <c r="A766" s="7" t="s">
        <v>37</v>
      </c>
      <c r="B766" s="7" t="s">
        <v>130</v>
      </c>
      <c r="C766" s="8" t="n">
        <v>5</v>
      </c>
      <c r="D766" s="8" t="n">
        <v>238.95</v>
      </c>
      <c r="E766" s="8" t="n">
        <v>0</v>
      </c>
      <c r="F766" s="8" t="n">
        <v>0</v>
      </c>
      <c r="G766" s="7" t="str">
        <f aca="false">IFERROR(INDEX('TRANS'!$B:$B,MATCH($B766,'TRANS'!$A:$A,0)),IFERROR(INDEX('TRANS'!$B:$B,MATCH(TRIM(SUBSTITUTE($B766,CHAR(160)," ")),'TRANS'!$D:$D,0)),IFERROR(INDEX('Catalog'!$A:$A,MATCH($B766,'Catalog'!$B:$B,0)),IFERROR(INDEX('Catalog'!$A:$A,MATCH(TRIM(SUBSTITUTE($B766,CHAR(160)," ")),'Catalog'!$C:$C,0)),""))))</f>
        <v/>
      </c>
      <c r="H766" s="7" t="str">
        <f aca="false">IFERROR(INDEX('TRANS'!$C:$C,MATCH($B766,'TRANS'!$A:$A,0)),IFERROR(INDEX('Catalog'!$B:$B,MATCH($G766,'Catalog'!$A:$A,0)),$B766))</f>
        <v>11EU S</v>
      </c>
      <c r="I766" s="7" t="str">
        <f aca="false">IF($G766="","Unmatched","Matched")</f>
        <v>Unmatched</v>
      </c>
      <c r="J766" s="7" t="str">
        <f aca="false">IF($G766&lt;&gt;"",$G766,$B766)</f>
        <v>11EU S</v>
      </c>
      <c r="K766" s="7" t="str">
        <f aca="false">IF(COUNTIF($O$2:$O$16,$A766)&gt;0,"Y","N")</f>
        <v>Y</v>
      </c>
    </row>
    <row r="767" customFormat="false" ht="15" hidden="false" customHeight="false" outlineLevel="0" collapsed="false">
      <c r="A767" s="7" t="s">
        <v>37</v>
      </c>
      <c r="B767" s="7" t="s">
        <v>416</v>
      </c>
      <c r="C767" s="8" t="n">
        <v>0</v>
      </c>
      <c r="D767" s="8" t="n">
        <v>0</v>
      </c>
      <c r="E767" s="8" t="n">
        <v>2</v>
      </c>
      <c r="F767" s="8" t="n">
        <v>82.49</v>
      </c>
      <c r="G767" s="7" t="n">
        <f aca="false">IFERROR(INDEX('TRANS'!$B:$B,MATCH($B767,'TRANS'!$A:$A,0)),IFERROR(INDEX('TRANS'!$B:$B,MATCH(TRIM(SUBSTITUTE($B767,CHAR(160)," ")),'TRANS'!$D:$D,0)),IFERROR(INDEX('Catalog'!$A:$A,MATCH($B767,'Catalog'!$B:$B,0)),IFERROR(INDEX('Catalog'!$A:$A,MATCH(TRIM(SUBSTITUTE($B767,CHAR(160)," ")),'Catalog'!$C:$C,0)),""))))</f>
        <v>4408116</v>
      </c>
      <c r="H767" s="7" t="str">
        <f aca="false">IFERROR(INDEX('TRANS'!$C:$C,MATCH($B767,'TRANS'!$A:$A,0)),IFERROR(INDEX('Catalog'!$B:$B,MATCH($G767,'Catalog'!$A:$A,0)),$B767))</f>
        <v>11EU XLח.בטן לאחר ניתוח</v>
      </c>
      <c r="I767" s="7" t="str">
        <f aca="false">IF($G767="","Unmatched","Matched")</f>
        <v>Matched</v>
      </c>
      <c r="J767" s="7" t="n">
        <f aca="false">IF($G767&lt;&gt;"",$G767,$B767)</f>
        <v>4408116</v>
      </c>
      <c r="K767" s="7" t="str">
        <f aca="false">IF(COUNTIF($O$2:$O$16,$A767)&gt;0,"Y","N")</f>
        <v>Y</v>
      </c>
    </row>
    <row r="768" customFormat="false" ht="15" hidden="false" customHeight="false" outlineLevel="0" collapsed="false">
      <c r="A768" s="7" t="s">
        <v>37</v>
      </c>
      <c r="B768" s="7" t="s">
        <v>417</v>
      </c>
      <c r="C768" s="8" t="n">
        <v>0</v>
      </c>
      <c r="D768" s="8" t="n">
        <v>0</v>
      </c>
      <c r="E768" s="8" t="n">
        <v>4</v>
      </c>
      <c r="F768" s="8" t="n">
        <v>164.98</v>
      </c>
      <c r="G768" s="7" t="n">
        <f aca="false">IFERROR(INDEX('TRANS'!$B:$B,MATCH($B768,'TRANS'!$A:$A,0)),IFERROR(INDEX('TRANS'!$B:$B,MATCH(TRIM(SUBSTITUTE($B768,CHAR(160)," ")),'TRANS'!$D:$D,0)),IFERROR(INDEX('Catalog'!$A:$A,MATCH($B768,'Catalog'!$B:$B,0)),IFERROR(INDEX('Catalog'!$A:$A,MATCH(TRIM(SUBSTITUTE($B768,CHAR(160)," ")),'Catalog'!$C:$C,0)),""))))</f>
        <v>4408132</v>
      </c>
      <c r="H768" s="7" t="str">
        <f aca="false">IFERROR(INDEX('TRANS'!$C:$C,MATCH($B768,'TRANS'!$A:$A,0)),IFERROR(INDEX('Catalog'!$B:$B,MATCH($G768,'Catalog'!$A:$A,0)),$B768))</f>
        <v>11EU XXL חגורת בטןלאחר ניתוח</v>
      </c>
      <c r="I768" s="7" t="str">
        <f aca="false">IF($G768="","Unmatched","Matched")</f>
        <v>Matched</v>
      </c>
      <c r="J768" s="7" t="n">
        <f aca="false">IF($G768&lt;&gt;"",$G768,$B768)</f>
        <v>4408132</v>
      </c>
      <c r="K768" s="7" t="str">
        <f aca="false">IF(COUNTIF($O$2:$O$16,$A768)&gt;0,"Y","N")</f>
        <v>Y</v>
      </c>
    </row>
    <row r="769" customFormat="false" ht="15" hidden="false" customHeight="false" outlineLevel="0" collapsed="false">
      <c r="A769" s="7" t="s">
        <v>37</v>
      </c>
      <c r="B769" s="7" t="s">
        <v>131</v>
      </c>
      <c r="C769" s="8" t="n">
        <v>10</v>
      </c>
      <c r="D769" s="8" t="n">
        <v>626.27</v>
      </c>
      <c r="E769" s="8" t="n">
        <v>6</v>
      </c>
      <c r="F769" s="8" t="n">
        <v>324.31</v>
      </c>
      <c r="G769" s="7" t="str">
        <f aca="false">IFERROR(INDEX('TRANS'!$B:$B,MATCH($B769,'TRANS'!$A:$A,0)),IFERROR(INDEX('TRANS'!$B:$B,MATCH(TRIM(SUBSTITUTE($B769,CHAR(160)," ")),'TRANS'!$D:$D,0)),IFERROR(INDEX('Catalog'!$A:$A,MATCH($B769,'Catalog'!$B:$B,0)),IFERROR(INDEX('Catalog'!$A:$A,MATCH(TRIM(SUBSTITUTE($B769,CHAR(160)," ")),'Catalog'!$C:$C,0)),""))))</f>
        <v/>
      </c>
      <c r="H769" s="7" t="str">
        <f aca="false">IFERROR(INDEX('TRANS'!$C:$C,MATCH($B769,'TRANS'!$A:$A,0)),IFERROR(INDEX('Catalog'!$B:$B,MATCH($G769,'Catalog'!$A:$A,0)),$B769))</f>
        <v>13 L</v>
      </c>
      <c r="I769" s="7" t="str">
        <f aca="false">IF($G769="","Unmatched","Matched")</f>
        <v>Unmatched</v>
      </c>
      <c r="J769" s="7" t="str">
        <f aca="false">IF($G769&lt;&gt;"",$G769,$B769)</f>
        <v>13 L</v>
      </c>
      <c r="K769" s="7" t="str">
        <f aca="false">IF(COUNTIF($O$2:$O$16,$A769)&gt;0,"Y","N")</f>
        <v>Y</v>
      </c>
    </row>
    <row r="770" customFormat="false" ht="15" hidden="false" customHeight="false" outlineLevel="0" collapsed="false">
      <c r="A770" s="7" t="s">
        <v>37</v>
      </c>
      <c r="B770" s="7" t="s">
        <v>153</v>
      </c>
      <c r="C770" s="8" t="n">
        <v>2</v>
      </c>
      <c r="D770" s="8" t="n">
        <v>122.65</v>
      </c>
      <c r="E770" s="8" t="n">
        <v>3</v>
      </c>
      <c r="F770" s="8" t="n">
        <v>162.16</v>
      </c>
      <c r="G770" s="7" t="str">
        <f aca="false">IFERROR(INDEX('TRANS'!$B:$B,MATCH($B770,'TRANS'!$A:$A,0)),IFERROR(INDEX('TRANS'!$B:$B,MATCH(TRIM(SUBSTITUTE($B770,CHAR(160)," ")),'TRANS'!$D:$D,0)),IFERROR(INDEX('Catalog'!$A:$A,MATCH($B770,'Catalog'!$B:$B,0)),IFERROR(INDEX('Catalog'!$A:$A,MATCH(TRIM(SUBSTITUTE($B770,CHAR(160)," ")),'Catalog'!$C:$C,0)),""))))</f>
        <v/>
      </c>
      <c r="H770" s="7" t="str">
        <f aca="false">IFERROR(INDEX('TRANS'!$C:$C,MATCH($B770,'TRANS'!$A:$A,0)),IFERROR(INDEX('Catalog'!$B:$B,MATCH($G770,'Catalog'!$A:$A,0)),$B770))</f>
        <v>13 M</v>
      </c>
      <c r="I770" s="7" t="str">
        <f aca="false">IF($G770="","Unmatched","Matched")</f>
        <v>Unmatched</v>
      </c>
      <c r="J770" s="7" t="str">
        <f aca="false">IF($G770&lt;&gt;"",$G770,$B770)</f>
        <v>13 M</v>
      </c>
      <c r="K770" s="7" t="str">
        <f aca="false">IF(COUNTIF($O$2:$O$16,$A770)&gt;0,"Y","N")</f>
        <v>Y</v>
      </c>
    </row>
    <row r="771" customFormat="false" ht="15" hidden="false" customHeight="false" outlineLevel="0" collapsed="false">
      <c r="A771" s="7" t="s">
        <v>37</v>
      </c>
      <c r="B771" s="7" t="s">
        <v>630</v>
      </c>
      <c r="C771" s="8" t="n">
        <v>10</v>
      </c>
      <c r="D771" s="8" t="n">
        <v>639.27</v>
      </c>
      <c r="E771" s="8" t="n">
        <v>6</v>
      </c>
      <c r="F771" s="8" t="n">
        <v>324.31</v>
      </c>
      <c r="G771" s="7" t="n">
        <f aca="false">IFERROR(INDEX('TRANS'!$B:$B,MATCH($B771,'TRANS'!$A:$A,0)),IFERROR(INDEX('TRANS'!$B:$B,MATCH(TRIM(SUBSTITUTE($B771,CHAR(160)," ")),'TRANS'!$D:$D,0)),IFERROR(INDEX('Catalog'!$A:$A,MATCH($B771,'Catalog'!$B:$B,0)),IFERROR(INDEX('Catalog'!$A:$A,MATCH(TRIM(SUBSTITUTE($B771,CHAR(160)," ")),'Catalog'!$C:$C,0)),""))))</f>
        <v>4408179</v>
      </c>
      <c r="H771" s="7" t="str">
        <f aca="false">IFERROR(INDEX('TRANS'!$C:$C,MATCH($B771,'TRANS'!$A:$A,0)),IFERROR(INDEX('Catalog'!$B:$B,MATCH($G771,'Catalog'!$A:$A,0)),$B771))</f>
        <v>13 XL חגורה לשבר טבור</v>
      </c>
      <c r="I771" s="7" t="str">
        <f aca="false">IF($G771="","Unmatched","Matched")</f>
        <v>Matched</v>
      </c>
      <c r="J771" s="7" t="n">
        <f aca="false">IF($G771&lt;&gt;"",$G771,$B771)</f>
        <v>4408179</v>
      </c>
      <c r="K771" s="7" t="str">
        <f aca="false">IF(COUNTIF($O$2:$O$16,$A771)&gt;0,"Y","N")</f>
        <v>Y</v>
      </c>
    </row>
    <row r="772" customFormat="false" ht="15" hidden="false" customHeight="false" outlineLevel="0" collapsed="false">
      <c r="A772" s="7" t="s">
        <v>37</v>
      </c>
      <c r="B772" s="7" t="s">
        <v>631</v>
      </c>
      <c r="C772" s="8" t="n">
        <v>8</v>
      </c>
      <c r="D772" s="8" t="n">
        <v>516.62</v>
      </c>
      <c r="E772" s="8" t="n">
        <v>4</v>
      </c>
      <c r="F772" s="8" t="n">
        <v>216.21</v>
      </c>
      <c r="G772" s="7" t="n">
        <f aca="false">IFERROR(INDEX('TRANS'!$B:$B,MATCH($B772,'TRANS'!$A:$A,0)),IFERROR(INDEX('TRANS'!$B:$B,MATCH(TRIM(SUBSTITUTE($B772,CHAR(160)," ")),'TRANS'!$D:$D,0)),IFERROR(INDEX('Catalog'!$A:$A,MATCH($B772,'Catalog'!$B:$B,0)),IFERROR(INDEX('Catalog'!$A:$A,MATCH(TRIM(SUBSTITUTE($B772,CHAR(160)," ")),'Catalog'!$C:$C,0)),""))))</f>
        <v>4408180</v>
      </c>
      <c r="H772" s="7" t="str">
        <f aca="false">IFERROR(INDEX('TRANS'!$C:$C,MATCH($B772,'TRANS'!$A:$A,0)),IFERROR(INDEX('Catalog'!$B:$B,MATCH($G772,'Catalog'!$A:$A,0)),$B772))</f>
        <v>13 XXL חגורה לשבר טבור</v>
      </c>
      <c r="I772" s="7" t="str">
        <f aca="false">IF($G772="","Unmatched","Matched")</f>
        <v>Matched</v>
      </c>
      <c r="J772" s="7" t="n">
        <f aca="false">IF($G772&lt;&gt;"",$G772,$B772)</f>
        <v>4408180</v>
      </c>
      <c r="K772" s="7" t="str">
        <f aca="false">IF(COUNTIF($O$2:$O$16,$A772)&gt;0,"Y","N")</f>
        <v>Y</v>
      </c>
    </row>
    <row r="773" customFormat="false" ht="15" hidden="false" customHeight="false" outlineLevel="0" collapsed="false">
      <c r="A773" s="7" t="s">
        <v>37</v>
      </c>
      <c r="B773" s="7" t="s">
        <v>616</v>
      </c>
      <c r="C773" s="8" t="n">
        <v>0</v>
      </c>
      <c r="D773" s="8" t="n">
        <v>0</v>
      </c>
      <c r="E773" s="8" t="n">
        <v>3</v>
      </c>
      <c r="F773" s="8" t="n">
        <v>136.21</v>
      </c>
      <c r="G773" s="7" t="n">
        <f aca="false">IFERROR(INDEX('TRANS'!$B:$B,MATCH($B773,'TRANS'!$A:$A,0)),IFERROR(INDEX('TRANS'!$B:$B,MATCH(TRIM(SUBSTITUTE($B773,CHAR(160)," ")),'TRANS'!$D:$D,0)),IFERROR(INDEX('Catalog'!$A:$A,MATCH($B773,'Catalog'!$B:$B,0)),IFERROR(INDEX('Catalog'!$A:$A,MATCH(TRIM(SUBSTITUTE($B773,CHAR(160)," ")),'Catalog'!$C:$C,0)),""))))</f>
        <v>4408131</v>
      </c>
      <c r="H773" s="7" t="str">
        <f aca="false">IFERROR(INDEX('TRANS'!$C:$C,MATCH($B773,'TRANS'!$A:$A,0)),IFERROR(INDEX('Catalog'!$B:$B,MATCH($G773,'Catalog'!$A:$A,0)),$B773))</f>
        <v>15W L חגורת צלעות לאשה</v>
      </c>
      <c r="I773" s="7" t="str">
        <f aca="false">IF($G773="","Unmatched","Matched")</f>
        <v>Matched</v>
      </c>
      <c r="J773" s="7" t="n">
        <f aca="false">IF($G773&lt;&gt;"",$G773,$B773)</f>
        <v>4408131</v>
      </c>
      <c r="K773" s="7" t="str">
        <f aca="false">IF(COUNTIF($O$2:$O$16,$A773)&gt;0,"Y","N")</f>
        <v>Y</v>
      </c>
    </row>
    <row r="774" customFormat="false" ht="15" hidden="false" customHeight="false" outlineLevel="0" collapsed="false">
      <c r="A774" s="7" t="s">
        <v>37</v>
      </c>
      <c r="B774" s="7" t="s">
        <v>114</v>
      </c>
      <c r="C774" s="8" t="n">
        <v>0</v>
      </c>
      <c r="D774" s="8" t="n">
        <v>0</v>
      </c>
      <c r="E774" s="8" t="n">
        <v>2</v>
      </c>
      <c r="F774" s="8" t="n">
        <v>90.81</v>
      </c>
      <c r="G774" s="7" t="str">
        <f aca="false">IFERROR(INDEX('TRANS'!$B:$B,MATCH($B774,'TRANS'!$A:$A,0)),IFERROR(INDEX('TRANS'!$B:$B,MATCH(TRIM(SUBSTITUTE($B774,CHAR(160)," ")),'TRANS'!$D:$D,0)),IFERROR(INDEX('Catalog'!$A:$A,MATCH($B774,'Catalog'!$B:$B,0)),IFERROR(INDEX('Catalog'!$A:$A,MATCH(TRIM(SUBSTITUTE($B774,CHAR(160)," ")),'Catalog'!$C:$C,0)),""))))</f>
        <v/>
      </c>
      <c r="H774" s="7" t="str">
        <f aca="false">IFERROR(INDEX('TRANS'!$C:$C,MATCH($B774,'TRANS'!$A:$A,0)),IFERROR(INDEX('Catalog'!$B:$B,MATCH($G774,'Catalog'!$A:$A,0)),$B774))</f>
        <v>15W S</v>
      </c>
      <c r="I774" s="7" t="str">
        <f aca="false">IF($G774="","Unmatched","Matched")</f>
        <v>Unmatched</v>
      </c>
      <c r="J774" s="7" t="str">
        <f aca="false">IF($G774&lt;&gt;"",$G774,$B774)</f>
        <v>15W S</v>
      </c>
      <c r="K774" s="7" t="str">
        <f aca="false">IF(COUNTIF($O$2:$O$16,$A774)&gt;0,"Y","N")</f>
        <v>Y</v>
      </c>
    </row>
    <row r="775" customFormat="false" ht="15" hidden="false" customHeight="false" outlineLevel="0" collapsed="false">
      <c r="A775" s="7" t="s">
        <v>37</v>
      </c>
      <c r="B775" s="7" t="s">
        <v>418</v>
      </c>
      <c r="C775" s="8" t="n">
        <v>2</v>
      </c>
      <c r="D775" s="8" t="n">
        <v>102.13</v>
      </c>
      <c r="E775" s="8" t="n">
        <v>4</v>
      </c>
      <c r="F775" s="8" t="n">
        <v>170.97</v>
      </c>
      <c r="G775" s="7" t="n">
        <f aca="false">IFERROR(INDEX('TRANS'!$B:$B,MATCH($B775,'TRANS'!$A:$A,0)),IFERROR(INDEX('TRANS'!$B:$B,MATCH(TRIM(SUBSTITUTE($B775,CHAR(160)," ")),'TRANS'!$D:$D,0)),IFERROR(INDEX('Catalog'!$A:$A,MATCH($B775,'Catalog'!$B:$B,0)),IFERROR(INDEX('Catalog'!$A:$A,MATCH(TRIM(SUBSTITUTE($B775,CHAR(160)," ")),'Catalog'!$C:$C,0)),""))))</f>
        <v>4408232</v>
      </c>
      <c r="H775" s="7" t="str">
        <f aca="false">IFERROR(INDEX('TRANS'!$C:$C,MATCH($B775,'TRANS'!$A:$A,0)),IFERROR(INDEX('Catalog'!$B:$B,MATCH($G775,'Catalog'!$A:$A,0)),$B775))</f>
        <v>16 XXL חגורת הריון</v>
      </c>
      <c r="I775" s="7" t="str">
        <f aca="false">IF($G775="","Unmatched","Matched")</f>
        <v>Matched</v>
      </c>
      <c r="J775" s="7" t="n">
        <f aca="false">IF($G775&lt;&gt;"",$G775,$B775)</f>
        <v>4408232</v>
      </c>
      <c r="K775" s="7" t="str">
        <f aca="false">IF(COUNTIF($O$2:$O$16,$A775)&gt;0,"Y","N")</f>
        <v>Y</v>
      </c>
    </row>
    <row r="776" customFormat="false" ht="15" hidden="false" customHeight="false" outlineLevel="0" collapsed="false">
      <c r="A776" s="7" t="s">
        <v>37</v>
      </c>
      <c r="B776" s="7" t="s">
        <v>285</v>
      </c>
      <c r="C776" s="8" t="n">
        <v>0</v>
      </c>
      <c r="D776" s="8" t="n">
        <v>0</v>
      </c>
      <c r="E776" s="8" t="n">
        <v>4</v>
      </c>
      <c r="F776" s="8" t="n">
        <v>170.97</v>
      </c>
      <c r="G776" s="7" t="n">
        <f aca="false">IFERROR(INDEX('TRANS'!$B:$B,MATCH($B776,'TRANS'!$A:$A,0)),IFERROR(INDEX('TRANS'!$B:$B,MATCH(TRIM(SUBSTITUTE($B776,CHAR(160)," ")),'TRANS'!$D:$D,0)),IFERROR(INDEX('Catalog'!$A:$A,MATCH($B776,'Catalog'!$B:$B,0)),IFERROR(INDEX('Catalog'!$A:$A,MATCH(TRIM(SUBSTITUTE($B776,CHAR(160)," ")),'Catalog'!$C:$C,0)),""))))</f>
        <v>4408230</v>
      </c>
      <c r="H776" s="7" t="str">
        <f aca="false">IFERROR(INDEX('TRANS'!$C:$C,MATCH($B776,'TRANS'!$A:$A,0)),IFERROR(INDEX('Catalog'!$B:$B,MATCH($G776,'Catalog'!$A:$A,0)),$B776))</f>
        <v>16 L-XL חגורת הריון</v>
      </c>
      <c r="I776" s="7" t="str">
        <f aca="false">IF($G776="","Unmatched","Matched")</f>
        <v>Matched</v>
      </c>
      <c r="J776" s="7" t="n">
        <f aca="false">IF($G776&lt;&gt;"",$G776,$B776)</f>
        <v>4408230</v>
      </c>
      <c r="K776" s="7" t="str">
        <f aca="false">IF(COUNTIF($O$2:$O$16,$A776)&gt;0,"Y","N")</f>
        <v>Y</v>
      </c>
    </row>
    <row r="777" customFormat="false" ht="15" hidden="false" customHeight="false" outlineLevel="0" collapsed="false">
      <c r="A777" s="7" t="s">
        <v>37</v>
      </c>
      <c r="B777" s="7" t="s">
        <v>286</v>
      </c>
      <c r="C777" s="8" t="n">
        <v>5</v>
      </c>
      <c r="D777" s="8" t="n">
        <v>247.61</v>
      </c>
      <c r="E777" s="8" t="n">
        <v>4</v>
      </c>
      <c r="F777" s="8" t="n">
        <v>170.97</v>
      </c>
      <c r="G777" s="7" t="n">
        <f aca="false">IFERROR(INDEX('TRANS'!$B:$B,MATCH($B777,'TRANS'!$A:$A,0)),IFERROR(INDEX('TRANS'!$B:$B,MATCH(TRIM(SUBSTITUTE($B777,CHAR(160)," ")),'TRANS'!$D:$D,0)),IFERROR(INDEX('Catalog'!$A:$A,MATCH($B777,'Catalog'!$B:$B,0)),IFERROR(INDEX('Catalog'!$A:$A,MATCH(TRIM(SUBSTITUTE($B777,CHAR(160)," ")),'Catalog'!$C:$C,0)),""))))</f>
        <v>4408231</v>
      </c>
      <c r="H777" s="7" t="str">
        <f aca="false">IFERROR(INDEX('TRANS'!$C:$C,MATCH($B777,'TRANS'!$A:$A,0)),IFERROR(INDEX('Catalog'!$B:$B,MATCH($G777,'Catalog'!$A:$A,0)),$B777))</f>
        <v>16 S-M חגורת הריון</v>
      </c>
      <c r="I777" s="7" t="str">
        <f aca="false">IF($G777="","Unmatched","Matched")</f>
        <v>Matched</v>
      </c>
      <c r="J777" s="7" t="n">
        <f aca="false">IF($G777&lt;&gt;"",$G777,$B777)</f>
        <v>4408231</v>
      </c>
      <c r="K777" s="7" t="str">
        <f aca="false">IF(COUNTIF($O$2:$O$16,$A777)&gt;0,"Y","N")</f>
        <v>Y</v>
      </c>
    </row>
    <row r="778" customFormat="false" ht="15" hidden="false" customHeight="false" outlineLevel="0" collapsed="false">
      <c r="A778" s="7" t="s">
        <v>37</v>
      </c>
      <c r="B778" s="7" t="s">
        <v>427</v>
      </c>
      <c r="C778" s="8" t="n">
        <v>20</v>
      </c>
      <c r="D778" s="8" t="n">
        <v>302.17</v>
      </c>
      <c r="E778" s="8" t="n">
        <v>15</v>
      </c>
      <c r="F778" s="8" t="n">
        <v>194.59</v>
      </c>
      <c r="G778" s="7" t="n">
        <f aca="false">IFERROR(INDEX('TRANS'!$B:$B,MATCH($B778,'TRANS'!$A:$A,0)),IFERROR(INDEX('TRANS'!$B:$B,MATCH(TRIM(SUBSTITUTE($B778,CHAR(160)," ")),'TRANS'!$D:$D,0)),IFERROR(INDEX('Catalog'!$A:$A,MATCH($B778,'Catalog'!$B:$B,0)),IFERROR(INDEX('Catalog'!$A:$A,MATCH(TRIM(SUBSTITUTE($B778,CHAR(160)," ")),'Catalog'!$C:$C,0)),""))))</f>
        <v>4415029</v>
      </c>
      <c r="H778" s="7" t="str">
        <f aca="false">IFERROR(INDEX('TRANS'!$C:$C,MATCH($B778,'TRANS'!$A:$A,0)),IFERROR(INDEX('Catalog'!$B:$B,MATCH($G778,'Catalog'!$A:$A,0)),$B778))</f>
        <v>סד קיבוע לאצבע הדק</v>
      </c>
      <c r="I778" s="7" t="str">
        <f aca="false">IF($G778="","Unmatched","Matched")</f>
        <v>Matched</v>
      </c>
      <c r="J778" s="7" t="n">
        <f aca="false">IF($G778&lt;&gt;"",$G778,$B778)</f>
        <v>4415029</v>
      </c>
      <c r="K778" s="7" t="str">
        <f aca="false">IF(COUNTIF($O$2:$O$16,$A778)&gt;0,"Y","N")</f>
        <v>Y</v>
      </c>
    </row>
    <row r="779" customFormat="false" ht="15" hidden="false" customHeight="false" outlineLevel="0" collapsed="false">
      <c r="A779" s="7" t="s">
        <v>37</v>
      </c>
      <c r="B779" s="7" t="s">
        <v>428</v>
      </c>
      <c r="C779" s="8" t="n">
        <v>8</v>
      </c>
      <c r="D779" s="8" t="n">
        <v>76.3</v>
      </c>
      <c r="E779" s="8" t="n">
        <v>5</v>
      </c>
      <c r="F779" s="8" t="n">
        <v>39.92</v>
      </c>
      <c r="G779" s="7" t="n">
        <f aca="false">IFERROR(INDEX('TRANS'!$B:$B,MATCH($B779,'TRANS'!$A:$A,0)),IFERROR(INDEX('TRANS'!$B:$B,MATCH(TRIM(SUBSTITUTE($B779,CHAR(160)," ")),'TRANS'!$D:$D,0)),IFERROR(INDEX('Catalog'!$A:$A,MATCH($B779,'Catalog'!$B:$B,0)),IFERROR(INDEX('Catalog'!$A:$A,MATCH(TRIM(SUBSTITUTE($B779,CHAR(160)," ")),'Catalog'!$C:$C,0)),""))))</f>
        <v>4415162</v>
      </c>
      <c r="H779" s="7" t="str">
        <f aca="false">IFERROR(INDEX('TRANS'!$C:$C,MATCH($B779,'TRANS'!$A:$A,0)),IFERROR(INDEX('Catalog'!$B:$B,MATCH($G779,'Catalog'!$A:$A,0)),$B779))</f>
        <v>238L סד ליישור אצבע</v>
      </c>
      <c r="I779" s="7" t="str">
        <f aca="false">IF($G779="","Unmatched","Matched")</f>
        <v>Matched</v>
      </c>
      <c r="J779" s="7" t="n">
        <f aca="false">IF($G779&lt;&gt;"",$G779,$B779)</f>
        <v>4415162</v>
      </c>
      <c r="K779" s="7" t="str">
        <f aca="false">IF(COUNTIF($O$2:$O$16,$A779)&gt;0,"Y","N")</f>
        <v>Y</v>
      </c>
    </row>
    <row r="780" customFormat="false" ht="15" hidden="false" customHeight="false" outlineLevel="0" collapsed="false">
      <c r="A780" s="7" t="s">
        <v>37</v>
      </c>
      <c r="B780" s="7" t="s">
        <v>429</v>
      </c>
      <c r="C780" s="8" t="n">
        <v>15</v>
      </c>
      <c r="D780" s="8" t="n">
        <v>140.67</v>
      </c>
      <c r="E780" s="8" t="n">
        <v>5</v>
      </c>
      <c r="F780" s="8" t="n">
        <v>39.92</v>
      </c>
      <c r="G780" s="7" t="n">
        <f aca="false">IFERROR(INDEX('TRANS'!$B:$B,MATCH($B780,'TRANS'!$A:$A,0)),IFERROR(INDEX('TRANS'!$B:$B,MATCH(TRIM(SUBSTITUTE($B780,CHAR(160)," ")),'TRANS'!$D:$D,0)),IFERROR(INDEX('Catalog'!$A:$A,MATCH($B780,'Catalog'!$B:$B,0)),IFERROR(INDEX('Catalog'!$A:$A,MATCH(TRIM(SUBSTITUTE($B780,CHAR(160)," ")),'Catalog'!$C:$C,0)),""))))</f>
        <v>4415161</v>
      </c>
      <c r="H780" s="7" t="str">
        <f aca="false">IFERROR(INDEX('TRANS'!$C:$C,MATCH($B780,'TRANS'!$A:$A,0)),IFERROR(INDEX('Catalog'!$B:$B,MATCH($G780,'Catalog'!$A:$A,0)),$B780))</f>
        <v>238M סד ליישור אצבע</v>
      </c>
      <c r="I780" s="7" t="str">
        <f aca="false">IF($G780="","Unmatched","Matched")</f>
        <v>Matched</v>
      </c>
      <c r="J780" s="7" t="n">
        <f aca="false">IF($G780&lt;&gt;"",$G780,$B780)</f>
        <v>4415161</v>
      </c>
      <c r="K780" s="7" t="str">
        <f aca="false">IF(COUNTIF($O$2:$O$16,$A780)&gt;0,"Y","N")</f>
        <v>Y</v>
      </c>
    </row>
    <row r="781" customFormat="false" ht="15" hidden="false" customHeight="false" outlineLevel="0" collapsed="false">
      <c r="A781" s="7" t="s">
        <v>37</v>
      </c>
      <c r="B781" s="7" t="s">
        <v>430</v>
      </c>
      <c r="C781" s="8" t="n">
        <v>23</v>
      </c>
      <c r="D781" s="8" t="n">
        <v>212.16</v>
      </c>
      <c r="E781" s="8" t="n">
        <v>10</v>
      </c>
      <c r="F781" s="8" t="n">
        <v>79.83</v>
      </c>
      <c r="G781" s="7" t="n">
        <f aca="false">IFERROR(INDEX('TRANS'!$B:$B,MATCH($B781,'TRANS'!$A:$A,0)),IFERROR(INDEX('TRANS'!$B:$B,MATCH(TRIM(SUBSTITUTE($B781,CHAR(160)," ")),'TRANS'!$D:$D,0)),IFERROR(INDEX('Catalog'!$A:$A,MATCH($B781,'Catalog'!$B:$B,0)),IFERROR(INDEX('Catalog'!$A:$A,MATCH(TRIM(SUBSTITUTE($B781,CHAR(160)," ")),'Catalog'!$C:$C,0)),""))))</f>
        <v>4415160</v>
      </c>
      <c r="H781" s="7" t="str">
        <f aca="false">IFERROR(INDEX('TRANS'!$C:$C,MATCH($B781,'TRANS'!$A:$A,0)),IFERROR(INDEX('Catalog'!$B:$B,MATCH($G781,'Catalog'!$A:$A,0)),$B781))</f>
        <v>238S סד ליישור אצבע</v>
      </c>
      <c r="I781" s="7" t="str">
        <f aca="false">IF($G781="","Unmatched","Matched")</f>
        <v>Matched</v>
      </c>
      <c r="J781" s="7" t="n">
        <f aca="false">IF($G781&lt;&gt;"",$G781,$B781)</f>
        <v>4415160</v>
      </c>
      <c r="K781" s="7" t="str">
        <f aca="false">IF(COUNTIF($O$2:$O$16,$A781)&gt;0,"Y","N")</f>
        <v>Y</v>
      </c>
    </row>
    <row r="782" customFormat="false" ht="15" hidden="false" customHeight="false" outlineLevel="0" collapsed="false">
      <c r="A782" s="7" t="s">
        <v>37</v>
      </c>
      <c r="B782" s="7" t="s">
        <v>617</v>
      </c>
      <c r="C782" s="8" t="n">
        <v>0</v>
      </c>
      <c r="D782" s="8" t="n">
        <v>0</v>
      </c>
      <c r="E782" s="8" t="n">
        <v>2</v>
      </c>
      <c r="F782" s="8" t="n">
        <v>81.83</v>
      </c>
      <c r="G782" s="7" t="n">
        <f aca="false">IFERROR(INDEX('TRANS'!$B:$B,MATCH($B782,'TRANS'!$A:$A,0)),IFERROR(INDEX('TRANS'!$B:$B,MATCH(TRIM(SUBSTITUTE($B782,CHAR(160)," ")),'TRANS'!$D:$D,0)),IFERROR(INDEX('Catalog'!$A:$A,MATCH($B782,'Catalog'!$B:$B,0)),IFERROR(INDEX('Catalog'!$A:$A,MATCH(TRIM(SUBSTITUTE($B782,CHAR(160)," ")),'Catalog'!$C:$C,0)),""))))</f>
        <v>4415000</v>
      </c>
      <c r="H782" s="7" t="str">
        <f aca="false">IFERROR(INDEX('TRANS'!$C:$C,MATCH($B782,'TRANS'!$A:$A,0)),IFERROR(INDEX('Catalog'!$B:$B,MATCH($G782,'Catalog'!$A:$A,0)),$B782))</f>
        <v>26 L סד ליד דו צדדי לאחר שבר</v>
      </c>
      <c r="I782" s="7" t="str">
        <f aca="false">IF($G782="","Unmatched","Matched")</f>
        <v>Matched</v>
      </c>
      <c r="J782" s="7" t="n">
        <f aca="false">IF($G782&lt;&gt;"",$G782,$B782)</f>
        <v>4415000</v>
      </c>
      <c r="K782" s="7" t="str">
        <f aca="false">IF(COUNTIF($O$2:$O$16,$A782)&gt;0,"Y","N")</f>
        <v>Y</v>
      </c>
    </row>
    <row r="783" customFormat="false" ht="15" hidden="false" customHeight="false" outlineLevel="0" collapsed="false">
      <c r="A783" s="7" t="s">
        <v>37</v>
      </c>
      <c r="B783" s="7" t="s">
        <v>618</v>
      </c>
      <c r="C783" s="8" t="n">
        <v>4</v>
      </c>
      <c r="D783" s="8" t="n">
        <v>185.68</v>
      </c>
      <c r="E783" s="8" t="n">
        <v>4</v>
      </c>
      <c r="F783" s="8" t="n">
        <v>163.65</v>
      </c>
      <c r="G783" s="7" t="n">
        <f aca="false">IFERROR(INDEX('TRANS'!$B:$B,MATCH($B783,'TRANS'!$A:$A,0)),IFERROR(INDEX('TRANS'!$B:$B,MATCH(TRIM(SUBSTITUTE($B783,CHAR(160)," ")),'TRANS'!$D:$D,0)),IFERROR(INDEX('Catalog'!$A:$A,MATCH($B783,'Catalog'!$B:$B,0)),IFERROR(INDEX('Catalog'!$A:$A,MATCH(TRIM(SUBSTITUTE($B783,CHAR(160)," ")),'Catalog'!$C:$C,0)),""))))</f>
        <v>4415001</v>
      </c>
      <c r="H783" s="7" t="str">
        <f aca="false">IFERROR(INDEX('TRANS'!$C:$C,MATCH($B783,'TRANS'!$A:$A,0)),IFERROR(INDEX('Catalog'!$B:$B,MATCH($G783,'Catalog'!$A:$A,0)),$B783))</f>
        <v>26 M סד ליד דו צדדי לאחר שבר</v>
      </c>
      <c r="I783" s="7" t="str">
        <f aca="false">IF($G783="","Unmatched","Matched")</f>
        <v>Matched</v>
      </c>
      <c r="J783" s="7" t="n">
        <f aca="false">IF($G783&lt;&gt;"",$G783,$B783)</f>
        <v>4415001</v>
      </c>
      <c r="K783" s="7" t="str">
        <f aca="false">IF(COUNTIF($O$2:$O$16,$A783)&gt;0,"Y","N")</f>
        <v>Y</v>
      </c>
    </row>
    <row r="784" customFormat="false" ht="15" hidden="false" customHeight="false" outlineLevel="0" collapsed="false">
      <c r="A784" s="7" t="s">
        <v>37</v>
      </c>
      <c r="B784" s="7" t="s">
        <v>619</v>
      </c>
      <c r="C784" s="8" t="n">
        <v>2</v>
      </c>
      <c r="D784" s="8" t="n">
        <v>92.84</v>
      </c>
      <c r="E784" s="8" t="n">
        <v>0</v>
      </c>
      <c r="F784" s="8" t="n">
        <v>0</v>
      </c>
      <c r="G784" s="7" t="n">
        <f aca="false">IFERROR(INDEX('TRANS'!$B:$B,MATCH($B784,'TRANS'!$A:$A,0)),IFERROR(INDEX('TRANS'!$B:$B,MATCH(TRIM(SUBSTITUTE($B784,CHAR(160)," ")),'TRANS'!$D:$D,0)),IFERROR(INDEX('Catalog'!$A:$A,MATCH($B784,'Catalog'!$B:$B,0)),IFERROR(INDEX('Catalog'!$A:$A,MATCH(TRIM(SUBSTITUTE($B784,CHAR(160)," ")),'Catalog'!$C:$C,0)),""))))</f>
        <v>4415002</v>
      </c>
      <c r="H784" s="7" t="str">
        <f aca="false">IFERROR(INDEX('TRANS'!$C:$C,MATCH($B784,'TRANS'!$A:$A,0)),IFERROR(INDEX('Catalog'!$B:$B,MATCH($G784,'Catalog'!$A:$A,0)),$B784))</f>
        <v>26 S סד ליד דו צדדי לאחר שבר</v>
      </c>
      <c r="I784" s="7" t="str">
        <f aca="false">IF($G784="","Unmatched","Matched")</f>
        <v>Matched</v>
      </c>
      <c r="J784" s="7" t="n">
        <f aca="false">IF($G784&lt;&gt;"",$G784,$B784)</f>
        <v>4415002</v>
      </c>
      <c r="K784" s="7" t="str">
        <f aca="false">IF(COUNTIF($O$2:$O$16,$A784)&gt;0,"Y","N")</f>
        <v>Y</v>
      </c>
    </row>
    <row r="785" customFormat="false" ht="15" hidden="false" customHeight="false" outlineLevel="0" collapsed="false">
      <c r="A785" s="7" t="s">
        <v>37</v>
      </c>
      <c r="B785" s="7" t="s">
        <v>393</v>
      </c>
      <c r="C785" s="8" t="n">
        <v>30</v>
      </c>
      <c r="D785" s="8" t="n">
        <v>751.09</v>
      </c>
      <c r="E785" s="8" t="n">
        <v>10</v>
      </c>
      <c r="F785" s="8" t="n">
        <v>209.56</v>
      </c>
      <c r="G785" s="7" t="n">
        <f aca="false">IFERROR(INDEX('TRANS'!$B:$B,MATCH($B785,'TRANS'!$A:$A,0)),IFERROR(INDEX('TRANS'!$B:$B,MATCH(TRIM(SUBSTITUTE($B785,CHAR(160)," ")),'TRANS'!$D:$D,0)),IFERROR(INDEX('Catalog'!$A:$A,MATCH($B785,'Catalog'!$B:$B,0)),IFERROR(INDEX('Catalog'!$A:$A,MATCH(TRIM(SUBSTITUTE($B785,CHAR(160)," ")),'Catalog'!$C:$C,0)),""))))</f>
        <v>4415158</v>
      </c>
      <c r="H785" s="7" t="str">
        <f aca="false">IFERROR(INDEX('TRANS'!$C:$C,MATCH($B785,'TRANS'!$A:$A,0)),IFERROR(INDEX('Catalog'!$B:$B,MATCH($G785,'Catalog'!$A:$A,0)),$B785))</f>
        <v>266 סד ליד דו צדדי</v>
      </c>
      <c r="I785" s="7" t="str">
        <f aca="false">IF($G785="","Unmatched","Matched")</f>
        <v>Matched</v>
      </c>
      <c r="J785" s="7" t="n">
        <f aca="false">IF($G785&lt;&gt;"",$G785,$B785)</f>
        <v>4415158</v>
      </c>
      <c r="K785" s="7" t="str">
        <f aca="false">IF(COUNTIF($O$2:$O$16,$A785)&gt;0,"Y","N")</f>
        <v>Y</v>
      </c>
    </row>
    <row r="786" customFormat="false" ht="15" hidden="false" customHeight="false" outlineLevel="0" collapsed="false">
      <c r="A786" s="7" t="s">
        <v>37</v>
      </c>
      <c r="B786" s="7" t="s">
        <v>434</v>
      </c>
      <c r="C786" s="8" t="n">
        <v>10</v>
      </c>
      <c r="D786" s="8" t="n">
        <v>367.96</v>
      </c>
      <c r="E786" s="8" t="n">
        <v>10</v>
      </c>
      <c r="F786" s="8" t="n">
        <v>324.31</v>
      </c>
      <c r="G786" s="7" t="n">
        <f aca="false">IFERROR(INDEX('TRANS'!$B:$B,MATCH($B786,'TRANS'!$A:$A,0)),IFERROR(INDEX('TRANS'!$B:$B,MATCH(TRIM(SUBSTITUTE($B786,CHAR(160)," ")),'TRANS'!$D:$D,0)),IFERROR(INDEX('Catalog'!$A:$A,MATCH($B786,'Catalog'!$B:$B,0)),IFERROR(INDEX('Catalog'!$A:$A,MATCH(TRIM(SUBSTITUTE($B786,CHAR(160)," ")),'Catalog'!$C:$C,0)),""))))</f>
        <v>4415159</v>
      </c>
      <c r="H786" s="7" t="str">
        <f aca="false">IFERROR(INDEX('TRANS'!$C:$C,MATCH($B786,'TRANS'!$A:$A,0)),IFERROR(INDEX('Catalog'!$B:$B,MATCH($G786,'Catalog'!$A:$A,0)),$B786))</f>
        <v>268 סד לאגודל</v>
      </c>
      <c r="I786" s="7" t="str">
        <f aca="false">IF($G786="","Unmatched","Matched")</f>
        <v>Matched</v>
      </c>
      <c r="J786" s="7" t="n">
        <f aca="false">IF($G786&lt;&gt;"",$G786,$B786)</f>
        <v>4415159</v>
      </c>
      <c r="K786" s="7" t="str">
        <f aca="false">IF(COUNTIF($O$2:$O$16,$A786)&gt;0,"Y","N")</f>
        <v>Y</v>
      </c>
    </row>
    <row r="787" customFormat="false" ht="15" hidden="false" customHeight="false" outlineLevel="0" collapsed="false">
      <c r="A787" s="7" t="s">
        <v>37</v>
      </c>
      <c r="B787" s="7" t="s">
        <v>436</v>
      </c>
      <c r="C787" s="8" t="n">
        <v>10</v>
      </c>
      <c r="D787" s="8" t="n">
        <v>396.96</v>
      </c>
      <c r="E787" s="8" t="n">
        <v>4</v>
      </c>
      <c r="F787" s="8" t="n">
        <v>137.04</v>
      </c>
      <c r="G787" s="7" t="n">
        <f aca="false">IFERROR(INDEX('TRANS'!$B:$B,MATCH($B787,'TRANS'!$A:$A,0)),IFERROR(INDEX('TRANS'!$B:$B,MATCH(TRIM(SUBSTITUTE($B787,CHAR(160)," ")),'TRANS'!$D:$D,0)),IFERROR(INDEX('Catalog'!$A:$A,MATCH($B787,'Catalog'!$B:$B,0)),IFERROR(INDEX('Catalog'!$A:$A,MATCH(TRIM(SUBSTITUTE($B787,CHAR(160)," ")),'Catalog'!$C:$C,0)),""))))</f>
        <v>4415006</v>
      </c>
      <c r="H787" s="7" t="str">
        <f aca="false">IFERROR(INDEX('TRANS'!$C:$C,MATCH($B787,'TRANS'!$A:$A,0)),IFERROR(INDEX('Catalog'!$B:$B,MATCH($G787,'Catalog'!$A:$A,0)),$B787))</f>
        <v>28 M סד לאגודל לאחר שבר</v>
      </c>
      <c r="I787" s="7" t="str">
        <f aca="false">IF($G787="","Unmatched","Matched")</f>
        <v>Matched</v>
      </c>
      <c r="J787" s="7" t="n">
        <f aca="false">IF($G787&lt;&gt;"",$G787,$B787)</f>
        <v>4415006</v>
      </c>
      <c r="K787" s="7" t="str">
        <f aca="false">IF(COUNTIF($O$2:$O$16,$A787)&gt;0,"Y","N")</f>
        <v>Y</v>
      </c>
    </row>
    <row r="788" customFormat="false" ht="15" hidden="false" customHeight="false" outlineLevel="0" collapsed="false">
      <c r="A788" s="7" t="s">
        <v>37</v>
      </c>
      <c r="B788" s="7" t="s">
        <v>437</v>
      </c>
      <c r="C788" s="8" t="n">
        <v>2</v>
      </c>
      <c r="D788" s="8" t="n">
        <v>77.74</v>
      </c>
      <c r="E788" s="8" t="n">
        <v>2</v>
      </c>
      <c r="F788" s="8" t="n">
        <v>68.52</v>
      </c>
      <c r="G788" s="7" t="n">
        <f aca="false">IFERROR(INDEX('TRANS'!$B:$B,MATCH($B788,'TRANS'!$A:$A,0)),IFERROR(INDEX('TRANS'!$B:$B,MATCH(TRIM(SUBSTITUTE($B788,CHAR(160)," ")),'TRANS'!$D:$D,0)),IFERROR(INDEX('Catalog'!$A:$A,MATCH($B788,'Catalog'!$B:$B,0)),IFERROR(INDEX('Catalog'!$A:$A,MATCH(TRIM(SUBSTITUTE($B788,CHAR(160)," ")),'Catalog'!$C:$C,0)),""))))</f>
        <v>4415007</v>
      </c>
      <c r="H788" s="7" t="str">
        <f aca="false">IFERROR(INDEX('TRANS'!$C:$C,MATCH($B788,'TRANS'!$A:$A,0)),IFERROR(INDEX('Catalog'!$B:$B,MATCH($G788,'Catalog'!$A:$A,0)),$B788))</f>
        <v>28 S סד לאגודל לאחר שבר</v>
      </c>
      <c r="I788" s="7" t="str">
        <f aca="false">IF($G788="","Unmatched","Matched")</f>
        <v>Matched</v>
      </c>
      <c r="J788" s="7" t="n">
        <f aca="false">IF($G788&lt;&gt;"",$G788,$B788)</f>
        <v>4415007</v>
      </c>
      <c r="K788" s="7" t="str">
        <f aca="false">IF(COUNTIF($O$2:$O$16,$A788)&gt;0,"Y","N")</f>
        <v>Y</v>
      </c>
    </row>
    <row r="789" customFormat="false" ht="15" hidden="false" customHeight="false" outlineLevel="0" collapsed="false">
      <c r="A789" s="7" t="s">
        <v>37</v>
      </c>
      <c r="B789" s="7" t="s">
        <v>210</v>
      </c>
      <c r="C789" s="8" t="n">
        <v>15</v>
      </c>
      <c r="D789" s="8" t="n">
        <v>503.7</v>
      </c>
      <c r="E789" s="8" t="n">
        <v>0</v>
      </c>
      <c r="F789" s="8" t="n">
        <v>0</v>
      </c>
      <c r="G789" s="7" t="str">
        <f aca="false">IFERROR(INDEX('TRANS'!$B:$B,MATCH($B789,'TRANS'!$A:$A,0)),IFERROR(INDEX('TRANS'!$B:$B,MATCH(TRIM(SUBSTITUTE($B789,CHAR(160)," ")),'TRANS'!$D:$D,0)),IFERROR(INDEX('Catalog'!$A:$A,MATCH($B789,'Catalog'!$B:$B,0)),IFERROR(INDEX('Catalog'!$A:$A,MATCH(TRIM(SUBSTITUTE($B789,CHAR(160)," ")),'Catalog'!$C:$C,0)),""))))</f>
        <v/>
      </c>
      <c r="H789" s="7" t="str">
        <f aca="false">IFERROR(INDEX('TRANS'!$C:$C,MATCH($B789,'TRANS'!$A:$A,0)),IFERROR(INDEX('Catalog'!$B:$B,MATCH($G789,'Catalog'!$A:$A,0)),$B789))</f>
        <v>30 L</v>
      </c>
      <c r="I789" s="7" t="str">
        <f aca="false">IF($G789="","Unmatched","Matched")</f>
        <v>Unmatched</v>
      </c>
      <c r="J789" s="7" t="str">
        <f aca="false">IF($G789&lt;&gt;"",$G789,$B789)</f>
        <v>30 L</v>
      </c>
      <c r="K789" s="7" t="str">
        <f aca="false">IF(COUNTIF($O$2:$O$16,$A789)&gt;0,"Y","N")</f>
        <v>Y</v>
      </c>
    </row>
    <row r="790" customFormat="false" ht="15" hidden="false" customHeight="false" outlineLevel="0" collapsed="false">
      <c r="A790" s="7" t="s">
        <v>37</v>
      </c>
      <c r="B790" s="7" t="s">
        <v>211</v>
      </c>
      <c r="C790" s="8" t="n">
        <v>15</v>
      </c>
      <c r="D790" s="8" t="n">
        <v>503.7</v>
      </c>
      <c r="E790" s="8" t="n">
        <v>0</v>
      </c>
      <c r="F790" s="8" t="n">
        <v>0</v>
      </c>
      <c r="G790" s="7" t="str">
        <f aca="false">IFERROR(INDEX('TRANS'!$B:$B,MATCH($B790,'TRANS'!$A:$A,0)),IFERROR(INDEX('TRANS'!$B:$B,MATCH(TRIM(SUBSTITUTE($B790,CHAR(160)," ")),'TRANS'!$D:$D,0)),IFERROR(INDEX('Catalog'!$A:$A,MATCH($B790,'Catalog'!$B:$B,0)),IFERROR(INDEX('Catalog'!$A:$A,MATCH(TRIM(SUBSTITUTE($B790,CHAR(160)," ")),'Catalog'!$C:$C,0)),""))))</f>
        <v/>
      </c>
      <c r="H790" s="7" t="str">
        <f aca="false">IFERROR(INDEX('TRANS'!$C:$C,MATCH($B790,'TRANS'!$A:$A,0)),IFERROR(INDEX('Catalog'!$B:$B,MATCH($G790,'Catalog'!$A:$A,0)),$B790))</f>
        <v>30 M</v>
      </c>
      <c r="I790" s="7" t="str">
        <f aca="false">IF($G790="","Unmatched","Matched")</f>
        <v>Unmatched</v>
      </c>
      <c r="J790" s="7" t="str">
        <f aca="false">IF($G790&lt;&gt;"",$G790,$B790)</f>
        <v>30 M</v>
      </c>
      <c r="K790" s="7" t="str">
        <f aca="false">IF(COUNTIF($O$2:$O$16,$A790)&gt;0,"Y","N")</f>
        <v>Y</v>
      </c>
    </row>
    <row r="791" customFormat="false" ht="15" hidden="false" customHeight="false" outlineLevel="0" collapsed="false">
      <c r="A791" s="7" t="s">
        <v>37</v>
      </c>
      <c r="B791" s="7" t="s">
        <v>146</v>
      </c>
      <c r="C791" s="8" t="n">
        <v>0</v>
      </c>
      <c r="D791" s="8" t="n">
        <v>0</v>
      </c>
      <c r="E791" s="8" t="n">
        <v>4</v>
      </c>
      <c r="F791" s="8" t="n">
        <v>112.43</v>
      </c>
      <c r="G791" s="7" t="str">
        <f aca="false">IFERROR(INDEX('TRANS'!$B:$B,MATCH($B791,'TRANS'!$A:$A,0)),IFERROR(INDEX('TRANS'!$B:$B,MATCH(TRIM(SUBSTITUTE($B791,CHAR(160)," ")),'TRANS'!$D:$D,0)),IFERROR(INDEX('Catalog'!$A:$A,MATCH($B791,'Catalog'!$B:$B,0)),IFERROR(INDEX('Catalog'!$A:$A,MATCH(TRIM(SUBSTITUTE($B791,CHAR(160)," ")),'Catalog'!$C:$C,0)),""))))</f>
        <v/>
      </c>
      <c r="H791" s="7" t="str">
        <f aca="false">IFERROR(INDEX('TRANS'!$C:$C,MATCH($B791,'TRANS'!$A:$A,0)),IFERROR(INDEX('Catalog'!$B:$B,MATCH($G791,'Catalog'!$A:$A,0)),$B791))</f>
        <v>30 S</v>
      </c>
      <c r="I791" s="7" t="str">
        <f aca="false">IF($G791="","Unmatched","Matched")</f>
        <v>Unmatched</v>
      </c>
      <c r="J791" s="7" t="str">
        <f aca="false">IF($G791&lt;&gt;"",$G791,$B791)</f>
        <v>30 S</v>
      </c>
      <c r="K791" s="7" t="str">
        <f aca="false">IF(COUNTIF($O$2:$O$16,$A791)&gt;0,"Y","N")</f>
        <v>Y</v>
      </c>
    </row>
    <row r="792" customFormat="false" ht="15" hidden="false" customHeight="false" outlineLevel="0" collapsed="false">
      <c r="A792" s="7" t="s">
        <v>37</v>
      </c>
      <c r="B792" s="7" t="s">
        <v>132</v>
      </c>
      <c r="C792" s="8" t="n">
        <v>6</v>
      </c>
      <c r="D792" s="8" t="n">
        <v>201.48</v>
      </c>
      <c r="E792" s="8" t="n">
        <v>6</v>
      </c>
      <c r="F792" s="8" t="n">
        <v>168.64</v>
      </c>
      <c r="G792" s="7" t="str">
        <f aca="false">IFERROR(INDEX('TRANS'!$B:$B,MATCH($B792,'TRANS'!$A:$A,0)),IFERROR(INDEX('TRANS'!$B:$B,MATCH(TRIM(SUBSTITUTE($B792,CHAR(160)," ")),'TRANS'!$D:$D,0)),IFERROR(INDEX('Catalog'!$A:$A,MATCH($B792,'Catalog'!$B:$B,0)),IFERROR(INDEX('Catalog'!$A:$A,MATCH(TRIM(SUBSTITUTE($B792,CHAR(160)," ")),'Catalog'!$C:$C,0)),""))))</f>
        <v/>
      </c>
      <c r="H792" s="7" t="str">
        <f aca="false">IFERROR(INDEX('TRANS'!$C:$C,MATCH($B792,'TRANS'!$A:$A,0)),IFERROR(INDEX('Catalog'!$B:$B,MATCH($G792,'Catalog'!$A:$A,0)),$B792))</f>
        <v>30 XL</v>
      </c>
      <c r="I792" s="7" t="str">
        <f aca="false">IF($G792="","Unmatched","Matched")</f>
        <v>Unmatched</v>
      </c>
      <c r="J792" s="7" t="str">
        <f aca="false">IF($G792&lt;&gt;"",$G792,$B792)</f>
        <v>30 XL</v>
      </c>
      <c r="K792" s="7" t="str">
        <f aca="false">IF(COUNTIF($O$2:$O$16,$A792)&gt;0,"Y","N")</f>
        <v>Y</v>
      </c>
    </row>
    <row r="793" customFormat="false" ht="15" hidden="false" customHeight="false" outlineLevel="0" collapsed="false">
      <c r="A793" s="7" t="s">
        <v>37</v>
      </c>
      <c r="B793" s="7" t="s">
        <v>632</v>
      </c>
      <c r="C793" s="8" t="n">
        <v>10</v>
      </c>
      <c r="D793" s="8" t="n">
        <v>320.78</v>
      </c>
      <c r="E793" s="8" t="n">
        <v>0</v>
      </c>
      <c r="F793" s="8" t="n">
        <v>0</v>
      </c>
      <c r="G793" s="7" t="n">
        <f aca="false">IFERROR(INDEX('TRANS'!$B:$B,MATCH($B793,'TRANS'!$A:$A,0)),IFERROR(INDEX('TRANS'!$B:$B,MATCH(TRIM(SUBSTITUTE($B793,CHAR(160)," ")),'TRANS'!$D:$D,0)),IFERROR(INDEX('Catalog'!$A:$A,MATCH($B793,'Catalog'!$B:$B,0)),IFERROR(INDEX('Catalog'!$A:$A,MATCH(TRIM(SUBSTITUTE($B793,CHAR(160)," ")),'Catalog'!$C:$C,0)),""))))</f>
        <v>4420036</v>
      </c>
      <c r="H793" s="7" t="str">
        <f aca="false">IFERROR(INDEX('TRANS'!$C:$C,MATCH($B793,'TRANS'!$A:$A,0)),IFERROR(INDEX('Catalog'!$B:$B,MATCH($G793,'Catalog'!$A:$A,0)),$B793))</f>
        <v>301CM 41-45 'רפידת ג'ל בז</v>
      </c>
      <c r="I793" s="7" t="str">
        <f aca="false">IF($G793="","Unmatched","Matched")</f>
        <v>Matched</v>
      </c>
      <c r="J793" s="7" t="n">
        <f aca="false">IF($G793&lt;&gt;"",$G793,$B793)</f>
        <v>4420036</v>
      </c>
      <c r="K793" s="7" t="str">
        <f aca="false">IF(COUNTIF($O$2:$O$16,$A793)&gt;0,"Y","N")</f>
        <v>Y</v>
      </c>
    </row>
    <row r="794" customFormat="false" ht="15" hidden="false" customHeight="false" outlineLevel="0" collapsed="false">
      <c r="A794" s="7" t="s">
        <v>37</v>
      </c>
      <c r="B794" s="7" t="s">
        <v>440</v>
      </c>
      <c r="C794" s="8" t="n">
        <v>0</v>
      </c>
      <c r="D794" s="8" t="n">
        <v>0</v>
      </c>
      <c r="E794" s="8" t="n">
        <v>30</v>
      </c>
      <c r="F794" s="8" t="n">
        <v>808.29</v>
      </c>
      <c r="G794" s="7" t="n">
        <f aca="false">IFERROR(INDEX('TRANS'!$B:$B,MATCH($B794,'TRANS'!$A:$A,0)),IFERROR(INDEX('TRANS'!$B:$B,MATCH(TRIM(SUBSTITUTE($B794,CHAR(160)," ")),'TRANS'!$D:$D,0)),IFERROR(INDEX('Catalog'!$A:$A,MATCH($B794,'Catalog'!$B:$B,0)),IFERROR(INDEX('Catalog'!$A:$A,MATCH(TRIM(SUBSTITUTE($B794,CHAR(160)," ")),'Catalog'!$C:$C,0)),""))))</f>
        <v>4420035</v>
      </c>
      <c r="H794" s="7" t="str">
        <f aca="false">IFERROR(INDEX('TRANS'!$C:$C,MATCH($B794,'TRANS'!$A:$A,0)),IFERROR(INDEX('Catalog'!$B:$B,MATCH($G794,'Catalog'!$A:$A,0)),$B794))</f>
        <v>301CW 36-40 'רפידת ג'ל בז</v>
      </c>
      <c r="I794" s="7" t="str">
        <f aca="false">IF($G794="","Unmatched","Matched")</f>
        <v>Matched</v>
      </c>
      <c r="J794" s="7" t="n">
        <f aca="false">IF($G794&lt;&gt;"",$G794,$B794)</f>
        <v>4420035</v>
      </c>
      <c r="K794" s="7" t="str">
        <f aca="false">IF(COUNTIF($O$2:$O$16,$A794)&gt;0,"Y","N")</f>
        <v>Y</v>
      </c>
    </row>
    <row r="795" customFormat="false" ht="15" hidden="false" customHeight="false" outlineLevel="0" collapsed="false">
      <c r="A795" s="7" t="s">
        <v>37</v>
      </c>
      <c r="B795" s="7" t="s">
        <v>633</v>
      </c>
      <c r="C795" s="8" t="n">
        <v>30</v>
      </c>
      <c r="D795" s="8" t="n">
        <v>917.06</v>
      </c>
      <c r="E795" s="8" t="n">
        <v>0</v>
      </c>
      <c r="F795" s="8" t="n">
        <v>0</v>
      </c>
      <c r="G795" s="7" t="n">
        <f aca="false">IFERROR(INDEX('TRANS'!$B:$B,MATCH($B795,'TRANS'!$A:$A,0)),IFERROR(INDEX('TRANS'!$B:$B,MATCH(TRIM(SUBSTITUTE($B795,CHAR(160)," ")),'TRANS'!$D:$D,0)),IFERROR(INDEX('Catalog'!$A:$A,MATCH($B795,'Catalog'!$B:$B,0)),IFERROR(INDEX('Catalog'!$A:$A,MATCH(TRIM(SUBSTITUTE($B795,CHAR(160)," ")),'Catalog'!$C:$C,0)),""))))</f>
        <v>4420037</v>
      </c>
      <c r="H795" s="7" t="str">
        <f aca="false">IFERROR(INDEX('TRANS'!$C:$C,MATCH($B795,'TRANS'!$A:$A,0)),IFERROR(INDEX('Catalog'!$B:$B,MATCH($G795,'Catalog'!$A:$A,0)),$B795))</f>
        <v>301JW רפידת ג'ל כחול36-40</v>
      </c>
      <c r="I795" s="7" t="str">
        <f aca="false">IF($G795="","Unmatched","Matched")</f>
        <v>Matched</v>
      </c>
      <c r="J795" s="7" t="n">
        <f aca="false">IF($G795&lt;&gt;"",$G795,$B795)</f>
        <v>4420037</v>
      </c>
      <c r="K795" s="7" t="str">
        <f aca="false">IF(COUNTIF($O$2:$O$16,$A795)&gt;0,"Y","N")</f>
        <v>Y</v>
      </c>
    </row>
    <row r="796" customFormat="false" ht="15" hidden="false" customHeight="false" outlineLevel="0" collapsed="false">
      <c r="A796" s="7" t="s">
        <v>37</v>
      </c>
      <c r="B796" s="7" t="s">
        <v>294</v>
      </c>
      <c r="C796" s="8" t="n">
        <v>0</v>
      </c>
      <c r="D796" s="8" t="n">
        <v>0</v>
      </c>
      <c r="E796" s="8" t="n">
        <v>10</v>
      </c>
      <c r="F796" s="8" t="n">
        <v>261.11</v>
      </c>
      <c r="G796" s="7" t="n">
        <f aca="false">IFERROR(INDEX('TRANS'!$B:$B,MATCH($B796,'TRANS'!$A:$A,0)),IFERROR(INDEX('TRANS'!$B:$B,MATCH(TRIM(SUBSTITUTE($B796,CHAR(160)," ")),'TRANS'!$D:$D,0)),IFERROR(INDEX('Catalog'!$A:$A,MATCH($B796,'Catalog'!$B:$B,0)),IFERROR(INDEX('Catalog'!$A:$A,MATCH(TRIM(SUBSTITUTE($B796,CHAR(160)," ")),'Catalog'!$C:$C,0)),""))))</f>
        <v>4413348</v>
      </c>
      <c r="H796" s="7" t="str">
        <f aca="false">IFERROR(INDEX('TRANS'!$C:$C,MATCH($B796,'TRANS'!$A:$A,0)),IFERROR(INDEX('Catalog'!$B:$B,MATCH($G796,'Catalog'!$A:$A,0)),$B796))</f>
        <v>302 מדרס ג'ל לגבר</v>
      </c>
      <c r="I796" s="7" t="str">
        <f aca="false">IF($G796="","Unmatched","Matched")</f>
        <v>Matched</v>
      </c>
      <c r="J796" s="7" t="n">
        <f aca="false">IF($G796&lt;&gt;"",$G796,$B796)</f>
        <v>4413348</v>
      </c>
      <c r="K796" s="7" t="str">
        <f aca="false">IF(COUNTIF($O$2:$O$16,$A796)&gt;0,"Y","N")</f>
        <v>Y</v>
      </c>
    </row>
    <row r="797" customFormat="false" ht="15" hidden="false" customHeight="false" outlineLevel="0" collapsed="false">
      <c r="A797" s="7" t="s">
        <v>37</v>
      </c>
      <c r="B797" s="7" t="s">
        <v>295</v>
      </c>
      <c r="C797" s="8" t="n">
        <v>10</v>
      </c>
      <c r="D797" s="8" t="n">
        <v>277.38</v>
      </c>
      <c r="E797" s="8" t="n">
        <v>10</v>
      </c>
      <c r="F797" s="8" t="n">
        <v>244.48</v>
      </c>
      <c r="G797" s="7" t="n">
        <f aca="false">IFERROR(INDEX('TRANS'!$B:$B,MATCH($B797,'TRANS'!$A:$A,0)),IFERROR(INDEX('TRANS'!$B:$B,MATCH(TRIM(SUBSTITUTE($B797,CHAR(160)," ")),'TRANS'!$D:$D,0)),IFERROR(INDEX('Catalog'!$A:$A,MATCH($B797,'Catalog'!$B:$B,0)),IFERROR(INDEX('Catalog'!$A:$A,MATCH(TRIM(SUBSTITUTE($B797,CHAR(160)," ")),'Catalog'!$C:$C,0)),""))))</f>
        <v>4413372</v>
      </c>
      <c r="H797" s="7" t="str">
        <f aca="false">IFERROR(INDEX('TRANS'!$C:$C,MATCH($B797,'TRANS'!$A:$A,0)),IFERROR(INDEX('Catalog'!$B:$B,MATCH($G797,'Catalog'!$A:$A,0)),$B797))</f>
        <v>302 W מדרס לאישה</v>
      </c>
      <c r="I797" s="7" t="str">
        <f aca="false">IF($G797="","Unmatched","Matched")</f>
        <v>Matched</v>
      </c>
      <c r="J797" s="7" t="n">
        <f aca="false">IF($G797&lt;&gt;"",$G797,$B797)</f>
        <v>4413372</v>
      </c>
      <c r="K797" s="7" t="str">
        <f aca="false">IF(COUNTIF($O$2:$O$16,$A797)&gt;0,"Y","N")</f>
        <v>Y</v>
      </c>
    </row>
    <row r="798" customFormat="false" ht="15" hidden="false" customHeight="false" outlineLevel="0" collapsed="false">
      <c r="A798" s="7" t="s">
        <v>37</v>
      </c>
      <c r="B798" s="7" t="s">
        <v>296</v>
      </c>
      <c r="C798" s="8" t="n">
        <v>25</v>
      </c>
      <c r="D798" s="8" t="n">
        <v>764.19</v>
      </c>
      <c r="E798" s="8" t="n">
        <v>25</v>
      </c>
      <c r="F798" s="8" t="n">
        <v>652.79</v>
      </c>
      <c r="G798" s="7" t="n">
        <f aca="false">IFERROR(INDEX('TRANS'!$B:$B,MATCH($B798,'TRANS'!$A:$A,0)),IFERROR(INDEX('TRANS'!$B:$B,MATCH(TRIM(SUBSTITUTE($B798,CHAR(160)," ")),'TRANS'!$D:$D,0)),IFERROR(INDEX('Catalog'!$A:$A,MATCH($B798,'Catalog'!$B:$B,0)),IFERROR(INDEX('Catalog'!$A:$A,MATCH(TRIM(SUBSTITUTE($B798,CHAR(160)," ")),'Catalog'!$C:$C,0)),""))))</f>
        <v>4416000</v>
      </c>
      <c r="H798" s="7" t="str">
        <f aca="false">IFERROR(INDEX('TRANS'!$C:$C,MATCH($B798,'TRANS'!$A:$A,0)),IFERROR(INDEX('Catalog'!$B:$B,MATCH($G798,'Catalog'!$A:$A,0)),$B798))</f>
        <v>307 L עקבים לדורבן-זוג כריות</v>
      </c>
      <c r="I798" s="7" t="str">
        <f aca="false">IF($G798="","Unmatched","Matched")</f>
        <v>Matched</v>
      </c>
      <c r="J798" s="7" t="n">
        <f aca="false">IF($G798&lt;&gt;"",$G798,$B798)</f>
        <v>4416000</v>
      </c>
      <c r="K798" s="7" t="str">
        <f aca="false">IF(COUNTIF($O$2:$O$16,$A798)&gt;0,"Y","N")</f>
        <v>Y</v>
      </c>
    </row>
    <row r="799" customFormat="false" ht="15" hidden="false" customHeight="false" outlineLevel="0" collapsed="false">
      <c r="A799" s="7" t="s">
        <v>37</v>
      </c>
      <c r="B799" s="7" t="s">
        <v>297</v>
      </c>
      <c r="C799" s="8" t="n">
        <v>45</v>
      </c>
      <c r="D799" s="8" t="n">
        <v>1380.26</v>
      </c>
      <c r="E799" s="8" t="n">
        <v>40</v>
      </c>
      <c r="F799" s="8" t="n">
        <v>1044.46</v>
      </c>
      <c r="G799" s="7" t="n">
        <f aca="false">IFERROR(INDEX('TRANS'!$B:$B,MATCH($B799,'TRANS'!$A:$A,0)),IFERROR(INDEX('TRANS'!$B:$B,MATCH(TRIM(SUBSTITUTE($B799,CHAR(160)," ")),'TRANS'!$D:$D,0)),IFERROR(INDEX('Catalog'!$A:$A,MATCH($B799,'Catalog'!$B:$B,0)),IFERROR(INDEX('Catalog'!$A:$A,MATCH(TRIM(SUBSTITUTE($B799,CHAR(160)," ")),'Catalog'!$C:$C,0)),""))))</f>
        <v>4416001</v>
      </c>
      <c r="H799" s="7" t="str">
        <f aca="false">IFERROR(INDEX('TRANS'!$C:$C,MATCH($B799,'TRANS'!$A:$A,0)),IFERROR(INDEX('Catalog'!$B:$B,MATCH($G799,'Catalog'!$A:$A,0)),$B799))</f>
        <v>307 M עקבים לדורבן-זוג כריות</v>
      </c>
      <c r="I799" s="7" t="str">
        <f aca="false">IF($G799="","Unmatched","Matched")</f>
        <v>Matched</v>
      </c>
      <c r="J799" s="7" t="n">
        <f aca="false">IF($G799&lt;&gt;"",$G799,$B799)</f>
        <v>4416001</v>
      </c>
      <c r="K799" s="7" t="str">
        <f aca="false">IF(COUNTIF($O$2:$O$16,$A799)&gt;0,"Y","N")</f>
        <v>Y</v>
      </c>
    </row>
    <row r="800" customFormat="false" ht="15" hidden="false" customHeight="false" outlineLevel="0" collapsed="false">
      <c r="A800" s="7" t="s">
        <v>37</v>
      </c>
      <c r="B800" s="7" t="s">
        <v>298</v>
      </c>
      <c r="C800" s="8" t="n">
        <v>20</v>
      </c>
      <c r="D800" s="8" t="n">
        <v>592.5</v>
      </c>
      <c r="E800" s="8" t="n">
        <v>10</v>
      </c>
      <c r="F800" s="8" t="n">
        <v>261.11</v>
      </c>
      <c r="G800" s="7" t="n">
        <f aca="false">IFERROR(INDEX('TRANS'!$B:$B,MATCH($B800,'TRANS'!$A:$A,0)),IFERROR(INDEX('TRANS'!$B:$B,MATCH(TRIM(SUBSTITUTE($B800,CHAR(160)," ")),'TRANS'!$D:$D,0)),IFERROR(INDEX('Catalog'!$A:$A,MATCH($B800,'Catalog'!$B:$B,0)),IFERROR(INDEX('Catalog'!$A:$A,MATCH(TRIM(SUBSTITUTE($B800,CHAR(160)," ")),'Catalog'!$C:$C,0)),""))))</f>
        <v>4416002</v>
      </c>
      <c r="H800" s="7" t="str">
        <f aca="false">IFERROR(INDEX('TRANS'!$C:$C,MATCH($B800,'TRANS'!$A:$A,0)),IFERROR(INDEX('Catalog'!$B:$B,MATCH($G800,'Catalog'!$A:$A,0)),$B800))</f>
        <v>307 S עקבים לדורבן-זוג כריות</v>
      </c>
      <c r="I800" s="7" t="str">
        <f aca="false">IF($G800="","Unmatched","Matched")</f>
        <v>Matched</v>
      </c>
      <c r="J800" s="7" t="n">
        <f aca="false">IF($G800&lt;&gt;"",$G800,$B800)</f>
        <v>4416002</v>
      </c>
      <c r="K800" s="7" t="str">
        <f aca="false">IF(COUNTIF($O$2:$O$16,$A800)&gt;0,"Y","N")</f>
        <v>Y</v>
      </c>
    </row>
    <row r="801" customFormat="false" ht="15" hidden="false" customHeight="false" outlineLevel="0" collapsed="false">
      <c r="A801" s="7" t="s">
        <v>37</v>
      </c>
      <c r="B801" s="7" t="s">
        <v>524</v>
      </c>
      <c r="C801" s="8" t="n">
        <v>20</v>
      </c>
      <c r="D801" s="8" t="n">
        <v>515.23</v>
      </c>
      <c r="E801" s="8" t="n">
        <v>0</v>
      </c>
      <c r="F801" s="8" t="n">
        <v>0</v>
      </c>
      <c r="G801" s="7" t="n">
        <f aca="false">IFERROR(INDEX('TRANS'!$B:$B,MATCH($B801,'TRANS'!$A:$A,0)),IFERROR(INDEX('TRANS'!$B:$B,MATCH(TRIM(SUBSTITUTE($B801,CHAR(160)," ")),'TRANS'!$D:$D,0)),IFERROR(INDEX('Catalog'!$A:$A,MATCH($B801,'Catalog'!$B:$B,0)),IFERROR(INDEX('Catalog'!$A:$A,MATCH(TRIM(SUBSTITUTE($B801,CHAR(160)," ")),'Catalog'!$C:$C,0)),""))))</f>
        <v>4416003</v>
      </c>
      <c r="H801" s="7" t="str">
        <f aca="false">IFERROR(INDEX('TRANS'!$C:$C,MATCH($B801,'TRANS'!$A:$A,0)),IFERROR(INDEX('Catalog'!$B:$B,MATCH($G801,'Catalog'!$A:$A,0)),$B801))</f>
        <v>308 Lעקבים סיליקון כחול לדורבן</v>
      </c>
      <c r="I801" s="7" t="str">
        <f aca="false">IF($G801="","Unmatched","Matched")</f>
        <v>Matched</v>
      </c>
      <c r="J801" s="7" t="n">
        <f aca="false">IF($G801&lt;&gt;"",$G801,$B801)</f>
        <v>4416003</v>
      </c>
      <c r="K801" s="7" t="str">
        <f aca="false">IF(COUNTIF($O$2:$O$16,$A801)&gt;0,"Y","N")</f>
        <v>Y</v>
      </c>
    </row>
    <row r="802" customFormat="false" ht="15" hidden="false" customHeight="false" outlineLevel="0" collapsed="false">
      <c r="A802" s="7" t="s">
        <v>37</v>
      </c>
      <c r="B802" s="7" t="s">
        <v>525</v>
      </c>
      <c r="C802" s="8" t="n">
        <v>25</v>
      </c>
      <c r="D802" s="8" t="n">
        <v>647.37</v>
      </c>
      <c r="E802" s="8" t="n">
        <v>15</v>
      </c>
      <c r="F802" s="8" t="n">
        <v>331.8</v>
      </c>
      <c r="G802" s="7" t="n">
        <f aca="false">IFERROR(INDEX('TRANS'!$B:$B,MATCH($B802,'TRANS'!$A:$A,0)),IFERROR(INDEX('TRANS'!$B:$B,MATCH(TRIM(SUBSTITUTE($B802,CHAR(160)," ")),'TRANS'!$D:$D,0)),IFERROR(INDEX('Catalog'!$A:$A,MATCH($B802,'Catalog'!$B:$B,0)),IFERROR(INDEX('Catalog'!$A:$A,MATCH(TRIM(SUBSTITUTE($B802,CHAR(160)," ")),'Catalog'!$C:$C,0)),""))))</f>
        <v>4416005</v>
      </c>
      <c r="H802" s="7" t="str">
        <f aca="false">IFERROR(INDEX('TRANS'!$C:$C,MATCH($B802,'TRANS'!$A:$A,0)),IFERROR(INDEX('Catalog'!$B:$B,MATCH($G802,'Catalog'!$A:$A,0)),$B802))</f>
        <v>308 Mעקבים סיליק.כחול לדורבן</v>
      </c>
      <c r="I802" s="7" t="str">
        <f aca="false">IF($G802="","Unmatched","Matched")</f>
        <v>Matched</v>
      </c>
      <c r="J802" s="7" t="n">
        <f aca="false">IF($G802&lt;&gt;"",$G802,$B802)</f>
        <v>4416005</v>
      </c>
      <c r="K802" s="7" t="str">
        <f aca="false">IF(COUNTIF($O$2:$O$16,$A802)&gt;0,"Y","N")</f>
        <v>Y</v>
      </c>
    </row>
    <row r="803" customFormat="false" ht="15" hidden="false" customHeight="false" outlineLevel="0" collapsed="false">
      <c r="A803" s="7" t="s">
        <v>37</v>
      </c>
      <c r="B803" s="7" t="s">
        <v>395</v>
      </c>
      <c r="C803" s="8" t="n">
        <v>10</v>
      </c>
      <c r="D803" s="8" t="n">
        <v>79.25</v>
      </c>
      <c r="E803" s="8" t="n">
        <v>10</v>
      </c>
      <c r="F803" s="8" t="n">
        <v>69.85</v>
      </c>
      <c r="G803" s="7" t="n">
        <f aca="false">IFERROR(INDEX('TRANS'!$B:$B,MATCH($B803,'TRANS'!$A:$A,0)),IFERROR(INDEX('TRANS'!$B:$B,MATCH(TRIM(SUBSTITUTE($B803,CHAR(160)," ")),'TRANS'!$D:$D,0)),IFERROR(INDEX('Catalog'!$A:$A,MATCH($B803,'Catalog'!$B:$B,0)),IFERROR(INDEX('Catalog'!$A:$A,MATCH(TRIM(SUBSTITUTE($B803,CHAR(160)," ")),'Catalog'!$C:$C,0)),""))))</f>
        <v>4413034</v>
      </c>
      <c r="H803" s="7" t="str">
        <f aca="false">IFERROR(INDEX('TRANS'!$C:$C,MATCH($B803,'TRANS'!$A:$A,0)),IFERROR(INDEX('Catalog'!$B:$B,MATCH($G803,'Catalog'!$A:$A,0)),$B803))</f>
        <v>312 9 מ""""ס להתאמהX5 מדבקה גדולה</v>
      </c>
      <c r="I803" s="7" t="str">
        <f aca="false">IF($G803="","Unmatched","Matched")</f>
        <v>Matched</v>
      </c>
      <c r="J803" s="7" t="n">
        <f aca="false">IF($G803&lt;&gt;"",$G803,$B803)</f>
        <v>4413034</v>
      </c>
      <c r="K803" s="7" t="str">
        <f aca="false">IF(COUNTIF($O$2:$O$16,$A803)&gt;0,"Y","N")</f>
        <v>Y</v>
      </c>
    </row>
    <row r="804" customFormat="false" ht="15" hidden="false" customHeight="false" outlineLevel="0" collapsed="false">
      <c r="A804" s="7" t="s">
        <v>37</v>
      </c>
      <c r="B804" s="7" t="s">
        <v>124</v>
      </c>
      <c r="C804" s="8" t="n">
        <v>0</v>
      </c>
      <c r="D804" s="8" t="n">
        <v>0</v>
      </c>
      <c r="E804" s="8" t="n">
        <v>8</v>
      </c>
      <c r="F804" s="8" t="n">
        <v>493.62</v>
      </c>
      <c r="G804" s="7" t="str">
        <f aca="false">IFERROR(INDEX('TRANS'!$B:$B,MATCH($B804,'TRANS'!$A:$A,0)),IFERROR(INDEX('TRANS'!$B:$B,MATCH(TRIM(SUBSTITUTE($B804,CHAR(160)," ")),'TRANS'!$D:$D,0)),IFERROR(INDEX('Catalog'!$A:$A,MATCH($B804,'Catalog'!$B:$B,0)),IFERROR(INDEX('Catalog'!$A:$A,MATCH(TRIM(SUBSTITUTE($B804,CHAR(160)," ")),'Catalog'!$C:$C,0)),""))))</f>
        <v/>
      </c>
      <c r="H804" s="7" t="str">
        <f aca="false">IFERROR(INDEX('TRANS'!$C:$C,MATCH($B804,'TRANS'!$A:$A,0)),IFERROR(INDEX('Catalog'!$B:$B,MATCH($G804,'Catalog'!$A:$A,0)),$B804))</f>
        <v>332B L</v>
      </c>
      <c r="I804" s="7" t="str">
        <f aca="false">IF($G804="","Unmatched","Matched")</f>
        <v>Unmatched</v>
      </c>
      <c r="J804" s="7" t="str">
        <f aca="false">IF($G804&lt;&gt;"",$G804,$B804)</f>
        <v>332B L</v>
      </c>
      <c r="K804" s="7" t="str">
        <f aca="false">IF(COUNTIF($O$2:$O$16,$A804)&gt;0,"Y","N")</f>
        <v>Y</v>
      </c>
    </row>
    <row r="805" customFormat="false" ht="15" hidden="false" customHeight="false" outlineLevel="0" collapsed="false">
      <c r="A805" s="7" t="s">
        <v>37</v>
      </c>
      <c r="B805" s="7" t="s">
        <v>125</v>
      </c>
      <c r="C805" s="8" t="n">
        <v>0</v>
      </c>
      <c r="D805" s="8" t="n">
        <v>0</v>
      </c>
      <c r="E805" s="8" t="n">
        <v>8</v>
      </c>
      <c r="F805" s="8" t="n">
        <v>493.62</v>
      </c>
      <c r="G805" s="7" t="str">
        <f aca="false">IFERROR(INDEX('TRANS'!$B:$B,MATCH($B805,'TRANS'!$A:$A,0)),IFERROR(INDEX('TRANS'!$B:$B,MATCH(TRIM(SUBSTITUTE($B805,CHAR(160)," ")),'TRANS'!$D:$D,0)),IFERROR(INDEX('Catalog'!$A:$A,MATCH($B805,'Catalog'!$B:$B,0)),IFERROR(INDEX('Catalog'!$A:$A,MATCH(TRIM(SUBSTITUTE($B805,CHAR(160)," ")),'Catalog'!$C:$C,0)),""))))</f>
        <v/>
      </c>
      <c r="H805" s="7" t="str">
        <f aca="false">IFERROR(INDEX('TRANS'!$C:$C,MATCH($B805,'TRANS'!$A:$A,0)),IFERROR(INDEX('Catalog'!$B:$B,MATCH($G805,'Catalog'!$A:$A,0)),$B805))</f>
        <v>332B M</v>
      </c>
      <c r="I805" s="7" t="str">
        <f aca="false">IF($G805="","Unmatched","Matched")</f>
        <v>Unmatched</v>
      </c>
      <c r="J805" s="7" t="str">
        <f aca="false">IF($G805&lt;&gt;"",$G805,$B805)</f>
        <v>332B M</v>
      </c>
      <c r="K805" s="7" t="str">
        <f aca="false">IF(COUNTIF($O$2:$O$16,$A805)&gt;0,"Y","N")</f>
        <v>Y</v>
      </c>
    </row>
    <row r="806" customFormat="false" ht="15" hidden="false" customHeight="false" outlineLevel="0" collapsed="false">
      <c r="A806" s="7" t="s">
        <v>37</v>
      </c>
      <c r="B806" s="7" t="s">
        <v>147</v>
      </c>
      <c r="C806" s="8" t="n">
        <v>0</v>
      </c>
      <c r="D806" s="8" t="n">
        <v>0</v>
      </c>
      <c r="E806" s="8" t="n">
        <v>4</v>
      </c>
      <c r="F806" s="8" t="n">
        <v>246.81</v>
      </c>
      <c r="G806" s="7" t="str">
        <f aca="false">IFERROR(INDEX('TRANS'!$B:$B,MATCH($B806,'TRANS'!$A:$A,0)),IFERROR(INDEX('TRANS'!$B:$B,MATCH(TRIM(SUBSTITUTE($B806,CHAR(160)," ")),'TRANS'!$D:$D,0)),IFERROR(INDEX('Catalog'!$A:$A,MATCH($B806,'Catalog'!$B:$B,0)),IFERROR(INDEX('Catalog'!$A:$A,MATCH(TRIM(SUBSTITUTE($B806,CHAR(160)," ")),'Catalog'!$C:$C,0)),""))))</f>
        <v/>
      </c>
      <c r="H806" s="7" t="str">
        <f aca="false">IFERROR(INDEX('TRANS'!$C:$C,MATCH($B806,'TRANS'!$A:$A,0)),IFERROR(INDEX('Catalog'!$B:$B,MATCH($G806,'Catalog'!$A:$A,0)),$B806))</f>
        <v>332B S</v>
      </c>
      <c r="I806" s="7" t="str">
        <f aca="false">IF($G806="","Unmatched","Matched")</f>
        <v>Unmatched</v>
      </c>
      <c r="J806" s="7" t="str">
        <f aca="false">IF($G806&lt;&gt;"",$G806,$B806)</f>
        <v>332B S</v>
      </c>
      <c r="K806" s="7" t="str">
        <f aca="false">IF(COUNTIF($O$2:$O$16,$A806)&gt;0,"Y","N")</f>
        <v>Y</v>
      </c>
    </row>
    <row r="807" customFormat="false" ht="15" hidden="false" customHeight="false" outlineLevel="0" collapsed="false">
      <c r="A807" s="7" t="s">
        <v>37</v>
      </c>
      <c r="B807" s="7" t="s">
        <v>138</v>
      </c>
      <c r="C807" s="8" t="n">
        <v>0</v>
      </c>
      <c r="D807" s="8" t="n">
        <v>0</v>
      </c>
      <c r="E807" s="8" t="n">
        <v>2</v>
      </c>
      <c r="F807" s="8" t="n">
        <v>123.41</v>
      </c>
      <c r="G807" s="7" t="str">
        <f aca="false">IFERROR(INDEX('TRANS'!$B:$B,MATCH($B807,'TRANS'!$A:$A,0)),IFERROR(INDEX('TRANS'!$B:$B,MATCH(TRIM(SUBSTITUTE($B807,CHAR(160)," ")),'TRANS'!$D:$D,0)),IFERROR(INDEX('Catalog'!$A:$A,MATCH($B807,'Catalog'!$B:$B,0)),IFERROR(INDEX('Catalog'!$A:$A,MATCH(TRIM(SUBSTITUTE($B807,CHAR(160)," ")),'Catalog'!$C:$C,0)),""))))</f>
        <v/>
      </c>
      <c r="H807" s="7" t="str">
        <f aca="false">IFERROR(INDEX('TRANS'!$C:$C,MATCH($B807,'TRANS'!$A:$A,0)),IFERROR(INDEX('Catalog'!$B:$B,MATCH($G807,'Catalog'!$A:$A,0)),$B807))</f>
        <v>332B XL</v>
      </c>
      <c r="I807" s="7" t="str">
        <f aca="false">IF($G807="","Unmatched","Matched")</f>
        <v>Unmatched</v>
      </c>
      <c r="J807" s="7" t="str">
        <f aca="false">IF($G807&lt;&gt;"",$G807,$B807)</f>
        <v>332B XL</v>
      </c>
      <c r="K807" s="7" t="str">
        <f aca="false">IF(COUNTIF($O$2:$O$16,$A807)&gt;0,"Y","N")</f>
        <v>Y</v>
      </c>
    </row>
    <row r="808" customFormat="false" ht="15" hidden="false" customHeight="false" outlineLevel="0" collapsed="false">
      <c r="A808" s="7" t="s">
        <v>37</v>
      </c>
      <c r="B808" s="7" t="s">
        <v>148</v>
      </c>
      <c r="C808" s="8" t="n">
        <v>0</v>
      </c>
      <c r="D808" s="8" t="n">
        <v>0</v>
      </c>
      <c r="E808" s="8" t="n">
        <v>4</v>
      </c>
      <c r="F808" s="8" t="n">
        <v>246.81</v>
      </c>
      <c r="G808" s="7" t="str">
        <f aca="false">IFERROR(INDEX('TRANS'!$B:$B,MATCH($B808,'TRANS'!$A:$A,0)),IFERROR(INDEX('TRANS'!$B:$B,MATCH(TRIM(SUBSTITUTE($B808,CHAR(160)," ")),'TRANS'!$D:$D,0)),IFERROR(INDEX('Catalog'!$A:$A,MATCH($B808,'Catalog'!$B:$B,0)),IFERROR(INDEX('Catalog'!$A:$A,MATCH(TRIM(SUBSTITUTE($B808,CHAR(160)," ")),'Catalog'!$C:$C,0)),""))))</f>
        <v/>
      </c>
      <c r="H808" s="7" t="str">
        <f aca="false">IFERROR(INDEX('TRANS'!$C:$C,MATCH($B808,'TRANS'!$A:$A,0)),IFERROR(INDEX('Catalog'!$B:$B,MATCH($G808,'Catalog'!$A:$A,0)),$B808))</f>
        <v>332B XXL</v>
      </c>
      <c r="I808" s="7" t="str">
        <f aca="false">IF($G808="","Unmatched","Matched")</f>
        <v>Unmatched</v>
      </c>
      <c r="J808" s="7" t="str">
        <f aca="false">IF($G808&lt;&gt;"",$G808,$B808)</f>
        <v>332B XXL</v>
      </c>
      <c r="K808" s="7" t="str">
        <f aca="false">IF(COUNTIF($O$2:$O$16,$A808)&gt;0,"Y","N")</f>
        <v>Y</v>
      </c>
    </row>
    <row r="809" customFormat="false" ht="15" hidden="false" customHeight="false" outlineLevel="0" collapsed="false">
      <c r="A809" s="7" t="s">
        <v>37</v>
      </c>
      <c r="B809" s="7" t="s">
        <v>304</v>
      </c>
      <c r="C809" s="8" t="n">
        <v>25</v>
      </c>
      <c r="D809" s="8" t="n">
        <v>298.68</v>
      </c>
      <c r="E809" s="8" t="n">
        <v>0</v>
      </c>
      <c r="F809" s="8" t="n">
        <v>0</v>
      </c>
      <c r="G809" s="7" t="n">
        <f aca="false">IFERROR(INDEX('TRANS'!$B:$B,MATCH($B809,'TRANS'!$A:$A,0)),IFERROR(INDEX('TRANS'!$B:$B,MATCH(TRIM(SUBSTITUTE($B809,CHAR(160)," ")),'TRANS'!$D:$D,0)),IFERROR(INDEX('Catalog'!$A:$A,MATCH($B809,'Catalog'!$B:$B,0)),IFERROR(INDEX('Catalog'!$A:$A,MATCH(TRIM(SUBSTITUTE($B809,CHAR(160)," ")),'Catalog'!$C:$C,0)),""))))</f>
        <v>4413490</v>
      </c>
      <c r="H809" s="7" t="str">
        <f aca="false">IFERROR(INDEX('TRANS'!$C:$C,MATCH($B809,'TRANS'!$A:$A,0)),IFERROR(INDEX('Catalog'!$B:$B,MATCH($G809,'Catalog'!$A:$A,0)),$B809))</f>
        <v>35B L מגן קרסול שחור</v>
      </c>
      <c r="I809" s="7" t="str">
        <f aca="false">IF($G809="","Unmatched","Matched")</f>
        <v>Matched</v>
      </c>
      <c r="J809" s="7" t="n">
        <f aca="false">IF($G809&lt;&gt;"",$G809,$B809)</f>
        <v>4413490</v>
      </c>
      <c r="K809" s="7" t="str">
        <f aca="false">IF(COUNTIF($O$2:$O$16,$A809)&gt;0,"Y","N")</f>
        <v>Y</v>
      </c>
    </row>
    <row r="810" customFormat="false" ht="15" hidden="false" customHeight="false" outlineLevel="0" collapsed="false">
      <c r="A810" s="7" t="s">
        <v>37</v>
      </c>
      <c r="B810" s="7" t="s">
        <v>305</v>
      </c>
      <c r="C810" s="8" t="n">
        <v>20</v>
      </c>
      <c r="D810" s="8" t="n">
        <v>240.18</v>
      </c>
      <c r="E810" s="8" t="n">
        <v>10</v>
      </c>
      <c r="F810" s="8" t="n">
        <v>103.12</v>
      </c>
      <c r="G810" s="7" t="n">
        <f aca="false">IFERROR(INDEX('TRANS'!$B:$B,MATCH($B810,'TRANS'!$A:$A,0)),IFERROR(INDEX('TRANS'!$B:$B,MATCH(TRIM(SUBSTITUTE($B810,CHAR(160)," ")),'TRANS'!$D:$D,0)),IFERROR(INDEX('Catalog'!$A:$A,MATCH($B810,'Catalog'!$B:$B,0)),IFERROR(INDEX('Catalog'!$A:$A,MATCH(TRIM(SUBSTITUTE($B810,CHAR(160)," ")),'Catalog'!$C:$C,0)),""))))</f>
        <v>4413492</v>
      </c>
      <c r="H810" s="7" t="str">
        <f aca="false">IFERROR(INDEX('TRANS'!$C:$C,MATCH($B810,'TRANS'!$A:$A,0)),IFERROR(INDEX('Catalog'!$B:$B,MATCH($G810,'Catalog'!$A:$A,0)),$B810))</f>
        <v>35B M מגן קרסול שחור</v>
      </c>
      <c r="I810" s="7" t="str">
        <f aca="false">IF($G810="","Unmatched","Matched")</f>
        <v>Matched</v>
      </c>
      <c r="J810" s="7" t="n">
        <f aca="false">IF($G810&lt;&gt;"",$G810,$B810)</f>
        <v>4413492</v>
      </c>
      <c r="K810" s="7" t="str">
        <f aca="false">IF(COUNTIF($O$2:$O$16,$A810)&gt;0,"Y","N")</f>
        <v>Y</v>
      </c>
    </row>
    <row r="811" customFormat="false" ht="15" hidden="false" customHeight="false" outlineLevel="0" collapsed="false">
      <c r="A811" s="7" t="s">
        <v>37</v>
      </c>
      <c r="B811" s="7" t="s">
        <v>306</v>
      </c>
      <c r="C811" s="8" t="n">
        <v>17</v>
      </c>
      <c r="D811" s="8" t="n">
        <v>205.08</v>
      </c>
      <c r="E811" s="8" t="n">
        <v>4</v>
      </c>
      <c r="F811" s="8" t="n">
        <v>41.25</v>
      </c>
      <c r="G811" s="7" t="n">
        <f aca="false">IFERROR(INDEX('TRANS'!$B:$B,MATCH($B811,'TRANS'!$A:$A,0)),IFERROR(INDEX('TRANS'!$B:$B,MATCH(TRIM(SUBSTITUTE($B811,CHAR(160)," ")),'TRANS'!$D:$D,0)),IFERROR(INDEX('Catalog'!$A:$A,MATCH($B811,'Catalog'!$B:$B,0)),IFERROR(INDEX('Catalog'!$A:$A,MATCH(TRIM(SUBSTITUTE($B811,CHAR(160)," ")),'Catalog'!$C:$C,0)),""))))</f>
        <v>4413493</v>
      </c>
      <c r="H811" s="7" t="str">
        <f aca="false">IFERROR(INDEX('TRANS'!$C:$C,MATCH($B811,'TRANS'!$A:$A,0)),IFERROR(INDEX('Catalog'!$B:$B,MATCH($G811,'Catalog'!$A:$A,0)),$B811))</f>
        <v>35B S מגן קרסול שחור</v>
      </c>
      <c r="I811" s="7" t="str">
        <f aca="false">IF($G811="","Unmatched","Matched")</f>
        <v>Matched</v>
      </c>
      <c r="J811" s="7" t="n">
        <f aca="false">IF($G811&lt;&gt;"",$G811,$B811)</f>
        <v>4413493</v>
      </c>
      <c r="K811" s="7" t="str">
        <f aca="false">IF(COUNTIF($O$2:$O$16,$A811)&gt;0,"Y","N")</f>
        <v>Y</v>
      </c>
    </row>
    <row r="812" customFormat="false" ht="15" hidden="false" customHeight="false" outlineLevel="0" collapsed="false">
      <c r="A812" s="7" t="s">
        <v>37</v>
      </c>
      <c r="B812" s="7" t="s">
        <v>307</v>
      </c>
      <c r="C812" s="8" t="n">
        <v>20</v>
      </c>
      <c r="D812" s="8" t="n">
        <v>240.18</v>
      </c>
      <c r="E812" s="8" t="n">
        <v>0</v>
      </c>
      <c r="F812" s="8" t="n">
        <v>0</v>
      </c>
      <c r="G812" s="7" t="n">
        <f aca="false">IFERROR(INDEX('TRANS'!$B:$B,MATCH($B812,'TRANS'!$A:$A,0)),IFERROR(INDEX('TRANS'!$B:$B,MATCH(TRIM(SUBSTITUTE($B812,CHAR(160)," ")),'TRANS'!$D:$D,0)),IFERROR(INDEX('Catalog'!$A:$A,MATCH($B812,'Catalog'!$B:$B,0)),IFERROR(INDEX('Catalog'!$A:$A,MATCH(TRIM(SUBSTITUTE($B812,CHAR(160)," ")),'Catalog'!$C:$C,0)),""))))</f>
        <v>4413491</v>
      </c>
      <c r="H812" s="7" t="str">
        <f aca="false">IFERROR(INDEX('TRANS'!$C:$C,MATCH($B812,'TRANS'!$A:$A,0)),IFERROR(INDEX('Catalog'!$B:$B,MATCH($G812,'Catalog'!$A:$A,0)),$B812))</f>
        <v>35B XL מגן קרסול שחור</v>
      </c>
      <c r="I812" s="7" t="str">
        <f aca="false">IF($G812="","Unmatched","Matched")</f>
        <v>Matched</v>
      </c>
      <c r="J812" s="7" t="n">
        <f aca="false">IF($G812&lt;&gt;"",$G812,$B812)</f>
        <v>4413491</v>
      </c>
      <c r="K812" s="7" t="str">
        <f aca="false">IF(COUNTIF($O$2:$O$16,$A812)&gt;0,"Y","N")</f>
        <v>Y</v>
      </c>
    </row>
    <row r="813" customFormat="false" ht="15" hidden="false" customHeight="false" outlineLevel="0" collapsed="false">
      <c r="A813" s="7" t="s">
        <v>37</v>
      </c>
      <c r="B813" s="7" t="s">
        <v>396</v>
      </c>
      <c r="C813" s="8" t="n">
        <v>0</v>
      </c>
      <c r="D813" s="8" t="n">
        <v>0</v>
      </c>
      <c r="E813" s="8" t="n">
        <v>9</v>
      </c>
      <c r="F813" s="8" t="n">
        <v>92.8</v>
      </c>
      <c r="G813" s="7" t="n">
        <f aca="false">IFERROR(INDEX('TRANS'!$B:$B,MATCH($B813,'TRANS'!$A:$A,0)),IFERROR(INDEX('TRANS'!$B:$B,MATCH(TRIM(SUBSTITUTE($B813,CHAR(160)," ")),'TRANS'!$D:$D,0)),IFERROR(INDEX('Catalog'!$A:$A,MATCH($B813,'Catalog'!$B:$B,0)),IFERROR(INDEX('Catalog'!$A:$A,MATCH(TRIM(SUBSTITUTE($B813,CHAR(160)," ")),'Catalog'!$C:$C,0)),""))))</f>
        <v>4413494</v>
      </c>
      <c r="H813" s="7" t="str">
        <f aca="false">IFERROR(INDEX('TRANS'!$C:$C,MATCH($B813,'TRANS'!$A:$A,0)),IFERROR(INDEX('Catalog'!$B:$B,MATCH($G813,'Catalog'!$A:$A,0)),$B813))</f>
        <v>35B XXL מגן קרסול שחור</v>
      </c>
      <c r="I813" s="7" t="str">
        <f aca="false">IF($G813="","Unmatched","Matched")</f>
        <v>Matched</v>
      </c>
      <c r="J813" s="7" t="n">
        <f aca="false">IF($G813&lt;&gt;"",$G813,$B813)</f>
        <v>4413494</v>
      </c>
      <c r="K813" s="7" t="str">
        <f aca="false">IF(COUNTIF($O$2:$O$16,$A813)&gt;0,"Y","N")</f>
        <v>Y</v>
      </c>
    </row>
    <row r="814" customFormat="false" ht="15" hidden="false" customHeight="false" outlineLevel="0" collapsed="false">
      <c r="A814" s="7" t="s">
        <v>37</v>
      </c>
      <c r="B814" s="7" t="s">
        <v>308</v>
      </c>
      <c r="C814" s="8" t="n">
        <v>10</v>
      </c>
      <c r="D814" s="8" t="n">
        <v>117.23</v>
      </c>
      <c r="E814" s="8" t="n">
        <v>0</v>
      </c>
      <c r="F814" s="8" t="n">
        <v>0</v>
      </c>
      <c r="G814" s="7" t="n">
        <f aca="false">IFERROR(INDEX('TRANS'!$B:$B,MATCH($B814,'TRANS'!$A:$A,0)),IFERROR(INDEX('TRANS'!$B:$B,MATCH(TRIM(SUBSTITUTE($B814,CHAR(160)," ")),'TRANS'!$D:$D,0)),IFERROR(INDEX('Catalog'!$A:$A,MATCH($B814,'Catalog'!$B:$B,0)),IFERROR(INDEX('Catalog'!$A:$A,MATCH(TRIM(SUBSTITUTE($B814,CHAR(160)," ")),'Catalog'!$C:$C,0)),""))))</f>
        <v>4413053</v>
      </c>
      <c r="H814" s="7" t="str">
        <f aca="false">IFERROR(INDEX('TRANS'!$C:$C,MATCH($B814,'TRANS'!$A:$A,0)),IFERROR(INDEX('Catalog'!$B:$B,MATCH($G814,'Catalog'!$A:$A,0)),$B814))</f>
        <v>35C L מגן קרסול חום</v>
      </c>
      <c r="I814" s="7" t="str">
        <f aca="false">IF($G814="","Unmatched","Matched")</f>
        <v>Matched</v>
      </c>
      <c r="J814" s="7" t="n">
        <f aca="false">IF($G814&lt;&gt;"",$G814,$B814)</f>
        <v>4413053</v>
      </c>
      <c r="K814" s="7" t="str">
        <f aca="false">IF(COUNTIF($O$2:$O$16,$A814)&gt;0,"Y","N")</f>
        <v>Y</v>
      </c>
    </row>
    <row r="815" customFormat="false" ht="15" hidden="false" customHeight="false" outlineLevel="0" collapsed="false">
      <c r="A815" s="7" t="s">
        <v>37</v>
      </c>
      <c r="B815" s="7" t="s">
        <v>309</v>
      </c>
      <c r="C815" s="8" t="n">
        <v>19</v>
      </c>
      <c r="D815" s="8" t="n">
        <v>220.38</v>
      </c>
      <c r="E815" s="8" t="n">
        <v>0</v>
      </c>
      <c r="F815" s="8" t="n">
        <v>0</v>
      </c>
      <c r="G815" s="7" t="n">
        <f aca="false">IFERROR(INDEX('TRANS'!$B:$B,MATCH($B815,'TRANS'!$A:$A,0)),IFERROR(INDEX('TRANS'!$B:$B,MATCH(TRIM(SUBSTITUTE($B815,CHAR(160)," ")),'TRANS'!$D:$D,0)),IFERROR(INDEX('Catalog'!$A:$A,MATCH($B815,'Catalog'!$B:$B,0)),IFERROR(INDEX('Catalog'!$A:$A,MATCH(TRIM(SUBSTITUTE($B815,CHAR(160)," ")),'Catalog'!$C:$C,0)),""))))</f>
        <v>4413054</v>
      </c>
      <c r="H815" s="7" t="str">
        <f aca="false">IFERROR(INDEX('TRANS'!$C:$C,MATCH($B815,'TRANS'!$A:$A,0)),IFERROR(INDEX('Catalog'!$B:$B,MATCH($G815,'Catalog'!$A:$A,0)),$B815))</f>
        <v>35C M מגן קרסול חום</v>
      </c>
      <c r="I815" s="7" t="str">
        <f aca="false">IF($G815="","Unmatched","Matched")</f>
        <v>Matched</v>
      </c>
      <c r="J815" s="7" t="n">
        <f aca="false">IF($G815&lt;&gt;"",$G815,$B815)</f>
        <v>4413054</v>
      </c>
      <c r="K815" s="7" t="str">
        <f aca="false">IF(COUNTIF($O$2:$O$16,$A815)&gt;0,"Y","N")</f>
        <v>Y</v>
      </c>
    </row>
    <row r="816" customFormat="false" ht="15" hidden="false" customHeight="false" outlineLevel="0" collapsed="false">
      <c r="A816" s="7" t="s">
        <v>37</v>
      </c>
      <c r="B816" s="7" t="s">
        <v>310</v>
      </c>
      <c r="C816" s="8" t="n">
        <v>8</v>
      </c>
      <c r="D816" s="8" t="n">
        <v>92.61</v>
      </c>
      <c r="E816" s="8" t="n">
        <v>6</v>
      </c>
      <c r="F816" s="8" t="n">
        <v>58.88</v>
      </c>
      <c r="G816" s="7" t="n">
        <f aca="false">IFERROR(INDEX('TRANS'!$B:$B,MATCH($B816,'TRANS'!$A:$A,0)),IFERROR(INDEX('TRANS'!$B:$B,MATCH(TRIM(SUBSTITUTE($B816,CHAR(160)," ")),'TRANS'!$D:$D,0)),IFERROR(INDEX('Catalog'!$A:$A,MATCH($B816,'Catalog'!$B:$B,0)),IFERROR(INDEX('Catalog'!$A:$A,MATCH(TRIM(SUBSTITUTE($B816,CHAR(160)," ")),'Catalog'!$C:$C,0)),""))))</f>
        <v>4413052</v>
      </c>
      <c r="H816" s="7" t="str">
        <f aca="false">IFERROR(INDEX('TRANS'!$C:$C,MATCH($B816,'TRANS'!$A:$A,0)),IFERROR(INDEX('Catalog'!$B:$B,MATCH($G816,'Catalog'!$A:$A,0)),$B816))</f>
        <v>35C S מגן קרסול חום</v>
      </c>
      <c r="I816" s="7" t="str">
        <f aca="false">IF($G816="","Unmatched","Matched")</f>
        <v>Matched</v>
      </c>
      <c r="J816" s="7" t="n">
        <f aca="false">IF($G816&lt;&gt;"",$G816,$B816)</f>
        <v>4413052</v>
      </c>
      <c r="K816" s="7" t="str">
        <f aca="false">IF(COUNTIF($O$2:$O$16,$A816)&gt;0,"Y","N")</f>
        <v>Y</v>
      </c>
    </row>
    <row r="817" customFormat="false" ht="15" hidden="false" customHeight="false" outlineLevel="0" collapsed="false">
      <c r="A817" s="7" t="s">
        <v>37</v>
      </c>
      <c r="B817" s="7" t="s">
        <v>311</v>
      </c>
      <c r="C817" s="8" t="n">
        <v>10</v>
      </c>
      <c r="D817" s="8" t="n">
        <v>117.23</v>
      </c>
      <c r="E817" s="8" t="n">
        <v>0</v>
      </c>
      <c r="F817" s="8" t="n">
        <v>0</v>
      </c>
      <c r="G817" s="7" t="n">
        <f aca="false">IFERROR(INDEX('TRANS'!$B:$B,MATCH($B817,'TRANS'!$A:$A,0)),IFERROR(INDEX('TRANS'!$B:$B,MATCH(TRIM(SUBSTITUTE($B817,CHAR(160)," ")),'TRANS'!$D:$D,0)),IFERROR(INDEX('Catalog'!$A:$A,MATCH($B817,'Catalog'!$B:$B,0)),IFERROR(INDEX('Catalog'!$A:$A,MATCH(TRIM(SUBSTITUTE($B817,CHAR(160)," ")),'Catalog'!$C:$C,0)),""))))</f>
        <v>4413055</v>
      </c>
      <c r="H817" s="7" t="str">
        <f aca="false">IFERROR(INDEX('TRANS'!$C:$C,MATCH($B817,'TRANS'!$A:$A,0)),IFERROR(INDEX('Catalog'!$B:$B,MATCH($G817,'Catalog'!$A:$A,0)),$B817))</f>
        <v>35C XL מגן קרסול חום</v>
      </c>
      <c r="I817" s="7" t="str">
        <f aca="false">IF($G817="","Unmatched","Matched")</f>
        <v>Matched</v>
      </c>
      <c r="J817" s="7" t="n">
        <f aca="false">IF($G817&lt;&gt;"",$G817,$B817)</f>
        <v>4413055</v>
      </c>
      <c r="K817" s="7" t="str">
        <f aca="false">IF(COUNTIF($O$2:$O$16,$A817)&gt;0,"Y","N")</f>
        <v>Y</v>
      </c>
    </row>
    <row r="818" customFormat="false" ht="15" hidden="false" customHeight="false" outlineLevel="0" collapsed="false">
      <c r="A818" s="7" t="s">
        <v>37</v>
      </c>
      <c r="B818" s="7" t="s">
        <v>106</v>
      </c>
      <c r="C818" s="8" t="n">
        <v>4</v>
      </c>
      <c r="D818" s="8" t="n">
        <v>46.89</v>
      </c>
      <c r="E818" s="8" t="n">
        <v>0</v>
      </c>
      <c r="F818" s="8" t="n">
        <v>0</v>
      </c>
      <c r="G818" s="7" t="str">
        <f aca="false">IFERROR(INDEX('TRANS'!$B:$B,MATCH($B818,'TRANS'!$A:$A,0)),IFERROR(INDEX('TRANS'!$B:$B,MATCH(TRIM(SUBSTITUTE($B818,CHAR(160)," ")),'TRANS'!$D:$D,0)),IFERROR(INDEX('Catalog'!$A:$A,MATCH($B818,'Catalog'!$B:$B,0)),IFERROR(INDEX('Catalog'!$A:$A,MATCH(TRIM(SUBSTITUTE($B818,CHAR(160)," ")),'Catalog'!$C:$C,0)),""))))</f>
        <v/>
      </c>
      <c r="H818" s="7" t="str">
        <f aca="false">IFERROR(INDEX('TRANS'!$C:$C,MATCH($B818,'TRANS'!$A:$A,0)),IFERROR(INDEX('Catalog'!$B:$B,MATCH($G818,'Catalog'!$A:$A,0)),$B818))</f>
        <v>35C XXL</v>
      </c>
      <c r="I818" s="7" t="str">
        <f aca="false">IF($G818="","Unmatched","Matched")</f>
        <v>Unmatched</v>
      </c>
      <c r="J818" s="7" t="str">
        <f aca="false">IF($G818&lt;&gt;"",$G818,$B818)</f>
        <v>35C XXL</v>
      </c>
      <c r="K818" s="7" t="str">
        <f aca="false">IF(COUNTIF($O$2:$O$16,$A818)&gt;0,"Y","N")</f>
        <v>Y</v>
      </c>
    </row>
    <row r="819" customFormat="false" ht="15" hidden="false" customHeight="false" outlineLevel="0" collapsed="false">
      <c r="A819" s="7" t="s">
        <v>37</v>
      </c>
      <c r="B819" s="7" t="s">
        <v>453</v>
      </c>
      <c r="C819" s="8" t="n">
        <v>10</v>
      </c>
      <c r="D819" s="8" t="n">
        <v>282.15</v>
      </c>
      <c r="E819" s="8" t="n">
        <v>5</v>
      </c>
      <c r="F819" s="8" t="n">
        <v>118.08</v>
      </c>
      <c r="G819" s="7" t="n">
        <f aca="false">IFERROR(INDEX('TRANS'!$B:$B,MATCH($B819,'TRANS'!$A:$A,0)),IFERROR(INDEX('TRANS'!$B:$B,MATCH(TRIM(SUBSTITUTE($B819,CHAR(160)," ")),'TRANS'!$D:$D,0)),IFERROR(INDEX('Catalog'!$A:$A,MATCH($B819,'Catalog'!$B:$B,0)),IFERROR(INDEX('Catalog'!$A:$A,MATCH(TRIM(SUBSTITUTE($B819,CHAR(160)," ")),'Catalog'!$C:$C,0)),""))))</f>
        <v>4421007</v>
      </c>
      <c r="H819" s="7" t="str">
        <f aca="false">IFERROR(INDEX('TRANS'!$C:$C,MATCH($B819,'TRANS'!$A:$A,0)),IFERROR(INDEX('Catalog'!$B:$B,MATCH($G819,'Catalog'!$A:$A,0)),$B819))</f>
        <v>שרוול לגבס קצר רגל</v>
      </c>
      <c r="I819" s="7" t="str">
        <f aca="false">IF($G819="","Unmatched","Matched")</f>
        <v>Matched</v>
      </c>
      <c r="J819" s="7" t="n">
        <f aca="false">IF($G819&lt;&gt;"",$G819,$B819)</f>
        <v>4421007</v>
      </c>
      <c r="K819" s="7" t="str">
        <f aca="false">IF(COUNTIF($O$2:$O$16,$A819)&gt;0,"Y","N")</f>
        <v>Y</v>
      </c>
    </row>
    <row r="820" customFormat="false" ht="15" hidden="false" customHeight="false" outlineLevel="0" collapsed="false">
      <c r="A820" s="7" t="s">
        <v>37</v>
      </c>
      <c r="B820" s="7" t="s">
        <v>454</v>
      </c>
      <c r="C820" s="8" t="n">
        <v>10</v>
      </c>
      <c r="D820" s="8" t="n">
        <v>290.55</v>
      </c>
      <c r="E820" s="8" t="n">
        <v>0</v>
      </c>
      <c r="F820" s="8" t="n">
        <v>0</v>
      </c>
      <c r="G820" s="7" t="n">
        <f aca="false">IFERROR(INDEX('TRANS'!$B:$B,MATCH($B820,'TRANS'!$A:$A,0)),IFERROR(INDEX('TRANS'!$B:$B,MATCH(TRIM(SUBSTITUTE($B820,CHAR(160)," ")),'TRANS'!$D:$D,0)),IFERROR(INDEX('Catalog'!$A:$A,MATCH($B820,'Catalog'!$B:$B,0)),IFERROR(INDEX('Catalog'!$A:$A,MATCH(TRIM(SUBSTITUTE($B820,CHAR(160)," ")),'Catalog'!$C:$C,0)),""))))</f>
        <v>4421008</v>
      </c>
      <c r="H820" s="7" t="str">
        <f aca="false">IFERROR(INDEX('TRANS'!$C:$C,MATCH($B820,'TRANS'!$A:$A,0)),IFERROR(INDEX('Catalog'!$B:$B,MATCH($G820,'Catalog'!$A:$A,0)),$B820))</f>
        <v>שרוול לגבס ארוך רגל</v>
      </c>
      <c r="I820" s="7" t="str">
        <f aca="false">IF($G820="","Unmatched","Matched")</f>
        <v>Matched</v>
      </c>
      <c r="J820" s="7" t="n">
        <f aca="false">IF($G820&lt;&gt;"",$G820,$B820)</f>
        <v>4421008</v>
      </c>
      <c r="K820" s="7" t="str">
        <f aca="false">IF(COUNTIF($O$2:$O$16,$A820)&gt;0,"Y","N")</f>
        <v>Y</v>
      </c>
    </row>
    <row r="821" customFormat="false" ht="15" hidden="false" customHeight="false" outlineLevel="0" collapsed="false">
      <c r="A821" s="7" t="s">
        <v>37</v>
      </c>
      <c r="B821" s="7" t="s">
        <v>456</v>
      </c>
      <c r="C821" s="8" t="n">
        <v>60</v>
      </c>
      <c r="D821" s="8" t="n">
        <v>921.74</v>
      </c>
      <c r="E821" s="8" t="n">
        <v>40</v>
      </c>
      <c r="F821" s="8" t="n">
        <v>532.21</v>
      </c>
      <c r="G821" s="7" t="n">
        <f aca="false">IFERROR(INDEX('TRANS'!$B:$B,MATCH($B821,'TRANS'!$A:$A,0)),IFERROR(INDEX('TRANS'!$B:$B,MATCH(TRIM(SUBSTITUTE($B821,CHAR(160)," ")),'TRANS'!$D:$D,0)),IFERROR(INDEX('Catalog'!$A:$A,MATCH($B821,'Catalog'!$B:$B,0)),IFERROR(INDEX('Catalog'!$A:$A,MATCH(TRIM(SUBSTITUTE($B821,CHAR(160)," ")),'Catalog'!$C:$C,0)),""))))</f>
        <v>4411000</v>
      </c>
      <c r="H821" s="7" t="str">
        <f aca="false">IFERROR(INDEX('TRANS'!$C:$C,MATCH($B821,'TRANS'!$A:$A,0)),IFERROR(INDEX('Catalog'!$B:$B,MATCH($G821,'Catalog'!$A:$A,0)),$B821))</f>
        <v>כרית מטטרזלי סיליקון362</v>
      </c>
      <c r="I821" s="7" t="str">
        <f aca="false">IF($G821="","Unmatched","Matched")</f>
        <v>Matched</v>
      </c>
      <c r="J821" s="7" t="n">
        <f aca="false">IF($G821&lt;&gt;"",$G821,$B821)</f>
        <v>4411000</v>
      </c>
      <c r="K821" s="7" t="str">
        <f aca="false">IF(COUNTIF($O$2:$O$16,$A821)&gt;0,"Y","N")</f>
        <v>Y</v>
      </c>
    </row>
    <row r="822" customFormat="false" ht="15" hidden="false" customHeight="false" outlineLevel="0" collapsed="false">
      <c r="A822" s="7" t="s">
        <v>37</v>
      </c>
      <c r="B822" s="7" t="s">
        <v>312</v>
      </c>
      <c r="C822" s="8" t="n">
        <v>140</v>
      </c>
      <c r="D822" s="8" t="n">
        <v>2377.55</v>
      </c>
      <c r="E822" s="8" t="n">
        <v>30</v>
      </c>
      <c r="F822" s="8" t="n">
        <v>439.07</v>
      </c>
      <c r="G822" s="7" t="n">
        <f aca="false">IFERROR(INDEX('TRANS'!$B:$B,MATCH($B822,'TRANS'!$A:$A,0)),IFERROR(INDEX('TRANS'!$B:$B,MATCH(TRIM(SUBSTITUTE($B822,CHAR(160)," ")),'TRANS'!$D:$D,0)),IFERROR(INDEX('Catalog'!$A:$A,MATCH($B822,'Catalog'!$B:$B,0)),IFERROR(INDEX('Catalog'!$A:$A,MATCH(TRIM(SUBSTITUTE($B822,CHAR(160)," ")),'Catalog'!$C:$C,0)),""))))</f>
        <v>4411001</v>
      </c>
      <c r="H822" s="7" t="str">
        <f aca="false">IFERROR(INDEX('TRANS'!$C:$C,MATCH($B822,'TRANS'!$A:$A,0)),IFERROR(INDEX('Catalog'!$B:$B,MATCH($G822,'Catalog'!$A:$A,0)),$B822))</f>
        <v>3623 כרית ליישור אצבע פטיש</v>
      </c>
      <c r="I822" s="7" t="str">
        <f aca="false">IF($G822="","Unmatched","Matched")</f>
        <v>Matched</v>
      </c>
      <c r="J822" s="7" t="n">
        <f aca="false">IF($G822&lt;&gt;"",$G822,$B822)</f>
        <v>4411001</v>
      </c>
      <c r="K822" s="7" t="str">
        <f aca="false">IF(COUNTIF($O$2:$O$16,$A822)&gt;0,"Y","N")</f>
        <v>Y</v>
      </c>
    </row>
    <row r="823" customFormat="false" ht="15" hidden="false" customHeight="false" outlineLevel="0" collapsed="false">
      <c r="A823" s="7" t="s">
        <v>37</v>
      </c>
      <c r="B823" s="7" t="s">
        <v>80</v>
      </c>
      <c r="C823" s="8" t="n">
        <v>75</v>
      </c>
      <c r="D823" s="8" t="n">
        <v>960.46</v>
      </c>
      <c r="E823" s="8" t="n">
        <v>35</v>
      </c>
      <c r="F823" s="8" t="n">
        <v>384.19</v>
      </c>
      <c r="G823" s="7" t="str">
        <f aca="false">IFERROR(INDEX('TRANS'!$B:$B,MATCH($B823,'TRANS'!$A:$A,0)),IFERROR(INDEX('TRANS'!$B:$B,MATCH(TRIM(SUBSTITUTE($B823,CHAR(160)," ")),'TRANS'!$D:$D,0)),IFERROR(INDEX('Catalog'!$A:$A,MATCH($B823,'Catalog'!$B:$B,0)),IFERROR(INDEX('Catalog'!$A:$A,MATCH(TRIM(SUBSTITUTE($B823,CHAR(160)," ")),'Catalog'!$C:$C,0)),""))))</f>
        <v/>
      </c>
      <c r="H823" s="7" t="str">
        <f aca="false">IFERROR(INDEX('TRANS'!$C:$C,MATCH($B823,'TRANS'!$A:$A,0)),IFERROR(INDEX('Catalog'!$B:$B,MATCH($G823,'Catalog'!$A:$A,0)),$B823))</f>
        <v>363 L/R</v>
      </c>
      <c r="I823" s="7" t="str">
        <f aca="false">IF($G823="","Unmatched","Matched")</f>
        <v>Unmatched</v>
      </c>
      <c r="J823" s="7" t="str">
        <f aca="false">IF($G823&lt;&gt;"",$G823,$B823)</f>
        <v>363 L/R</v>
      </c>
      <c r="K823" s="7" t="str">
        <f aca="false">IF(COUNTIF($O$2:$O$16,$A823)&gt;0,"Y","N")</f>
        <v>Y</v>
      </c>
    </row>
    <row r="824" customFormat="false" ht="15" hidden="false" customHeight="false" outlineLevel="0" collapsed="false">
      <c r="A824" s="7" t="s">
        <v>37</v>
      </c>
      <c r="B824" s="7" t="s">
        <v>313</v>
      </c>
      <c r="C824" s="8" t="n">
        <v>10</v>
      </c>
      <c r="D824" s="8" t="n">
        <v>64.16</v>
      </c>
      <c r="E824" s="8" t="n">
        <v>10</v>
      </c>
      <c r="F824" s="8" t="n">
        <v>56.55</v>
      </c>
      <c r="G824" s="7" t="n">
        <f aca="false">IFERROR(INDEX('TRANS'!$B:$B,MATCH($B824,'TRANS'!$A:$A,0)),IFERROR(INDEX('TRANS'!$B:$B,MATCH(TRIM(SUBSTITUTE($B824,CHAR(160)," ")),'TRANS'!$D:$D,0)),IFERROR(INDEX('Catalog'!$A:$A,MATCH($B824,'Catalog'!$B:$B,0)),IFERROR(INDEX('Catalog'!$A:$A,MATCH(TRIM(SUBSTITUTE($B824,CHAR(160)," ")),'Catalog'!$C:$C,0)),""))))</f>
        <v>4413059</v>
      </c>
      <c r="H824" s="7" t="str">
        <f aca="false">IFERROR(INDEX('TRANS'!$C:$C,MATCH($B824,'TRANS'!$A:$A,0)),IFERROR(INDEX('Catalog'!$B:$B,MATCH($G824,'Catalog'!$A:$A,0)),$B824))</f>
        <v>364S Lמפר.אצבע סיליק. ליבל.זוג</v>
      </c>
      <c r="I824" s="7" t="str">
        <f aca="false">IF($G824="","Unmatched","Matched")</f>
        <v>Matched</v>
      </c>
      <c r="J824" s="7" t="n">
        <f aca="false">IF($G824&lt;&gt;"",$G824,$B824)</f>
        <v>4413059</v>
      </c>
      <c r="K824" s="7" t="str">
        <f aca="false">IF(COUNTIF($O$2:$O$16,$A824)&gt;0,"Y","N")</f>
        <v>Y</v>
      </c>
    </row>
    <row r="825" customFormat="false" ht="15" hidden="false" customHeight="false" outlineLevel="0" collapsed="false">
      <c r="A825" s="7" t="s">
        <v>37</v>
      </c>
      <c r="B825" s="7" t="s">
        <v>397</v>
      </c>
      <c r="C825" s="8" t="n">
        <v>20</v>
      </c>
      <c r="D825" s="8" t="n">
        <v>131.72</v>
      </c>
      <c r="E825" s="8" t="n">
        <v>0</v>
      </c>
      <c r="F825" s="8" t="n">
        <v>0</v>
      </c>
      <c r="G825" s="7" t="n">
        <f aca="false">IFERROR(INDEX('TRANS'!$B:$B,MATCH($B825,'TRANS'!$A:$A,0)),IFERROR(INDEX('TRANS'!$B:$B,MATCH(TRIM(SUBSTITUTE($B825,CHAR(160)," ")),'TRANS'!$D:$D,0)),IFERROR(INDEX('Catalog'!$A:$A,MATCH($B825,'Catalog'!$B:$B,0)),IFERROR(INDEX('Catalog'!$A:$A,MATCH(TRIM(SUBSTITUTE($B825,CHAR(160)," ")),'Catalog'!$C:$C,0)),""))))</f>
        <v>4413061</v>
      </c>
      <c r="H825" s="7" t="str">
        <f aca="false">IFERROR(INDEX('TRANS'!$C:$C,MATCH($B825,'TRANS'!$A:$A,0)),IFERROR(INDEX('Catalog'!$B:$B,MATCH($G825,'Catalog'!$A:$A,0)),$B825))</f>
        <v>3641-מיישר בוהן סיליקון קשיח</v>
      </c>
      <c r="I825" s="7" t="str">
        <f aca="false">IF($G825="","Unmatched","Matched")</f>
        <v>Matched</v>
      </c>
      <c r="J825" s="7" t="n">
        <f aca="false">IF($G825&lt;&gt;"",$G825,$B825)</f>
        <v>4413061</v>
      </c>
      <c r="K825" s="7" t="str">
        <f aca="false">IF(COUNTIF($O$2:$O$16,$A825)&gt;0,"Y","N")</f>
        <v>Y</v>
      </c>
    </row>
    <row r="826" customFormat="false" ht="15" hidden="false" customHeight="false" outlineLevel="0" collapsed="false">
      <c r="A826" s="7" t="s">
        <v>37</v>
      </c>
      <c r="B826" s="7" t="s">
        <v>315</v>
      </c>
      <c r="C826" s="8" t="n">
        <v>25</v>
      </c>
      <c r="D826" s="8" t="n">
        <v>175.23</v>
      </c>
      <c r="E826" s="8" t="n">
        <v>0</v>
      </c>
      <c r="F826" s="8" t="n">
        <v>0</v>
      </c>
      <c r="G826" s="7" t="n">
        <f aca="false">IFERROR(INDEX('TRANS'!$B:$B,MATCH($B826,'TRANS'!$A:$A,0)),IFERROR(INDEX('TRANS'!$B:$B,MATCH(TRIM(SUBSTITUTE($B826,CHAR(160)," ")),'TRANS'!$D:$D,0)),IFERROR(INDEX('Catalog'!$A:$A,MATCH($B826,'Catalog'!$B:$B,0)),IFERROR(INDEX('Catalog'!$A:$A,MATCH(TRIM(SUBSTITUTE($B826,CHAR(160)," ")),'Catalog'!$C:$C,0)),""))))</f>
        <v>4409000</v>
      </c>
      <c r="H826" s="7" t="str">
        <f aca="false">IFERROR(INDEX('TRANS'!$C:$C,MATCH($B826,'TRANS'!$A:$A,0)),IFERROR(INDEX('Catalog'!$B:$B,MATCH($G826,'Catalog'!$A:$A,0)),$B826))</f>
        <v>365 S-Lטבעת אלסטית מסיליקון</v>
      </c>
      <c r="I826" s="7" t="str">
        <f aca="false">IF($G826="","Unmatched","Matched")</f>
        <v>Matched</v>
      </c>
      <c r="J826" s="7" t="n">
        <f aca="false">IF($G826&lt;&gt;"",$G826,$B826)</f>
        <v>4409000</v>
      </c>
      <c r="K826" s="7" t="str">
        <f aca="false">IF(COUNTIF($O$2:$O$16,$A826)&gt;0,"Y","N")</f>
        <v>Y</v>
      </c>
    </row>
    <row r="827" customFormat="false" ht="15" hidden="false" customHeight="false" outlineLevel="0" collapsed="false">
      <c r="A827" s="7" t="s">
        <v>37</v>
      </c>
      <c r="B827" s="7" t="s">
        <v>317</v>
      </c>
      <c r="C827" s="8" t="n">
        <v>65</v>
      </c>
      <c r="D827" s="8" t="n">
        <v>607.93</v>
      </c>
      <c r="E827" s="8" t="n">
        <v>30</v>
      </c>
      <c r="F827" s="8" t="n">
        <v>239.49</v>
      </c>
      <c r="G827" s="7" t="n">
        <f aca="false">IFERROR(INDEX('TRANS'!$B:$B,MATCH($B827,'TRANS'!$A:$A,0)),IFERROR(INDEX('TRANS'!$B:$B,MATCH(TRIM(SUBSTITUTE($B827,CHAR(160)," ")),'TRANS'!$D:$D,0)),IFERROR(INDEX('Catalog'!$A:$A,MATCH($B827,'Catalog'!$B:$B,0)),IFERROR(INDEX('Catalog'!$A:$A,MATCH(TRIM(SUBSTITUTE($B827,CHAR(160)," ")),'Catalog'!$C:$C,0)),""))))</f>
        <v>4421000</v>
      </c>
      <c r="H827" s="7" t="str">
        <f aca="false">IFERROR(INDEX('TRANS'!$C:$C,MATCH($B827,'TRANS'!$A:$A,0)),IFERROR(INDEX('Catalog'!$B:$B,MATCH($G827,'Catalog'!$A:$A,0)),$B827))</f>
        <v>3655 שרוול מסיליקון לאצבע</v>
      </c>
      <c r="I827" s="7" t="str">
        <f aca="false">IF($G827="","Unmatched","Matched")</f>
        <v>Matched</v>
      </c>
      <c r="J827" s="7" t="n">
        <f aca="false">IF($G827&lt;&gt;"",$G827,$B827)</f>
        <v>4421000</v>
      </c>
      <c r="K827" s="7" t="str">
        <f aca="false">IF(COUNTIF($O$2:$O$16,$A827)&gt;0,"Y","N")</f>
        <v>Y</v>
      </c>
    </row>
    <row r="828" customFormat="false" ht="15" hidden="false" customHeight="false" outlineLevel="0" collapsed="false">
      <c r="A828" s="7" t="s">
        <v>37</v>
      </c>
      <c r="B828" s="7" t="s">
        <v>318</v>
      </c>
      <c r="C828" s="8" t="n">
        <v>10</v>
      </c>
      <c r="D828" s="8" t="n">
        <v>79.25</v>
      </c>
      <c r="E828" s="8" t="n">
        <v>0</v>
      </c>
      <c r="F828" s="8" t="n">
        <v>0</v>
      </c>
      <c r="G828" s="7" t="n">
        <f aca="false">IFERROR(INDEX('TRANS'!$B:$B,MATCH($B828,'TRANS'!$A:$A,0)),IFERROR(INDEX('TRANS'!$B:$B,MATCH(TRIM(SUBSTITUTE($B828,CHAR(160)," ")),'TRANS'!$D:$D,0)),IFERROR(INDEX('Catalog'!$A:$A,MATCH($B828,'Catalog'!$B:$B,0)),IFERROR(INDEX('Catalog'!$A:$A,MATCH(TRIM(SUBSTITUTE($B828,CHAR(160)," ")),'Catalog'!$C:$C,0)),""))))</f>
        <v>4413063</v>
      </c>
      <c r="H828" s="7" t="str">
        <f aca="false">IFERROR(INDEX('TRANS'!$C:$C,MATCH($B828,'TRANS'!$A:$A,0)),IFERROR(INDEX('Catalog'!$B:$B,MATCH($G828,'Catalog'!$A:$A,0)),$B828))</f>
        <v>366S-'מדבק.לשחרור לחץ מיבלת2יח</v>
      </c>
      <c r="I828" s="7" t="str">
        <f aca="false">IF($G828="","Unmatched","Matched")</f>
        <v>Matched</v>
      </c>
      <c r="J828" s="7" t="n">
        <f aca="false">IF($G828&lt;&gt;"",$G828,$B828)</f>
        <v>4413063</v>
      </c>
      <c r="K828" s="7" t="str">
        <f aca="false">IF(COUNTIF($O$2:$O$16,$A828)&gt;0,"Y","N")</f>
        <v>Y</v>
      </c>
    </row>
    <row r="829" customFormat="false" ht="15" hidden="false" customHeight="false" outlineLevel="0" collapsed="false">
      <c r="A829" s="7" t="s">
        <v>37</v>
      </c>
      <c r="B829" s="7" t="s">
        <v>634</v>
      </c>
      <c r="C829" s="8" t="n">
        <v>10</v>
      </c>
      <c r="D829" s="8" t="n">
        <v>194.36</v>
      </c>
      <c r="E829" s="8" t="n">
        <v>10</v>
      </c>
      <c r="F829" s="8" t="n">
        <v>171.3</v>
      </c>
      <c r="G829" s="7" t="n">
        <f aca="false">IFERROR(INDEX('TRANS'!$B:$B,MATCH($B829,'TRANS'!$A:$A,0)),IFERROR(INDEX('TRANS'!$B:$B,MATCH(TRIM(SUBSTITUTE($B829,CHAR(160)," ")),'TRANS'!$D:$D,0)),IFERROR(INDEX('Catalog'!$A:$A,MATCH($B829,'Catalog'!$B:$B,0)),IFERROR(INDEX('Catalog'!$A:$A,MATCH(TRIM(SUBSTITUTE($B829,CHAR(160)," ")),'Catalog'!$C:$C,0)),""))))</f>
        <v>4421003</v>
      </c>
      <c r="H829" s="7" t="str">
        <f aca="false">IFERROR(INDEX('TRANS'!$C:$C,MATCH($B829,'TRANS'!$A:$A,0)),IFERROR(INDEX('Catalog'!$B:$B,MATCH($G829,'Catalog'!$A:$A,0)),$B829))</f>
        <v>3672 שרוול מגן לבוניון</v>
      </c>
      <c r="I829" s="7" t="str">
        <f aca="false">IF($G829="","Unmatched","Matched")</f>
        <v>Matched</v>
      </c>
      <c r="J829" s="7" t="n">
        <f aca="false">IF($G829&lt;&gt;"",$G829,$B829)</f>
        <v>4421003</v>
      </c>
      <c r="K829" s="7" t="str">
        <f aca="false">IF(COUNTIF($O$2:$O$16,$A829)&gt;0,"Y","N")</f>
        <v>Y</v>
      </c>
    </row>
    <row r="830" customFormat="false" ht="15" hidden="false" customHeight="false" outlineLevel="0" collapsed="false">
      <c r="A830" s="7" t="s">
        <v>37</v>
      </c>
      <c r="B830" s="7" t="s">
        <v>399</v>
      </c>
      <c r="C830" s="8" t="n">
        <v>200</v>
      </c>
      <c r="D830" s="8" t="n">
        <v>3602.77</v>
      </c>
      <c r="E830" s="8" t="n">
        <v>40</v>
      </c>
      <c r="F830" s="8" t="n">
        <v>618.69</v>
      </c>
      <c r="G830" s="7" t="n">
        <f aca="false">IFERROR(INDEX('TRANS'!$B:$B,MATCH($B830,'TRANS'!$A:$A,0)),IFERROR(INDEX('TRANS'!$B:$B,MATCH(TRIM(SUBSTITUTE($B830,CHAR(160)," ")),'TRANS'!$D:$D,0)),IFERROR(INDEX('Catalog'!$A:$A,MATCH($B830,'Catalog'!$B:$B,0)),IFERROR(INDEX('Catalog'!$A:$A,MATCH(TRIM(SUBSTITUTE($B830,CHAR(160)," ")),'Catalog'!$C:$C,0)),""))))</f>
        <v>4413370</v>
      </c>
      <c r="H830" s="7" t="str">
        <f aca="false">IFERROR(INDEX('TRANS'!$C:$C,MATCH($B830,'TRANS'!$A:$A,0)),IFERROR(INDEX('Catalog'!$B:$B,MATCH($G830,'Catalog'!$A:$A,0)),$B830))</f>
        <v>3674 0 מ.בוניון+מפריד אצבע</v>
      </c>
      <c r="I830" s="7" t="str">
        <f aca="false">IF($G830="","Unmatched","Matched")</f>
        <v>Matched</v>
      </c>
      <c r="J830" s="7" t="n">
        <f aca="false">IF($G830&lt;&gt;"",$G830,$B830)</f>
        <v>4413370</v>
      </c>
      <c r="K830" s="7" t="str">
        <f aca="false">IF(COUNTIF($O$2:$O$16,$A830)&gt;0,"Y","N")</f>
        <v>Y</v>
      </c>
    </row>
    <row r="831" customFormat="false" ht="15" hidden="false" customHeight="false" outlineLevel="0" collapsed="false">
      <c r="A831" s="7" t="s">
        <v>37</v>
      </c>
      <c r="B831" s="7" t="s">
        <v>400</v>
      </c>
      <c r="C831" s="8" t="n">
        <v>10</v>
      </c>
      <c r="D831" s="8" t="n">
        <v>143.41</v>
      </c>
      <c r="E831" s="8" t="n">
        <v>25</v>
      </c>
      <c r="F831" s="8" t="n">
        <v>316</v>
      </c>
      <c r="G831" s="7" t="n">
        <f aca="false">IFERROR(INDEX('TRANS'!$B:$B,MATCH($B831,'TRANS'!$A:$A,0)),IFERROR(INDEX('TRANS'!$B:$B,MATCH(TRIM(SUBSTITUTE($B831,CHAR(160)," ")),'TRANS'!$D:$D,0)),IFERROR(INDEX('Catalog'!$A:$A,MATCH($B831,'Catalog'!$B:$B,0)),IFERROR(INDEX('Catalog'!$A:$A,MATCH(TRIM(SUBSTITUTE($B831,CHAR(160)," ")),'Catalog'!$C:$C,0)),""))))</f>
        <v>4413371</v>
      </c>
      <c r="H831" s="7" t="str">
        <f aca="false">IFERROR(INDEX('TRANS'!$C:$C,MATCH($B831,'TRANS'!$A:$A,0)),IFERROR(INDEX('Catalog'!$B:$B,MATCH($G831,'Catalog'!$A:$A,0)),$B831))</f>
        <v>3675    מגן זרת מסיליקון</v>
      </c>
      <c r="I831" s="7" t="str">
        <f aca="false">IF($G831="","Unmatched","Matched")</f>
        <v>Matched</v>
      </c>
      <c r="J831" s="7" t="n">
        <f aca="false">IF($G831&lt;&gt;"",$G831,$B831)</f>
        <v>4413371</v>
      </c>
      <c r="K831" s="7" t="str">
        <f aca="false">IF(COUNTIF($O$2:$O$16,$A831)&gt;0,"Y","N")</f>
        <v>Y</v>
      </c>
    </row>
    <row r="832" customFormat="false" ht="15" hidden="false" customHeight="false" outlineLevel="0" collapsed="false">
      <c r="A832" s="7" t="s">
        <v>37</v>
      </c>
      <c r="B832" s="7" t="s">
        <v>320</v>
      </c>
      <c r="C832" s="8" t="n">
        <v>10</v>
      </c>
      <c r="D832" s="8" t="n">
        <v>107.3</v>
      </c>
      <c r="E832" s="8" t="n">
        <v>10</v>
      </c>
      <c r="F832" s="8" t="n">
        <v>89.81</v>
      </c>
      <c r="G832" s="7" t="n">
        <f aca="false">IFERROR(INDEX('TRANS'!$B:$B,MATCH($B832,'TRANS'!$A:$A,0)),IFERROR(INDEX('TRANS'!$B:$B,MATCH(TRIM(SUBSTITUTE($B832,CHAR(160)," ")),'TRANS'!$D:$D,0)),IFERROR(INDEX('Catalog'!$A:$A,MATCH($B832,'Catalog'!$B:$B,0)),IFERROR(INDEX('Catalog'!$A:$A,MATCH(TRIM(SUBSTITUTE($B832,CHAR(160)," ")),'Catalog'!$C:$C,0)),""))))</f>
        <v>4401000</v>
      </c>
      <c r="H832" s="7" t="str">
        <f aca="false">IFERROR(INDEX('TRANS'!$C:$C,MATCH($B832,'TRANS'!$A:$A,0)),IFERROR(INDEX('Catalog'!$B:$B,MATCH($G832,'Catalog'!$A:$A,0)),$B832))</f>
        <v>369  S-L אצבעון מסיליקון יחידה</v>
      </c>
      <c r="I832" s="7" t="str">
        <f aca="false">IF($G832="","Unmatched","Matched")</f>
        <v>Matched</v>
      </c>
      <c r="J832" s="7" t="n">
        <f aca="false">IF($G832&lt;&gt;"",$G832,$B832)</f>
        <v>4401000</v>
      </c>
      <c r="K832" s="7" t="str">
        <f aca="false">IF(COUNTIF($O$2:$O$16,$A832)&gt;0,"Y","N")</f>
        <v>Y</v>
      </c>
    </row>
    <row r="833" customFormat="false" ht="15" hidden="false" customHeight="false" outlineLevel="0" collapsed="false">
      <c r="A833" s="7" t="s">
        <v>37</v>
      </c>
      <c r="B833" s="7" t="s">
        <v>321</v>
      </c>
      <c r="C833" s="8" t="n">
        <v>10</v>
      </c>
      <c r="D833" s="8" t="n">
        <v>119.22</v>
      </c>
      <c r="E833" s="8" t="n">
        <v>20</v>
      </c>
      <c r="F833" s="8" t="n">
        <v>199.58</v>
      </c>
      <c r="G833" s="7" t="n">
        <f aca="false">IFERROR(INDEX('TRANS'!$B:$B,MATCH($B833,'TRANS'!$A:$A,0)),IFERROR(INDEX('TRANS'!$B:$B,MATCH(TRIM(SUBSTITUTE($B833,CHAR(160)," ")),'TRANS'!$D:$D,0)),IFERROR(INDEX('Catalog'!$A:$A,MATCH($B833,'Catalog'!$B:$B,0)),IFERROR(INDEX('Catalog'!$A:$A,MATCH(TRIM(SUBSTITUTE($B833,CHAR(160)," ")),'Catalog'!$C:$C,0)),""))))</f>
        <v>4401001</v>
      </c>
      <c r="H833" s="7" t="str">
        <f aca="false">IFERROR(INDEX('TRANS'!$C:$C,MATCH($B833,'TRANS'!$A:$A,0)),IFERROR(INDEX('Catalog'!$B:$B,MATCH($G833,'Catalog'!$A:$A,0)),$B833))</f>
        <v>369   XL אצבעון מסיליקון יחידה</v>
      </c>
      <c r="I833" s="7" t="str">
        <f aca="false">IF($G833="","Unmatched","Matched")</f>
        <v>Matched</v>
      </c>
      <c r="J833" s="7" t="n">
        <f aca="false">IF($G833&lt;&gt;"",$G833,$B833)</f>
        <v>4401001</v>
      </c>
      <c r="K833" s="7" t="str">
        <f aca="false">IF(COUNTIF($O$2:$O$16,$A833)&gt;0,"Y","N")</f>
        <v>Y</v>
      </c>
    </row>
    <row r="834" customFormat="false" ht="15" hidden="false" customHeight="false" outlineLevel="0" collapsed="false">
      <c r="A834" s="7" t="s">
        <v>37</v>
      </c>
      <c r="B834" s="7" t="s">
        <v>322</v>
      </c>
      <c r="C834" s="8" t="n">
        <v>15</v>
      </c>
      <c r="D834" s="8" t="n">
        <v>107.3</v>
      </c>
      <c r="E834" s="8" t="n">
        <v>12</v>
      </c>
      <c r="F834" s="8" t="n">
        <v>71.85</v>
      </c>
      <c r="G834" s="7" t="n">
        <f aca="false">IFERROR(INDEX('TRANS'!$B:$B,MATCH($B834,'TRANS'!$A:$A,0)),IFERROR(INDEX('TRANS'!$B:$B,MATCH(TRIM(SUBSTITUTE($B834,CHAR(160)," ")),'TRANS'!$D:$D,0)),IFERROR(INDEX('Catalog'!$A:$A,MATCH($B834,'Catalog'!$B:$B,0)),IFERROR(INDEX('Catalog'!$A:$A,MATCH(TRIM(SUBSTITUTE($B834,CHAR(160)," ")),'Catalog'!$C:$C,0)),""))))</f>
        <v>4420000</v>
      </c>
      <c r="H834" s="7" t="str">
        <f aca="false">IFERROR(INDEX('TRANS'!$C:$C,MATCH($B834,'TRANS'!$A:$A,0)),IFERROR(INDEX('Catalog'!$B:$B,MATCH($G834,'Catalog'!$A:$A,0)),$B834))</f>
        <v>370  רפידת נוחות-זוג</v>
      </c>
      <c r="I834" s="7" t="str">
        <f aca="false">IF($G834="","Unmatched","Matched")</f>
        <v>Matched</v>
      </c>
      <c r="J834" s="7" t="n">
        <f aca="false">IF($G834&lt;&gt;"",$G834,$B834)</f>
        <v>4420000</v>
      </c>
      <c r="K834" s="7" t="str">
        <f aca="false">IF(COUNTIF($O$2:$O$16,$A834)&gt;0,"Y","N")</f>
        <v>Y</v>
      </c>
    </row>
    <row r="835" customFormat="false" ht="15" hidden="false" customHeight="false" outlineLevel="0" collapsed="false">
      <c r="A835" s="7" t="s">
        <v>37</v>
      </c>
      <c r="B835" s="7" t="s">
        <v>324</v>
      </c>
      <c r="C835" s="8" t="n">
        <v>50</v>
      </c>
      <c r="D835" s="8" t="n">
        <v>389.4</v>
      </c>
      <c r="E835" s="8" t="n">
        <v>20</v>
      </c>
      <c r="F835" s="8" t="n">
        <v>133.05</v>
      </c>
      <c r="G835" s="7" t="n">
        <f aca="false">IFERROR(INDEX('TRANS'!$B:$B,MATCH($B835,'TRANS'!$A:$A,0)),IFERROR(INDEX('TRANS'!$B:$B,MATCH(TRIM(SUBSTITUTE($B835,CHAR(160)," ")),'TRANS'!$D:$D,0)),IFERROR(INDEX('Catalog'!$A:$A,MATCH($B835,'Catalog'!$B:$B,0)),IFERROR(INDEX('Catalog'!$A:$A,MATCH(TRIM(SUBSTITUTE($B835,CHAR(160)," ")),'Catalog'!$C:$C,0)),""))))</f>
        <v>4420002</v>
      </c>
      <c r="H835" s="7" t="str">
        <f aca="false">IFERROR(INDEX('TRANS'!$C:$C,MATCH($B835,'TRANS'!$A:$A,0)),IFERROR(INDEX('Catalog'!$B:$B,MATCH($G835,'Catalog'!$A:$A,0)),$B835))</f>
        <v>372 רפידת אנטי ריח -זוג</v>
      </c>
      <c r="I835" s="7" t="str">
        <f aca="false">IF($G835="","Unmatched","Matched")</f>
        <v>Matched</v>
      </c>
      <c r="J835" s="7" t="n">
        <f aca="false">IF($G835&lt;&gt;"",$G835,$B835)</f>
        <v>4420002</v>
      </c>
      <c r="K835" s="7" t="str">
        <f aca="false">IF(COUNTIF($O$2:$O$16,$A835)&gt;0,"Y","N")</f>
        <v>Y</v>
      </c>
    </row>
    <row r="836" customFormat="false" ht="15" hidden="false" customHeight="false" outlineLevel="0" collapsed="false">
      <c r="A836" s="7" t="s">
        <v>37</v>
      </c>
      <c r="B836" s="7" t="s">
        <v>78</v>
      </c>
      <c r="C836" s="8" t="n">
        <v>12</v>
      </c>
      <c r="D836" s="8" t="n">
        <v>200.29</v>
      </c>
      <c r="E836" s="8" t="n">
        <v>0</v>
      </c>
      <c r="F836" s="8" t="n">
        <v>0</v>
      </c>
      <c r="G836" s="7" t="str">
        <f aca="false">IFERROR(INDEX('TRANS'!$B:$B,MATCH($B836,'TRANS'!$A:$A,0)),IFERROR(INDEX('TRANS'!$B:$B,MATCH(TRIM(SUBSTITUTE($B836,CHAR(160)," ")),'TRANS'!$D:$D,0)),IFERROR(INDEX('Catalog'!$A:$A,MATCH($B836,'Catalog'!$B:$B,0)),IFERROR(INDEX('Catalog'!$A:$A,MATCH(TRIM(SUBSTITUTE($B836,CHAR(160)," ")),'Catalog'!$C:$C,0)),""))))</f>
        <v/>
      </c>
      <c r="H836" s="7" t="str">
        <f aca="false">IFERROR(INDEX('TRANS'!$C:$C,MATCH($B836,'TRANS'!$A:$A,0)),IFERROR(INDEX('Catalog'!$B:$B,MATCH($G836,'Catalog'!$A:$A,0)),$B836))</f>
        <v>376-35-37</v>
      </c>
      <c r="I836" s="7" t="str">
        <f aca="false">IF($G836="","Unmatched","Matched")</f>
        <v>Unmatched</v>
      </c>
      <c r="J836" s="7" t="str">
        <f aca="false">IF($G836&lt;&gt;"",$G836,$B836)</f>
        <v>376-35-37</v>
      </c>
      <c r="K836" s="7" t="str">
        <f aca="false">IF(COUNTIF($O$2:$O$16,$A836)&gt;0,"Y","N")</f>
        <v>Y</v>
      </c>
    </row>
    <row r="837" customFormat="false" ht="15" hidden="false" customHeight="false" outlineLevel="0" collapsed="false">
      <c r="A837" s="7" t="s">
        <v>37</v>
      </c>
      <c r="B837" s="7" t="s">
        <v>72</v>
      </c>
      <c r="C837" s="8" t="n">
        <v>0</v>
      </c>
      <c r="D837" s="8" t="n">
        <v>0</v>
      </c>
      <c r="E837" s="8" t="n">
        <v>10</v>
      </c>
      <c r="F837" s="8" t="n">
        <v>139.7</v>
      </c>
      <c r="G837" s="7" t="str">
        <f aca="false">IFERROR(INDEX('TRANS'!$B:$B,MATCH($B837,'TRANS'!$A:$A,0)),IFERROR(INDEX('TRANS'!$B:$B,MATCH(TRIM(SUBSTITUTE($B837,CHAR(160)," ")),'TRANS'!$D:$D,0)),IFERROR(INDEX('Catalog'!$A:$A,MATCH($B837,'Catalog'!$B:$B,0)),IFERROR(INDEX('Catalog'!$A:$A,MATCH(TRIM(SUBSTITUTE($B837,CHAR(160)," ")),'Catalog'!$C:$C,0)),""))))</f>
        <v/>
      </c>
      <c r="H837" s="7" t="str">
        <f aca="false">IFERROR(INDEX('TRANS'!$C:$C,MATCH($B837,'TRANS'!$A:$A,0)),IFERROR(INDEX('Catalog'!$B:$B,MATCH($G837,'Catalog'!$A:$A,0)),$B837))</f>
        <v>376-38-40</v>
      </c>
      <c r="I837" s="7" t="str">
        <f aca="false">IF($G837="","Unmatched","Matched")</f>
        <v>Unmatched</v>
      </c>
      <c r="J837" s="7" t="str">
        <f aca="false">IF($G837&lt;&gt;"",$G837,$B837)</f>
        <v>376-38-40</v>
      </c>
      <c r="K837" s="7" t="str">
        <f aca="false">IF(COUNTIF($O$2:$O$16,$A837)&gt;0,"Y","N")</f>
        <v>Y</v>
      </c>
    </row>
    <row r="838" customFormat="false" ht="15" hidden="false" customHeight="false" outlineLevel="0" collapsed="false">
      <c r="A838" s="7" t="s">
        <v>37</v>
      </c>
      <c r="B838" s="7" t="s">
        <v>69</v>
      </c>
      <c r="C838" s="8" t="n">
        <v>10</v>
      </c>
      <c r="D838" s="8" t="n">
        <v>158.5</v>
      </c>
      <c r="E838" s="8" t="n">
        <v>8</v>
      </c>
      <c r="F838" s="8" t="n">
        <v>111.76</v>
      </c>
      <c r="G838" s="7" t="str">
        <f aca="false">IFERROR(INDEX('TRANS'!$B:$B,MATCH($B838,'TRANS'!$A:$A,0)),IFERROR(INDEX('TRANS'!$B:$B,MATCH(TRIM(SUBSTITUTE($B838,CHAR(160)," ")),'TRANS'!$D:$D,0)),IFERROR(INDEX('Catalog'!$A:$A,MATCH($B838,'Catalog'!$B:$B,0)),IFERROR(INDEX('Catalog'!$A:$A,MATCH(TRIM(SUBSTITUTE($B838,CHAR(160)," ")),'Catalog'!$C:$C,0)),""))))</f>
        <v/>
      </c>
      <c r="H838" s="7" t="str">
        <f aca="false">IFERROR(INDEX('TRANS'!$C:$C,MATCH($B838,'TRANS'!$A:$A,0)),IFERROR(INDEX('Catalog'!$B:$B,MATCH($G838,'Catalog'!$A:$A,0)),$B838))</f>
        <v>376-41-43</v>
      </c>
      <c r="I838" s="7" t="str">
        <f aca="false">IF($G838="","Unmatched","Matched")</f>
        <v>Unmatched</v>
      </c>
      <c r="J838" s="7" t="str">
        <f aca="false">IF($G838&lt;&gt;"",$G838,$B838)</f>
        <v>376-41-43</v>
      </c>
      <c r="K838" s="7" t="str">
        <f aca="false">IF(COUNTIF($O$2:$O$16,$A838)&gt;0,"Y","N")</f>
        <v>Y</v>
      </c>
    </row>
    <row r="839" customFormat="false" ht="15" hidden="false" customHeight="false" outlineLevel="0" collapsed="false">
      <c r="A839" s="7" t="s">
        <v>37</v>
      </c>
      <c r="B839" s="7" t="s">
        <v>73</v>
      </c>
      <c r="C839" s="8" t="n">
        <v>8</v>
      </c>
      <c r="D839" s="8" t="n">
        <v>126.8</v>
      </c>
      <c r="E839" s="8" t="n">
        <v>4</v>
      </c>
      <c r="F839" s="8" t="n">
        <v>55.88</v>
      </c>
      <c r="G839" s="7" t="str">
        <f aca="false">IFERROR(INDEX('TRANS'!$B:$B,MATCH($B839,'TRANS'!$A:$A,0)),IFERROR(INDEX('TRANS'!$B:$B,MATCH(TRIM(SUBSTITUTE($B839,CHAR(160)," ")),'TRANS'!$D:$D,0)),IFERROR(INDEX('Catalog'!$A:$A,MATCH($B839,'Catalog'!$B:$B,0)),IFERROR(INDEX('Catalog'!$A:$A,MATCH(TRIM(SUBSTITUTE($B839,CHAR(160)," ")),'Catalog'!$C:$C,0)),""))))</f>
        <v/>
      </c>
      <c r="H839" s="7" t="str">
        <f aca="false">IFERROR(INDEX('TRANS'!$C:$C,MATCH($B839,'TRANS'!$A:$A,0)),IFERROR(INDEX('Catalog'!$B:$B,MATCH($G839,'Catalog'!$A:$A,0)),$B839))</f>
        <v>376-44-45</v>
      </c>
      <c r="I839" s="7" t="str">
        <f aca="false">IF($G839="","Unmatched","Matched")</f>
        <v>Unmatched</v>
      </c>
      <c r="J839" s="7" t="str">
        <f aca="false">IF($G839&lt;&gt;"",$G839,$B839)</f>
        <v>376-44-45</v>
      </c>
      <c r="K839" s="7" t="str">
        <f aca="false">IF(COUNTIF($O$2:$O$16,$A839)&gt;0,"Y","N")</f>
        <v>Y</v>
      </c>
    </row>
    <row r="840" customFormat="false" ht="15" hidden="false" customHeight="false" outlineLevel="0" collapsed="false">
      <c r="A840" s="7" t="s">
        <v>37</v>
      </c>
      <c r="B840" s="7" t="s">
        <v>327</v>
      </c>
      <c r="C840" s="8" t="n">
        <v>70</v>
      </c>
      <c r="D840" s="8" t="n">
        <v>1279.23</v>
      </c>
      <c r="E840" s="8" t="n">
        <v>30</v>
      </c>
      <c r="F840" s="8" t="n">
        <v>469.01</v>
      </c>
      <c r="G840" s="7" t="n">
        <f aca="false">IFERROR(INDEX('TRANS'!$B:$B,MATCH($B840,'TRANS'!$A:$A,0)),IFERROR(INDEX('TRANS'!$B:$B,MATCH(TRIM(SUBSTITUTE($B840,CHAR(160)," ")),'TRANS'!$D:$D,0)),IFERROR(INDEX('Catalog'!$A:$A,MATCH($B840,'Catalog'!$B:$B,0)),IFERROR(INDEX('Catalog'!$A:$A,MATCH(TRIM(SUBSTITUTE($B840,CHAR(160)," ")),'Catalog'!$C:$C,0)),""))))</f>
        <v>4413452</v>
      </c>
      <c r="H840" s="7" t="str">
        <f aca="false">IFERROR(INDEX('TRANS'!$C:$C,MATCH($B840,'TRANS'!$A:$A,0)),IFERROR(INDEX('Catalog'!$B:$B,MATCH($G840,'Catalog'!$A:$A,0)),$B840))</f>
        <v>386  מיישר בוניון-האלוקס ולגוס</v>
      </c>
      <c r="I840" s="7" t="str">
        <f aca="false">IF($G840="","Unmatched","Matched")</f>
        <v>Matched</v>
      </c>
      <c r="J840" s="7" t="n">
        <f aca="false">IF($G840&lt;&gt;"",$G840,$B840)</f>
        <v>4413452</v>
      </c>
      <c r="K840" s="7" t="str">
        <f aca="false">IF(COUNTIF($O$2:$O$16,$A840)&gt;0,"Y","N")</f>
        <v>Y</v>
      </c>
    </row>
    <row r="841" customFormat="false" ht="15" hidden="false" customHeight="false" outlineLevel="0" collapsed="false">
      <c r="A841" s="7" t="s">
        <v>37</v>
      </c>
      <c r="B841" s="7" t="s">
        <v>635</v>
      </c>
      <c r="C841" s="8" t="n">
        <v>30</v>
      </c>
      <c r="D841" s="8" t="n">
        <v>1573.72</v>
      </c>
      <c r="E841" s="8" t="n">
        <v>0</v>
      </c>
      <c r="F841" s="8" t="n">
        <v>0</v>
      </c>
      <c r="G841" s="7" t="n">
        <f aca="false">IFERROR(INDEX('TRANS'!$B:$B,MATCH($B841,'TRANS'!$A:$A,0)),IFERROR(INDEX('TRANS'!$B:$B,MATCH(TRIM(SUBSTITUTE($B841,CHAR(160)," ")),'TRANS'!$D:$D,0)),IFERROR(INDEX('Catalog'!$A:$A,MATCH($B841,'Catalog'!$B:$B,0)),IFERROR(INDEX('Catalog'!$A:$A,MATCH(TRIM(SUBSTITUTE($B841,CHAR(160)," ")),'Catalog'!$C:$C,0)),""))))</f>
        <v>4413072</v>
      </c>
      <c r="H841" s="7" t="str">
        <f aca="false">IFERROR(INDEX('TRANS'!$C:$C,MATCH($B841,'TRANS'!$A:$A,0)),IFERROR(INDEX('Catalog'!$B:$B,MATCH($G841,'Catalog'!$A:$A,0)),$B841))</f>
        <v>41 Lמ.ברך מוצלב+ספירלות בצדדים</v>
      </c>
      <c r="I841" s="7" t="str">
        <f aca="false">IF($G841="","Unmatched","Matched")</f>
        <v>Matched</v>
      </c>
      <c r="J841" s="7" t="n">
        <f aca="false">IF($G841&lt;&gt;"",$G841,$B841)</f>
        <v>4413072</v>
      </c>
      <c r="K841" s="7" t="str">
        <f aca="false">IF(COUNTIF($O$2:$O$16,$A841)&gt;0,"Y","N")</f>
        <v>Y</v>
      </c>
    </row>
    <row r="842" customFormat="false" ht="15" hidden="false" customHeight="false" outlineLevel="0" collapsed="false">
      <c r="A842" s="7" t="s">
        <v>37</v>
      </c>
      <c r="B842" s="7" t="s">
        <v>636</v>
      </c>
      <c r="C842" s="8" t="n">
        <v>30</v>
      </c>
      <c r="D842" s="8" t="n">
        <v>1573.72</v>
      </c>
      <c r="E842" s="8" t="n">
        <v>0</v>
      </c>
      <c r="F842" s="8" t="n">
        <v>0</v>
      </c>
      <c r="G842" s="7" t="n">
        <f aca="false">IFERROR(INDEX('TRANS'!$B:$B,MATCH($B842,'TRANS'!$A:$A,0)),IFERROR(INDEX('TRANS'!$B:$B,MATCH(TRIM(SUBSTITUTE($B842,CHAR(160)," ")),'TRANS'!$D:$D,0)),IFERROR(INDEX('Catalog'!$A:$A,MATCH($B842,'Catalog'!$B:$B,0)),IFERROR(INDEX('Catalog'!$A:$A,MATCH(TRIM(SUBSTITUTE($B842,CHAR(160)," ")),'Catalog'!$C:$C,0)),""))))</f>
        <v>4413073</v>
      </c>
      <c r="H842" s="7" t="str">
        <f aca="false">IFERROR(INDEX('TRANS'!$C:$C,MATCH($B842,'TRANS'!$A:$A,0)),IFERROR(INDEX('Catalog'!$B:$B,MATCH($G842,'Catalog'!$A:$A,0)),$B842))</f>
        <v>41 Mמ.ברך מוצלב+ספירלות בצדדים</v>
      </c>
      <c r="I842" s="7" t="str">
        <f aca="false">IF($G842="","Unmatched","Matched")</f>
        <v>Matched</v>
      </c>
      <c r="J842" s="7" t="n">
        <f aca="false">IF($G842&lt;&gt;"",$G842,$B842)</f>
        <v>4413073</v>
      </c>
      <c r="K842" s="7" t="str">
        <f aca="false">IF(COUNTIF($O$2:$O$16,$A842)&gt;0,"Y","N")</f>
        <v>Y</v>
      </c>
    </row>
    <row r="843" customFormat="false" ht="15" hidden="false" customHeight="false" outlineLevel="0" collapsed="false">
      <c r="A843" s="7" t="s">
        <v>37</v>
      </c>
      <c r="B843" s="7" t="s">
        <v>637</v>
      </c>
      <c r="C843" s="8" t="n">
        <v>10</v>
      </c>
      <c r="D843" s="8" t="n">
        <v>524.57</v>
      </c>
      <c r="E843" s="8" t="n">
        <v>0</v>
      </c>
      <c r="F843" s="8" t="n">
        <v>0</v>
      </c>
      <c r="G843" s="7" t="n">
        <f aca="false">IFERROR(INDEX('TRANS'!$B:$B,MATCH($B843,'TRANS'!$A:$A,0)),IFERROR(INDEX('TRANS'!$B:$B,MATCH(TRIM(SUBSTITUTE($B843,CHAR(160)," ")),'TRANS'!$D:$D,0)),IFERROR(INDEX('Catalog'!$A:$A,MATCH($B843,'Catalog'!$B:$B,0)),IFERROR(INDEX('Catalog'!$A:$A,MATCH(TRIM(SUBSTITUTE($B843,CHAR(160)," ")),'Catalog'!$C:$C,0)),""))))</f>
        <v>4413071</v>
      </c>
      <c r="H843" s="7" t="str">
        <f aca="false">IFERROR(INDEX('TRANS'!$C:$C,MATCH($B843,'TRANS'!$A:$A,0)),IFERROR(INDEX('Catalog'!$B:$B,MATCH($G843,'Catalog'!$A:$A,0)),$B843))</f>
        <v>41 Sמ.ברך מוצלב+ספירלות בצדדים</v>
      </c>
      <c r="I843" s="7" t="str">
        <f aca="false">IF($G843="","Unmatched","Matched")</f>
        <v>Matched</v>
      </c>
      <c r="J843" s="7" t="n">
        <f aca="false">IF($G843&lt;&gt;"",$G843,$B843)</f>
        <v>4413071</v>
      </c>
      <c r="K843" s="7" t="str">
        <f aca="false">IF(COUNTIF($O$2:$O$16,$A843)&gt;0,"Y","N")</f>
        <v>Y</v>
      </c>
    </row>
    <row r="844" customFormat="false" ht="15" hidden="false" customHeight="false" outlineLevel="0" collapsed="false">
      <c r="A844" s="7" t="s">
        <v>37</v>
      </c>
      <c r="B844" s="7" t="s">
        <v>638</v>
      </c>
      <c r="C844" s="8" t="n">
        <v>25</v>
      </c>
      <c r="D844" s="8" t="n">
        <v>1311.43</v>
      </c>
      <c r="E844" s="8" t="n">
        <v>0</v>
      </c>
      <c r="F844" s="8" t="n">
        <v>0</v>
      </c>
      <c r="G844" s="7" t="n">
        <f aca="false">IFERROR(INDEX('TRANS'!$B:$B,MATCH($B844,'TRANS'!$A:$A,0)),IFERROR(INDEX('TRANS'!$B:$B,MATCH(TRIM(SUBSTITUTE($B844,CHAR(160)," ")),'TRANS'!$D:$D,0)),IFERROR(INDEX('Catalog'!$A:$A,MATCH($B844,'Catalog'!$B:$B,0)),IFERROR(INDEX('Catalog'!$A:$A,MATCH(TRIM(SUBSTITUTE($B844,CHAR(160)," ")),'Catalog'!$C:$C,0)),""))))</f>
        <v>4413074</v>
      </c>
      <c r="H844" s="7" t="str">
        <f aca="false">IFERROR(INDEX('TRANS'!$C:$C,MATCH($B844,'TRANS'!$A:$A,0)),IFERROR(INDEX('Catalog'!$B:$B,MATCH($G844,'Catalog'!$A:$A,0)),$B844))</f>
        <v>41  XL.מ.ברך מוצלב+ספירלות בצד</v>
      </c>
      <c r="I844" s="7" t="str">
        <f aca="false">IF($G844="","Unmatched","Matched")</f>
        <v>Matched</v>
      </c>
      <c r="J844" s="7" t="n">
        <f aca="false">IF($G844&lt;&gt;"",$G844,$B844)</f>
        <v>4413074</v>
      </c>
      <c r="K844" s="7" t="str">
        <f aca="false">IF(COUNTIF($O$2:$O$16,$A844)&gt;0,"Y","N")</f>
        <v>Y</v>
      </c>
    </row>
    <row r="845" customFormat="false" ht="15" hidden="false" customHeight="false" outlineLevel="0" collapsed="false">
      <c r="A845" s="7" t="s">
        <v>37</v>
      </c>
      <c r="B845" s="7" t="s">
        <v>212</v>
      </c>
      <c r="C845" s="8" t="n">
        <v>15</v>
      </c>
      <c r="D845" s="8" t="n">
        <v>786.86</v>
      </c>
      <c r="E845" s="8" t="n">
        <v>0</v>
      </c>
      <c r="F845" s="8" t="n">
        <v>0</v>
      </c>
      <c r="G845" s="7" t="str">
        <f aca="false">IFERROR(INDEX('TRANS'!$B:$B,MATCH($B845,'TRANS'!$A:$A,0)),IFERROR(INDEX('TRANS'!$B:$B,MATCH(TRIM(SUBSTITUTE($B845,CHAR(160)," ")),'TRANS'!$D:$D,0)),IFERROR(INDEX('Catalog'!$A:$A,MATCH($B845,'Catalog'!$B:$B,0)),IFERROR(INDEX('Catalog'!$A:$A,MATCH(TRIM(SUBSTITUTE($B845,CHAR(160)," ")),'Catalog'!$C:$C,0)),""))))</f>
        <v/>
      </c>
      <c r="H845" s="7" t="str">
        <f aca="false">IFERROR(INDEX('TRANS'!$C:$C,MATCH($B845,'TRANS'!$A:$A,0)),IFERROR(INDEX('Catalog'!$B:$B,MATCH($G845,'Catalog'!$A:$A,0)),$B845))</f>
        <v>41 XXL</v>
      </c>
      <c r="I845" s="7" t="str">
        <f aca="false">IF($G845="","Unmatched","Matched")</f>
        <v>Unmatched</v>
      </c>
      <c r="J845" s="7" t="str">
        <f aca="false">IF($G845&lt;&gt;"",$G845,$B845)</f>
        <v>41 XXL</v>
      </c>
      <c r="K845" s="7" t="str">
        <f aca="false">IF(COUNTIF($O$2:$O$16,$A845)&gt;0,"Y","N")</f>
        <v>Y</v>
      </c>
    </row>
    <row r="846" customFormat="false" ht="15" hidden="false" customHeight="false" outlineLevel="0" collapsed="false">
      <c r="A846" s="7" t="s">
        <v>37</v>
      </c>
      <c r="B846" s="7" t="s">
        <v>338</v>
      </c>
      <c r="C846" s="8" t="n">
        <v>20</v>
      </c>
      <c r="D846" s="8" t="n">
        <v>250.36</v>
      </c>
      <c r="E846" s="8" t="n">
        <v>10</v>
      </c>
      <c r="F846" s="8" t="n">
        <v>104.78</v>
      </c>
      <c r="G846" s="7" t="n">
        <f aca="false">IFERROR(INDEX('TRANS'!$B:$B,MATCH($B846,'TRANS'!$A:$A,0)),IFERROR(INDEX('TRANS'!$B:$B,MATCH(TRIM(SUBSTITUTE($B846,CHAR(160)," ")),'TRANS'!$D:$D,0)),IFERROR(INDEX('Catalog'!$A:$A,MATCH($B846,'Catalog'!$B:$B,0)),IFERROR(INDEX('Catalog'!$A:$A,MATCH(TRIM(SUBSTITUTE($B846,CHAR(160)," ")),'Catalog'!$C:$C,0)),""))))</f>
        <v>4413495</v>
      </c>
      <c r="H846" s="7" t="str">
        <f aca="false">IFERROR(INDEX('TRANS'!$C:$C,MATCH($B846,'TRANS'!$A:$A,0)),IFERROR(INDEX('Catalog'!$B:$B,MATCH($G846,'Catalog'!$A:$A,0)),$B846))</f>
        <v>45B L מגן ברך שחור</v>
      </c>
      <c r="I846" s="7" t="str">
        <f aca="false">IF($G846="","Unmatched","Matched")</f>
        <v>Matched</v>
      </c>
      <c r="J846" s="7" t="n">
        <f aca="false">IF($G846&lt;&gt;"",$G846,$B846)</f>
        <v>4413495</v>
      </c>
      <c r="K846" s="7" t="str">
        <f aca="false">IF(COUNTIF($O$2:$O$16,$A846)&gt;0,"Y","N")</f>
        <v>Y</v>
      </c>
    </row>
    <row r="847" customFormat="false" ht="15" hidden="false" customHeight="false" outlineLevel="0" collapsed="false">
      <c r="A847" s="7" t="s">
        <v>37</v>
      </c>
      <c r="B847" s="7" t="s">
        <v>339</v>
      </c>
      <c r="C847" s="8" t="n">
        <v>30</v>
      </c>
      <c r="D847" s="8" t="n">
        <v>369.24</v>
      </c>
      <c r="E847" s="8" t="n">
        <v>8</v>
      </c>
      <c r="F847" s="8" t="n">
        <v>83.82</v>
      </c>
      <c r="G847" s="7" t="n">
        <f aca="false">IFERROR(INDEX('TRANS'!$B:$B,MATCH($B847,'TRANS'!$A:$A,0)),IFERROR(INDEX('TRANS'!$B:$B,MATCH(TRIM(SUBSTITUTE($B847,CHAR(160)," ")),'TRANS'!$D:$D,0)),IFERROR(INDEX('Catalog'!$A:$A,MATCH($B847,'Catalog'!$B:$B,0)),IFERROR(INDEX('Catalog'!$A:$A,MATCH(TRIM(SUBSTITUTE($B847,CHAR(160)," ")),'Catalog'!$C:$C,0)),""))))</f>
        <v>4413497</v>
      </c>
      <c r="H847" s="7" t="str">
        <f aca="false">IFERROR(INDEX('TRANS'!$C:$C,MATCH($B847,'TRANS'!$A:$A,0)),IFERROR(INDEX('Catalog'!$B:$B,MATCH($G847,'Catalog'!$A:$A,0)),$B847))</f>
        <v>45B M מגן ברך שחור</v>
      </c>
      <c r="I847" s="7" t="str">
        <f aca="false">IF($G847="","Unmatched","Matched")</f>
        <v>Matched</v>
      </c>
      <c r="J847" s="7" t="n">
        <f aca="false">IF($G847&lt;&gt;"",$G847,$B847)</f>
        <v>4413497</v>
      </c>
      <c r="K847" s="7" t="str">
        <f aca="false">IF(COUNTIF($O$2:$O$16,$A847)&gt;0,"Y","N")</f>
        <v>Y</v>
      </c>
    </row>
    <row r="848" customFormat="false" ht="15" hidden="false" customHeight="false" outlineLevel="0" collapsed="false">
      <c r="A848" s="7" t="s">
        <v>37</v>
      </c>
      <c r="B848" s="7" t="s">
        <v>340</v>
      </c>
      <c r="C848" s="8" t="n">
        <v>10</v>
      </c>
      <c r="D848" s="8" t="n">
        <v>125.18</v>
      </c>
      <c r="E848" s="8" t="n">
        <v>0</v>
      </c>
      <c r="F848" s="8" t="n">
        <v>0</v>
      </c>
      <c r="G848" s="7" t="n">
        <f aca="false">IFERROR(INDEX('TRANS'!$B:$B,MATCH($B848,'TRANS'!$A:$A,0)),IFERROR(INDEX('TRANS'!$B:$B,MATCH(TRIM(SUBSTITUTE($B848,CHAR(160)," ")),'TRANS'!$D:$D,0)),IFERROR(INDEX('Catalog'!$A:$A,MATCH($B848,'Catalog'!$B:$B,0)),IFERROR(INDEX('Catalog'!$A:$A,MATCH(TRIM(SUBSTITUTE($B848,CHAR(160)," ")),'Catalog'!$C:$C,0)),""))))</f>
        <v>4413498</v>
      </c>
      <c r="H848" s="7" t="str">
        <f aca="false">IFERROR(INDEX('TRANS'!$C:$C,MATCH($B848,'TRANS'!$A:$A,0)),IFERROR(INDEX('Catalog'!$B:$B,MATCH($G848,'Catalog'!$A:$A,0)),$B848))</f>
        <v>45B S מגן ברך שחור</v>
      </c>
      <c r="I848" s="7" t="str">
        <f aca="false">IF($G848="","Unmatched","Matched")</f>
        <v>Matched</v>
      </c>
      <c r="J848" s="7" t="n">
        <f aca="false">IF($G848&lt;&gt;"",$G848,$B848)</f>
        <v>4413498</v>
      </c>
      <c r="K848" s="7" t="str">
        <f aca="false">IF(COUNTIF($O$2:$O$16,$A848)&gt;0,"Y","N")</f>
        <v>Y</v>
      </c>
    </row>
    <row r="849" customFormat="false" ht="15" hidden="false" customHeight="false" outlineLevel="0" collapsed="false">
      <c r="A849" s="7" t="s">
        <v>37</v>
      </c>
      <c r="B849" s="7" t="s">
        <v>341</v>
      </c>
      <c r="C849" s="8" t="n">
        <v>15</v>
      </c>
      <c r="D849" s="8" t="n">
        <v>187.77</v>
      </c>
      <c r="E849" s="8" t="n">
        <v>10</v>
      </c>
      <c r="F849" s="8" t="n">
        <v>104.78</v>
      </c>
      <c r="G849" s="7" t="n">
        <f aca="false">IFERROR(INDEX('TRANS'!$B:$B,MATCH($B849,'TRANS'!$A:$A,0)),IFERROR(INDEX('TRANS'!$B:$B,MATCH(TRIM(SUBSTITUTE($B849,CHAR(160)," ")),'TRANS'!$D:$D,0)),IFERROR(INDEX('Catalog'!$A:$A,MATCH($B849,'Catalog'!$B:$B,0)),IFERROR(INDEX('Catalog'!$A:$A,MATCH(TRIM(SUBSTITUTE($B849,CHAR(160)," ")),'Catalog'!$C:$C,0)),""))))</f>
        <v>4413496</v>
      </c>
      <c r="H849" s="7" t="str">
        <f aca="false">IFERROR(INDEX('TRANS'!$C:$C,MATCH($B849,'TRANS'!$A:$A,0)),IFERROR(INDEX('Catalog'!$B:$B,MATCH($G849,'Catalog'!$A:$A,0)),$B849))</f>
        <v>45B XL מגן ברך שחור</v>
      </c>
      <c r="I849" s="7" t="str">
        <f aca="false">IF($G849="","Unmatched","Matched")</f>
        <v>Matched</v>
      </c>
      <c r="J849" s="7" t="n">
        <f aca="false">IF($G849&lt;&gt;"",$G849,$B849)</f>
        <v>4413496</v>
      </c>
      <c r="K849" s="7" t="str">
        <f aca="false">IF(COUNTIF($O$2:$O$16,$A849)&gt;0,"Y","N")</f>
        <v>Y</v>
      </c>
    </row>
    <row r="850" customFormat="false" ht="15" hidden="false" customHeight="false" outlineLevel="0" collapsed="false">
      <c r="A850" s="7" t="s">
        <v>37</v>
      </c>
      <c r="B850" s="7" t="s">
        <v>403</v>
      </c>
      <c r="C850" s="8" t="n">
        <v>4</v>
      </c>
      <c r="D850" s="8" t="n">
        <v>50.07</v>
      </c>
      <c r="E850" s="8" t="n">
        <v>8</v>
      </c>
      <c r="F850" s="8" t="n">
        <v>83.82</v>
      </c>
      <c r="G850" s="7" t="n">
        <f aca="false">IFERROR(INDEX('TRANS'!$B:$B,MATCH($B850,'TRANS'!$A:$A,0)),IFERROR(INDEX('TRANS'!$B:$B,MATCH(TRIM(SUBSTITUTE($B850,CHAR(160)," ")),'TRANS'!$D:$D,0)),IFERROR(INDEX('Catalog'!$A:$A,MATCH($B850,'Catalog'!$B:$B,0)),IFERROR(INDEX('Catalog'!$A:$A,MATCH(TRIM(SUBSTITUTE($B850,CHAR(160)," ")),'Catalog'!$C:$C,0)),""))))</f>
        <v>4413499</v>
      </c>
      <c r="H850" s="7" t="str">
        <f aca="false">IFERROR(INDEX('TRANS'!$C:$C,MATCH($B850,'TRANS'!$A:$A,0)),IFERROR(INDEX('Catalog'!$B:$B,MATCH($G850,'Catalog'!$A:$A,0)),$B850))</f>
        <v>45B XXLמגן ברך שחור</v>
      </c>
      <c r="I850" s="7" t="str">
        <f aca="false">IF($G850="","Unmatched","Matched")</f>
        <v>Matched</v>
      </c>
      <c r="J850" s="7" t="n">
        <f aca="false">IF($G850&lt;&gt;"",$G850,$B850)</f>
        <v>4413499</v>
      </c>
      <c r="K850" s="7" t="str">
        <f aca="false">IF(COUNTIF($O$2:$O$16,$A850)&gt;0,"Y","N")</f>
        <v>Y</v>
      </c>
    </row>
    <row r="851" customFormat="false" ht="15" hidden="false" customHeight="false" outlineLevel="0" collapsed="false">
      <c r="A851" s="7" t="s">
        <v>37</v>
      </c>
      <c r="B851" s="7" t="s">
        <v>342</v>
      </c>
      <c r="C851" s="8" t="n">
        <v>30</v>
      </c>
      <c r="D851" s="8" t="n">
        <v>345.8</v>
      </c>
      <c r="E851" s="8" t="n">
        <v>10</v>
      </c>
      <c r="F851" s="8" t="n">
        <v>98.13</v>
      </c>
      <c r="G851" s="7" t="n">
        <f aca="false">IFERROR(INDEX('TRANS'!$B:$B,MATCH($B851,'TRANS'!$A:$A,0)),IFERROR(INDEX('TRANS'!$B:$B,MATCH(TRIM(SUBSTITUTE($B851,CHAR(160)," ")),'TRANS'!$D:$D,0)),IFERROR(INDEX('Catalog'!$A:$A,MATCH($B851,'Catalog'!$B:$B,0)),IFERROR(INDEX('Catalog'!$A:$A,MATCH(TRIM(SUBSTITUTE($B851,CHAR(160)," ")),'Catalog'!$C:$C,0)),""))))</f>
        <v>4413098</v>
      </c>
      <c r="H851" s="7" t="str">
        <f aca="false">IFERROR(INDEX('TRANS'!$C:$C,MATCH($B851,'TRANS'!$A:$A,0)),IFERROR(INDEX('Catalog'!$B:$B,MATCH($G851,'Catalog'!$A:$A,0)),$B851))</f>
        <v>45C L מגן ברך חום</v>
      </c>
      <c r="I851" s="7" t="str">
        <f aca="false">IF($G851="","Unmatched","Matched")</f>
        <v>Matched</v>
      </c>
      <c r="J851" s="7" t="n">
        <f aca="false">IF($G851&lt;&gt;"",$G851,$B851)</f>
        <v>4413098</v>
      </c>
      <c r="K851" s="7" t="str">
        <f aca="false">IF(COUNTIF($O$2:$O$16,$A851)&gt;0,"Y","N")</f>
        <v>Y</v>
      </c>
    </row>
    <row r="852" customFormat="false" ht="15" hidden="false" customHeight="false" outlineLevel="0" collapsed="false">
      <c r="A852" s="7" t="s">
        <v>37</v>
      </c>
      <c r="B852" s="7" t="s">
        <v>343</v>
      </c>
      <c r="C852" s="8" t="n">
        <v>20</v>
      </c>
      <c r="D852" s="8" t="n">
        <v>228.56</v>
      </c>
      <c r="E852" s="8" t="n">
        <v>4</v>
      </c>
      <c r="F852" s="8" t="n">
        <v>39.25</v>
      </c>
      <c r="G852" s="7" t="n">
        <f aca="false">IFERROR(INDEX('TRANS'!$B:$B,MATCH($B852,'TRANS'!$A:$A,0)),IFERROR(INDEX('TRANS'!$B:$B,MATCH(TRIM(SUBSTITUTE($B852,CHAR(160)," ")),'TRANS'!$D:$D,0)),IFERROR(INDEX('Catalog'!$A:$A,MATCH($B852,'Catalog'!$B:$B,0)),IFERROR(INDEX('Catalog'!$A:$A,MATCH(TRIM(SUBSTITUTE($B852,CHAR(160)," ")),'Catalog'!$C:$C,0)),""))))</f>
        <v>4413099</v>
      </c>
      <c r="H852" s="7" t="str">
        <f aca="false">IFERROR(INDEX('TRANS'!$C:$C,MATCH($B852,'TRANS'!$A:$A,0)),IFERROR(INDEX('Catalog'!$B:$B,MATCH($G852,'Catalog'!$A:$A,0)),$B852))</f>
        <v>45C M מגן ברך חום</v>
      </c>
      <c r="I852" s="7" t="str">
        <f aca="false">IF($G852="","Unmatched","Matched")</f>
        <v>Matched</v>
      </c>
      <c r="J852" s="7" t="n">
        <f aca="false">IF($G852&lt;&gt;"",$G852,$B852)</f>
        <v>4413099</v>
      </c>
      <c r="K852" s="7" t="str">
        <f aca="false">IF(COUNTIF($O$2:$O$16,$A852)&gt;0,"Y","N")</f>
        <v>Y</v>
      </c>
    </row>
    <row r="853" customFormat="false" ht="15" hidden="false" customHeight="false" outlineLevel="0" collapsed="false">
      <c r="A853" s="7" t="s">
        <v>37</v>
      </c>
      <c r="B853" s="7" t="s">
        <v>345</v>
      </c>
      <c r="C853" s="8" t="n">
        <v>20</v>
      </c>
      <c r="D853" s="8" t="n">
        <v>234.47</v>
      </c>
      <c r="E853" s="8" t="n">
        <v>10</v>
      </c>
      <c r="F853" s="8" t="n">
        <v>98.13</v>
      </c>
      <c r="G853" s="7" t="n">
        <f aca="false">IFERROR(INDEX('TRANS'!$B:$B,MATCH($B853,'TRANS'!$A:$A,0)),IFERROR(INDEX('TRANS'!$B:$B,MATCH(TRIM(SUBSTITUTE($B853,CHAR(160)," ")),'TRANS'!$D:$D,0)),IFERROR(INDEX('Catalog'!$A:$A,MATCH($B853,'Catalog'!$B:$B,0)),IFERROR(INDEX('Catalog'!$A:$A,MATCH(TRIM(SUBSTITUTE($B853,CHAR(160)," ")),'Catalog'!$C:$C,0)),""))))</f>
        <v>4413100</v>
      </c>
      <c r="H853" s="7" t="str">
        <f aca="false">IFERROR(INDEX('TRANS'!$C:$C,MATCH($B853,'TRANS'!$A:$A,0)),IFERROR(INDEX('Catalog'!$B:$B,MATCH($G853,'Catalog'!$A:$A,0)),$B853))</f>
        <v>45C XL מגן ברך חום</v>
      </c>
      <c r="I853" s="7" t="str">
        <f aca="false">IF($G853="","Unmatched","Matched")</f>
        <v>Matched</v>
      </c>
      <c r="J853" s="7" t="n">
        <f aca="false">IF($G853&lt;&gt;"",$G853,$B853)</f>
        <v>4413100</v>
      </c>
      <c r="K853" s="7" t="str">
        <f aca="false">IF(COUNTIF($O$2:$O$16,$A853)&gt;0,"Y","N")</f>
        <v>Y</v>
      </c>
    </row>
    <row r="854" customFormat="false" ht="15" hidden="false" customHeight="false" outlineLevel="0" collapsed="false">
      <c r="A854" s="7" t="s">
        <v>37</v>
      </c>
      <c r="B854" s="7" t="s">
        <v>102</v>
      </c>
      <c r="C854" s="8" t="n">
        <v>9</v>
      </c>
      <c r="D854" s="8" t="n">
        <v>102.56</v>
      </c>
      <c r="E854" s="8" t="n">
        <v>10</v>
      </c>
      <c r="F854" s="8" t="n">
        <v>98.13</v>
      </c>
      <c r="G854" s="7" t="str">
        <f aca="false">IFERROR(INDEX('TRANS'!$B:$B,MATCH($B854,'TRANS'!$A:$A,0)),IFERROR(INDEX('TRANS'!$B:$B,MATCH(TRIM(SUBSTITUTE($B854,CHAR(160)," ")),'TRANS'!$D:$D,0)),IFERROR(INDEX('Catalog'!$A:$A,MATCH($B854,'Catalog'!$B:$B,0)),IFERROR(INDEX('Catalog'!$A:$A,MATCH(TRIM(SUBSTITUTE($B854,CHAR(160)," ")),'Catalog'!$C:$C,0)),""))))</f>
        <v/>
      </c>
      <c r="H854" s="7" t="str">
        <f aca="false">IFERROR(INDEX('TRANS'!$C:$C,MATCH($B854,'TRANS'!$A:$A,0)),IFERROR(INDEX('Catalog'!$B:$B,MATCH($G854,'Catalog'!$A:$A,0)),$B854))</f>
        <v>45C XXL</v>
      </c>
      <c r="I854" s="7" t="str">
        <f aca="false">IF($G854="","Unmatched","Matched")</f>
        <v>Unmatched</v>
      </c>
      <c r="J854" s="7" t="str">
        <f aca="false">IF($G854&lt;&gt;"",$G854,$B854)</f>
        <v>45C XXL</v>
      </c>
      <c r="K854" s="7" t="str">
        <f aca="false">IF(COUNTIF($O$2:$O$16,$A854)&gt;0,"Y","N")</f>
        <v>Y</v>
      </c>
    </row>
    <row r="855" customFormat="false" ht="15" hidden="false" customHeight="false" outlineLevel="0" collapsed="false">
      <c r="A855" s="7" t="s">
        <v>37</v>
      </c>
      <c r="B855" s="7" t="s">
        <v>639</v>
      </c>
      <c r="C855" s="8" t="n">
        <v>10</v>
      </c>
      <c r="D855" s="8" t="n">
        <v>476.88</v>
      </c>
      <c r="E855" s="8" t="n">
        <v>8</v>
      </c>
      <c r="F855" s="8" t="n">
        <v>319.32</v>
      </c>
      <c r="G855" s="7" t="n">
        <f aca="false">IFERROR(INDEX('TRANS'!$B:$B,MATCH($B855,'TRANS'!$A:$A,0)),IFERROR(INDEX('TRANS'!$B:$B,MATCH(TRIM(SUBSTITUTE($B855,CHAR(160)," ")),'TRANS'!$D:$D,0)),IFERROR(INDEX('Catalog'!$A:$A,MATCH($B855,'Catalog'!$B:$B,0)),IFERROR(INDEX('Catalog'!$A:$A,MATCH(TRIM(SUBSTITUTE($B855,CHAR(160)," ")),'Catalog'!$C:$C,0)),""))))</f>
        <v>4413117</v>
      </c>
      <c r="H855" s="7" t="str">
        <f aca="false">IFERROR(INDEX('TRANS'!$C:$C,MATCH($B855,'TRANS'!$A:$A,0)),IFERROR(INDEX('Catalog'!$B:$B,MATCH($G855,'Catalog'!$A:$A,0)),$B855))</f>
        <v>50 L מתלה אשכים לאחר ניתוח</v>
      </c>
      <c r="I855" s="7" t="str">
        <f aca="false">IF($G855="","Unmatched","Matched")</f>
        <v>Matched</v>
      </c>
      <c r="J855" s="7" t="n">
        <f aca="false">IF($G855&lt;&gt;"",$G855,$B855)</f>
        <v>4413117</v>
      </c>
      <c r="K855" s="7" t="str">
        <f aca="false">IF(COUNTIF($O$2:$O$16,$A855)&gt;0,"Y","N")</f>
        <v>Y</v>
      </c>
    </row>
    <row r="856" customFormat="false" ht="15" hidden="false" customHeight="false" outlineLevel="0" collapsed="false">
      <c r="A856" s="7" t="s">
        <v>37</v>
      </c>
      <c r="B856" s="7" t="s">
        <v>640</v>
      </c>
      <c r="C856" s="8" t="n">
        <v>10</v>
      </c>
      <c r="D856" s="8" t="n">
        <v>476.88</v>
      </c>
      <c r="E856" s="8" t="n">
        <v>2</v>
      </c>
      <c r="F856" s="8" t="n">
        <v>79.83</v>
      </c>
      <c r="G856" s="7" t="n">
        <f aca="false">IFERROR(INDEX('TRANS'!$B:$B,MATCH($B856,'TRANS'!$A:$A,0)),IFERROR(INDEX('TRANS'!$B:$B,MATCH(TRIM(SUBSTITUTE($B856,CHAR(160)," ")),'TRANS'!$D:$D,0)),IFERROR(INDEX('Catalog'!$A:$A,MATCH($B856,'Catalog'!$B:$B,0)),IFERROR(INDEX('Catalog'!$A:$A,MATCH(TRIM(SUBSTITUTE($B856,CHAR(160)," ")),'Catalog'!$C:$C,0)),""))))</f>
        <v>4413118</v>
      </c>
      <c r="H856" s="7" t="str">
        <f aca="false">IFERROR(INDEX('TRANS'!$C:$C,MATCH($B856,'TRANS'!$A:$A,0)),IFERROR(INDEX('Catalog'!$B:$B,MATCH($G856,'Catalog'!$A:$A,0)),$B856))</f>
        <v>50 M מתלה אשכים לאחר ניתוח</v>
      </c>
      <c r="I856" s="7" t="str">
        <f aca="false">IF($G856="","Unmatched","Matched")</f>
        <v>Matched</v>
      </c>
      <c r="J856" s="7" t="n">
        <f aca="false">IF($G856&lt;&gt;"",$G856,$B856)</f>
        <v>4413118</v>
      </c>
      <c r="K856" s="7" t="str">
        <f aca="false">IF(COUNTIF($O$2:$O$16,$A856)&gt;0,"Y","N")</f>
        <v>Y</v>
      </c>
    </row>
    <row r="857" customFormat="false" ht="15" hidden="false" customHeight="false" outlineLevel="0" collapsed="false">
      <c r="A857" s="7" t="s">
        <v>37</v>
      </c>
      <c r="B857" s="7" t="s">
        <v>166</v>
      </c>
      <c r="C857" s="8" t="n">
        <v>0</v>
      </c>
      <c r="D857" s="8" t="n">
        <v>0</v>
      </c>
      <c r="E857" s="8" t="n">
        <v>2</v>
      </c>
      <c r="F857" s="8" t="n">
        <v>79.83</v>
      </c>
      <c r="G857" s="7" t="str">
        <f aca="false">IFERROR(INDEX('TRANS'!$B:$B,MATCH($B857,'TRANS'!$A:$A,0)),IFERROR(INDEX('TRANS'!$B:$B,MATCH(TRIM(SUBSTITUTE($B857,CHAR(160)," ")),'TRANS'!$D:$D,0)),IFERROR(INDEX('Catalog'!$A:$A,MATCH($B857,'Catalog'!$B:$B,0)),IFERROR(INDEX('Catalog'!$A:$A,MATCH(TRIM(SUBSTITUTE($B857,CHAR(160)," ")),'Catalog'!$C:$C,0)),""))))</f>
        <v/>
      </c>
      <c r="H857" s="7" t="str">
        <f aca="false">IFERROR(INDEX('TRANS'!$C:$C,MATCH($B857,'TRANS'!$A:$A,0)),IFERROR(INDEX('Catalog'!$B:$B,MATCH($G857,'Catalog'!$A:$A,0)),$B857))</f>
        <v>50 S</v>
      </c>
      <c r="I857" s="7" t="str">
        <f aca="false">IF($G857="","Unmatched","Matched")</f>
        <v>Unmatched</v>
      </c>
      <c r="J857" s="7" t="str">
        <f aca="false">IF($G857&lt;&gt;"",$G857,$B857)</f>
        <v>50 S</v>
      </c>
      <c r="K857" s="7" t="str">
        <f aca="false">IF(COUNTIF($O$2:$O$16,$A857)&gt;0,"Y","N")</f>
        <v>Y</v>
      </c>
    </row>
    <row r="858" customFormat="false" ht="15" hidden="false" customHeight="false" outlineLevel="0" collapsed="false">
      <c r="A858" s="7" t="s">
        <v>37</v>
      </c>
      <c r="B858" s="7" t="s">
        <v>641</v>
      </c>
      <c r="C858" s="8" t="n">
        <v>4</v>
      </c>
      <c r="D858" s="8" t="n">
        <v>190.75</v>
      </c>
      <c r="E858" s="8" t="n">
        <v>3</v>
      </c>
      <c r="F858" s="8" t="n">
        <v>119.75</v>
      </c>
      <c r="G858" s="7" t="n">
        <f aca="false">IFERROR(INDEX('TRANS'!$B:$B,MATCH($B858,'TRANS'!$A:$A,0)),IFERROR(INDEX('TRANS'!$B:$B,MATCH(TRIM(SUBSTITUTE($B858,CHAR(160)," ")),'TRANS'!$D:$D,0)),IFERROR(INDEX('Catalog'!$A:$A,MATCH($B858,'Catalog'!$B:$B,0)),IFERROR(INDEX('Catalog'!$A:$A,MATCH(TRIM(SUBSTITUTE($B858,CHAR(160)," ")),'Catalog'!$C:$C,0)),""))))</f>
        <v>4413119</v>
      </c>
      <c r="H858" s="7" t="str">
        <f aca="false">IFERROR(INDEX('TRANS'!$C:$C,MATCH($B858,'TRANS'!$A:$A,0)),IFERROR(INDEX('Catalog'!$B:$B,MATCH($G858,'Catalog'!$A:$A,0)),$B858))</f>
        <v>50 XL מתלה אשכים לאחר ניתוח</v>
      </c>
      <c r="I858" s="7" t="str">
        <f aca="false">IF($G858="","Unmatched","Matched")</f>
        <v>Matched</v>
      </c>
      <c r="J858" s="7" t="n">
        <f aca="false">IF($G858&lt;&gt;"",$G858,$B858)</f>
        <v>4413119</v>
      </c>
      <c r="K858" s="7" t="str">
        <f aca="false">IF(COUNTIF($O$2:$O$16,$A858)&gt;0,"Y","N")</f>
        <v>Y</v>
      </c>
    </row>
    <row r="859" customFormat="false" ht="15" hidden="false" customHeight="false" outlineLevel="0" collapsed="false">
      <c r="A859" s="7" t="s">
        <v>37</v>
      </c>
      <c r="B859" s="7" t="s">
        <v>167</v>
      </c>
      <c r="C859" s="8" t="n">
        <v>0</v>
      </c>
      <c r="D859" s="8" t="n">
        <v>0</v>
      </c>
      <c r="E859" s="8" t="n">
        <v>2</v>
      </c>
      <c r="F859" s="8" t="n">
        <v>79.83</v>
      </c>
      <c r="G859" s="7" t="str">
        <f aca="false">IFERROR(INDEX('TRANS'!$B:$B,MATCH($B859,'TRANS'!$A:$A,0)),IFERROR(INDEX('TRANS'!$B:$B,MATCH(TRIM(SUBSTITUTE($B859,CHAR(160)," ")),'TRANS'!$D:$D,0)),IFERROR(INDEX('Catalog'!$A:$A,MATCH($B859,'Catalog'!$B:$B,0)),IFERROR(INDEX('Catalog'!$A:$A,MATCH(TRIM(SUBSTITUTE($B859,CHAR(160)," ")),'Catalog'!$C:$C,0)),""))))</f>
        <v/>
      </c>
      <c r="H859" s="7" t="str">
        <f aca="false">IFERROR(INDEX('TRANS'!$C:$C,MATCH($B859,'TRANS'!$A:$A,0)),IFERROR(INDEX('Catalog'!$B:$B,MATCH($G859,'Catalog'!$A:$A,0)),$B859))</f>
        <v>50 XXL</v>
      </c>
      <c r="I859" s="7" t="str">
        <f aca="false">IF($G859="","Unmatched","Matched")</f>
        <v>Unmatched</v>
      </c>
      <c r="J859" s="7" t="str">
        <f aca="false">IF($G859&lt;&gt;"",$G859,$B859)</f>
        <v>50 XXL</v>
      </c>
      <c r="K859" s="7" t="str">
        <f aca="false">IF(COUNTIF($O$2:$O$16,$A859)&gt;0,"Y","N")</f>
        <v>Y</v>
      </c>
    </row>
    <row r="860" customFormat="false" ht="15" hidden="false" customHeight="false" outlineLevel="0" collapsed="false">
      <c r="A860" s="7" t="s">
        <v>37</v>
      </c>
      <c r="B860" s="7" t="s">
        <v>479</v>
      </c>
      <c r="C860" s="8" t="n">
        <v>6</v>
      </c>
      <c r="D860" s="8" t="n">
        <v>604.45</v>
      </c>
      <c r="E860" s="8" t="n">
        <v>2</v>
      </c>
      <c r="F860" s="8" t="n">
        <v>168.64</v>
      </c>
      <c r="G860" s="7" t="n">
        <f aca="false">IFERROR(INDEX('TRANS'!$B:$B,MATCH($B860,'TRANS'!$A:$A,0)),IFERROR(INDEX('TRANS'!$B:$B,MATCH(TRIM(SUBSTITUTE($B860,CHAR(160)," ")),'TRANS'!$D:$D,0)),IFERROR(INDEX('Catalog'!$A:$A,MATCH($B860,'Catalog'!$B:$B,0)),IFERROR(INDEX('Catalog'!$A:$A,MATCH(TRIM(SUBSTITUTE($B860,CHAR(160)," ")),'Catalog'!$C:$C,0)),""))))</f>
        <v>4408071</v>
      </c>
      <c r="H860" s="7" t="str">
        <f aca="false">IFERROR(INDEX('TRANS'!$C:$C,MATCH($B860,'TRANS'!$A:$A,0)),IFERROR(INDEX('Catalog'!$B:$B,MATCH($G860,'Catalog'!$A:$A,0)),$B860))</f>
        <v>59D L חגורת שבר דו צדדי</v>
      </c>
      <c r="I860" s="7" t="str">
        <f aca="false">IF($G860="","Unmatched","Matched")</f>
        <v>Matched</v>
      </c>
      <c r="J860" s="7" t="n">
        <f aca="false">IF($G860&lt;&gt;"",$G860,$B860)</f>
        <v>4408071</v>
      </c>
      <c r="K860" s="7" t="str">
        <f aca="false">IF(COUNTIF($O$2:$O$16,$A860)&gt;0,"Y","N")</f>
        <v>Y</v>
      </c>
    </row>
    <row r="861" customFormat="false" ht="15" hidden="false" customHeight="false" outlineLevel="0" collapsed="false">
      <c r="A861" s="7" t="s">
        <v>37</v>
      </c>
      <c r="B861" s="7" t="s">
        <v>642</v>
      </c>
      <c r="C861" s="8" t="n">
        <v>6</v>
      </c>
      <c r="D861" s="8" t="n">
        <v>604.45</v>
      </c>
      <c r="E861" s="8" t="n">
        <v>6</v>
      </c>
      <c r="F861" s="8" t="n">
        <v>505.93</v>
      </c>
      <c r="G861" s="7" t="n">
        <f aca="false">IFERROR(INDEX('TRANS'!$B:$B,MATCH($B861,'TRANS'!$A:$A,0)),IFERROR(INDEX('TRANS'!$B:$B,MATCH(TRIM(SUBSTITUTE($B861,CHAR(160)," ")),'TRANS'!$D:$D,0)),IFERROR(INDEX('Catalog'!$A:$A,MATCH($B861,'Catalog'!$B:$B,0)),IFERROR(INDEX('Catalog'!$A:$A,MATCH(TRIM(SUBSTITUTE($B861,CHAR(160)," ")),'Catalog'!$C:$C,0)),""))))</f>
        <v>4408072</v>
      </c>
      <c r="H861" s="7" t="str">
        <f aca="false">IFERROR(INDEX('TRANS'!$C:$C,MATCH($B861,'TRANS'!$A:$A,0)),IFERROR(INDEX('Catalog'!$B:$B,MATCH($G861,'Catalog'!$A:$A,0)),$B861))</f>
        <v>59D M חגורת שבר דו צדדי</v>
      </c>
      <c r="I861" s="7" t="str">
        <f aca="false">IF($G861="","Unmatched","Matched")</f>
        <v>Matched</v>
      </c>
      <c r="J861" s="7" t="n">
        <f aca="false">IF($G861&lt;&gt;"",$G861,$B861)</f>
        <v>4408072</v>
      </c>
      <c r="K861" s="7" t="str">
        <f aca="false">IF(COUNTIF($O$2:$O$16,$A861)&gt;0,"Y","N")</f>
        <v>Y</v>
      </c>
    </row>
    <row r="862" customFormat="false" ht="15" hidden="false" customHeight="false" outlineLevel="0" collapsed="false">
      <c r="A862" s="7" t="s">
        <v>37</v>
      </c>
      <c r="B862" s="7" t="s">
        <v>643</v>
      </c>
      <c r="C862" s="8" t="n">
        <v>0</v>
      </c>
      <c r="D862" s="8" t="n">
        <v>0</v>
      </c>
      <c r="E862" s="8" t="n">
        <v>2</v>
      </c>
      <c r="F862" s="8" t="n">
        <v>168.64</v>
      </c>
      <c r="G862" s="7" t="n">
        <f aca="false">IFERROR(INDEX('TRANS'!$B:$B,MATCH($B862,'TRANS'!$A:$A,0)),IFERROR(INDEX('TRANS'!$B:$B,MATCH(TRIM(SUBSTITUTE($B862,CHAR(160)," ")),'TRANS'!$D:$D,0)),IFERROR(INDEX('Catalog'!$A:$A,MATCH($B862,'Catalog'!$B:$B,0)),IFERROR(INDEX('Catalog'!$A:$A,MATCH(TRIM(SUBSTITUTE($B862,CHAR(160)," ")),'Catalog'!$C:$C,0)),""))))</f>
        <v>4408070</v>
      </c>
      <c r="H862" s="7" t="str">
        <f aca="false">IFERROR(INDEX('TRANS'!$C:$C,MATCH($B862,'TRANS'!$A:$A,0)),IFERROR(INDEX('Catalog'!$B:$B,MATCH($G862,'Catalog'!$A:$A,0)),$B862))</f>
        <v>59D S חגורת שבר דו צדדי</v>
      </c>
      <c r="I862" s="7" t="str">
        <f aca="false">IF($G862="","Unmatched","Matched")</f>
        <v>Matched</v>
      </c>
      <c r="J862" s="7" t="n">
        <f aca="false">IF($G862&lt;&gt;"",$G862,$B862)</f>
        <v>4408070</v>
      </c>
      <c r="K862" s="7" t="str">
        <f aca="false">IF(COUNTIF($O$2:$O$16,$A862)&gt;0,"Y","N")</f>
        <v>Y</v>
      </c>
    </row>
    <row r="863" customFormat="false" ht="15" hidden="false" customHeight="false" outlineLevel="0" collapsed="false">
      <c r="A863" s="7" t="s">
        <v>37</v>
      </c>
      <c r="B863" s="7" t="s">
        <v>480</v>
      </c>
      <c r="C863" s="8" t="n">
        <v>3</v>
      </c>
      <c r="D863" s="8" t="n">
        <v>302.22</v>
      </c>
      <c r="E863" s="8" t="n">
        <v>0</v>
      </c>
      <c r="F863" s="8" t="n">
        <v>0</v>
      </c>
      <c r="G863" s="7" t="n">
        <f aca="false">IFERROR(INDEX('TRANS'!$B:$B,MATCH($B863,'TRANS'!$A:$A,0)),IFERROR(INDEX('TRANS'!$B:$B,MATCH(TRIM(SUBSTITUTE($B863,CHAR(160)," ")),'TRANS'!$D:$D,0)),IFERROR(INDEX('Catalog'!$A:$A,MATCH($B863,'Catalog'!$B:$B,0)),IFERROR(INDEX('Catalog'!$A:$A,MATCH(TRIM(SUBSTITUTE($B863,CHAR(160)," ")),'Catalog'!$C:$C,0)),""))))</f>
        <v>4408073</v>
      </c>
      <c r="H863" s="7" t="str">
        <f aca="false">IFERROR(INDEX('TRANS'!$C:$C,MATCH($B863,'TRANS'!$A:$A,0)),IFERROR(INDEX('Catalog'!$B:$B,MATCH($G863,'Catalog'!$A:$A,0)),$B863))</f>
        <v>59D XL חגורת שבר דו צדדי</v>
      </c>
      <c r="I863" s="7" t="str">
        <f aca="false">IF($G863="","Unmatched","Matched")</f>
        <v>Matched</v>
      </c>
      <c r="J863" s="7" t="n">
        <f aca="false">IF($G863&lt;&gt;"",$G863,$B863)</f>
        <v>4408073</v>
      </c>
      <c r="K863" s="7" t="str">
        <f aca="false">IF(COUNTIF($O$2:$O$16,$A863)&gt;0,"Y","N")</f>
        <v>Y</v>
      </c>
    </row>
    <row r="864" customFormat="false" ht="15" hidden="false" customHeight="false" outlineLevel="0" collapsed="false">
      <c r="A864" s="7" t="s">
        <v>37</v>
      </c>
      <c r="B864" s="7" t="s">
        <v>486</v>
      </c>
      <c r="C864" s="8" t="n">
        <v>9</v>
      </c>
      <c r="D864" s="8" t="n">
        <v>226.4</v>
      </c>
      <c r="E864" s="8" t="n">
        <v>6</v>
      </c>
      <c r="F864" s="8" t="n">
        <v>130.72</v>
      </c>
      <c r="G864" s="7" t="n">
        <f aca="false">IFERROR(INDEX('TRANS'!$B:$B,MATCH($B864,'TRANS'!$A:$A,0)),IFERROR(INDEX('TRANS'!$B:$B,MATCH(TRIM(SUBSTITUTE($B864,CHAR(160)," ")),'TRANS'!$D:$D,0)),IFERROR(INDEX('Catalog'!$A:$A,MATCH($B864,'Catalog'!$B:$B,0)),IFERROR(INDEX('Catalog'!$A:$A,MATCH(TRIM(SUBSTITUTE($B864,CHAR(160)," ")),'Catalog'!$C:$C,0)),""))))</f>
        <v>4418001</v>
      </c>
      <c r="H864" s="7" t="str">
        <f aca="false">IFERROR(INDEX('TRANS'!$C:$C,MATCH($B864,'TRANS'!$A:$A,0)),IFERROR(INDEX('Catalog'!$B:$B,MATCH($G864,'Catalog'!$A:$A,0)),$B864))</f>
        <v>60 M צוארון ספוגי</v>
      </c>
      <c r="I864" s="7" t="str">
        <f aca="false">IF($G864="","Unmatched","Matched")</f>
        <v>Matched</v>
      </c>
      <c r="J864" s="7" t="n">
        <f aca="false">IF($G864&lt;&gt;"",$G864,$B864)</f>
        <v>4418001</v>
      </c>
      <c r="K864" s="7" t="str">
        <f aca="false">IF(COUNTIF($O$2:$O$16,$A864)&gt;0,"Y","N")</f>
        <v>Y</v>
      </c>
    </row>
    <row r="865" customFormat="false" ht="15" hidden="false" customHeight="false" outlineLevel="0" collapsed="false">
      <c r="A865" s="7" t="s">
        <v>37</v>
      </c>
      <c r="B865" s="7" t="s">
        <v>487</v>
      </c>
      <c r="C865" s="8" t="n">
        <v>8</v>
      </c>
      <c r="D865" s="8" t="n">
        <v>200.37</v>
      </c>
      <c r="E865" s="8" t="n">
        <v>3</v>
      </c>
      <c r="F865" s="8" t="n">
        <v>65.36</v>
      </c>
      <c r="G865" s="7" t="n">
        <f aca="false">IFERROR(INDEX('TRANS'!$B:$B,MATCH($B865,'TRANS'!$A:$A,0)),IFERROR(INDEX('TRANS'!$B:$B,MATCH(TRIM(SUBSTITUTE($B865,CHAR(160)," ")),'TRANS'!$D:$D,0)),IFERROR(INDEX('Catalog'!$A:$A,MATCH($B865,'Catalog'!$B:$B,0)),IFERROR(INDEX('Catalog'!$A:$A,MATCH(TRIM(SUBSTITUTE($B865,CHAR(160)," ")),'Catalog'!$C:$C,0)),""))))</f>
        <v>4418002</v>
      </c>
      <c r="H865" s="7" t="str">
        <f aca="false">IFERROR(INDEX('TRANS'!$C:$C,MATCH($B865,'TRANS'!$A:$A,0)),IFERROR(INDEX('Catalog'!$B:$B,MATCH($G865,'Catalog'!$A:$A,0)),$B865))</f>
        <v>60 S צוארון ספוגי</v>
      </c>
      <c r="I865" s="7" t="str">
        <f aca="false">IF($G865="","Unmatched","Matched")</f>
        <v>Matched</v>
      </c>
      <c r="J865" s="7" t="n">
        <f aca="false">IF($G865&lt;&gt;"",$G865,$B865)</f>
        <v>4418002</v>
      </c>
      <c r="K865" s="7" t="str">
        <f aca="false">IF(COUNTIF($O$2:$O$16,$A865)&gt;0,"Y","N")</f>
        <v>Y</v>
      </c>
    </row>
    <row r="866" customFormat="false" ht="15" hidden="false" customHeight="false" outlineLevel="0" collapsed="false">
      <c r="A866" s="7" t="s">
        <v>37</v>
      </c>
      <c r="B866" s="7" t="s">
        <v>109</v>
      </c>
      <c r="C866" s="8" t="n">
        <v>0</v>
      </c>
      <c r="D866" s="8" t="n">
        <v>0</v>
      </c>
      <c r="E866" s="8" t="n">
        <v>10</v>
      </c>
      <c r="F866" s="8" t="n">
        <v>249.47</v>
      </c>
      <c r="G866" s="7" t="str">
        <f aca="false">IFERROR(INDEX('TRANS'!$B:$B,MATCH($B866,'TRANS'!$A:$A,0)),IFERROR(INDEX('TRANS'!$B:$B,MATCH(TRIM(SUBSTITUTE($B866,CHAR(160)," ")),'TRANS'!$D:$D,0)),IFERROR(INDEX('Catalog'!$A:$A,MATCH($B866,'Catalog'!$B:$B,0)),IFERROR(INDEX('Catalog'!$A:$A,MATCH(TRIM(SUBSTITUTE($B866,CHAR(160)," ")),'Catalog'!$C:$C,0)),""))))</f>
        <v/>
      </c>
      <c r="H866" s="7" t="str">
        <f aca="false">IFERROR(INDEX('TRANS'!$C:$C,MATCH($B866,'TRANS'!$A:$A,0)),IFERROR(INDEX('Catalog'!$B:$B,MATCH($G866,'Catalog'!$A:$A,0)),$B866))</f>
        <v>60B L</v>
      </c>
      <c r="I866" s="7" t="str">
        <f aca="false">IF($G866="","Unmatched","Matched")</f>
        <v>Unmatched</v>
      </c>
      <c r="J866" s="7" t="str">
        <f aca="false">IF($G866&lt;&gt;"",$G866,$B866)</f>
        <v>60B L</v>
      </c>
      <c r="K866" s="7" t="str">
        <f aca="false">IF(COUNTIF($O$2:$O$16,$A866)&gt;0,"Y","N")</f>
        <v>Y</v>
      </c>
    </row>
    <row r="867" customFormat="false" ht="15" hidden="false" customHeight="false" outlineLevel="0" collapsed="false">
      <c r="A867" s="7" t="s">
        <v>37</v>
      </c>
      <c r="B867" s="7" t="s">
        <v>105</v>
      </c>
      <c r="C867" s="8" t="n">
        <v>23</v>
      </c>
      <c r="D867" s="8" t="n">
        <v>663</v>
      </c>
      <c r="E867" s="8" t="n">
        <v>15</v>
      </c>
      <c r="F867" s="8" t="n">
        <v>374.21</v>
      </c>
      <c r="G867" s="7" t="str">
        <f aca="false">IFERROR(INDEX('TRANS'!$B:$B,MATCH($B867,'TRANS'!$A:$A,0)),IFERROR(INDEX('TRANS'!$B:$B,MATCH(TRIM(SUBSTITUTE($B867,CHAR(160)," ")),'TRANS'!$D:$D,0)),IFERROR(INDEX('Catalog'!$A:$A,MATCH($B867,'Catalog'!$B:$B,0)),IFERROR(INDEX('Catalog'!$A:$A,MATCH(TRIM(SUBSTITUTE($B867,CHAR(160)," ")),'Catalog'!$C:$C,0)),""))))</f>
        <v/>
      </c>
      <c r="H867" s="7" t="str">
        <f aca="false">IFERROR(INDEX('TRANS'!$C:$C,MATCH($B867,'TRANS'!$A:$A,0)),IFERROR(INDEX('Catalog'!$B:$B,MATCH($G867,'Catalog'!$A:$A,0)),$B867))</f>
        <v>60B M</v>
      </c>
      <c r="I867" s="7" t="str">
        <f aca="false">IF($G867="","Unmatched","Matched")</f>
        <v>Unmatched</v>
      </c>
      <c r="J867" s="7" t="str">
        <f aca="false">IF($G867&lt;&gt;"",$G867,$B867)</f>
        <v>60B M</v>
      </c>
      <c r="K867" s="7" t="str">
        <f aca="false">IF(COUNTIF($O$2:$O$16,$A867)&gt;0,"Y","N")</f>
        <v>Y</v>
      </c>
    </row>
    <row r="868" customFormat="false" ht="15" hidden="false" customHeight="false" outlineLevel="0" collapsed="false">
      <c r="A868" s="7" t="s">
        <v>37</v>
      </c>
      <c r="B868" s="7" t="s">
        <v>110</v>
      </c>
      <c r="C868" s="8" t="n">
        <v>18</v>
      </c>
      <c r="D868" s="8" t="n">
        <v>521.48</v>
      </c>
      <c r="E868" s="8" t="n">
        <v>10</v>
      </c>
      <c r="F868" s="8" t="n">
        <v>249.47</v>
      </c>
      <c r="G868" s="7" t="str">
        <f aca="false">IFERROR(INDEX('TRANS'!$B:$B,MATCH($B868,'TRANS'!$A:$A,0)),IFERROR(INDEX('TRANS'!$B:$B,MATCH(TRIM(SUBSTITUTE($B868,CHAR(160)," ")),'TRANS'!$D:$D,0)),IFERROR(INDEX('Catalog'!$A:$A,MATCH($B868,'Catalog'!$B:$B,0)),IFERROR(INDEX('Catalog'!$A:$A,MATCH(TRIM(SUBSTITUTE($B868,CHAR(160)," ")),'Catalog'!$C:$C,0)),""))))</f>
        <v/>
      </c>
      <c r="H868" s="7" t="str">
        <f aca="false">IFERROR(INDEX('TRANS'!$C:$C,MATCH($B868,'TRANS'!$A:$A,0)),IFERROR(INDEX('Catalog'!$B:$B,MATCH($G868,'Catalog'!$A:$A,0)),$B868))</f>
        <v>60B S</v>
      </c>
      <c r="I868" s="7" t="str">
        <f aca="false">IF($G868="","Unmatched","Matched")</f>
        <v>Unmatched</v>
      </c>
      <c r="J868" s="7" t="str">
        <f aca="false">IF($G868&lt;&gt;"",$G868,$B868)</f>
        <v>60B S</v>
      </c>
      <c r="K868" s="7" t="str">
        <f aca="false">IF(COUNTIF($O$2:$O$16,$A868)&gt;0,"Y","N")</f>
        <v>Y</v>
      </c>
    </row>
    <row r="869" customFormat="false" ht="15" hidden="false" customHeight="false" outlineLevel="0" collapsed="false">
      <c r="A869" s="7" t="s">
        <v>37</v>
      </c>
      <c r="B869" s="7" t="s">
        <v>139</v>
      </c>
      <c r="C869" s="8" t="n">
        <v>0</v>
      </c>
      <c r="D869" s="8" t="n">
        <v>0</v>
      </c>
      <c r="E869" s="8" t="n">
        <v>5</v>
      </c>
      <c r="F869" s="8" t="n">
        <v>124.74</v>
      </c>
      <c r="G869" s="7" t="str">
        <f aca="false">IFERROR(INDEX('TRANS'!$B:$B,MATCH($B869,'TRANS'!$A:$A,0)),IFERROR(INDEX('TRANS'!$B:$B,MATCH(TRIM(SUBSTITUTE($B869,CHAR(160)," ")),'TRANS'!$D:$D,0)),IFERROR(INDEX('Catalog'!$A:$A,MATCH($B869,'Catalog'!$B:$B,0)),IFERROR(INDEX('Catalog'!$A:$A,MATCH(TRIM(SUBSTITUTE($B869,CHAR(160)," ")),'Catalog'!$C:$C,0)),""))))</f>
        <v/>
      </c>
      <c r="H869" s="7" t="str">
        <f aca="false">IFERROR(INDEX('TRANS'!$C:$C,MATCH($B869,'TRANS'!$A:$A,0)),IFERROR(INDEX('Catalog'!$B:$B,MATCH($G869,'Catalog'!$A:$A,0)),$B869))</f>
        <v>60B XL</v>
      </c>
      <c r="I869" s="7" t="str">
        <f aca="false">IF($G869="","Unmatched","Matched")</f>
        <v>Unmatched</v>
      </c>
      <c r="J869" s="7" t="str">
        <f aca="false">IF($G869&lt;&gt;"",$G869,$B869)</f>
        <v>60B XL</v>
      </c>
      <c r="K869" s="7" t="str">
        <f aca="false">IF(COUNTIF($O$2:$O$16,$A869)&gt;0,"Y","N")</f>
        <v>Y</v>
      </c>
    </row>
    <row r="870" customFormat="false" ht="15" hidden="false" customHeight="false" outlineLevel="0" collapsed="false">
      <c r="A870" s="7" t="s">
        <v>37</v>
      </c>
      <c r="B870" s="7" t="s">
        <v>213</v>
      </c>
      <c r="C870" s="8" t="n">
        <v>10</v>
      </c>
      <c r="D870" s="8" t="n">
        <v>283.04</v>
      </c>
      <c r="E870" s="8" t="n">
        <v>0</v>
      </c>
      <c r="F870" s="8" t="n">
        <v>0</v>
      </c>
      <c r="G870" s="7" t="str">
        <f aca="false">IFERROR(INDEX('TRANS'!$B:$B,MATCH($B870,'TRANS'!$A:$A,0)),IFERROR(INDEX('TRANS'!$B:$B,MATCH(TRIM(SUBSTITUTE($B870,CHAR(160)," ")),'TRANS'!$D:$D,0)),IFERROR(INDEX('Catalog'!$A:$A,MATCH($B870,'Catalog'!$B:$B,0)),IFERROR(INDEX('Catalog'!$A:$A,MATCH(TRIM(SUBSTITUTE($B870,CHAR(160)," ")),'Catalog'!$C:$C,0)),""))))</f>
        <v/>
      </c>
      <c r="H870" s="7" t="str">
        <f aca="false">IFERROR(INDEX('TRANS'!$C:$C,MATCH($B870,'TRANS'!$A:$A,0)),IFERROR(INDEX('Catalog'!$B:$B,MATCH($G870,'Catalog'!$A:$A,0)),$B870))</f>
        <v>60B XS</v>
      </c>
      <c r="I870" s="7" t="str">
        <f aca="false">IF($G870="","Unmatched","Matched")</f>
        <v>Unmatched</v>
      </c>
      <c r="J870" s="7" t="str">
        <f aca="false">IF($G870&lt;&gt;"",$G870,$B870)</f>
        <v>60B XS</v>
      </c>
      <c r="K870" s="7" t="str">
        <f aca="false">IF(COUNTIF($O$2:$O$16,$A870)&gt;0,"Y","N")</f>
        <v>Y</v>
      </c>
    </row>
    <row r="871" customFormat="false" ht="15" hidden="false" customHeight="false" outlineLevel="0" collapsed="false">
      <c r="A871" s="7" t="s">
        <v>37</v>
      </c>
      <c r="B871" s="7" t="s">
        <v>154</v>
      </c>
      <c r="C871" s="8" t="n">
        <v>0</v>
      </c>
      <c r="D871" s="8" t="n">
        <v>0</v>
      </c>
      <c r="E871" s="8" t="n">
        <v>3</v>
      </c>
      <c r="F871" s="8" t="n">
        <v>74.84</v>
      </c>
      <c r="G871" s="7" t="str">
        <f aca="false">IFERROR(INDEX('TRANS'!$B:$B,MATCH($B871,'TRANS'!$A:$A,0)),IFERROR(INDEX('TRANS'!$B:$B,MATCH(TRIM(SUBSTITUTE($B871,CHAR(160)," ")),'TRANS'!$D:$D,0)),IFERROR(INDEX('Catalog'!$A:$A,MATCH($B871,'Catalog'!$B:$B,0)),IFERROR(INDEX('Catalog'!$A:$A,MATCH(TRIM(SUBSTITUTE($B871,CHAR(160)," ")),'Catalog'!$C:$C,0)),""))))</f>
        <v/>
      </c>
      <c r="H871" s="7" t="str">
        <f aca="false">IFERROR(INDEX('TRANS'!$C:$C,MATCH($B871,'TRANS'!$A:$A,0)),IFERROR(INDEX('Catalog'!$B:$B,MATCH($G871,'Catalog'!$A:$A,0)),$B871))</f>
        <v>63 L</v>
      </c>
      <c r="I871" s="7" t="str">
        <f aca="false">IF($G871="","Unmatched","Matched")</f>
        <v>Unmatched</v>
      </c>
      <c r="J871" s="7" t="str">
        <f aca="false">IF($G871&lt;&gt;"",$G871,$B871)</f>
        <v>63 L</v>
      </c>
      <c r="K871" s="7" t="str">
        <f aca="false">IF(COUNTIF($O$2:$O$16,$A871)&gt;0,"Y","N")</f>
        <v>Y</v>
      </c>
    </row>
    <row r="872" customFormat="false" ht="15" hidden="false" customHeight="false" outlineLevel="0" collapsed="false">
      <c r="A872" s="7" t="s">
        <v>37</v>
      </c>
      <c r="B872" s="7" t="s">
        <v>155</v>
      </c>
      <c r="C872" s="8" t="n">
        <v>2</v>
      </c>
      <c r="D872" s="8" t="n">
        <v>56.61</v>
      </c>
      <c r="E872" s="8" t="n">
        <v>3</v>
      </c>
      <c r="F872" s="8" t="n">
        <v>74.84</v>
      </c>
      <c r="G872" s="7" t="str">
        <f aca="false">IFERROR(INDEX('TRANS'!$B:$B,MATCH($B872,'TRANS'!$A:$A,0)),IFERROR(INDEX('TRANS'!$B:$B,MATCH(TRIM(SUBSTITUTE($B872,CHAR(160)," ")),'TRANS'!$D:$D,0)),IFERROR(INDEX('Catalog'!$A:$A,MATCH($B872,'Catalog'!$B:$B,0)),IFERROR(INDEX('Catalog'!$A:$A,MATCH(TRIM(SUBSTITUTE($B872,CHAR(160)," ")),'Catalog'!$C:$C,0)),""))))</f>
        <v/>
      </c>
      <c r="H872" s="7" t="str">
        <f aca="false">IFERROR(INDEX('TRANS'!$C:$C,MATCH($B872,'TRANS'!$A:$A,0)),IFERROR(INDEX('Catalog'!$B:$B,MATCH($G872,'Catalog'!$A:$A,0)),$B872))</f>
        <v>63 M</v>
      </c>
      <c r="I872" s="7" t="str">
        <f aca="false">IF($G872="","Unmatched","Matched")</f>
        <v>Unmatched</v>
      </c>
      <c r="J872" s="7" t="str">
        <f aca="false">IF($G872&lt;&gt;"",$G872,$B872)</f>
        <v>63 M</v>
      </c>
      <c r="K872" s="7" t="str">
        <f aca="false">IF(COUNTIF($O$2:$O$16,$A872)&gt;0,"Y","N")</f>
        <v>Y</v>
      </c>
    </row>
    <row r="873" customFormat="false" ht="15" hidden="false" customHeight="false" outlineLevel="0" collapsed="false">
      <c r="A873" s="7" t="s">
        <v>37</v>
      </c>
      <c r="B873" s="7" t="s">
        <v>168</v>
      </c>
      <c r="C873" s="8" t="n">
        <v>2</v>
      </c>
      <c r="D873" s="8" t="n">
        <v>56.61</v>
      </c>
      <c r="E873" s="8" t="n">
        <v>2</v>
      </c>
      <c r="F873" s="8" t="n">
        <v>49.89</v>
      </c>
      <c r="G873" s="7" t="str">
        <f aca="false">IFERROR(INDEX('TRANS'!$B:$B,MATCH($B873,'TRANS'!$A:$A,0)),IFERROR(INDEX('TRANS'!$B:$B,MATCH(TRIM(SUBSTITUTE($B873,CHAR(160)," ")),'TRANS'!$D:$D,0)),IFERROR(INDEX('Catalog'!$A:$A,MATCH($B873,'Catalog'!$B:$B,0)),IFERROR(INDEX('Catalog'!$A:$A,MATCH(TRIM(SUBSTITUTE($B873,CHAR(160)," ")),'Catalog'!$C:$C,0)),""))))</f>
        <v/>
      </c>
      <c r="H873" s="7" t="str">
        <f aca="false">IFERROR(INDEX('TRANS'!$C:$C,MATCH($B873,'TRANS'!$A:$A,0)),IFERROR(INDEX('Catalog'!$B:$B,MATCH($G873,'Catalog'!$A:$A,0)),$B873))</f>
        <v>63 S</v>
      </c>
      <c r="I873" s="7" t="str">
        <f aca="false">IF($G873="","Unmatched","Matched")</f>
        <v>Unmatched</v>
      </c>
      <c r="J873" s="7" t="str">
        <f aca="false">IF($G873&lt;&gt;"",$G873,$B873)</f>
        <v>63 S</v>
      </c>
      <c r="K873" s="7" t="str">
        <f aca="false">IF(COUNTIF($O$2:$O$16,$A873)&gt;0,"Y","N")</f>
        <v>Y</v>
      </c>
    </row>
    <row r="874" customFormat="false" ht="15" hidden="false" customHeight="false" outlineLevel="0" collapsed="false">
      <c r="A874" s="7" t="s">
        <v>37</v>
      </c>
      <c r="B874" s="7" t="s">
        <v>644</v>
      </c>
      <c r="C874" s="8" t="n">
        <v>0</v>
      </c>
      <c r="D874" s="8" t="n">
        <v>0</v>
      </c>
      <c r="E874" s="8" t="n">
        <v>4</v>
      </c>
      <c r="F874" s="8" t="n">
        <v>345.94</v>
      </c>
      <c r="G874" s="7" t="n">
        <f aca="false">IFERROR(INDEX('TRANS'!$B:$B,MATCH($B874,'TRANS'!$A:$A,0)),IFERROR(INDEX('TRANS'!$B:$B,MATCH(TRIM(SUBSTITUTE($B874,CHAR(160)," ")),'TRANS'!$D:$D,0)),IFERROR(INDEX('Catalog'!$A:$A,MATCH($B874,'Catalog'!$B:$B,0)),IFERROR(INDEX('Catalog'!$A:$A,MATCH(TRIM(SUBSTITUTE($B874,CHAR(160)," ")),'Catalog'!$C:$C,0)),""))))</f>
        <v>4413132</v>
      </c>
      <c r="H874" s="7" t="str">
        <f aca="false">IFERROR(INDEX('TRANS'!$C:$C,MATCH($B874,'TRANS'!$A:$A,0)),IFERROR(INDEX('Catalog'!$B:$B,MATCH($G874,'Catalog'!$A:$A,0)),$B874))</f>
        <v>76 Lמיישר כתף יציב יישור רחב</v>
      </c>
      <c r="I874" s="7" t="str">
        <f aca="false">IF($G874="","Unmatched","Matched")</f>
        <v>Matched</v>
      </c>
      <c r="J874" s="7" t="n">
        <f aca="false">IF($G874&lt;&gt;"",$G874,$B874)</f>
        <v>4413132</v>
      </c>
      <c r="K874" s="7" t="str">
        <f aca="false">IF(COUNTIF($O$2:$O$16,$A874)&gt;0,"Y","N")</f>
        <v>Y</v>
      </c>
    </row>
    <row r="875" customFormat="false" ht="15" hidden="false" customHeight="false" outlineLevel="0" collapsed="false">
      <c r="A875" s="7" t="s">
        <v>37</v>
      </c>
      <c r="B875" s="7" t="s">
        <v>645</v>
      </c>
      <c r="C875" s="8" t="n">
        <v>3</v>
      </c>
      <c r="D875" s="8" t="n">
        <v>309.97</v>
      </c>
      <c r="E875" s="8" t="n">
        <v>2</v>
      </c>
      <c r="F875" s="8" t="n">
        <v>172.97</v>
      </c>
      <c r="G875" s="7" t="n">
        <f aca="false">IFERROR(INDEX('TRANS'!$B:$B,MATCH($B875,'TRANS'!$A:$A,0)),IFERROR(INDEX('TRANS'!$B:$B,MATCH(TRIM(SUBSTITUTE($B875,CHAR(160)," ")),'TRANS'!$D:$D,0)),IFERROR(INDEX('Catalog'!$A:$A,MATCH($B875,'Catalog'!$B:$B,0)),IFERROR(INDEX('Catalog'!$A:$A,MATCH(TRIM(SUBSTITUTE($B875,CHAR(160)," ")),'Catalog'!$C:$C,0)),""))))</f>
        <v>4413133</v>
      </c>
      <c r="H875" s="7" t="str">
        <f aca="false">IFERROR(INDEX('TRANS'!$C:$C,MATCH($B875,'TRANS'!$A:$A,0)),IFERROR(INDEX('Catalog'!$B:$B,MATCH($G875,'Catalog'!$A:$A,0)),$B875))</f>
        <v>76 Mמיישר כתף יציב,יישור רחב</v>
      </c>
      <c r="I875" s="7" t="str">
        <f aca="false">IF($G875="","Unmatched","Matched")</f>
        <v>Matched</v>
      </c>
      <c r="J875" s="7" t="n">
        <f aca="false">IF($G875&lt;&gt;"",$G875,$B875)</f>
        <v>4413133</v>
      </c>
      <c r="K875" s="7" t="str">
        <f aca="false">IF(COUNTIF($O$2:$O$16,$A875)&gt;0,"Y","N")</f>
        <v>Y</v>
      </c>
    </row>
    <row r="876" customFormat="false" ht="15" hidden="false" customHeight="false" outlineLevel="0" collapsed="false">
      <c r="A876" s="7" t="s">
        <v>37</v>
      </c>
      <c r="B876" s="7" t="s">
        <v>646</v>
      </c>
      <c r="C876" s="8" t="n">
        <v>0</v>
      </c>
      <c r="D876" s="8" t="n">
        <v>0</v>
      </c>
      <c r="E876" s="8" t="n">
        <v>2</v>
      </c>
      <c r="F876" s="8" t="n">
        <v>172.97</v>
      </c>
      <c r="G876" s="7" t="n">
        <f aca="false">IFERROR(INDEX('TRANS'!$B:$B,MATCH($B876,'TRANS'!$A:$A,0)),IFERROR(INDEX('TRANS'!$B:$B,MATCH(TRIM(SUBSTITUTE($B876,CHAR(160)," ")),'TRANS'!$D:$D,0)),IFERROR(INDEX('Catalog'!$A:$A,MATCH($B876,'Catalog'!$B:$B,0)),IFERROR(INDEX('Catalog'!$A:$A,MATCH(TRIM(SUBSTITUTE($B876,CHAR(160)," ")),'Catalog'!$C:$C,0)),""))))</f>
        <v>4413131</v>
      </c>
      <c r="H876" s="7" t="str">
        <f aca="false">IFERROR(INDEX('TRANS'!$C:$C,MATCH($B876,'TRANS'!$A:$A,0)),IFERROR(INDEX('Catalog'!$B:$B,MATCH($G876,'Catalog'!$A:$A,0)),$B876))</f>
        <v>76 Sמיישר כתף יציב יישור ג.רחב</v>
      </c>
      <c r="I876" s="7" t="str">
        <f aca="false">IF($G876="","Unmatched","Matched")</f>
        <v>Matched</v>
      </c>
      <c r="J876" s="7" t="n">
        <f aca="false">IF($G876&lt;&gt;"",$G876,$B876)</f>
        <v>4413131</v>
      </c>
      <c r="K876" s="7" t="str">
        <f aca="false">IF(COUNTIF($O$2:$O$16,$A876)&gt;0,"Y","N")</f>
        <v>Y</v>
      </c>
    </row>
    <row r="877" customFormat="false" ht="15" hidden="false" customHeight="false" outlineLevel="0" collapsed="false">
      <c r="A877" s="7" t="s">
        <v>37</v>
      </c>
      <c r="B877" s="7" t="s">
        <v>647</v>
      </c>
      <c r="C877" s="8" t="n">
        <v>0</v>
      </c>
      <c r="D877" s="8" t="n">
        <v>0</v>
      </c>
      <c r="E877" s="8" t="n">
        <v>2</v>
      </c>
      <c r="F877" s="8" t="n">
        <v>172.97</v>
      </c>
      <c r="G877" s="7" t="n">
        <f aca="false">IFERROR(INDEX('TRANS'!$B:$B,MATCH($B877,'TRANS'!$A:$A,0)),IFERROR(INDEX('TRANS'!$B:$B,MATCH(TRIM(SUBSTITUTE($B877,CHAR(160)," ")),'TRANS'!$D:$D,0)),IFERROR(INDEX('Catalog'!$A:$A,MATCH($B877,'Catalog'!$B:$B,0)),IFERROR(INDEX('Catalog'!$A:$A,MATCH(TRIM(SUBSTITUTE($B877,CHAR(160)," ")),'Catalog'!$C:$C,0)),""))))</f>
        <v>4413134</v>
      </c>
      <c r="H877" s="7" t="str">
        <f aca="false">IFERROR(INDEX('TRANS'!$C:$C,MATCH($B877,'TRANS'!$A:$A,0)),IFERROR(INDEX('Catalog'!$B:$B,MATCH($G877,'Catalog'!$A:$A,0)),$B877))</f>
        <v>76 XLמיישר כתף יציב יישור רחב</v>
      </c>
      <c r="I877" s="7" t="str">
        <f aca="false">IF($G877="","Unmatched","Matched")</f>
        <v>Matched</v>
      </c>
      <c r="J877" s="7" t="n">
        <f aca="false">IF($G877&lt;&gt;"",$G877,$B877)</f>
        <v>4413134</v>
      </c>
      <c r="K877" s="7" t="str">
        <f aca="false">IF(COUNTIF($O$2:$O$16,$A877)&gt;0,"Y","N")</f>
        <v>Y</v>
      </c>
    </row>
    <row r="878" customFormat="false" ht="15" hidden="false" customHeight="false" outlineLevel="0" collapsed="false">
      <c r="A878" s="7" t="s">
        <v>37</v>
      </c>
      <c r="B878" s="7" t="s">
        <v>214</v>
      </c>
      <c r="C878" s="8" t="n">
        <v>4</v>
      </c>
      <c r="D878" s="8" t="n">
        <v>273.41</v>
      </c>
      <c r="E878" s="8" t="n">
        <v>0</v>
      </c>
      <c r="F878" s="8" t="n">
        <v>0</v>
      </c>
      <c r="G878" s="7" t="str">
        <f aca="false">IFERROR(INDEX('TRANS'!$B:$B,MATCH($B878,'TRANS'!$A:$A,0)),IFERROR(INDEX('TRANS'!$B:$B,MATCH(TRIM(SUBSTITUTE($B878,CHAR(160)," ")),'TRANS'!$D:$D,0)),IFERROR(INDEX('Catalog'!$A:$A,MATCH($B878,'Catalog'!$B:$B,0)),IFERROR(INDEX('Catalog'!$A:$A,MATCH(TRIM(SUBSTITUTE($B878,CHAR(160)," ")),'Catalog'!$C:$C,0)),""))))</f>
        <v/>
      </c>
      <c r="H878" s="7" t="str">
        <f aca="false">IFERROR(INDEX('TRANS'!$C:$C,MATCH($B878,'TRANS'!$A:$A,0)),IFERROR(INDEX('Catalog'!$B:$B,MATCH($G878,'Catalog'!$A:$A,0)),$B878))</f>
        <v>78A L</v>
      </c>
      <c r="I878" s="7" t="str">
        <f aca="false">IF($G878="","Unmatched","Matched")</f>
        <v>Unmatched</v>
      </c>
      <c r="J878" s="7" t="str">
        <f aca="false">IF($G878&lt;&gt;"",$G878,$B878)</f>
        <v>78A L</v>
      </c>
      <c r="K878" s="7" t="str">
        <f aca="false">IF(COUNTIF($O$2:$O$16,$A878)&gt;0,"Y","N")</f>
        <v>Y</v>
      </c>
    </row>
    <row r="879" customFormat="false" ht="15" hidden="false" customHeight="false" outlineLevel="0" collapsed="false">
      <c r="A879" s="7" t="s">
        <v>37</v>
      </c>
      <c r="B879" s="7" t="s">
        <v>215</v>
      </c>
      <c r="C879" s="8" t="n">
        <v>6</v>
      </c>
      <c r="D879" s="8" t="n">
        <v>410.12</v>
      </c>
      <c r="E879" s="8" t="n">
        <v>0</v>
      </c>
      <c r="F879" s="8" t="n">
        <v>0</v>
      </c>
      <c r="G879" s="7" t="str">
        <f aca="false">IFERROR(INDEX('TRANS'!$B:$B,MATCH($B879,'TRANS'!$A:$A,0)),IFERROR(INDEX('TRANS'!$B:$B,MATCH(TRIM(SUBSTITUTE($B879,CHAR(160)," ")),'TRANS'!$D:$D,0)),IFERROR(INDEX('Catalog'!$A:$A,MATCH($B879,'Catalog'!$B:$B,0)),IFERROR(INDEX('Catalog'!$A:$A,MATCH(TRIM(SUBSTITUTE($B879,CHAR(160)," ")),'Catalog'!$C:$C,0)),""))))</f>
        <v/>
      </c>
      <c r="H879" s="7" t="str">
        <f aca="false">IFERROR(INDEX('TRANS'!$C:$C,MATCH($B879,'TRANS'!$A:$A,0)),IFERROR(INDEX('Catalog'!$B:$B,MATCH($G879,'Catalog'!$A:$A,0)),$B879))</f>
        <v>78A M</v>
      </c>
      <c r="I879" s="7" t="str">
        <f aca="false">IF($G879="","Unmatched","Matched")</f>
        <v>Unmatched</v>
      </c>
      <c r="J879" s="7" t="str">
        <f aca="false">IF($G879&lt;&gt;"",$G879,$B879)</f>
        <v>78A M</v>
      </c>
      <c r="K879" s="7" t="str">
        <f aca="false">IF(COUNTIF($O$2:$O$16,$A879)&gt;0,"Y","N")</f>
        <v>Y</v>
      </c>
    </row>
    <row r="880" customFormat="false" ht="15" hidden="false" customHeight="false" outlineLevel="0" collapsed="false">
      <c r="A880" s="7" t="s">
        <v>37</v>
      </c>
      <c r="B880" s="7" t="s">
        <v>490</v>
      </c>
      <c r="C880" s="8" t="n">
        <v>0</v>
      </c>
      <c r="D880" s="8" t="n">
        <v>0</v>
      </c>
      <c r="E880" s="8" t="n">
        <v>12</v>
      </c>
      <c r="F880" s="8" t="n">
        <v>99.79</v>
      </c>
      <c r="G880" s="7" t="n">
        <f aca="false">IFERROR(INDEX('TRANS'!$B:$B,MATCH($B880,'TRANS'!$A:$A,0)),IFERROR(INDEX('TRANS'!$B:$B,MATCH(TRIM(SUBSTITUTE($B880,CHAR(160)," ")),'TRANS'!$D:$D,0)),IFERROR(INDEX('Catalog'!$A:$A,MATCH($B880,'Catalog'!$B:$B,0)),IFERROR(INDEX('Catalog'!$A:$A,MATCH(TRIM(SUBSTITUTE($B880,CHAR(160)," ")),'Catalog'!$C:$C,0)),""))))</f>
        <v>4409012</v>
      </c>
      <c r="H880" s="7" t="str">
        <f aca="false">IFERROR(INDEX('TRANS'!$C:$C,MATCH($B880,'TRANS'!$A:$A,0)),IFERROR(INDEX('Catalog'!$B:$B,MATCH($G880,'Catalog'!$A:$A,0)),$B880))</f>
        <v>804AT-C      טייפ חבישה לספורט</v>
      </c>
      <c r="I880" s="7" t="str">
        <f aca="false">IF($G880="","Unmatched","Matched")</f>
        <v>Matched</v>
      </c>
      <c r="J880" s="7" t="n">
        <f aca="false">IF($G880&lt;&gt;"",$G880,$B880)</f>
        <v>4409012</v>
      </c>
      <c r="K880" s="7" t="str">
        <f aca="false">IF(COUNTIF($O$2:$O$16,$A880)&gt;0,"Y","N")</f>
        <v>Y</v>
      </c>
    </row>
    <row r="881" customFormat="false" ht="15" hidden="false" customHeight="false" outlineLevel="0" collapsed="false">
      <c r="A881" s="7" t="s">
        <v>37</v>
      </c>
      <c r="B881" s="7" t="s">
        <v>348</v>
      </c>
      <c r="C881" s="8" t="n">
        <v>12</v>
      </c>
      <c r="D881" s="8" t="n">
        <v>85.84</v>
      </c>
      <c r="E881" s="8" t="n">
        <v>0</v>
      </c>
      <c r="F881" s="8" t="n">
        <v>0</v>
      </c>
      <c r="G881" s="7" t="n">
        <f aca="false">IFERROR(INDEX('TRANS'!$B:$B,MATCH($B881,'TRANS'!$A:$A,0)),IFERROR(INDEX('TRANS'!$B:$B,MATCH(TRIM(SUBSTITUTE($B881,CHAR(160)," ")),'TRANS'!$D:$D,0)),IFERROR(INDEX('Catalog'!$A:$A,MATCH($B881,'Catalog'!$B:$B,0)),IFERROR(INDEX('Catalog'!$A:$A,MATCH(TRIM(SUBSTITUTE($B881,CHAR(160)," ")),'Catalog'!$C:$C,0)),""))))</f>
        <v>4422023</v>
      </c>
      <c r="H881" s="7" t="str">
        <f aca="false">IFERROR(INDEX('TRANS'!$C:$C,MATCH($B881,'TRANS'!$A:$A,0)),IFERROR(INDEX('Catalog'!$B:$B,MATCH($G881,'Catalog'!$A:$A,0)),$B881))</f>
        <v>806CB-BEIGE      תחבושת א.נצמ</v>
      </c>
      <c r="I881" s="7" t="str">
        <f aca="false">IF($G881="","Unmatched","Matched")</f>
        <v>Matched</v>
      </c>
      <c r="J881" s="7" t="n">
        <f aca="false">IF($G881&lt;&gt;"",$G881,$B881)</f>
        <v>4422023</v>
      </c>
      <c r="K881" s="7" t="str">
        <f aca="false">IF(COUNTIF($O$2:$O$16,$A881)&gt;0,"Y","N")</f>
        <v>Y</v>
      </c>
    </row>
    <row r="882" customFormat="false" ht="15" hidden="false" customHeight="false" outlineLevel="0" collapsed="false">
      <c r="A882" s="7" t="s">
        <v>37</v>
      </c>
      <c r="B882" s="7" t="s">
        <v>350</v>
      </c>
      <c r="C882" s="8" t="n">
        <v>12</v>
      </c>
      <c r="D882" s="8" t="n">
        <v>85.84</v>
      </c>
      <c r="E882" s="8" t="n">
        <v>0</v>
      </c>
      <c r="F882" s="8" t="n">
        <v>0</v>
      </c>
      <c r="G882" s="7" t="n">
        <f aca="false">IFERROR(INDEX('TRANS'!$B:$B,MATCH($B882,'TRANS'!$A:$A,0)),IFERROR(INDEX('TRANS'!$B:$B,MATCH(TRIM(SUBSTITUTE($B882,CHAR(160)," ")),'TRANS'!$D:$D,0)),IFERROR(INDEX('Catalog'!$A:$A,MATCH($B882,'Catalog'!$B:$B,0)),IFERROR(INDEX('Catalog'!$A:$A,MATCH(TRIM(SUBSTITUTE($B882,CHAR(160)," ")),'Catalog'!$C:$C,0)),""))))</f>
        <v>4422026</v>
      </c>
      <c r="H882" s="7" t="str">
        <f aca="false">IFERROR(INDEX('TRANS'!$C:$C,MATCH($B882,'TRANS'!$A:$A,0)),IFERROR(INDEX('Catalog'!$B:$B,MATCH($G882,'Catalog'!$A:$A,0)),$B882))</f>
        <v>806CB-PINK       תחבושת א.נצמ</v>
      </c>
      <c r="I882" s="7" t="str">
        <f aca="false">IF($G882="","Unmatched","Matched")</f>
        <v>Matched</v>
      </c>
      <c r="J882" s="7" t="n">
        <f aca="false">IF($G882&lt;&gt;"",$G882,$B882)</f>
        <v>4422026</v>
      </c>
      <c r="K882" s="7" t="str">
        <f aca="false">IF(COUNTIF($O$2:$O$16,$A882)&gt;0,"Y","N")</f>
        <v>Y</v>
      </c>
    </row>
    <row r="883" customFormat="false" ht="15" hidden="false" customHeight="false" outlineLevel="0" collapsed="false">
      <c r="A883" s="7" t="s">
        <v>37</v>
      </c>
      <c r="B883" s="7" t="s">
        <v>351</v>
      </c>
      <c r="C883" s="8" t="n">
        <v>12</v>
      </c>
      <c r="D883" s="8" t="n">
        <v>169.29</v>
      </c>
      <c r="E883" s="8" t="n">
        <v>0</v>
      </c>
      <c r="F883" s="8" t="n">
        <v>0</v>
      </c>
      <c r="G883" s="7" t="n">
        <f aca="false">IFERROR(INDEX('TRANS'!$B:$B,MATCH($B883,'TRANS'!$A:$A,0)),IFERROR(INDEX('TRANS'!$B:$B,MATCH(TRIM(SUBSTITUTE($B883,CHAR(160)," ")),'TRANS'!$D:$D,0)),IFERROR(INDEX('Catalog'!$A:$A,MATCH($B883,'Catalog'!$B:$B,0)),IFERROR(INDEX('Catalog'!$A:$A,MATCH(TRIM(SUBSTITUTE($B883,CHAR(160)," ")),'Catalog'!$C:$C,0)),""))))</f>
        <v>4409017</v>
      </c>
      <c r="H883" s="7" t="str">
        <f aca="false">IFERROR(INDEX('TRANS'!$C:$C,MATCH($B883,'TRANS'!$A:$A,0)),IFERROR(INDEX('Catalog'!$B:$B,MATCH($G883,'Catalog'!$A:$A,0)),$B883))</f>
        <v>808KT-B        טייפ קינזיולוגי</v>
      </c>
      <c r="I883" s="7" t="str">
        <f aca="false">IF($G883="","Unmatched","Matched")</f>
        <v>Matched</v>
      </c>
      <c r="J883" s="7" t="n">
        <f aca="false">IF($G883&lt;&gt;"",$G883,$B883)</f>
        <v>4409017</v>
      </c>
      <c r="K883" s="7" t="str">
        <f aca="false">IF(COUNTIF($O$2:$O$16,$A883)&gt;0,"Y","N")</f>
        <v>Y</v>
      </c>
    </row>
    <row r="884" customFormat="false" ht="15" hidden="false" customHeight="false" outlineLevel="0" collapsed="false">
      <c r="A884" s="7" t="s">
        <v>37</v>
      </c>
      <c r="B884" s="7" t="s">
        <v>354</v>
      </c>
      <c r="C884" s="8" t="n">
        <v>12</v>
      </c>
      <c r="D884" s="8" t="n">
        <v>169.29</v>
      </c>
      <c r="E884" s="8" t="n">
        <v>0</v>
      </c>
      <c r="F884" s="8" t="n">
        <v>0</v>
      </c>
      <c r="G884" s="7" t="n">
        <f aca="false">IFERROR(INDEX('TRANS'!$B:$B,MATCH($B884,'TRANS'!$A:$A,0)),IFERROR(INDEX('TRANS'!$B:$B,MATCH(TRIM(SUBSTITUTE($B884,CHAR(160)," ")),'TRANS'!$D:$D,0)),IFERROR(INDEX('Catalog'!$A:$A,MATCH($B884,'Catalog'!$B:$B,0)),IFERROR(INDEX('Catalog'!$A:$A,MATCH(TRIM(SUBSTITUTE($B884,CHAR(160)," ")),'Catalog'!$C:$C,0)),""))))</f>
        <v>4409014</v>
      </c>
      <c r="H884" s="7" t="str">
        <f aca="false">IFERROR(INDEX('TRANS'!$C:$C,MATCH($B884,'TRANS'!$A:$A,0)),IFERROR(INDEX('Catalog'!$B:$B,MATCH($G884,'Catalog'!$A:$A,0)),$B884))</f>
        <v>808KT-P        טייפ קינזיולוגי</v>
      </c>
      <c r="I884" s="7" t="str">
        <f aca="false">IF($G884="","Unmatched","Matched")</f>
        <v>Matched</v>
      </c>
      <c r="J884" s="7" t="n">
        <f aca="false">IF($G884&lt;&gt;"",$G884,$B884)</f>
        <v>4409014</v>
      </c>
      <c r="K884" s="7" t="str">
        <f aca="false">IF(COUNTIF($O$2:$O$16,$A884)&gt;0,"Y","N")</f>
        <v>Y</v>
      </c>
    </row>
    <row r="885" customFormat="false" ht="15" hidden="false" customHeight="false" outlineLevel="0" collapsed="false">
      <c r="A885" s="7" t="s">
        <v>37</v>
      </c>
      <c r="B885" s="7" t="s">
        <v>355</v>
      </c>
      <c r="C885" s="8" t="n">
        <v>0</v>
      </c>
      <c r="D885" s="8" t="n">
        <v>0</v>
      </c>
      <c r="E885" s="8" t="n">
        <v>3</v>
      </c>
      <c r="F885" s="8" t="n">
        <v>54.88</v>
      </c>
      <c r="G885" s="7" t="n">
        <f aca="false">IFERROR(INDEX('TRANS'!$B:$B,MATCH($B885,'TRANS'!$A:$A,0)),IFERROR(INDEX('TRANS'!$B:$B,MATCH(TRIM(SUBSTITUTE($B885,CHAR(160)," ")),'TRANS'!$D:$D,0)),IFERROR(INDEX('Catalog'!$A:$A,MATCH($B885,'Catalog'!$B:$B,0)),IFERROR(INDEX('Catalog'!$A:$A,MATCH(TRIM(SUBSTITUTE($B885,CHAR(160)," ")),'Catalog'!$C:$C,0)),""))))</f>
        <v>4413135</v>
      </c>
      <c r="H885" s="7" t="str">
        <f aca="false">IFERROR(INDEX('TRANS'!$C:$C,MATCH($B885,'TRANS'!$A:$A,0)),IFERROR(INDEX('Catalog'!$B:$B,MATCH($G885,'Catalog'!$A:$A,0)),$B885))</f>
        <v>85 L (מתלה ליד )כיס</v>
      </c>
      <c r="I885" s="7" t="str">
        <f aca="false">IF($G885="","Unmatched","Matched")</f>
        <v>Matched</v>
      </c>
      <c r="J885" s="7" t="n">
        <f aca="false">IF($G885&lt;&gt;"",$G885,$B885)</f>
        <v>4413135</v>
      </c>
      <c r="K885" s="7" t="str">
        <f aca="false">IF(COUNTIF($O$2:$O$16,$A885)&gt;0,"Y","N")</f>
        <v>Y</v>
      </c>
    </row>
    <row r="886" customFormat="false" ht="15" hidden="false" customHeight="false" outlineLevel="0" collapsed="false">
      <c r="A886" s="7" t="s">
        <v>37</v>
      </c>
      <c r="B886" s="7" t="s">
        <v>356</v>
      </c>
      <c r="C886" s="8" t="n">
        <v>0</v>
      </c>
      <c r="D886" s="8" t="n">
        <v>0</v>
      </c>
      <c r="E886" s="8" t="n">
        <v>4</v>
      </c>
      <c r="F886" s="8" t="n">
        <v>73.18</v>
      </c>
      <c r="G886" s="7" t="n">
        <f aca="false">IFERROR(INDEX('TRANS'!$B:$B,MATCH($B886,'TRANS'!$A:$A,0)),IFERROR(INDEX('TRANS'!$B:$B,MATCH(TRIM(SUBSTITUTE($B886,CHAR(160)," ")),'TRANS'!$D:$D,0)),IFERROR(INDEX('Catalog'!$A:$A,MATCH($B886,'Catalog'!$B:$B,0)),IFERROR(INDEX('Catalog'!$A:$A,MATCH(TRIM(SUBSTITUTE($B886,CHAR(160)," ")),'Catalog'!$C:$C,0)),""))))</f>
        <v>4413136</v>
      </c>
      <c r="H886" s="7" t="str">
        <f aca="false">IFERROR(INDEX('TRANS'!$C:$C,MATCH($B886,'TRANS'!$A:$A,0)),IFERROR(INDEX('Catalog'!$B:$B,MATCH($G886,'Catalog'!$A:$A,0)),$B886))</f>
        <v>85 M (מתלה ליד )כיס</v>
      </c>
      <c r="I886" s="7" t="str">
        <f aca="false">IF($G886="","Unmatched","Matched")</f>
        <v>Matched</v>
      </c>
      <c r="J886" s="7" t="n">
        <f aca="false">IF($G886&lt;&gt;"",$G886,$B886)</f>
        <v>4413136</v>
      </c>
      <c r="K886" s="7" t="str">
        <f aca="false">IF(COUNTIF($O$2:$O$16,$A886)&gt;0,"Y","N")</f>
        <v>Y</v>
      </c>
    </row>
    <row r="887" customFormat="false" ht="15" hidden="false" customHeight="false" outlineLevel="0" collapsed="false">
      <c r="A887" s="7" t="s">
        <v>37</v>
      </c>
      <c r="B887" s="7" t="s">
        <v>357</v>
      </c>
      <c r="C887" s="8" t="n">
        <v>2</v>
      </c>
      <c r="D887" s="8" t="n">
        <v>41.51</v>
      </c>
      <c r="E887" s="8" t="n">
        <v>0</v>
      </c>
      <c r="F887" s="8" t="n">
        <v>0</v>
      </c>
      <c r="G887" s="7" t="n">
        <f aca="false">IFERROR(INDEX('TRANS'!$B:$B,MATCH($B887,'TRANS'!$A:$A,0)),IFERROR(INDEX('TRANS'!$B:$B,MATCH(TRIM(SUBSTITUTE($B887,CHAR(160)," ")),'TRANS'!$D:$D,0)),IFERROR(INDEX('Catalog'!$A:$A,MATCH($B887,'Catalog'!$B:$B,0)),IFERROR(INDEX('Catalog'!$A:$A,MATCH(TRIM(SUBSTITUTE($B887,CHAR(160)," ")),'Catalog'!$C:$C,0)),""))))</f>
        <v>4413137</v>
      </c>
      <c r="H887" s="7" t="str">
        <f aca="false">IFERROR(INDEX('TRANS'!$C:$C,MATCH($B887,'TRANS'!$A:$A,0)),IFERROR(INDEX('Catalog'!$B:$B,MATCH($G887,'Catalog'!$A:$A,0)),$B887))</f>
        <v>85 S (מתלה ליד )כיס</v>
      </c>
      <c r="I887" s="7" t="str">
        <f aca="false">IF($G887="","Unmatched","Matched")</f>
        <v>Matched</v>
      </c>
      <c r="J887" s="7" t="n">
        <f aca="false">IF($G887&lt;&gt;"",$G887,$B887)</f>
        <v>4413137</v>
      </c>
      <c r="K887" s="7" t="str">
        <f aca="false">IF(COUNTIF($O$2:$O$16,$A887)&gt;0,"Y","N")</f>
        <v>Y</v>
      </c>
    </row>
    <row r="888" customFormat="false" ht="15" hidden="false" customHeight="false" outlineLevel="0" collapsed="false">
      <c r="A888" s="7" t="s">
        <v>37</v>
      </c>
      <c r="B888" s="7" t="s">
        <v>358</v>
      </c>
      <c r="C888" s="8" t="n">
        <v>0</v>
      </c>
      <c r="D888" s="8" t="n">
        <v>0</v>
      </c>
      <c r="E888" s="8" t="n">
        <v>2</v>
      </c>
      <c r="F888" s="8" t="n">
        <v>36.59</v>
      </c>
      <c r="G888" s="7" t="n">
        <f aca="false">IFERROR(INDEX('TRANS'!$B:$B,MATCH($B888,'TRANS'!$A:$A,0)),IFERROR(INDEX('TRANS'!$B:$B,MATCH(TRIM(SUBSTITUTE($B888,CHAR(160)," ")),'TRANS'!$D:$D,0)),IFERROR(INDEX('Catalog'!$A:$A,MATCH($B888,'Catalog'!$B:$B,0)),IFERROR(INDEX('Catalog'!$A:$A,MATCH(TRIM(SUBSTITUTE($B888,CHAR(160)," ")),'Catalog'!$C:$C,0)),""))))</f>
        <v>4413138</v>
      </c>
      <c r="H888" s="7" t="str">
        <f aca="false">IFERROR(INDEX('TRANS'!$C:$C,MATCH($B888,'TRANS'!$A:$A,0)),IFERROR(INDEX('Catalog'!$B:$B,MATCH($G888,'Catalog'!$A:$A,0)),$B888))</f>
        <v>85 XL (מתלה ליד )כיס</v>
      </c>
      <c r="I888" s="7" t="str">
        <f aca="false">IF($G888="","Unmatched","Matched")</f>
        <v>Matched</v>
      </c>
      <c r="J888" s="7" t="n">
        <f aca="false">IF($G888&lt;&gt;"",$G888,$B888)</f>
        <v>4413138</v>
      </c>
      <c r="K888" s="7" t="str">
        <f aca="false">IF(COUNTIF($O$2:$O$16,$A888)&gt;0,"Y","N")</f>
        <v>Y</v>
      </c>
    </row>
    <row r="889" customFormat="false" ht="15" hidden="false" customHeight="false" outlineLevel="0" collapsed="false">
      <c r="A889" s="7" t="s">
        <v>37</v>
      </c>
      <c r="B889" s="7" t="s">
        <v>495</v>
      </c>
      <c r="C889" s="8" t="n">
        <v>0</v>
      </c>
      <c r="D889" s="8" t="n">
        <v>0</v>
      </c>
      <c r="E889" s="8" t="n">
        <v>15</v>
      </c>
      <c r="F889" s="8" t="n">
        <v>598.73</v>
      </c>
      <c r="G889" s="7" t="n">
        <f aca="false">IFERROR(INDEX('TRANS'!$B:$B,MATCH($B889,'TRANS'!$A:$A,0)),IFERROR(INDEX('TRANS'!$B:$B,MATCH(TRIM(SUBSTITUTE($B889,CHAR(160)," ")),'TRANS'!$D:$D,0)),IFERROR(INDEX('Catalog'!$A:$A,MATCH($B889,'Catalog'!$B:$B,0)),IFERROR(INDEX('Catalog'!$A:$A,MATCH(TRIM(SUBSTITUTE($B889,CHAR(160)," ")),'Catalog'!$C:$C,0)),""))))</f>
        <v>4408266</v>
      </c>
      <c r="H889" s="7" t="str">
        <f aca="false">IFERROR(INDEX('TRANS'!$C:$C,MATCH($B889,'TRANS'!$A:$A,0)),IFERROR(INDEX('Catalog'!$B:$B,MATCH($G889,'Catalog'!$A:$A,0)),$B889))</f>
        <v>91B חבק טניס אלבו</v>
      </c>
      <c r="I889" s="7" t="str">
        <f aca="false">IF($G889="","Unmatched","Matched")</f>
        <v>Matched</v>
      </c>
      <c r="J889" s="7" t="n">
        <f aca="false">IF($G889&lt;&gt;"",$G889,$B889)</f>
        <v>4408266</v>
      </c>
      <c r="K889" s="7" t="str">
        <f aca="false">IF(COUNTIF($O$2:$O$16,$A889)&gt;0,"Y","N")</f>
        <v>Y</v>
      </c>
    </row>
    <row r="890" customFormat="false" ht="15" hidden="false" customHeight="false" outlineLevel="0" collapsed="false">
      <c r="A890" s="7" t="s">
        <v>37</v>
      </c>
      <c r="B890" s="7" t="s">
        <v>361</v>
      </c>
      <c r="C890" s="8" t="n">
        <v>0</v>
      </c>
      <c r="D890" s="8" t="n">
        <v>0</v>
      </c>
      <c r="E890" s="8" t="n">
        <v>5</v>
      </c>
      <c r="F890" s="8" t="n">
        <v>51.56</v>
      </c>
      <c r="G890" s="7" t="n">
        <f aca="false">IFERROR(INDEX('TRANS'!$B:$B,MATCH($B890,'TRANS'!$A:$A,0)),IFERROR(INDEX('TRANS'!$B:$B,MATCH(TRIM(SUBSTITUTE($B890,CHAR(160)," ")),'TRANS'!$D:$D,0)),IFERROR(INDEX('Catalog'!$A:$A,MATCH($B890,'Catalog'!$B:$B,0)),IFERROR(INDEX('Catalog'!$A:$A,MATCH(TRIM(SUBSTITUTE($B890,CHAR(160)," ")),'Catalog'!$C:$C,0)),""))))</f>
        <v>4413140</v>
      </c>
      <c r="H890" s="7" t="str">
        <f aca="false">IFERROR(INDEX('TRANS'!$C:$C,MATCH($B890,'TRANS'!$A:$A,0)),IFERROR(INDEX('Catalog'!$B:$B,MATCH($G890,'Catalog'!$A:$A,0)),$B890))</f>
        <v>95 M מגן מרפק רגיל לבן</v>
      </c>
      <c r="I890" s="7" t="str">
        <f aca="false">IF($G890="","Unmatched","Matched")</f>
        <v>Matched</v>
      </c>
      <c r="J890" s="7" t="n">
        <f aca="false">IF($G890&lt;&gt;"",$G890,$B890)</f>
        <v>4413140</v>
      </c>
      <c r="K890" s="7" t="str">
        <f aca="false">IF(COUNTIF($O$2:$O$16,$A890)&gt;0,"Y","N")</f>
        <v>Y</v>
      </c>
    </row>
    <row r="891" customFormat="false" ht="15" hidden="false" customHeight="false" outlineLevel="0" collapsed="false">
      <c r="A891" s="7" t="s">
        <v>37</v>
      </c>
      <c r="B891" s="7" t="s">
        <v>362</v>
      </c>
      <c r="C891" s="8" t="n">
        <v>0</v>
      </c>
      <c r="D891" s="8" t="n">
        <v>0</v>
      </c>
      <c r="E891" s="8" t="n">
        <v>3</v>
      </c>
      <c r="F891" s="8" t="n">
        <v>30.93</v>
      </c>
      <c r="G891" s="7" t="n">
        <f aca="false">IFERROR(INDEX('TRANS'!$B:$B,MATCH($B891,'TRANS'!$A:$A,0)),IFERROR(INDEX('TRANS'!$B:$B,MATCH(TRIM(SUBSTITUTE($B891,CHAR(160)," ")),'TRANS'!$D:$D,0)),IFERROR(INDEX('Catalog'!$A:$A,MATCH($B891,'Catalog'!$B:$B,0)),IFERROR(INDEX('Catalog'!$A:$A,MATCH(TRIM(SUBSTITUTE($B891,CHAR(160)," ")),'Catalog'!$C:$C,0)),""))))</f>
        <v>4413141</v>
      </c>
      <c r="H891" s="7" t="str">
        <f aca="false">IFERROR(INDEX('TRANS'!$C:$C,MATCH($B891,'TRANS'!$A:$A,0)),IFERROR(INDEX('Catalog'!$B:$B,MATCH($G891,'Catalog'!$A:$A,0)),$B891))</f>
        <v>95 S מגן מרפק רגיל לבן</v>
      </c>
      <c r="I891" s="7" t="str">
        <f aca="false">IF($G891="","Unmatched","Matched")</f>
        <v>Matched</v>
      </c>
      <c r="J891" s="7" t="n">
        <f aca="false">IF($G891&lt;&gt;"",$G891,$B891)</f>
        <v>4413141</v>
      </c>
      <c r="K891" s="7" t="str">
        <f aca="false">IF(COUNTIF($O$2:$O$16,$A891)&gt;0,"Y","N")</f>
        <v>Y</v>
      </c>
    </row>
    <row r="892" customFormat="false" ht="15" hidden="false" customHeight="false" outlineLevel="0" collapsed="false">
      <c r="A892" s="7" t="s">
        <v>37</v>
      </c>
      <c r="B892" s="7" t="s">
        <v>365</v>
      </c>
      <c r="C892" s="8" t="n">
        <v>0</v>
      </c>
      <c r="D892" s="8" t="n">
        <v>0</v>
      </c>
      <c r="E892" s="8" t="n">
        <v>4</v>
      </c>
      <c r="F892" s="8" t="n">
        <v>41.25</v>
      </c>
      <c r="G892" s="7" t="n">
        <f aca="false">IFERROR(INDEX('TRANS'!$B:$B,MATCH($B892,'TRANS'!$A:$A,0)),IFERROR(INDEX('TRANS'!$B:$B,MATCH(TRIM(SUBSTITUTE($B892,CHAR(160)," ")),'TRANS'!$D:$D,0)),IFERROR(INDEX('Catalog'!$A:$A,MATCH($B892,'Catalog'!$B:$B,0)),IFERROR(INDEX('Catalog'!$A:$A,MATCH(TRIM(SUBSTITUTE($B892,CHAR(160)," ")),'Catalog'!$C:$C,0)),""))))</f>
        <v>4413502</v>
      </c>
      <c r="H892" s="7" t="str">
        <f aca="false">IFERROR(INDEX('TRANS'!$C:$C,MATCH($B892,'TRANS'!$A:$A,0)),IFERROR(INDEX('Catalog'!$B:$B,MATCH($G892,'Catalog'!$A:$A,0)),$B892))</f>
        <v>95B S מגן מרפק שחור</v>
      </c>
      <c r="I892" s="7" t="str">
        <f aca="false">IF($G892="","Unmatched","Matched")</f>
        <v>Matched</v>
      </c>
      <c r="J892" s="7" t="n">
        <f aca="false">IF($G892&lt;&gt;"",$G892,$B892)</f>
        <v>4413502</v>
      </c>
      <c r="K892" s="7" t="str">
        <f aca="false">IF(COUNTIF($O$2:$O$16,$A892)&gt;0,"Y","N")</f>
        <v>Y</v>
      </c>
    </row>
    <row r="893" customFormat="false" ht="15" hidden="false" customHeight="false" outlineLevel="0" collapsed="false">
      <c r="A893" s="7" t="s">
        <v>37</v>
      </c>
      <c r="B893" s="7" t="s">
        <v>404</v>
      </c>
      <c r="C893" s="8" t="n">
        <v>35</v>
      </c>
      <c r="D893" s="8" t="n">
        <v>1954.88</v>
      </c>
      <c r="E893" s="8" t="n">
        <v>40</v>
      </c>
      <c r="F893" s="8" t="n">
        <v>1969.17</v>
      </c>
      <c r="G893" s="7" t="n">
        <f aca="false">IFERROR(INDEX('TRANS'!$B:$B,MATCH($B893,'TRANS'!$A:$A,0)),IFERROR(INDEX('TRANS'!$B:$B,MATCH(TRIM(SUBSTITUTE($B893,CHAR(160)," ")),'TRANS'!$D:$D,0)),IFERROR(INDEX('Catalog'!$A:$A,MATCH($B893,'Catalog'!$B:$B,0)),IFERROR(INDEX('Catalog'!$A:$A,MATCH(TRIM(SUBSTITUTE($B893,CHAR(160)," ")),'Catalog'!$C:$C,0)),""))))</f>
        <v>4408205</v>
      </c>
      <c r="H893" s="7" t="str">
        <f aca="false">IFERROR(INDEX('TRANS'!$C:$C,MATCH($B893,'TRANS'!$A:$A,0)),IFERROR(INDEX('Catalog'!$B:$B,MATCH($G893,'Catalog'!$A:$A,0)),$B893))</f>
        <v>AC-07 חגורת גב עם תמיכות</v>
      </c>
      <c r="I893" s="7" t="str">
        <f aca="false">IF($G893="","Unmatched","Matched")</f>
        <v>Matched</v>
      </c>
      <c r="J893" s="7" t="n">
        <f aca="false">IF($G893&lt;&gt;"",$G893,$B893)</f>
        <v>4408205</v>
      </c>
      <c r="K893" s="7" t="str">
        <f aca="false">IF(COUNTIF($O$2:$O$16,$A893)&gt;0,"Y","N")</f>
        <v>Y</v>
      </c>
    </row>
    <row r="894" customFormat="false" ht="15" hidden="false" customHeight="false" outlineLevel="0" collapsed="false">
      <c r="A894" s="7" t="s">
        <v>37</v>
      </c>
      <c r="B894" s="7" t="s">
        <v>371</v>
      </c>
      <c r="C894" s="8" t="n">
        <v>70</v>
      </c>
      <c r="D894" s="8" t="n">
        <v>1148.25</v>
      </c>
      <c r="E894" s="8" t="n">
        <v>40</v>
      </c>
      <c r="F894" s="8" t="n">
        <v>565.47</v>
      </c>
      <c r="G894" s="7" t="n">
        <f aca="false">IFERROR(INDEX('TRANS'!$B:$B,MATCH($B894,'TRANS'!$A:$A,0)),IFERROR(INDEX('TRANS'!$B:$B,MATCH(TRIM(SUBSTITUTE($B894,CHAR(160)," ")),'TRANS'!$D:$D,0)),IFERROR(INDEX('Catalog'!$A:$A,MATCH($B894,'Catalog'!$B:$B,0)),IFERROR(INDEX('Catalog'!$A:$A,MATCH(TRIM(SUBSTITUTE($B894,CHAR(160)," ")),'Catalog'!$C:$C,0)),""))))</f>
        <v>4408207</v>
      </c>
      <c r="H894" s="7" t="str">
        <f aca="false">IFERROR(INDEX('TRANS'!$C:$C,MATCH($B894,'TRANS'!$A:$A,0)),IFERROR(INDEX('Catalog'!$B:$B,MATCH($G894,'Catalog'!$A:$A,0)),$B894))</f>
        <v>AC-25 חבק לשורש כף היד</v>
      </c>
      <c r="I894" s="7" t="str">
        <f aca="false">IF($G894="","Unmatched","Matched")</f>
        <v>Matched</v>
      </c>
      <c r="J894" s="7" t="n">
        <f aca="false">IF($G894&lt;&gt;"",$G894,$B894)</f>
        <v>4408207</v>
      </c>
      <c r="K894" s="7" t="str">
        <f aca="false">IF(COUNTIF($O$2:$O$16,$A894)&gt;0,"Y","N")</f>
        <v>Y</v>
      </c>
    </row>
    <row r="895" customFormat="false" ht="15" hidden="false" customHeight="false" outlineLevel="0" collapsed="false">
      <c r="A895" s="7" t="s">
        <v>37</v>
      </c>
      <c r="B895" s="7" t="s">
        <v>374</v>
      </c>
      <c r="C895" s="8" t="n">
        <v>50</v>
      </c>
      <c r="D895" s="8" t="n">
        <v>819.34</v>
      </c>
      <c r="E895" s="8" t="n">
        <v>25</v>
      </c>
      <c r="F895" s="8" t="n">
        <v>351.76</v>
      </c>
      <c r="G895" s="7" t="n">
        <f aca="false">IFERROR(INDEX('TRANS'!$B:$B,MATCH($B895,'TRANS'!$A:$A,0)),IFERROR(INDEX('TRANS'!$B:$B,MATCH(TRIM(SUBSTITUTE($B895,CHAR(160)," ")),'TRANS'!$D:$D,0)),IFERROR(INDEX('Catalog'!$A:$A,MATCH($B895,'Catalog'!$B:$B,0)),IFERROR(INDEX('Catalog'!$A:$A,MATCH(TRIM(SUBSTITUTE($B895,CHAR(160)," ")),'Catalog'!$C:$C,0)),""))))</f>
        <v>4415028</v>
      </c>
      <c r="H895" s="7" t="str">
        <f aca="false">IFERROR(INDEX('TRANS'!$C:$C,MATCH($B895,'TRANS'!$A:$A,0)),IFERROR(INDEX('Catalog'!$B:$B,MATCH($G895,'Catalog'!$A:$A,0)),$B895))</f>
        <v>AC-28 סד לאגודל</v>
      </c>
      <c r="I895" s="7" t="str">
        <f aca="false">IF($G895="","Unmatched","Matched")</f>
        <v>Matched</v>
      </c>
      <c r="J895" s="7" t="n">
        <f aca="false">IF($G895&lt;&gt;"",$G895,$B895)</f>
        <v>4415028</v>
      </c>
      <c r="K895" s="7" t="str">
        <f aca="false">IF(COUNTIF($O$2:$O$16,$A895)&gt;0,"Y","N")</f>
        <v>Y</v>
      </c>
    </row>
    <row r="896" customFormat="false" ht="15" hidden="false" customHeight="false" outlineLevel="0" collapsed="false">
      <c r="A896" s="7" t="s">
        <v>37</v>
      </c>
      <c r="B896" s="7" t="s">
        <v>375</v>
      </c>
      <c r="C896" s="8" t="n">
        <v>20</v>
      </c>
      <c r="D896" s="8" t="n">
        <v>406.77</v>
      </c>
      <c r="E896" s="8" t="n">
        <v>15</v>
      </c>
      <c r="F896" s="8" t="n">
        <v>261.95</v>
      </c>
      <c r="G896" s="7" t="n">
        <f aca="false">IFERROR(INDEX('TRANS'!$B:$B,MATCH($B896,'TRANS'!$A:$A,0)),IFERROR(INDEX('TRANS'!$B:$B,MATCH(TRIM(SUBSTITUTE($B896,CHAR(160)," ")),'TRANS'!$D:$D,0)),IFERROR(INDEX('Catalog'!$A:$A,MATCH($B896,'Catalog'!$B:$B,0)),IFERROR(INDEX('Catalog'!$A:$A,MATCH(TRIM(SUBSTITUTE($B896,CHAR(160)," ")),'Catalog'!$C:$C,0)),""))))</f>
        <v>4413326</v>
      </c>
      <c r="H896" s="7" t="str">
        <f aca="false">IFERROR(INDEX('TRANS'!$C:$C,MATCH($B896,'TRANS'!$A:$A,0)),IFERROR(INDEX('Catalog'!$B:$B,MATCH($G896,'Catalog'!$A:$A,0)),$B896))</f>
        <v>AC37 מגן קרסול נושם</v>
      </c>
      <c r="I896" s="7" t="str">
        <f aca="false">IF($G896="","Unmatched","Matched")</f>
        <v>Matched</v>
      </c>
      <c r="J896" s="7" t="n">
        <f aca="false">IF($G896&lt;&gt;"",$G896,$B896)</f>
        <v>4413326</v>
      </c>
      <c r="K896" s="7" t="str">
        <f aca="false">IF(COUNTIF($O$2:$O$16,$A896)&gt;0,"Y","N")</f>
        <v>Y</v>
      </c>
    </row>
    <row r="897" customFormat="false" ht="15" hidden="false" customHeight="false" outlineLevel="0" collapsed="false">
      <c r="A897" s="7" t="s">
        <v>37</v>
      </c>
      <c r="B897" s="7" t="s">
        <v>648</v>
      </c>
      <c r="C897" s="8" t="n">
        <v>15</v>
      </c>
      <c r="D897" s="8" t="n">
        <v>503.7</v>
      </c>
      <c r="E897" s="8" t="n">
        <v>0</v>
      </c>
      <c r="F897" s="8" t="n">
        <v>0</v>
      </c>
      <c r="G897" s="7" t="n">
        <f aca="false">IFERROR(INDEX('TRANS'!$B:$B,MATCH($B897,'TRANS'!$A:$A,0)),IFERROR(INDEX('TRANS'!$B:$B,MATCH(TRIM(SUBSTITUTE($B897,CHAR(160)," ")),'TRANS'!$D:$D,0)),IFERROR(INDEX('Catalog'!$A:$A,MATCH($B897,'Catalog'!$B:$B,0)),IFERROR(INDEX('Catalog'!$A:$A,MATCH(TRIM(SUBSTITUTE($B897,CHAR(160)," ")),'Catalog'!$C:$C,0)),""))))</f>
        <v>4420026</v>
      </c>
      <c r="H897" s="7" t="str">
        <f aca="false">IFERROR(INDEX('TRANS'!$C:$C,MATCH($B897,'TRANS'!$A:$A,0)),IFERROR(INDEX('Catalog'!$B:$B,MATCH($G897,'Catalog'!$A:$A,0)),$B897))</f>
        <v>AC40 רצועה לפיקת הברך</v>
      </c>
      <c r="I897" s="7" t="str">
        <f aca="false">IF($G897="","Unmatched","Matched")</f>
        <v>Matched</v>
      </c>
      <c r="J897" s="7" t="n">
        <f aca="false">IF($G897&lt;&gt;"",$G897,$B897)</f>
        <v>4420026</v>
      </c>
      <c r="K897" s="7" t="str">
        <f aca="false">IF(COUNTIF($O$2:$O$16,$A897)&gt;0,"Y","N")</f>
        <v>Y</v>
      </c>
    </row>
    <row r="898" customFormat="false" ht="15" hidden="false" customHeight="false" outlineLevel="0" collapsed="false">
      <c r="A898" s="7" t="s">
        <v>37</v>
      </c>
      <c r="B898" s="7" t="s">
        <v>379</v>
      </c>
      <c r="C898" s="8" t="n">
        <v>35</v>
      </c>
      <c r="D898" s="8" t="n">
        <v>1265.72</v>
      </c>
      <c r="E898" s="8" t="n">
        <v>0</v>
      </c>
      <c r="F898" s="8" t="n">
        <v>0</v>
      </c>
      <c r="G898" s="7" t="n">
        <f aca="false">IFERROR(INDEX('TRANS'!$B:$B,MATCH($B898,'TRANS'!$A:$A,0)),IFERROR(INDEX('TRANS'!$B:$B,MATCH(TRIM(SUBSTITUTE($B898,CHAR(160)," ")),'TRANS'!$D:$D,0)),IFERROR(INDEX('Catalog'!$A:$A,MATCH($B898,'Catalog'!$B:$B,0)),IFERROR(INDEX('Catalog'!$A:$A,MATCH(TRIM(SUBSTITUTE($B898,CHAR(160)," ")),'Catalog'!$C:$C,0)),""))))</f>
        <v>4413453</v>
      </c>
      <c r="H898" s="7" t="str">
        <f aca="false">IFERROR(INDEX('TRANS'!$C:$C,MATCH($B898,'TRANS'!$A:$A,0)),IFERROR(INDEX('Catalog'!$B:$B,MATCH($G898,'Catalog'!$A:$A,0)),$B898))</f>
        <v>AC75 מישר כתפיים אקטיב</v>
      </c>
      <c r="I898" s="7" t="str">
        <f aca="false">IF($G898="","Unmatched","Matched")</f>
        <v>Matched</v>
      </c>
      <c r="J898" s="7" t="n">
        <f aca="false">IF($G898&lt;&gt;"",$G898,$B898)</f>
        <v>4413453</v>
      </c>
      <c r="K898" s="7" t="str">
        <f aca="false">IF(COUNTIF($O$2:$O$16,$A898)&gt;0,"Y","N")</f>
        <v>Y</v>
      </c>
    </row>
    <row r="899" customFormat="false" ht="15" hidden="false" customHeight="false" outlineLevel="0" collapsed="false">
      <c r="A899" s="7" t="s">
        <v>37</v>
      </c>
      <c r="B899" s="7" t="s">
        <v>380</v>
      </c>
      <c r="C899" s="8" t="n">
        <v>0</v>
      </c>
      <c r="D899" s="8" t="n">
        <v>0</v>
      </c>
      <c r="E899" s="8" t="n">
        <v>30</v>
      </c>
      <c r="F899" s="8" t="n">
        <v>444.06</v>
      </c>
      <c r="G899" s="7" t="n">
        <f aca="false">IFERROR(INDEX('TRANS'!$B:$B,MATCH($B899,'TRANS'!$A:$A,0)),IFERROR(INDEX('TRANS'!$B:$B,MATCH(TRIM(SUBSTITUTE($B899,CHAR(160)," ")),'TRANS'!$D:$D,0)),IFERROR(INDEX('Catalog'!$A:$A,MATCH($B899,'Catalog'!$B:$B,0)),IFERROR(INDEX('Catalog'!$A:$A,MATCH(TRIM(SUBSTITUTE($B899,CHAR(160)," ")),'Catalog'!$C:$C,0)),""))))</f>
        <v>4408208</v>
      </c>
      <c r="H899" s="7" t="str">
        <f aca="false">IFERROR(INDEX('TRANS'!$C:$C,MATCH($B899,'TRANS'!$A:$A,0)),IFERROR(INDEX('Catalog'!$B:$B,MATCH($G899,'Catalog'!$A:$A,0)),$B899))</f>
        <v>AC91 חבק טניס</v>
      </c>
      <c r="I899" s="7" t="str">
        <f aca="false">IF($G899="","Unmatched","Matched")</f>
        <v>Matched</v>
      </c>
      <c r="J899" s="7" t="n">
        <f aca="false">IF($G899&lt;&gt;"",$G899,$B899)</f>
        <v>4408208</v>
      </c>
      <c r="K899" s="7" t="str">
        <f aca="false">IF(COUNTIF($O$2:$O$16,$A899)&gt;0,"Y","N")</f>
        <v>Y</v>
      </c>
    </row>
    <row r="900" customFormat="false" ht="15" hidden="false" customHeight="false" outlineLevel="0" collapsed="false">
      <c r="A900" s="7" t="s">
        <v>37</v>
      </c>
      <c r="B900" s="7" t="s">
        <v>381</v>
      </c>
      <c r="C900" s="8" t="n">
        <v>20</v>
      </c>
      <c r="D900" s="8" t="n">
        <v>246.39</v>
      </c>
      <c r="E900" s="8" t="n">
        <v>20</v>
      </c>
      <c r="F900" s="8" t="n">
        <v>206.23</v>
      </c>
      <c r="G900" s="7" t="n">
        <f aca="false">IFERROR(INDEX('TRANS'!$B:$B,MATCH($B900,'TRANS'!$A:$A,0)),IFERROR(INDEX('TRANS'!$B:$B,MATCH(TRIM(SUBSTITUTE($B900,CHAR(160)," ")),'TRANS'!$D:$D,0)),IFERROR(INDEX('Catalog'!$A:$A,MATCH($B900,'Catalog'!$B:$B,0)),IFERROR(INDEX('Catalog'!$A:$A,MATCH(TRIM(SUBSTITUTE($B900,CHAR(160)," ")),'Catalog'!$C:$C,0)),""))))</f>
        <v>4413056</v>
      </c>
      <c r="H900" s="7" t="str">
        <f aca="false">IFERROR(INDEX('TRANS'!$C:$C,MATCH($B900,'TRANS'!$A:$A,0)),IFERROR(INDEX('Catalog'!$B:$B,MATCH($G900,'Catalog'!$A:$A,0)),$B900))</f>
        <v>LF360 מדרס מטטרזלי לנעלי עקב</v>
      </c>
      <c r="I900" s="7" t="str">
        <f aca="false">IF($G900="","Unmatched","Matched")</f>
        <v>Matched</v>
      </c>
      <c r="J900" s="7" t="n">
        <f aca="false">IF($G900&lt;&gt;"",$G900,$B900)</f>
        <v>4413056</v>
      </c>
      <c r="K900" s="7" t="str">
        <f aca="false">IF(COUNTIF($O$2:$O$16,$A900)&gt;0,"Y","N")</f>
        <v>Y</v>
      </c>
    </row>
    <row r="901" customFormat="false" ht="15" hidden="false" customHeight="false" outlineLevel="0" collapsed="false">
      <c r="A901" s="7" t="s">
        <v>37</v>
      </c>
      <c r="B901" s="7" t="s">
        <v>383</v>
      </c>
      <c r="C901" s="8" t="n">
        <v>20</v>
      </c>
      <c r="D901" s="8" t="n">
        <v>278.18</v>
      </c>
      <c r="E901" s="8" t="n">
        <v>0</v>
      </c>
      <c r="F901" s="8" t="n">
        <v>0</v>
      </c>
      <c r="G901" s="7" t="n">
        <f aca="false">IFERROR(INDEX('TRANS'!$B:$B,MATCH($B901,'TRANS'!$A:$A,0)),IFERROR(INDEX('TRANS'!$B:$B,MATCH(TRIM(SUBSTITUTE($B901,CHAR(160)," ")),'TRANS'!$D:$D,0)),IFERROR(INDEX('Catalog'!$A:$A,MATCH($B901,'Catalog'!$B:$B,0)),IFERROR(INDEX('Catalog'!$A:$A,MATCH(TRIM(SUBSTITUTE($B901,CHAR(160)," ")),'Catalog'!$C:$C,0)),""))))</f>
        <v>4420023</v>
      </c>
      <c r="H901" s="7" t="str">
        <f aca="false">IFERROR(INDEX('TRANS'!$C:$C,MATCH($B901,'TRANS'!$A:$A,0)),IFERROR(INDEX('Catalog'!$B:$B,MATCH($G901,'Catalog'!$A:$A,0)),$B901))</f>
        <v>LF371 ריפוד סיליקון לנעלי אצבע</v>
      </c>
      <c r="I901" s="7" t="str">
        <f aca="false">IF($G901="","Unmatched","Matched")</f>
        <v>Matched</v>
      </c>
      <c r="J901" s="7" t="n">
        <f aca="false">IF($G901&lt;&gt;"",$G901,$B901)</f>
        <v>4420023</v>
      </c>
      <c r="K901" s="7" t="str">
        <f aca="false">IF(COUNTIF($O$2:$O$16,$A901)&gt;0,"Y","N")</f>
        <v>Y</v>
      </c>
    </row>
    <row r="902" customFormat="false" ht="15" hidden="false" customHeight="false" outlineLevel="0" collapsed="false">
      <c r="A902" s="7" t="s">
        <v>37</v>
      </c>
      <c r="B902" s="7" t="s">
        <v>117</v>
      </c>
      <c r="C902" s="8" t="n">
        <v>0</v>
      </c>
      <c r="D902" s="8" t="n">
        <v>0</v>
      </c>
      <c r="E902" s="8" t="n">
        <v>12</v>
      </c>
      <c r="F902" s="8" t="n">
        <v>1436.96</v>
      </c>
      <c r="G902" s="7" t="str">
        <f aca="false">IFERROR(INDEX('TRANS'!$B:$B,MATCH($B902,'TRANS'!$A:$A,0)),IFERROR(INDEX('TRANS'!$B:$B,MATCH(TRIM(SUBSTITUTE($B902,CHAR(160)," ")),'TRANS'!$D:$D,0)),IFERROR(INDEX('Catalog'!$A:$A,MATCH($B902,'Catalog'!$B:$B,0)),IFERROR(INDEX('Catalog'!$A:$A,MATCH(TRIM(SUBSTITUTE($B902,CHAR(160)," ")),'Catalog'!$C:$C,0)),""))))</f>
        <v/>
      </c>
      <c r="H902" s="7" t="str">
        <f aca="false">IFERROR(INDEX('TRANS'!$C:$C,MATCH($B902,'TRANS'!$A:$A,0)),IFERROR(INDEX('Catalog'!$B:$B,MATCH($G902,'Catalog'!$A:$A,0)),$B902))</f>
        <v>N433D L</v>
      </c>
      <c r="I902" s="7" t="str">
        <f aca="false">IF($G902="","Unmatched","Matched")</f>
        <v>Unmatched</v>
      </c>
      <c r="J902" s="7" t="str">
        <f aca="false">IF($G902&lt;&gt;"",$G902,$B902)</f>
        <v>N433D L</v>
      </c>
      <c r="K902" s="7" t="str">
        <f aca="false">IF(COUNTIF($O$2:$O$16,$A902)&gt;0,"Y","N")</f>
        <v>Y</v>
      </c>
    </row>
    <row r="903" customFormat="false" ht="15" hidden="false" customHeight="false" outlineLevel="0" collapsed="false">
      <c r="A903" s="7" t="s">
        <v>37</v>
      </c>
      <c r="B903" s="7" t="s">
        <v>121</v>
      </c>
      <c r="C903" s="8" t="n">
        <v>0</v>
      </c>
      <c r="D903" s="8" t="n">
        <v>0</v>
      </c>
      <c r="E903" s="8" t="n">
        <v>10</v>
      </c>
      <c r="F903" s="8" t="n">
        <v>1197.47</v>
      </c>
      <c r="G903" s="7" t="str">
        <f aca="false">IFERROR(INDEX('TRANS'!$B:$B,MATCH($B903,'TRANS'!$A:$A,0)),IFERROR(INDEX('TRANS'!$B:$B,MATCH(TRIM(SUBSTITUTE($B903,CHAR(160)," ")),'TRANS'!$D:$D,0)),IFERROR(INDEX('Catalog'!$A:$A,MATCH($B903,'Catalog'!$B:$B,0)),IFERROR(INDEX('Catalog'!$A:$A,MATCH(TRIM(SUBSTITUTE($B903,CHAR(160)," ")),'Catalog'!$C:$C,0)),""))))</f>
        <v/>
      </c>
      <c r="H903" s="7" t="str">
        <f aca="false">IFERROR(INDEX('TRANS'!$C:$C,MATCH($B903,'TRANS'!$A:$A,0)),IFERROR(INDEX('Catalog'!$B:$B,MATCH($G903,'Catalog'!$A:$A,0)),$B903))</f>
        <v>N433D XL</v>
      </c>
      <c r="I903" s="7" t="str">
        <f aca="false">IF($G903="","Unmatched","Matched")</f>
        <v>Unmatched</v>
      </c>
      <c r="J903" s="7" t="str">
        <f aca="false">IF($G903&lt;&gt;"",$G903,$B903)</f>
        <v>N433D XL</v>
      </c>
      <c r="K903" s="7" t="str">
        <f aca="false">IF(COUNTIF($O$2:$O$16,$A903)&gt;0,"Y","N")</f>
        <v>Y</v>
      </c>
    </row>
    <row r="904" customFormat="false" ht="15" hidden="false" customHeight="false" outlineLevel="0" collapsed="false">
      <c r="A904" s="7" t="s">
        <v>37</v>
      </c>
      <c r="B904" s="7" t="s">
        <v>126</v>
      </c>
      <c r="C904" s="8" t="n">
        <v>0</v>
      </c>
      <c r="D904" s="8" t="n">
        <v>0</v>
      </c>
      <c r="E904" s="8" t="n">
        <v>8</v>
      </c>
      <c r="F904" s="8" t="n">
        <v>957.97</v>
      </c>
      <c r="G904" s="7" t="str">
        <f aca="false">IFERROR(INDEX('TRANS'!$B:$B,MATCH($B904,'TRANS'!$A:$A,0)),IFERROR(INDEX('TRANS'!$B:$B,MATCH(TRIM(SUBSTITUTE($B904,CHAR(160)," ")),'TRANS'!$D:$D,0)),IFERROR(INDEX('Catalog'!$A:$A,MATCH($B904,'Catalog'!$B:$B,0)),IFERROR(INDEX('Catalog'!$A:$A,MATCH(TRIM(SUBSTITUTE($B904,CHAR(160)," ")),'Catalog'!$C:$C,0)),""))))</f>
        <v/>
      </c>
      <c r="H904" s="7" t="str">
        <f aca="false">IFERROR(INDEX('TRANS'!$C:$C,MATCH($B904,'TRANS'!$A:$A,0)),IFERROR(INDEX('Catalog'!$B:$B,MATCH($G904,'Catalog'!$A:$A,0)),$B904))</f>
        <v>N433D XXL</v>
      </c>
      <c r="I904" s="7" t="str">
        <f aca="false">IF($G904="","Unmatched","Matched")</f>
        <v>Unmatched</v>
      </c>
      <c r="J904" s="7" t="str">
        <f aca="false">IF($G904&lt;&gt;"",$G904,$B904)</f>
        <v>N433D XXL</v>
      </c>
      <c r="K904" s="7" t="str">
        <f aca="false">IF(COUNTIF($O$2:$O$16,$A904)&gt;0,"Y","N")</f>
        <v>Y</v>
      </c>
    </row>
    <row r="905" customFormat="false" ht="15" hidden="false" customHeight="false" outlineLevel="0" collapsed="false">
      <c r="A905" s="7" t="s">
        <v>37</v>
      </c>
      <c r="B905" s="7" t="s">
        <v>509</v>
      </c>
      <c r="C905" s="8" t="n">
        <v>0</v>
      </c>
      <c r="D905" s="8" t="n">
        <v>0</v>
      </c>
      <c r="E905" s="8" t="n">
        <v>2</v>
      </c>
      <c r="F905" s="8" t="n">
        <v>178.29</v>
      </c>
      <c r="G905" s="7" t="n">
        <f aca="false">IFERROR(INDEX('TRANS'!$B:$B,MATCH($B905,'TRANS'!$A:$A,0)),IFERROR(INDEX('TRANS'!$B:$B,MATCH(TRIM(SUBSTITUTE($B905,CHAR(160)," ")),'TRANS'!$D:$D,0)),IFERROR(INDEX('Catalog'!$A:$A,MATCH($B905,'Catalog'!$B:$B,0)),IFERROR(INDEX('Catalog'!$A:$A,MATCH(TRIM(SUBSTITUTE($B905,CHAR(160)," ")),'Catalog'!$C:$C,0)),""))))</f>
        <v>4422038</v>
      </c>
      <c r="H905" s="7" t="str">
        <f aca="false">IFERROR(INDEX('TRANS'!$C:$C,MATCH($B905,'TRANS'!$A:$A,0)),IFERROR(INDEX('Catalog'!$B:$B,MATCH($G905,'Catalog'!$A:$A,0)),$B905))</f>
        <v>SH422 2 תומך ברך גנושילד</v>
      </c>
      <c r="I905" s="7" t="str">
        <f aca="false">IF($G905="","Unmatched","Matched")</f>
        <v>Matched</v>
      </c>
      <c r="J905" s="7" t="n">
        <f aca="false">IF($G905&lt;&gt;"",$G905,$B905)</f>
        <v>4422038</v>
      </c>
      <c r="K905" s="7" t="str">
        <f aca="false">IF(COUNTIF($O$2:$O$16,$A905)&gt;0,"Y","N")</f>
        <v>Y</v>
      </c>
    </row>
    <row r="906" customFormat="false" ht="15" hidden="false" customHeight="false" outlineLevel="0" collapsed="false">
      <c r="A906" s="7" t="s">
        <v>37</v>
      </c>
      <c r="B906" s="7" t="s">
        <v>510</v>
      </c>
      <c r="C906" s="8" t="n">
        <v>0</v>
      </c>
      <c r="D906" s="8" t="n">
        <v>0</v>
      </c>
      <c r="E906" s="8" t="n">
        <v>6</v>
      </c>
      <c r="F906" s="8" t="n">
        <v>534.87</v>
      </c>
      <c r="G906" s="7" t="n">
        <f aca="false">IFERROR(INDEX('TRANS'!$B:$B,MATCH($B906,'TRANS'!$A:$A,0)),IFERROR(INDEX('TRANS'!$B:$B,MATCH(TRIM(SUBSTITUTE($B906,CHAR(160)," ")),'TRANS'!$D:$D,0)),IFERROR(INDEX('Catalog'!$A:$A,MATCH($B906,'Catalog'!$B:$B,0)),IFERROR(INDEX('Catalog'!$A:$A,MATCH(TRIM(SUBSTITUTE($B906,CHAR(160)," ")),'Catalog'!$C:$C,0)),""))))</f>
        <v>4422039</v>
      </c>
      <c r="H906" s="7" t="str">
        <f aca="false">IFERROR(INDEX('TRANS'!$C:$C,MATCH($B906,'TRANS'!$A:$A,0)),IFERROR(INDEX('Catalog'!$B:$B,MATCH($G906,'Catalog'!$A:$A,0)),$B906))</f>
        <v>SH422 3 תומך ברך גנושילד</v>
      </c>
      <c r="I906" s="7" t="str">
        <f aca="false">IF($G906="","Unmatched","Matched")</f>
        <v>Matched</v>
      </c>
      <c r="J906" s="7" t="n">
        <f aca="false">IF($G906&lt;&gt;"",$G906,$B906)</f>
        <v>4422039</v>
      </c>
      <c r="K906" s="7" t="str">
        <f aca="false">IF(COUNTIF($O$2:$O$16,$A906)&gt;0,"Y","N")</f>
        <v>Y</v>
      </c>
    </row>
    <row r="907" customFormat="false" ht="15" hidden="false" customHeight="false" outlineLevel="0" collapsed="false">
      <c r="A907" s="7" t="s">
        <v>37</v>
      </c>
      <c r="B907" s="7" t="s">
        <v>511</v>
      </c>
      <c r="C907" s="8" t="n">
        <v>0</v>
      </c>
      <c r="D907" s="8" t="n">
        <v>0</v>
      </c>
      <c r="E907" s="8" t="n">
        <v>10</v>
      </c>
      <c r="F907" s="8" t="n">
        <v>891.45</v>
      </c>
      <c r="G907" s="7" t="n">
        <f aca="false">IFERROR(INDEX('TRANS'!$B:$B,MATCH($B907,'TRANS'!$A:$A,0)),IFERROR(INDEX('TRANS'!$B:$B,MATCH(TRIM(SUBSTITUTE($B907,CHAR(160)," ")),'TRANS'!$D:$D,0)),IFERROR(INDEX('Catalog'!$A:$A,MATCH($B907,'Catalog'!$B:$B,0)),IFERROR(INDEX('Catalog'!$A:$A,MATCH(TRIM(SUBSTITUTE($B907,CHAR(160)," ")),'Catalog'!$C:$C,0)),""))))</f>
        <v>4422040</v>
      </c>
      <c r="H907" s="7" t="str">
        <f aca="false">IFERROR(INDEX('TRANS'!$C:$C,MATCH($B907,'TRANS'!$A:$A,0)),IFERROR(INDEX('Catalog'!$B:$B,MATCH($G907,'Catalog'!$A:$A,0)),$B907))</f>
        <v>SH422 4 תומך ברך גנושילד</v>
      </c>
      <c r="I907" s="7" t="str">
        <f aca="false">IF($G907="","Unmatched","Matched")</f>
        <v>Matched</v>
      </c>
      <c r="J907" s="7" t="n">
        <f aca="false">IF($G907&lt;&gt;"",$G907,$B907)</f>
        <v>4422040</v>
      </c>
      <c r="K907" s="7" t="str">
        <f aca="false">IF(COUNTIF($O$2:$O$16,$A907)&gt;0,"Y","N")</f>
        <v>Y</v>
      </c>
    </row>
    <row r="908" customFormat="false" ht="15" hidden="false" customHeight="false" outlineLevel="0" collapsed="false">
      <c r="A908" s="7" t="s">
        <v>37</v>
      </c>
      <c r="B908" s="7" t="s">
        <v>512</v>
      </c>
      <c r="C908" s="8" t="n">
        <v>0</v>
      </c>
      <c r="D908" s="8" t="n">
        <v>0</v>
      </c>
      <c r="E908" s="8" t="n">
        <v>8</v>
      </c>
      <c r="F908" s="8" t="n">
        <v>713.16</v>
      </c>
      <c r="G908" s="7" t="n">
        <f aca="false">IFERROR(INDEX('TRANS'!$B:$B,MATCH($B908,'TRANS'!$A:$A,0)),IFERROR(INDEX('TRANS'!$B:$B,MATCH(TRIM(SUBSTITUTE($B908,CHAR(160)," ")),'TRANS'!$D:$D,0)),IFERROR(INDEX('Catalog'!$A:$A,MATCH($B908,'Catalog'!$B:$B,0)),IFERROR(INDEX('Catalog'!$A:$A,MATCH(TRIM(SUBSTITUTE($B908,CHAR(160)," ")),'Catalog'!$C:$C,0)),""))))</f>
        <v>4422041</v>
      </c>
      <c r="H908" s="7" t="str">
        <f aca="false">IFERROR(INDEX('TRANS'!$C:$C,MATCH($B908,'TRANS'!$A:$A,0)),IFERROR(INDEX('Catalog'!$B:$B,MATCH($G908,'Catalog'!$A:$A,0)),$B908))</f>
        <v>SH422 5 תומך ברך גנושילד</v>
      </c>
      <c r="I908" s="7" t="str">
        <f aca="false">IF($G908="","Unmatched","Matched")</f>
        <v>Matched</v>
      </c>
      <c r="J908" s="7" t="n">
        <f aca="false">IF($G908&lt;&gt;"",$G908,$B908)</f>
        <v>4422041</v>
      </c>
      <c r="K908" s="7" t="str">
        <f aca="false">IF(COUNTIF($O$2:$O$16,$A908)&gt;0,"Y","N")</f>
        <v>Y</v>
      </c>
    </row>
    <row r="909" customFormat="false" ht="15" hidden="false" customHeight="false" outlineLevel="0" collapsed="false">
      <c r="A909" s="7" t="s">
        <v>37</v>
      </c>
      <c r="B909" s="7" t="s">
        <v>625</v>
      </c>
      <c r="C909" s="8" t="n">
        <v>0</v>
      </c>
      <c r="D909" s="8" t="n">
        <v>0</v>
      </c>
      <c r="E909" s="8" t="n">
        <v>4</v>
      </c>
      <c r="F909" s="8" t="n">
        <v>356.58</v>
      </c>
      <c r="G909" s="7" t="n">
        <f aca="false">IFERROR(INDEX('TRANS'!$B:$B,MATCH($B909,'TRANS'!$A:$A,0)),IFERROR(INDEX('TRANS'!$B:$B,MATCH(TRIM(SUBSTITUTE($B909,CHAR(160)," ")),'TRANS'!$D:$D,0)),IFERROR(INDEX('Catalog'!$A:$A,MATCH($B909,'Catalog'!$B:$B,0)),IFERROR(INDEX('Catalog'!$A:$A,MATCH(TRIM(SUBSTITUTE($B909,CHAR(160)," ")),'Catalog'!$C:$C,0)),""))))</f>
        <v>4422042</v>
      </c>
      <c r="H909" s="7" t="str">
        <f aca="false">IFERROR(INDEX('TRANS'!$C:$C,MATCH($B909,'TRANS'!$A:$A,0)),IFERROR(INDEX('Catalog'!$B:$B,MATCH($G909,'Catalog'!$A:$A,0)),$B909))</f>
        <v>SH422 6 תומך ברך גנושילד</v>
      </c>
      <c r="I909" s="7" t="str">
        <f aca="false">IF($G909="","Unmatched","Matched")</f>
        <v>Matched</v>
      </c>
      <c r="J909" s="7" t="n">
        <f aca="false">IF($G909&lt;&gt;"",$G909,$B909)</f>
        <v>4422042</v>
      </c>
      <c r="K909" s="7" t="str">
        <f aca="false">IF(COUNTIF($O$2:$O$16,$A909)&gt;0,"Y","N")</f>
        <v>Y</v>
      </c>
    </row>
    <row r="910" customFormat="false" ht="15" hidden="false" customHeight="false" outlineLevel="0" collapsed="false">
      <c r="A910" s="7" t="s">
        <v>37</v>
      </c>
      <c r="B910" s="7" t="s">
        <v>513</v>
      </c>
      <c r="C910" s="8" t="n">
        <v>0</v>
      </c>
      <c r="D910" s="8" t="n">
        <v>0</v>
      </c>
      <c r="E910" s="8" t="n">
        <v>25</v>
      </c>
      <c r="F910" s="8" t="n">
        <v>594.58</v>
      </c>
      <c r="G910" s="7" t="n">
        <f aca="false">IFERROR(INDEX('TRANS'!$B:$B,MATCH($B910,'TRANS'!$A:$A,0)),IFERROR(INDEX('TRANS'!$B:$B,MATCH(TRIM(SUBSTITUTE($B910,CHAR(160)," ")),'TRANS'!$D:$D,0)),IFERROR(INDEX('Catalog'!$A:$A,MATCH($B910,'Catalog'!$B:$B,0)),IFERROR(INDEX('Catalog'!$A:$A,MATCH(TRIM(SUBSTITUTE($B910,CHAR(160)," ")),'Catalog'!$C:$C,0)),""))))</f>
        <v>4408270</v>
      </c>
      <c r="H910" s="7" t="str">
        <f aca="false">IFERROR(INDEX('TRANS'!$C:$C,MATCH($B910,'TRANS'!$A:$A,0)),IFERROR(INDEX('Catalog'!$B:$B,MATCH($G910,'Catalog'!$A:$A,0)),$B910))</f>
        <v>ST11  חגורת בטן</v>
      </c>
      <c r="I910" s="7" t="str">
        <f aca="false">IF($G910="","Unmatched","Matched")</f>
        <v>Matched</v>
      </c>
      <c r="J910" s="7" t="n">
        <f aca="false">IF($G910&lt;&gt;"",$G910,$B910)</f>
        <v>4408270</v>
      </c>
      <c r="K910" s="7" t="str">
        <f aca="false">IF(COUNTIF($O$2:$O$16,$A910)&gt;0,"Y","N")</f>
        <v>Y</v>
      </c>
    </row>
    <row r="911" customFormat="false" ht="15" hidden="false" customHeight="false" outlineLevel="0" collapsed="false">
      <c r="A911" s="7" t="s">
        <v>37</v>
      </c>
      <c r="B911" s="7" t="s">
        <v>514</v>
      </c>
      <c r="C911" s="8" t="n">
        <v>80</v>
      </c>
      <c r="D911" s="8" t="n">
        <v>1162.19</v>
      </c>
      <c r="E911" s="8" t="n">
        <v>30</v>
      </c>
      <c r="F911" s="8" t="n">
        <v>374.21</v>
      </c>
      <c r="G911" s="7" t="n">
        <f aca="false">IFERROR(INDEX('TRANS'!$B:$B,MATCH($B911,'TRANS'!$A:$A,0)),IFERROR(INDEX('TRANS'!$B:$B,MATCH(TRIM(SUBSTITUTE($B911,CHAR(160)," ")),'TRANS'!$D:$D,0)),IFERROR(INDEX('Catalog'!$A:$A,MATCH($B911,'Catalog'!$B:$B,0)),IFERROR(INDEX('Catalog'!$A:$A,MATCH(TRIM(SUBSTITUTE($B911,CHAR(160)," ")),'Catalog'!$C:$C,0)),""))))</f>
        <v>4408267</v>
      </c>
      <c r="H911" s="7" t="str">
        <f aca="false">IFERROR(INDEX('TRANS'!$C:$C,MATCH($B911,'TRANS'!$A:$A,0)),IFERROR(INDEX('Catalog'!$B:$B,MATCH($G911,'Catalog'!$A:$A,0)),$B911))</f>
        <v>ST25 חבק שורש לכף היד</v>
      </c>
      <c r="I911" s="7" t="str">
        <f aca="false">IF($G911="","Unmatched","Matched")</f>
        <v>Matched</v>
      </c>
      <c r="J911" s="7" t="n">
        <f aca="false">IF($G911&lt;&gt;"",$G911,$B911)</f>
        <v>4408267</v>
      </c>
      <c r="K911" s="7" t="str">
        <f aca="false">IF(COUNTIF($O$2:$O$16,$A911)&gt;0,"Y","N")</f>
        <v>Y</v>
      </c>
    </row>
    <row r="912" customFormat="false" ht="15" hidden="false" customHeight="false" outlineLevel="0" collapsed="false">
      <c r="A912" s="7" t="s">
        <v>37</v>
      </c>
      <c r="B912" s="7" t="s">
        <v>77</v>
      </c>
      <c r="C912" s="8" t="n">
        <v>50</v>
      </c>
      <c r="D912" s="8" t="n">
        <v>924.82</v>
      </c>
      <c r="E912" s="8" t="n">
        <v>15</v>
      </c>
      <c r="F912" s="8" t="n">
        <v>237</v>
      </c>
      <c r="G912" s="7" t="str">
        <f aca="false">IFERROR(INDEX('TRANS'!$B:$B,MATCH($B912,'TRANS'!$A:$A,0)),IFERROR(INDEX('TRANS'!$B:$B,MATCH(TRIM(SUBSTITUTE($B912,CHAR(160)," ")),'TRANS'!$D:$D,0)),IFERROR(INDEX('Catalog'!$A:$A,MATCH($B912,'Catalog'!$B:$B,0)),IFERROR(INDEX('Catalog'!$A:$A,MATCH(TRIM(SUBSTITUTE($B912,CHAR(160)," ")),'Catalog'!$C:$C,0)),""))))</f>
        <v/>
      </c>
      <c r="H912" s="7" t="str">
        <f aca="false">IFERROR(INDEX('TRANS'!$C:$C,MATCH($B912,'TRANS'!$A:$A,0)),IFERROR(INDEX('Catalog'!$B:$B,MATCH($G912,'Catalog'!$A:$A,0)),$B912))</f>
        <v>ST27L 0</v>
      </c>
      <c r="I912" s="7" t="str">
        <f aca="false">IF($G912="","Unmatched","Matched")</f>
        <v>Unmatched</v>
      </c>
      <c r="J912" s="7" t="str">
        <f aca="false">IF($G912&lt;&gt;"",$G912,$B912)</f>
        <v>ST27L 0</v>
      </c>
      <c r="K912" s="7" t="str">
        <f aca="false">IF(COUNTIF($O$2:$O$16,$A912)&gt;0,"Y","N")</f>
        <v>Y</v>
      </c>
    </row>
    <row r="913" customFormat="false" ht="15" hidden="false" customHeight="false" outlineLevel="0" collapsed="false">
      <c r="A913" s="7" t="s">
        <v>37</v>
      </c>
      <c r="B913" s="7" t="s">
        <v>75</v>
      </c>
      <c r="C913" s="8" t="n">
        <v>60</v>
      </c>
      <c r="D913" s="8" t="n">
        <v>1104.08</v>
      </c>
      <c r="E913" s="8" t="n">
        <v>20</v>
      </c>
      <c r="F913" s="8" t="n">
        <v>316</v>
      </c>
      <c r="G913" s="7" t="str">
        <f aca="false">IFERROR(INDEX('TRANS'!$B:$B,MATCH($B913,'TRANS'!$A:$A,0)),IFERROR(INDEX('TRANS'!$B:$B,MATCH(TRIM(SUBSTITUTE($B913,CHAR(160)," ")),'TRANS'!$D:$D,0)),IFERROR(INDEX('Catalog'!$A:$A,MATCH($B913,'Catalog'!$B:$B,0)),IFERROR(INDEX('Catalog'!$A:$A,MATCH(TRIM(SUBSTITUTE($B913,CHAR(160)," ")),'Catalog'!$C:$C,0)),""))))</f>
        <v/>
      </c>
      <c r="H913" s="7" t="str">
        <f aca="false">IFERROR(INDEX('TRANS'!$C:$C,MATCH($B913,'TRANS'!$A:$A,0)),IFERROR(INDEX('Catalog'!$B:$B,MATCH($G913,'Catalog'!$A:$A,0)),$B913))</f>
        <v>ST27R 0</v>
      </c>
      <c r="I913" s="7" t="str">
        <f aca="false">IF($G913="","Unmatched","Matched")</f>
        <v>Unmatched</v>
      </c>
      <c r="J913" s="7" t="str">
        <f aca="false">IF($G913&lt;&gt;"",$G913,$B913)</f>
        <v>ST27R 0</v>
      </c>
      <c r="K913" s="7" t="str">
        <f aca="false">IF(COUNTIF($O$2:$O$16,$A913)&gt;0,"Y","N")</f>
        <v>Y</v>
      </c>
    </row>
    <row r="914" customFormat="false" ht="15" hidden="false" customHeight="false" outlineLevel="0" collapsed="false">
      <c r="A914" s="7" t="s">
        <v>37</v>
      </c>
      <c r="B914" s="7" t="s">
        <v>515</v>
      </c>
      <c r="C914" s="8" t="n">
        <v>50</v>
      </c>
      <c r="D914" s="8" t="n">
        <v>861.96</v>
      </c>
      <c r="E914" s="8" t="n">
        <v>25</v>
      </c>
      <c r="F914" s="8" t="n">
        <v>370.05</v>
      </c>
      <c r="G914" s="7" t="n">
        <f aca="false">IFERROR(INDEX('TRANS'!$B:$B,MATCH($B914,'TRANS'!$A:$A,0)),IFERROR(INDEX('TRANS'!$B:$B,MATCH(TRIM(SUBSTITUTE($B914,CHAR(160)," ")),'TRANS'!$D:$D,0)),IFERROR(INDEX('Catalog'!$A:$A,MATCH($B914,'Catalog'!$B:$B,0)),IFERROR(INDEX('Catalog'!$A:$A,MATCH(TRIM(SUBSTITUTE($B914,CHAR(160)," ")),'Catalog'!$C:$C,0)),""))))</f>
        <v>4415177</v>
      </c>
      <c r="H914" s="7" t="str">
        <f aca="false">IFERROR(INDEX('TRANS'!$C:$C,MATCH($B914,'TRANS'!$A:$A,0)),IFERROR(INDEX('Catalog'!$B:$B,MATCH($G914,'Catalog'!$A:$A,0)),$B914))</f>
        <v>ST28 סד אגודלי עם מוט תמיכה</v>
      </c>
      <c r="I914" s="7" t="str">
        <f aca="false">IF($G914="","Unmatched","Matched")</f>
        <v>Matched</v>
      </c>
      <c r="J914" s="7" t="n">
        <f aca="false">IF($G914&lt;&gt;"",$G914,$B914)</f>
        <v>4415177</v>
      </c>
      <c r="K914" s="7" t="str">
        <f aca="false">IF(COUNTIF($O$2:$O$16,$A914)&gt;0,"Y","N")</f>
        <v>Y</v>
      </c>
    </row>
    <row r="915" customFormat="false" ht="15" hidden="false" customHeight="false" outlineLevel="0" collapsed="false">
      <c r="A915" s="7" t="s">
        <v>37</v>
      </c>
      <c r="B915" s="7" t="s">
        <v>649</v>
      </c>
      <c r="C915" s="8" t="n">
        <v>60</v>
      </c>
      <c r="D915" s="8" t="n">
        <v>2271.41</v>
      </c>
      <c r="E915" s="8" t="n">
        <v>15</v>
      </c>
      <c r="F915" s="8" t="n">
        <v>493.96</v>
      </c>
      <c r="G915" s="7" t="n">
        <f aca="false">IFERROR(INDEX('TRANS'!$B:$B,MATCH($B915,'TRANS'!$A:$A,0)),IFERROR(INDEX('TRANS'!$B:$B,MATCH(TRIM(SUBSTITUTE($B915,CHAR(160)," ")),'TRANS'!$D:$D,0)),IFERROR(INDEX('Catalog'!$A:$A,MATCH($B915,'Catalog'!$B:$B,0)),IFERROR(INDEX('Catalog'!$A:$A,MATCH(TRIM(SUBSTITUTE($B915,CHAR(160)," ")),'Catalog'!$C:$C,0)),""))))</f>
        <v>4403035</v>
      </c>
      <c r="H915" s="7" t="str">
        <f aca="false">IFERROR(INDEX('TRANS'!$C:$C,MATCH($B915,'TRANS'!$A:$A,0)),IFERROR(INDEX('Catalog'!$B:$B,MATCH($G915,'Catalog'!$A:$A,0)),$B915))</f>
        <v>ST3555L-XLגרב לילה לטיפ.בדורבן</v>
      </c>
      <c r="I915" s="7" t="str">
        <f aca="false">IF($G915="","Unmatched","Matched")</f>
        <v>Matched</v>
      </c>
      <c r="J915" s="7" t="n">
        <f aca="false">IF($G915&lt;&gt;"",$G915,$B915)</f>
        <v>4403035</v>
      </c>
      <c r="K915" s="7" t="str">
        <f aca="false">IF(COUNTIF($O$2:$O$16,$A915)&gt;0,"Y","N")</f>
        <v>Y</v>
      </c>
    </row>
    <row r="916" customFormat="false" ht="15" hidden="false" customHeight="false" outlineLevel="0" collapsed="false">
      <c r="A916" s="7" t="s">
        <v>37</v>
      </c>
      <c r="B916" s="7" t="s">
        <v>650</v>
      </c>
      <c r="C916" s="8" t="n">
        <v>70</v>
      </c>
      <c r="D916" s="8" t="n">
        <v>2654.93</v>
      </c>
      <c r="E916" s="8" t="n">
        <v>40</v>
      </c>
      <c r="F916" s="8" t="n">
        <v>1317.21</v>
      </c>
      <c r="G916" s="7" t="n">
        <f aca="false">IFERROR(INDEX('TRANS'!$B:$B,MATCH($B916,'TRANS'!$A:$A,0)),IFERROR(INDEX('TRANS'!$B:$B,MATCH(TRIM(SUBSTITUTE($B916,CHAR(160)," ")),'TRANS'!$D:$D,0)),IFERROR(INDEX('Catalog'!$A:$A,MATCH($B916,'Catalog'!$B:$B,0)),IFERROR(INDEX('Catalog'!$A:$A,MATCH(TRIM(SUBSTITUTE($B916,CHAR(160)," ")),'Catalog'!$C:$C,0)),""))))</f>
        <v>4403034</v>
      </c>
      <c r="H916" s="7" t="str">
        <f aca="false">IFERROR(INDEX('TRANS'!$C:$C,MATCH($B916,'TRANS'!$A:$A,0)),IFERROR(INDEX('Catalog'!$B:$B,MATCH($G916,'Catalog'!$A:$A,0)),$B916))</f>
        <v>ST3555 S-Mגרב לילה לטיפ.בדורבן</v>
      </c>
      <c r="I916" s="7" t="str">
        <f aca="false">IF($G916="","Unmatched","Matched")</f>
        <v>Matched</v>
      </c>
      <c r="J916" s="7" t="n">
        <f aca="false">IF($G916&lt;&gt;"",$G916,$B916)</f>
        <v>4403034</v>
      </c>
      <c r="K916" s="7" t="str">
        <f aca="false">IF(COUNTIF($O$2:$O$16,$A916)&gt;0,"Y","N")</f>
        <v>Y</v>
      </c>
    </row>
    <row r="917" customFormat="false" ht="15" hidden="false" customHeight="false" outlineLevel="0" collapsed="false">
      <c r="A917" s="7" t="s">
        <v>37</v>
      </c>
      <c r="B917" s="7" t="s">
        <v>516</v>
      </c>
      <c r="C917" s="8" t="n">
        <v>20</v>
      </c>
      <c r="D917" s="8" t="n">
        <v>340.91</v>
      </c>
      <c r="E917" s="8" t="n">
        <v>20</v>
      </c>
      <c r="F917" s="8" t="n">
        <v>292.71</v>
      </c>
      <c r="G917" s="7" t="n">
        <f aca="false">IFERROR(INDEX('TRANS'!$B:$B,MATCH($B917,'TRANS'!$A:$A,0)),IFERROR(INDEX('TRANS'!$B:$B,MATCH(TRIM(SUBSTITUTE($B917,CHAR(160)," ")),'TRANS'!$D:$D,0)),IFERROR(INDEX('Catalog'!$A:$A,MATCH($B917,'Catalog'!$B:$B,0)),IFERROR(INDEX('Catalog'!$A:$A,MATCH(TRIM(SUBSTITUTE($B917,CHAR(160)," ")),'Catalog'!$C:$C,0)),""))))</f>
        <v>4408269</v>
      </c>
      <c r="H917" s="7" t="str">
        <f aca="false">IFERROR(INDEX('TRANS'!$C:$C,MATCH($B917,'TRANS'!$A:$A,0)),IFERROR(INDEX('Catalog'!$B:$B,MATCH($G917,'Catalog'!$A:$A,0)),$B917))</f>
        <v>ST37 חבק לקרסול</v>
      </c>
      <c r="I917" s="7" t="str">
        <f aca="false">IF($G917="","Unmatched","Matched")</f>
        <v>Matched</v>
      </c>
      <c r="J917" s="7" t="n">
        <f aca="false">IF($G917&lt;&gt;"",$G917,$B917)</f>
        <v>4408269</v>
      </c>
      <c r="K917" s="7" t="str">
        <f aca="false">IF(COUNTIF($O$2:$O$16,$A917)&gt;0,"Y","N")</f>
        <v>Y</v>
      </c>
    </row>
    <row r="918" customFormat="false" ht="15" hidden="false" customHeight="false" outlineLevel="0" collapsed="false">
      <c r="A918" s="7" t="s">
        <v>37</v>
      </c>
      <c r="B918" s="7" t="s">
        <v>651</v>
      </c>
      <c r="C918" s="8" t="n">
        <v>20</v>
      </c>
      <c r="D918" s="8" t="n">
        <v>1411.44</v>
      </c>
      <c r="E918" s="8" t="n">
        <v>30</v>
      </c>
      <c r="F918" s="8" t="n">
        <v>1866.05</v>
      </c>
      <c r="G918" s="7" t="n">
        <f aca="false">IFERROR(INDEX('TRANS'!$B:$B,MATCH($B918,'TRANS'!$A:$A,0)),IFERROR(INDEX('TRANS'!$B:$B,MATCH(TRIM(SUBSTITUTE($B918,CHAR(160)," ")),'TRANS'!$D:$D,0)),IFERROR(INDEX('Catalog'!$A:$A,MATCH($B918,'Catalog'!$B:$B,0)),IFERROR(INDEX('Catalog'!$A:$A,MATCH(TRIM(SUBSTITUTE($B918,CHAR(160)," ")),'Catalog'!$C:$C,0)),""))))</f>
        <v>4413532</v>
      </c>
      <c r="H918" s="7" t="str">
        <f aca="false">IFERROR(INDEX('TRANS'!$C:$C,MATCH($B918,'TRANS'!$A:$A,0)),IFERROR(INDEX('Catalog'!$B:$B,MATCH($G918,'Catalog'!$A:$A,0)),$B918))</f>
        <v>ST433 H מגן ברך עם ציר</v>
      </c>
      <c r="I918" s="7" t="str">
        <f aca="false">IF($G918="","Unmatched","Matched")</f>
        <v>Matched</v>
      </c>
      <c r="J918" s="7" t="n">
        <f aca="false">IF($G918&lt;&gt;"",$G918,$B918)</f>
        <v>4413532</v>
      </c>
      <c r="K918" s="7" t="str">
        <f aca="false">IF(COUNTIF($O$2:$O$16,$A918)&gt;0,"Y","N")</f>
        <v>Y</v>
      </c>
    </row>
    <row r="919" customFormat="false" ht="15" hidden="false" customHeight="false" outlineLevel="0" collapsed="false">
      <c r="A919" s="7" t="s">
        <v>37</v>
      </c>
      <c r="B919" s="7" t="s">
        <v>59</v>
      </c>
      <c r="C919" s="8" t="n">
        <v>105</v>
      </c>
      <c r="D919" s="8" t="n">
        <v>2010.3</v>
      </c>
      <c r="E919" s="8" t="n">
        <v>60</v>
      </c>
      <c r="F919" s="8" t="n">
        <v>977.93</v>
      </c>
      <c r="G919" s="7" t="str">
        <f aca="false">IFERROR(INDEX('TRANS'!$B:$B,MATCH($B919,'TRANS'!$A:$A,0)),IFERROR(INDEX('TRANS'!$B:$B,MATCH(TRIM(SUBSTITUTE($B919,CHAR(160)," ")),'TRANS'!$D:$D,0)),IFERROR(INDEX('Catalog'!$A:$A,MATCH($B919,'Catalog'!$B:$B,0)),IFERROR(INDEX('Catalog'!$A:$A,MATCH(TRIM(SUBSTITUTE($B919,CHAR(160)," ")),'Catalog'!$C:$C,0)),""))))</f>
        <v/>
      </c>
      <c r="H919" s="7" t="str">
        <f aca="false">IFERROR(INDEX('TRANS'!$C:$C,MATCH($B919,'TRANS'!$A:$A,0)),IFERROR(INDEX('Catalog'!$B:$B,MATCH($G919,'Catalog'!$A:$A,0)),$B919))</f>
        <v>ST45X 0</v>
      </c>
      <c r="I919" s="7" t="str">
        <f aca="false">IF($G919="","Unmatched","Matched")</f>
        <v>Unmatched</v>
      </c>
      <c r="J919" s="7" t="str">
        <f aca="false">IF($G919&lt;&gt;"",$G919,$B919)</f>
        <v>ST45X 0</v>
      </c>
      <c r="K919" s="7" t="str">
        <f aca="false">IF(COUNTIF($O$2:$O$16,$A919)&gt;0,"Y","N")</f>
        <v>Y</v>
      </c>
    </row>
    <row r="920" customFormat="false" ht="15" hidden="false" customHeight="false" outlineLevel="0" collapsed="false">
      <c r="A920" s="7" t="s">
        <v>37</v>
      </c>
      <c r="B920" s="7" t="s">
        <v>517</v>
      </c>
      <c r="C920" s="8" t="n">
        <v>4</v>
      </c>
      <c r="D920" s="8" t="n">
        <v>70.95</v>
      </c>
      <c r="E920" s="8" t="n">
        <v>6</v>
      </c>
      <c r="F920" s="8" t="n">
        <v>93.8</v>
      </c>
      <c r="G920" s="7" t="n">
        <f aca="false">IFERROR(INDEX('TRANS'!$B:$B,MATCH($B920,'TRANS'!$A:$A,0)),IFERROR(INDEX('TRANS'!$B:$B,MATCH(TRIM(SUBSTITUTE($B920,CHAR(160)," ")),'TRANS'!$D:$D,0)),IFERROR(INDEX('Catalog'!$A:$A,MATCH($B920,'Catalog'!$B:$B,0)),IFERROR(INDEX('Catalog'!$A:$A,MATCH(TRIM(SUBSTITUTE($B920,CHAR(160)," ")),'Catalog'!$C:$C,0)),""))))</f>
        <v>4413533</v>
      </c>
      <c r="H920" s="7" t="str">
        <f aca="false">IFERROR(INDEX('TRANS'!$C:$C,MATCH($B920,'TRANS'!$A:$A,0)),IFERROR(INDEX('Catalog'!$B:$B,MATCH($G920,'Catalog'!$A:$A,0)),$B920))</f>
        <v>ST49 מגן ירך</v>
      </c>
      <c r="I920" s="7" t="str">
        <f aca="false">IF($G920="","Unmatched","Matched")</f>
        <v>Matched</v>
      </c>
      <c r="J920" s="7" t="n">
        <f aca="false">IF($G920&lt;&gt;"",$G920,$B920)</f>
        <v>4413533</v>
      </c>
      <c r="K920" s="7" t="str">
        <f aca="false">IF(COUNTIF($O$2:$O$16,$A920)&gt;0,"Y","N")</f>
        <v>Y</v>
      </c>
    </row>
    <row r="921" customFormat="false" ht="15" hidden="false" customHeight="false" outlineLevel="0" collapsed="false">
      <c r="A921" s="7" t="s">
        <v>37</v>
      </c>
      <c r="B921" s="7" t="s">
        <v>71</v>
      </c>
      <c r="C921" s="8" t="n">
        <v>30</v>
      </c>
      <c r="D921" s="8" t="n">
        <v>621.26</v>
      </c>
      <c r="E921" s="8" t="n">
        <v>10</v>
      </c>
      <c r="F921" s="8" t="n">
        <v>176.29</v>
      </c>
      <c r="G921" s="7" t="str">
        <f aca="false">IFERROR(INDEX('TRANS'!$B:$B,MATCH($B921,'TRANS'!$A:$A,0)),IFERROR(INDEX('TRANS'!$B:$B,MATCH(TRIM(SUBSTITUTE($B921,CHAR(160)," ")),'TRANS'!$D:$D,0)),IFERROR(INDEX('Catalog'!$A:$A,MATCH($B921,'Catalog'!$B:$B,0)),IFERROR(INDEX('Catalog'!$A:$A,MATCH(TRIM(SUBSTITUTE($B921,CHAR(160)," ")),'Catalog'!$C:$C,0)),""))))</f>
        <v/>
      </c>
      <c r="H921" s="7" t="str">
        <f aca="false">IFERROR(INDEX('TRANS'!$C:$C,MATCH($B921,'TRANS'!$A:$A,0)),IFERROR(INDEX('Catalog'!$B:$B,MATCH($G921,'Catalog'!$A:$A,0)),$B921))</f>
        <v>ST95 0</v>
      </c>
      <c r="I921" s="7" t="str">
        <f aca="false">IF($G921="","Unmatched","Matched")</f>
        <v>Unmatched</v>
      </c>
      <c r="J921" s="7" t="str">
        <f aca="false">IF($G921&lt;&gt;"",$G921,$B921)</f>
        <v>ST95 0</v>
      </c>
      <c r="K921" s="7" t="str">
        <f aca="false">IF(COUNTIF($O$2:$O$16,$A921)&gt;0,"Y","N")</f>
        <v>Y</v>
      </c>
    </row>
    <row r="922" customFormat="false" ht="15" hidden="false" customHeight="false" outlineLevel="0" collapsed="false">
      <c r="A922" s="7" t="s">
        <v>37</v>
      </c>
      <c r="B922" s="7" t="s">
        <v>140</v>
      </c>
      <c r="C922" s="8" t="n">
        <v>6</v>
      </c>
      <c r="D922" s="8" t="n">
        <v>296.36</v>
      </c>
      <c r="E922" s="8" t="n">
        <v>5</v>
      </c>
      <c r="F922" s="8" t="n">
        <v>212.05</v>
      </c>
      <c r="G922" s="7" t="str">
        <f aca="false">IFERROR(INDEX('TRANS'!$B:$B,MATCH($B922,'TRANS'!$A:$A,0)),IFERROR(INDEX('TRANS'!$B:$B,MATCH(TRIM(SUBSTITUTE($B922,CHAR(160)," ")),'TRANS'!$D:$D,0)),IFERROR(INDEX('Catalog'!$A:$A,MATCH($B922,'Catalog'!$B:$B,0)),IFERROR(INDEX('Catalog'!$A:$A,MATCH(TRIM(SUBSTITUTE($B922,CHAR(160)," ")),'Catalog'!$C:$C,0)),""))))</f>
        <v/>
      </c>
      <c r="H922" s="7" t="str">
        <f aca="false">IFERROR(INDEX('TRANS'!$C:$C,MATCH($B922,'TRANS'!$A:$A,0)),IFERROR(INDEX('Catalog'!$B:$B,MATCH($G922,'Catalog'!$A:$A,0)),$B922))</f>
        <v>T03 L</v>
      </c>
      <c r="I922" s="7" t="str">
        <f aca="false">IF($G922="","Unmatched","Matched")</f>
        <v>Unmatched</v>
      </c>
      <c r="J922" s="7" t="str">
        <f aca="false">IF($G922&lt;&gt;"",$G922,$B922)</f>
        <v>T03 L</v>
      </c>
      <c r="K922" s="7" t="str">
        <f aca="false">IF(COUNTIF($O$2:$O$16,$A922)&gt;0,"Y","N")</f>
        <v>Y</v>
      </c>
    </row>
    <row r="923" customFormat="false" ht="15" hidden="false" customHeight="false" outlineLevel="0" collapsed="false">
      <c r="A923" s="7" t="s">
        <v>37</v>
      </c>
      <c r="B923" s="7" t="s">
        <v>141</v>
      </c>
      <c r="C923" s="8" t="n">
        <v>5</v>
      </c>
      <c r="D923" s="8" t="n">
        <v>245.69</v>
      </c>
      <c r="E923" s="8" t="n">
        <v>5</v>
      </c>
      <c r="F923" s="8" t="n">
        <v>212.05</v>
      </c>
      <c r="G923" s="7" t="str">
        <f aca="false">IFERROR(INDEX('TRANS'!$B:$B,MATCH($B923,'TRANS'!$A:$A,0)),IFERROR(INDEX('TRANS'!$B:$B,MATCH(TRIM(SUBSTITUTE($B923,CHAR(160)," ")),'TRANS'!$D:$D,0)),IFERROR(INDEX('Catalog'!$A:$A,MATCH($B923,'Catalog'!$B:$B,0)),IFERROR(INDEX('Catalog'!$A:$A,MATCH(TRIM(SUBSTITUTE($B923,CHAR(160)," ")),'Catalog'!$C:$C,0)),""))))</f>
        <v/>
      </c>
      <c r="H923" s="7" t="str">
        <f aca="false">IFERROR(INDEX('TRANS'!$C:$C,MATCH($B923,'TRANS'!$A:$A,0)),IFERROR(INDEX('Catalog'!$B:$B,MATCH($G923,'Catalog'!$A:$A,0)),$B923))</f>
        <v>T03 M</v>
      </c>
      <c r="I923" s="7" t="str">
        <f aca="false">IF($G923="","Unmatched","Matched")</f>
        <v>Unmatched</v>
      </c>
      <c r="J923" s="7" t="str">
        <f aca="false">IF($G923&lt;&gt;"",$G923,$B923)</f>
        <v>T03 M</v>
      </c>
      <c r="K923" s="7" t="str">
        <f aca="false">IF(COUNTIF($O$2:$O$16,$A923)&gt;0,"Y","N")</f>
        <v>Y</v>
      </c>
    </row>
    <row r="924" customFormat="false" ht="15" hidden="false" customHeight="false" outlineLevel="0" collapsed="false">
      <c r="A924" s="7" t="s">
        <v>37</v>
      </c>
      <c r="B924" s="7" t="s">
        <v>169</v>
      </c>
      <c r="C924" s="8" t="n">
        <v>0</v>
      </c>
      <c r="D924" s="8" t="n">
        <v>0</v>
      </c>
      <c r="E924" s="8" t="n">
        <v>2</v>
      </c>
      <c r="F924" s="8" t="n">
        <v>84.82</v>
      </c>
      <c r="G924" s="7" t="str">
        <f aca="false">IFERROR(INDEX('TRANS'!$B:$B,MATCH($B924,'TRANS'!$A:$A,0)),IFERROR(INDEX('TRANS'!$B:$B,MATCH(TRIM(SUBSTITUTE($B924,CHAR(160)," ")),'TRANS'!$D:$D,0)),IFERROR(INDEX('Catalog'!$A:$A,MATCH($B924,'Catalog'!$B:$B,0)),IFERROR(INDEX('Catalog'!$A:$A,MATCH(TRIM(SUBSTITUTE($B924,CHAR(160)," ")),'Catalog'!$C:$C,0)),""))))</f>
        <v/>
      </c>
      <c r="H924" s="7" t="str">
        <f aca="false">IFERROR(INDEX('TRANS'!$C:$C,MATCH($B924,'TRANS'!$A:$A,0)),IFERROR(INDEX('Catalog'!$B:$B,MATCH($G924,'Catalog'!$A:$A,0)),$B924))</f>
        <v>T03 S</v>
      </c>
      <c r="I924" s="7" t="str">
        <f aca="false">IF($G924="","Unmatched","Matched")</f>
        <v>Unmatched</v>
      </c>
      <c r="J924" s="7" t="str">
        <f aca="false">IF($G924&lt;&gt;"",$G924,$B924)</f>
        <v>T03 S</v>
      </c>
      <c r="K924" s="7" t="str">
        <f aca="false">IF(COUNTIF($O$2:$O$16,$A924)&gt;0,"Y","N")</f>
        <v>Y</v>
      </c>
    </row>
    <row r="925" customFormat="false" ht="15" hidden="false" customHeight="false" outlineLevel="0" collapsed="false">
      <c r="A925" s="7" t="s">
        <v>37</v>
      </c>
      <c r="B925" s="7" t="s">
        <v>142</v>
      </c>
      <c r="C925" s="8" t="n">
        <v>0</v>
      </c>
      <c r="D925" s="8" t="n">
        <v>0</v>
      </c>
      <c r="E925" s="8" t="n">
        <v>5</v>
      </c>
      <c r="F925" s="8" t="n">
        <v>212.05</v>
      </c>
      <c r="G925" s="7" t="str">
        <f aca="false">IFERROR(INDEX('TRANS'!$B:$B,MATCH($B925,'TRANS'!$A:$A,0)),IFERROR(INDEX('TRANS'!$B:$B,MATCH(TRIM(SUBSTITUTE($B925,CHAR(160)," ")),'TRANS'!$D:$D,0)),IFERROR(INDEX('Catalog'!$A:$A,MATCH($B925,'Catalog'!$B:$B,0)),IFERROR(INDEX('Catalog'!$A:$A,MATCH(TRIM(SUBSTITUTE($B925,CHAR(160)," ")),'Catalog'!$C:$C,0)),""))))</f>
        <v/>
      </c>
      <c r="H925" s="7" t="str">
        <f aca="false">IFERROR(INDEX('TRANS'!$C:$C,MATCH($B925,'TRANS'!$A:$A,0)),IFERROR(INDEX('Catalog'!$B:$B,MATCH($G925,'Catalog'!$A:$A,0)),$B925))</f>
        <v>T03 XL</v>
      </c>
      <c r="I925" s="7" t="str">
        <f aca="false">IF($G925="","Unmatched","Matched")</f>
        <v>Unmatched</v>
      </c>
      <c r="J925" s="7" t="str">
        <f aca="false">IF($G925&lt;&gt;"",$G925,$B925)</f>
        <v>T03 XL</v>
      </c>
      <c r="K925" s="7" t="str">
        <f aca="false">IF(COUNTIF($O$2:$O$16,$A925)&gt;0,"Y","N")</f>
        <v>Y</v>
      </c>
    </row>
    <row r="926" customFormat="false" ht="15" hidden="false" customHeight="false" outlineLevel="0" collapsed="false">
      <c r="A926" s="7" t="s">
        <v>37</v>
      </c>
      <c r="B926" s="7" t="s">
        <v>143</v>
      </c>
      <c r="C926" s="8" t="n">
        <v>0</v>
      </c>
      <c r="D926" s="8" t="n">
        <v>0</v>
      </c>
      <c r="E926" s="8" t="n">
        <v>5</v>
      </c>
      <c r="F926" s="8" t="n">
        <v>212.05</v>
      </c>
      <c r="G926" s="7" t="str">
        <f aca="false">IFERROR(INDEX('TRANS'!$B:$B,MATCH($B926,'TRANS'!$A:$A,0)),IFERROR(INDEX('TRANS'!$B:$B,MATCH(TRIM(SUBSTITUTE($B926,CHAR(160)," ")),'TRANS'!$D:$D,0)),IFERROR(INDEX('Catalog'!$A:$A,MATCH($B926,'Catalog'!$B:$B,0)),IFERROR(INDEX('Catalog'!$A:$A,MATCH(TRIM(SUBSTITUTE($B926,CHAR(160)," ")),'Catalog'!$C:$C,0)),""))))</f>
        <v/>
      </c>
      <c r="H926" s="7" t="str">
        <f aca="false">IFERROR(INDEX('TRANS'!$C:$C,MATCH($B926,'TRANS'!$A:$A,0)),IFERROR(INDEX('Catalog'!$B:$B,MATCH($G926,'Catalog'!$A:$A,0)),$B926))</f>
        <v>T03 XXL</v>
      </c>
      <c r="I926" s="7" t="str">
        <f aca="false">IF($G926="","Unmatched","Matched")</f>
        <v>Unmatched</v>
      </c>
      <c r="J926" s="7" t="str">
        <f aca="false">IF($G926&lt;&gt;"",$G926,$B926)</f>
        <v>T03 XXL</v>
      </c>
      <c r="K926" s="7" t="str">
        <f aca="false">IF(COUNTIF($O$2:$O$16,$A926)&gt;0,"Y","N")</f>
        <v>Y</v>
      </c>
    </row>
    <row r="927" customFormat="false" ht="15" hidden="false" customHeight="false" outlineLevel="0" collapsed="false">
      <c r="A927" s="7" t="s">
        <v>37</v>
      </c>
      <c r="B927" s="7" t="s">
        <v>156</v>
      </c>
      <c r="C927" s="8" t="n">
        <v>0</v>
      </c>
      <c r="D927" s="8" t="n">
        <v>0</v>
      </c>
      <c r="E927" s="8" t="n">
        <v>3</v>
      </c>
      <c r="F927" s="8" t="n">
        <v>109.27</v>
      </c>
      <c r="G927" s="7" t="str">
        <f aca="false">IFERROR(INDEX('TRANS'!$B:$B,MATCH($B927,'TRANS'!$A:$A,0)),IFERROR(INDEX('TRANS'!$B:$B,MATCH(TRIM(SUBSTITUTE($B927,CHAR(160)," ")),'TRANS'!$D:$D,0)),IFERROR(INDEX('Catalog'!$A:$A,MATCH($B927,'Catalog'!$B:$B,0)),IFERROR(INDEX('Catalog'!$A:$A,MATCH(TRIM(SUBSTITUTE($B927,CHAR(160)," ")),'Catalog'!$C:$C,0)),""))))</f>
        <v/>
      </c>
      <c r="H927" s="7" t="str">
        <f aca="false">IFERROR(INDEX('TRANS'!$C:$C,MATCH($B927,'TRANS'!$A:$A,0)),IFERROR(INDEX('Catalog'!$B:$B,MATCH($G927,'Catalog'!$A:$A,0)),$B927))</f>
        <v>T402 XL</v>
      </c>
      <c r="I927" s="7" t="str">
        <f aca="false">IF($G927="","Unmatched","Matched")</f>
        <v>Unmatched</v>
      </c>
      <c r="J927" s="7" t="str">
        <f aca="false">IF($G927&lt;&gt;"",$G927,$B927)</f>
        <v>T402 XL</v>
      </c>
      <c r="K927" s="7" t="str">
        <f aca="false">IF(COUNTIF($O$2:$O$16,$A927)&gt;0,"Y","N")</f>
        <v>Y</v>
      </c>
    </row>
    <row r="928" customFormat="false" ht="15" hidden="false" customHeight="false" outlineLevel="0" collapsed="false">
      <c r="A928" s="7" t="s">
        <v>37</v>
      </c>
      <c r="B928" s="7" t="s">
        <v>157</v>
      </c>
      <c r="C928" s="8" t="n">
        <v>0</v>
      </c>
      <c r="D928" s="8" t="n">
        <v>0</v>
      </c>
      <c r="E928" s="8" t="n">
        <v>3</v>
      </c>
      <c r="F928" s="8" t="n">
        <v>109.27</v>
      </c>
      <c r="G928" s="7" t="str">
        <f aca="false">IFERROR(INDEX('TRANS'!$B:$B,MATCH($B928,'TRANS'!$A:$A,0)),IFERROR(INDEX('TRANS'!$B:$B,MATCH(TRIM(SUBSTITUTE($B928,CHAR(160)," ")),'TRANS'!$D:$D,0)),IFERROR(INDEX('Catalog'!$A:$A,MATCH($B928,'Catalog'!$B:$B,0)),IFERROR(INDEX('Catalog'!$A:$A,MATCH(TRIM(SUBSTITUTE($B928,CHAR(160)," ")),'Catalog'!$C:$C,0)),""))))</f>
        <v/>
      </c>
      <c r="H928" s="7" t="str">
        <f aca="false">IFERROR(INDEX('TRANS'!$C:$C,MATCH($B928,'TRANS'!$A:$A,0)),IFERROR(INDEX('Catalog'!$B:$B,MATCH($G928,'Catalog'!$A:$A,0)),$B928))</f>
        <v>T402 XXL</v>
      </c>
      <c r="I928" s="7" t="str">
        <f aca="false">IF($G928="","Unmatched","Matched")</f>
        <v>Unmatched</v>
      </c>
      <c r="J928" s="7" t="str">
        <f aca="false">IF($G928&lt;&gt;"",$G928,$B928)</f>
        <v>T402 XXL</v>
      </c>
      <c r="K928" s="7" t="str">
        <f aca="false">IF(COUNTIF($O$2:$O$16,$A928)&gt;0,"Y","N")</f>
        <v>Y</v>
      </c>
    </row>
    <row r="929" customFormat="false" ht="15" hidden="false" customHeight="false" outlineLevel="0" collapsed="false">
      <c r="A929" s="7" t="s">
        <v>37</v>
      </c>
      <c r="B929" s="7" t="s">
        <v>158</v>
      </c>
      <c r="C929" s="8" t="n">
        <v>0</v>
      </c>
      <c r="D929" s="8" t="n">
        <v>0</v>
      </c>
      <c r="E929" s="8" t="n">
        <v>3</v>
      </c>
      <c r="F929" s="8" t="n">
        <v>299.37</v>
      </c>
      <c r="G929" s="7" t="str">
        <f aca="false">IFERROR(INDEX('TRANS'!$B:$B,MATCH($B929,'TRANS'!$A:$A,0)),IFERROR(INDEX('TRANS'!$B:$B,MATCH(TRIM(SUBSTITUTE($B929,CHAR(160)," ")),'TRANS'!$D:$D,0)),IFERROR(INDEX('Catalog'!$A:$A,MATCH($B929,'Catalog'!$B:$B,0)),IFERROR(INDEX('Catalog'!$A:$A,MATCH(TRIM(SUBSTITUTE($B929,CHAR(160)," ")),'Catalog'!$C:$C,0)),""))))</f>
        <v/>
      </c>
      <c r="H929" s="7" t="str">
        <f aca="false">IFERROR(INDEX('TRANS'!$C:$C,MATCH($B929,'TRANS'!$A:$A,0)),IFERROR(INDEX('Catalog'!$B:$B,MATCH($G929,'Catalog'!$A:$A,0)),$B929))</f>
        <v>T43F XXL</v>
      </c>
      <c r="I929" s="7" t="str">
        <f aca="false">IF($G929="","Unmatched","Matched")</f>
        <v>Unmatched</v>
      </c>
      <c r="J929" s="7" t="str">
        <f aca="false">IF($G929&lt;&gt;"",$G929,$B929)</f>
        <v>T43F XXL</v>
      </c>
      <c r="K929" s="7" t="str">
        <f aca="false">IF(COUNTIF($O$2:$O$16,$A929)&gt;0,"Y","N")</f>
        <v>Y</v>
      </c>
    </row>
    <row r="930" customFormat="false" ht="15" hidden="false" customHeight="false" outlineLevel="0" collapsed="false">
      <c r="A930" s="7" t="s">
        <v>37</v>
      </c>
      <c r="B930" s="7" t="s">
        <v>520</v>
      </c>
      <c r="C930" s="8" t="n">
        <v>4</v>
      </c>
      <c r="D930" s="8" t="n">
        <v>321.1</v>
      </c>
      <c r="E930" s="8" t="n">
        <v>6</v>
      </c>
      <c r="F930" s="8" t="n">
        <v>403.15</v>
      </c>
      <c r="G930" s="7" t="n">
        <f aca="false">IFERROR(INDEX('TRANS'!$B:$B,MATCH($B930,'TRANS'!$A:$A,0)),IFERROR(INDEX('TRANS'!$B:$B,MATCH(TRIM(SUBSTITUTE($B930,CHAR(160)," ")),'TRANS'!$D:$D,0)),IFERROR(INDEX('Catalog'!$A:$A,MATCH($B930,'Catalog'!$B:$B,0)),IFERROR(INDEX('Catalog'!$A:$A,MATCH(TRIM(SUBSTITUTE($B930,CHAR(160)," ")),'Catalog'!$C:$C,0)),""))))</f>
        <v>4422006</v>
      </c>
      <c r="H930" s="7" t="str">
        <f aca="false">IFERROR(INDEX('TRANS'!$C:$C,MATCH($B930,'TRANS'!$A:$A,0)),IFERROR(INDEX('Catalog'!$B:$B,MATCH($G930,'Catalog'!$A:$A,0)),$B930))</f>
        <v>T78 L תומך זרוע וכתף</v>
      </c>
      <c r="I930" s="7" t="str">
        <f aca="false">IF($G930="","Unmatched","Matched")</f>
        <v>Matched</v>
      </c>
      <c r="J930" s="7" t="n">
        <f aca="false">IF($G930&lt;&gt;"",$G930,$B930)</f>
        <v>4422006</v>
      </c>
      <c r="K930" s="7" t="str">
        <f aca="false">IF(COUNTIF($O$2:$O$16,$A930)&gt;0,"Y","N")</f>
        <v>Y</v>
      </c>
    </row>
    <row r="931" customFormat="false" ht="15" hidden="false" customHeight="false" outlineLevel="0" collapsed="false">
      <c r="A931" s="7" t="s">
        <v>37</v>
      </c>
      <c r="B931" s="7" t="s">
        <v>521</v>
      </c>
      <c r="C931" s="8" t="n">
        <v>2</v>
      </c>
      <c r="D931" s="8" t="n">
        <v>152.47</v>
      </c>
      <c r="E931" s="8" t="n">
        <v>3</v>
      </c>
      <c r="F931" s="8" t="n">
        <v>201.57</v>
      </c>
      <c r="G931" s="7" t="n">
        <f aca="false">IFERROR(INDEX('TRANS'!$B:$B,MATCH($B931,'TRANS'!$A:$A,0)),IFERROR(INDEX('TRANS'!$B:$B,MATCH(TRIM(SUBSTITUTE($B931,CHAR(160)," ")),'TRANS'!$D:$D,0)),IFERROR(INDEX('Catalog'!$A:$A,MATCH($B931,'Catalog'!$B:$B,0)),IFERROR(INDEX('Catalog'!$A:$A,MATCH(TRIM(SUBSTITUTE($B931,CHAR(160)," ")),'Catalog'!$C:$C,0)),""))))</f>
        <v>4422005</v>
      </c>
      <c r="H931" s="7" t="str">
        <f aca="false">IFERROR(INDEX('TRANS'!$C:$C,MATCH($B931,'TRANS'!$A:$A,0)),IFERROR(INDEX('Catalog'!$B:$B,MATCH($G931,'Catalog'!$A:$A,0)),$B931))</f>
        <v>T78 M תומך זרוע וכתף</v>
      </c>
      <c r="I931" s="7" t="str">
        <f aca="false">IF($G931="","Unmatched","Matched")</f>
        <v>Matched</v>
      </c>
      <c r="J931" s="7" t="n">
        <f aca="false">IF($G931&lt;&gt;"",$G931,$B931)</f>
        <v>4422005</v>
      </c>
      <c r="K931" s="7" t="str">
        <f aca="false">IF(COUNTIF($O$2:$O$16,$A931)&gt;0,"Y","N")</f>
        <v>Y</v>
      </c>
    </row>
    <row r="932" customFormat="false" ht="15" hidden="false" customHeight="false" outlineLevel="0" collapsed="false">
      <c r="A932" s="7" t="s">
        <v>37</v>
      </c>
      <c r="B932" s="7" t="s">
        <v>652</v>
      </c>
      <c r="C932" s="8" t="n">
        <v>2</v>
      </c>
      <c r="D932" s="8" t="n">
        <v>160.55</v>
      </c>
      <c r="E932" s="8" t="n">
        <v>3</v>
      </c>
      <c r="F932" s="8" t="n">
        <v>201.57</v>
      </c>
      <c r="G932" s="7" t="n">
        <f aca="false">IFERROR(INDEX('TRANS'!$B:$B,MATCH($B932,'TRANS'!$A:$A,0)),IFERROR(INDEX('TRANS'!$B:$B,MATCH(TRIM(SUBSTITUTE($B932,CHAR(160)," ")),'TRANS'!$D:$D,0)),IFERROR(INDEX('Catalog'!$A:$A,MATCH($B932,'Catalog'!$B:$B,0)),IFERROR(INDEX('Catalog'!$A:$A,MATCH(TRIM(SUBSTITUTE($B932,CHAR(160)," ")),'Catalog'!$C:$C,0)),""))))</f>
        <v>4422004</v>
      </c>
      <c r="H932" s="7" t="str">
        <f aca="false">IFERROR(INDEX('TRANS'!$C:$C,MATCH($B932,'TRANS'!$A:$A,0)),IFERROR(INDEX('Catalog'!$B:$B,MATCH($G932,'Catalog'!$A:$A,0)),$B932))</f>
        <v>T78 S תומך זרוע וכתף</v>
      </c>
      <c r="I932" s="7" t="str">
        <f aca="false">IF($G932="","Unmatched","Matched")</f>
        <v>Matched</v>
      </c>
      <c r="J932" s="7" t="n">
        <f aca="false">IF($G932&lt;&gt;"",$G932,$B932)</f>
        <v>4422004</v>
      </c>
      <c r="K932" s="7" t="str">
        <f aca="false">IF(COUNTIF($O$2:$O$16,$A932)&gt;0,"Y","N")</f>
        <v>Y</v>
      </c>
    </row>
    <row r="933" customFormat="false" ht="15" hidden="false" customHeight="false" outlineLevel="0" collapsed="false">
      <c r="A933" s="7" t="s">
        <v>37</v>
      </c>
      <c r="B933" s="7" t="s">
        <v>522</v>
      </c>
      <c r="C933" s="8" t="n">
        <v>4</v>
      </c>
      <c r="D933" s="8" t="n">
        <v>321.1</v>
      </c>
      <c r="E933" s="8" t="n">
        <v>6</v>
      </c>
      <c r="F933" s="8" t="n">
        <v>403.15</v>
      </c>
      <c r="G933" s="7" t="n">
        <f aca="false">IFERROR(INDEX('TRANS'!$B:$B,MATCH($B933,'TRANS'!$A:$A,0)),IFERROR(INDEX('TRANS'!$B:$B,MATCH(TRIM(SUBSTITUTE($B933,CHAR(160)," ")),'TRANS'!$D:$D,0)),IFERROR(INDEX('Catalog'!$A:$A,MATCH($B933,'Catalog'!$B:$B,0)),IFERROR(INDEX('Catalog'!$A:$A,MATCH(TRIM(SUBSTITUTE($B933,CHAR(160)," ")),'Catalog'!$C:$C,0)),""))))</f>
        <v>4422007</v>
      </c>
      <c r="H933" s="7" t="str">
        <f aca="false">IFERROR(INDEX('TRANS'!$C:$C,MATCH($B933,'TRANS'!$A:$A,0)),IFERROR(INDEX('Catalog'!$B:$B,MATCH($G933,'Catalog'!$A:$A,0)),$B933))</f>
        <v>T78 XLתומך זרוע וכתף</v>
      </c>
      <c r="I933" s="7" t="str">
        <f aca="false">IF($G933="","Unmatched","Matched")</f>
        <v>Matched</v>
      </c>
      <c r="J933" s="7" t="n">
        <f aca="false">IF($G933&lt;&gt;"",$G933,$B933)</f>
        <v>4422007</v>
      </c>
      <c r="K933" s="7" t="str">
        <f aca="false">IF(COUNTIF($O$2:$O$16,$A933)&gt;0,"Y","N")</f>
        <v>Y</v>
      </c>
    </row>
    <row r="934" customFormat="false" ht="15" hidden="false" customHeight="false" outlineLevel="0" collapsed="false">
      <c r="A934" s="7" t="s">
        <v>37</v>
      </c>
      <c r="B934" s="7" t="s">
        <v>523</v>
      </c>
      <c r="C934" s="8" t="n">
        <v>0</v>
      </c>
      <c r="D934" s="8" t="n">
        <v>0</v>
      </c>
      <c r="E934" s="8" t="n">
        <v>6</v>
      </c>
      <c r="F934" s="8" t="n">
        <v>403.15</v>
      </c>
      <c r="G934" s="7" t="n">
        <f aca="false">IFERROR(INDEX('TRANS'!$B:$B,MATCH($B934,'TRANS'!$A:$A,0)),IFERROR(INDEX('TRANS'!$B:$B,MATCH(TRIM(SUBSTITUTE($B934,CHAR(160)," ")),'TRANS'!$D:$D,0)),IFERROR(INDEX('Catalog'!$A:$A,MATCH($B934,'Catalog'!$B:$B,0)),IFERROR(INDEX('Catalog'!$A:$A,MATCH(TRIM(SUBSTITUTE($B934,CHAR(160)," ")),'Catalog'!$C:$C,0)),""))))</f>
        <v>4422009</v>
      </c>
      <c r="H934" s="7" t="str">
        <f aca="false">IFERROR(INDEX('TRANS'!$C:$C,MATCH($B934,'TRANS'!$A:$A,0)),IFERROR(INDEX('Catalog'!$B:$B,MATCH($G934,'Catalog'!$A:$A,0)),$B934))</f>
        <v>T78 XXL תומך זרוע וכתף</v>
      </c>
      <c r="I934" s="7" t="str">
        <f aca="false">IF($G934="","Unmatched","Matched")</f>
        <v>Matched</v>
      </c>
      <c r="J934" s="7" t="n">
        <f aca="false">IF($G934&lt;&gt;"",$G934,$B934)</f>
        <v>4422009</v>
      </c>
      <c r="K934" s="7" t="str">
        <f aca="false">IF(COUNTIF($O$2:$O$16,$A934)&gt;0,"Y","N")</f>
        <v>Y</v>
      </c>
    </row>
    <row r="935" customFormat="false" ht="15" hidden="false" customHeight="false" outlineLevel="0" collapsed="false">
      <c r="A935" s="7" t="s">
        <v>38</v>
      </c>
      <c r="B935" s="7" t="s">
        <v>272</v>
      </c>
      <c r="C935" s="8" t="n">
        <v>180</v>
      </c>
      <c r="D935" s="8" t="n">
        <v>9339.88</v>
      </c>
      <c r="E935" s="8" t="n">
        <v>116</v>
      </c>
      <c r="F935" s="8" t="n">
        <v>5474</v>
      </c>
      <c r="G935" s="7" t="n">
        <f aca="false">IFERROR(INDEX('TRANS'!$B:$B,MATCH($B935,'TRANS'!$A:$A,0)),IFERROR(INDEX('TRANS'!$B:$B,MATCH(TRIM(SUBSTITUTE($B935,CHAR(160)," ")),'TRANS'!$D:$D,0)),IFERROR(INDEX('Catalog'!$A:$A,MATCH($B935,'Catalog'!$B:$B,0)),IFERROR(INDEX('Catalog'!$A:$A,MATCH(TRIM(SUBSTITUTE($B935,CHAR(160)," ")),'Catalog'!$C:$C,0)),""))))</f>
        <v>4408192</v>
      </c>
      <c r="H935" s="7" t="str">
        <f aca="false">IFERROR(INDEX('TRANS'!$C:$C,MATCH($B935,'TRANS'!$A:$A,0)),IFERROR(INDEX('Catalog'!$B:$B,MATCH($G935,'Catalog'!$A:$A,0)),$B935))</f>
        <v>078 L חגורת גב +סגירה</v>
      </c>
      <c r="I935" s="7" t="str">
        <f aca="false">IF($G935="","Unmatched","Matched")</f>
        <v>Matched</v>
      </c>
      <c r="J935" s="7" t="n">
        <f aca="false">IF($G935&lt;&gt;"",$G935,$B935)</f>
        <v>4408192</v>
      </c>
      <c r="K935" s="7" t="str">
        <f aca="false">IF(COUNTIF($O$2:$O$16,$A935)&gt;0,"Y","N")</f>
        <v>Y</v>
      </c>
    </row>
    <row r="936" customFormat="false" ht="15" hidden="false" customHeight="false" outlineLevel="0" collapsed="false">
      <c r="A936" s="7" t="s">
        <v>38</v>
      </c>
      <c r="B936" s="7" t="s">
        <v>273</v>
      </c>
      <c r="C936" s="8" t="n">
        <v>76</v>
      </c>
      <c r="D936" s="8" t="n">
        <v>3931.49</v>
      </c>
      <c r="E936" s="8" t="n">
        <v>46</v>
      </c>
      <c r="F936" s="8" t="n">
        <v>2225.87</v>
      </c>
      <c r="G936" s="7" t="n">
        <f aca="false">IFERROR(INDEX('TRANS'!$B:$B,MATCH($B936,'TRANS'!$A:$A,0)),IFERROR(INDEX('TRANS'!$B:$B,MATCH(TRIM(SUBSTITUTE($B936,CHAR(160)," ")),'TRANS'!$D:$D,0)),IFERROR(INDEX('Catalog'!$A:$A,MATCH($B936,'Catalog'!$B:$B,0)),IFERROR(INDEX('Catalog'!$A:$A,MATCH(TRIM(SUBSTITUTE($B936,CHAR(160)," ")),'Catalog'!$C:$C,0)),""))))</f>
        <v>4408190</v>
      </c>
      <c r="H936" s="7" t="str">
        <f aca="false">IFERROR(INDEX('TRANS'!$C:$C,MATCH($B936,'TRANS'!$A:$A,0)),IFERROR(INDEX('Catalog'!$B:$B,MATCH($G936,'Catalog'!$A:$A,0)),$B936))</f>
        <v>M078 חגורת גב +סגירה כפולה</v>
      </c>
      <c r="I936" s="7" t="str">
        <f aca="false">IF($G936="","Unmatched","Matched")</f>
        <v>Matched</v>
      </c>
      <c r="J936" s="7" t="n">
        <f aca="false">IF($G936&lt;&gt;"",$G936,$B936)</f>
        <v>4408190</v>
      </c>
      <c r="K936" s="7" t="str">
        <f aca="false">IF(COUNTIF($O$2:$O$16,$A936)&gt;0,"Y","N")</f>
        <v>Y</v>
      </c>
    </row>
    <row r="937" customFormat="false" ht="15" hidden="false" customHeight="false" outlineLevel="0" collapsed="false">
      <c r="A937" s="7" t="s">
        <v>38</v>
      </c>
      <c r="B937" s="7" t="s">
        <v>274</v>
      </c>
      <c r="C937" s="8" t="n">
        <v>21</v>
      </c>
      <c r="D937" s="8" t="n">
        <v>1091.73</v>
      </c>
      <c r="E937" s="8" t="n">
        <v>21</v>
      </c>
      <c r="F937" s="8" t="n">
        <v>1020.85</v>
      </c>
      <c r="G937" s="7" t="n">
        <f aca="false">IFERROR(INDEX('TRANS'!$B:$B,MATCH($B937,'TRANS'!$A:$A,0)),IFERROR(INDEX('TRANS'!$B:$B,MATCH(TRIM(SUBSTITUTE($B937,CHAR(160)," ")),'TRANS'!$D:$D,0)),IFERROR(INDEX('Catalog'!$A:$A,MATCH($B937,'Catalog'!$B:$B,0)),IFERROR(INDEX('Catalog'!$A:$A,MATCH(TRIM(SUBSTITUTE($B937,CHAR(160)," ")),'Catalog'!$C:$C,0)),""))))</f>
        <v>4408217</v>
      </c>
      <c r="H937" s="7" t="str">
        <f aca="false">IFERROR(INDEX('TRANS'!$C:$C,MATCH($B937,'TRANS'!$A:$A,0)),IFERROR(INDEX('Catalog'!$B:$B,MATCH($G937,'Catalog'!$A:$A,0)),$B937))</f>
        <v>S078 חגורת גב +סגירה כפולה</v>
      </c>
      <c r="I937" s="7" t="str">
        <f aca="false">IF($G937="","Unmatched","Matched")</f>
        <v>Matched</v>
      </c>
      <c r="J937" s="7" t="n">
        <f aca="false">IF($G937&lt;&gt;"",$G937,$B937)</f>
        <v>4408217</v>
      </c>
      <c r="K937" s="7" t="str">
        <f aca="false">IF(COUNTIF($O$2:$O$16,$A937)&gt;0,"Y","N")</f>
        <v>Y</v>
      </c>
    </row>
    <row r="938" customFormat="false" ht="15" hidden="false" customHeight="false" outlineLevel="0" collapsed="false">
      <c r="A938" s="7" t="s">
        <v>38</v>
      </c>
      <c r="B938" s="7" t="s">
        <v>275</v>
      </c>
      <c r="C938" s="8" t="n">
        <v>170</v>
      </c>
      <c r="D938" s="8" t="n">
        <v>8877.12</v>
      </c>
      <c r="E938" s="8" t="n">
        <v>95</v>
      </c>
      <c r="F938" s="8" t="n">
        <v>4491.57</v>
      </c>
      <c r="G938" s="7" t="n">
        <f aca="false">IFERROR(INDEX('TRANS'!$B:$B,MATCH($B938,'TRANS'!$A:$A,0)),IFERROR(INDEX('TRANS'!$B:$B,MATCH(TRIM(SUBSTITUTE($B938,CHAR(160)," ")),'TRANS'!$D:$D,0)),IFERROR(INDEX('Catalog'!$A:$A,MATCH($B938,'Catalog'!$B:$B,0)),IFERROR(INDEX('Catalog'!$A:$A,MATCH(TRIM(SUBSTITUTE($B938,CHAR(160)," ")),'Catalog'!$C:$C,0)),""))))</f>
        <v>4408218</v>
      </c>
      <c r="H938" s="7" t="str">
        <f aca="false">IFERROR(INDEX('TRANS'!$C:$C,MATCH($B938,'TRANS'!$A:$A,0)),IFERROR(INDEX('Catalog'!$B:$B,MATCH($G938,'Catalog'!$A:$A,0)),$B938))</f>
        <v>078XL חגורת גב +סגירה כפולה</v>
      </c>
      <c r="I938" s="7" t="str">
        <f aca="false">IF($G938="","Unmatched","Matched")</f>
        <v>Matched</v>
      </c>
      <c r="J938" s="7" t="n">
        <f aca="false">IF($G938&lt;&gt;"",$G938,$B938)</f>
        <v>4408218</v>
      </c>
      <c r="K938" s="7" t="str">
        <f aca="false">IF(COUNTIF($O$2:$O$16,$A938)&gt;0,"Y","N")</f>
        <v>Y</v>
      </c>
    </row>
    <row r="939" customFormat="false" ht="15" hidden="false" customHeight="false" outlineLevel="0" collapsed="false">
      <c r="A939" s="7" t="s">
        <v>38</v>
      </c>
      <c r="B939" s="7" t="s">
        <v>406</v>
      </c>
      <c r="C939" s="8" t="n">
        <v>135</v>
      </c>
      <c r="D939" s="8" t="n">
        <v>7059.17</v>
      </c>
      <c r="E939" s="8" t="n">
        <v>50</v>
      </c>
      <c r="F939" s="8" t="n">
        <v>2377.24</v>
      </c>
      <c r="G939" s="7" t="n">
        <f aca="false">IFERROR(INDEX('TRANS'!$B:$B,MATCH($B939,'TRANS'!$A:$A,0)),IFERROR(INDEX('TRANS'!$B:$B,MATCH(TRIM(SUBSTITUTE($B939,CHAR(160)," ")),'TRANS'!$D:$D,0)),IFERROR(INDEX('Catalog'!$A:$A,MATCH($B939,'Catalog'!$B:$B,0)),IFERROR(INDEX('Catalog'!$A:$A,MATCH(TRIM(SUBSTITUTE($B939,CHAR(160)," ")),'Catalog'!$C:$C,0)),""))))</f>
        <v>4408265</v>
      </c>
      <c r="H939" s="7" t="str">
        <f aca="false">IFERROR(INDEX('TRANS'!$C:$C,MATCH($B939,'TRANS'!$A:$A,0)),IFERROR(INDEX('Catalog'!$B:$B,MATCH($G939,'Catalog'!$A:$A,0)),$B939))</f>
        <v>078XXL חגורת גב +סגירה כפולה</v>
      </c>
      <c r="I939" s="7" t="str">
        <f aca="false">IF($G939="","Unmatched","Matched")</f>
        <v>Matched</v>
      </c>
      <c r="J939" s="7" t="n">
        <f aca="false">IF($G939&lt;&gt;"",$G939,$B939)</f>
        <v>4408265</v>
      </c>
      <c r="K939" s="7" t="str">
        <f aca="false">IF(COUNTIF($O$2:$O$16,$A939)&gt;0,"Y","N")</f>
        <v>Y</v>
      </c>
    </row>
    <row r="940" customFormat="false" ht="15" hidden="false" customHeight="false" outlineLevel="0" collapsed="false">
      <c r="A940" s="7" t="s">
        <v>38</v>
      </c>
      <c r="B940" s="7" t="s">
        <v>404</v>
      </c>
      <c r="C940" s="8" t="n">
        <v>750</v>
      </c>
      <c r="D940" s="8" t="n">
        <v>29252.74</v>
      </c>
      <c r="E940" s="8" t="n">
        <v>640</v>
      </c>
      <c r="F940" s="8" t="n">
        <v>22807.96</v>
      </c>
      <c r="G940" s="7" t="n">
        <f aca="false">IFERROR(INDEX('TRANS'!$B:$B,MATCH($B940,'TRANS'!$A:$A,0)),IFERROR(INDEX('TRANS'!$B:$B,MATCH(TRIM(SUBSTITUTE($B940,CHAR(160)," ")),'TRANS'!$D:$D,0)),IFERROR(INDEX('Catalog'!$A:$A,MATCH($B940,'Catalog'!$B:$B,0)),IFERROR(INDEX('Catalog'!$A:$A,MATCH(TRIM(SUBSTITUTE($B940,CHAR(160)," ")),'Catalog'!$C:$C,0)),""))))</f>
        <v>4408205</v>
      </c>
      <c r="H940" s="7" t="str">
        <f aca="false">IFERROR(INDEX('TRANS'!$C:$C,MATCH($B940,'TRANS'!$A:$A,0)),IFERROR(INDEX('Catalog'!$B:$B,MATCH($G940,'Catalog'!$A:$A,0)),$B940))</f>
        <v>AC-07 חגורת גב עם תמיכות</v>
      </c>
      <c r="I940" s="7" t="str">
        <f aca="false">IF($G940="","Unmatched","Matched")</f>
        <v>Matched</v>
      </c>
      <c r="J940" s="7" t="n">
        <f aca="false">IF($G940&lt;&gt;"",$G940,$B940)</f>
        <v>4408205</v>
      </c>
      <c r="K940" s="7" t="str">
        <f aca="false">IF(COUNTIF($O$2:$O$16,$A940)&gt;0,"Y","N")</f>
        <v>Y</v>
      </c>
    </row>
    <row r="941" customFormat="false" ht="15" hidden="false" customHeight="false" outlineLevel="0" collapsed="false">
      <c r="A941" s="7" t="s">
        <v>38</v>
      </c>
      <c r="B941" s="7" t="s">
        <v>628</v>
      </c>
      <c r="C941" s="8" t="n">
        <v>5</v>
      </c>
      <c r="D941" s="8" t="n">
        <v>329.27</v>
      </c>
      <c r="E941" s="8" t="n">
        <v>0</v>
      </c>
      <c r="F941" s="8" t="n">
        <v>0</v>
      </c>
      <c r="G941" s="7" t="n">
        <f aca="false">IFERROR(INDEX('TRANS'!$B:$B,MATCH($B941,'TRANS'!$A:$A,0)),IFERROR(INDEX('TRANS'!$B:$B,MATCH(TRIM(SUBSTITUTE($B941,CHAR(160)," ")),'TRANS'!$D:$D,0)),IFERROR(INDEX('Catalog'!$A:$A,MATCH($B941,'Catalog'!$B:$B,0)),IFERROR(INDEX('Catalog'!$A:$A,MATCH(TRIM(SUBSTITUTE($B941,CHAR(160)," ")),'Catalog'!$C:$C,0)),""))))</f>
        <v>4408027</v>
      </c>
      <c r="H941" s="7" t="str">
        <f aca="false">IFERROR(INDEX('TRANS'!$C:$C,MATCH($B941,'TRANS'!$A:$A,0)),IFERROR(INDEX('Catalog'!$B:$B,MATCH($G941,'Catalog'!$A:$A,0)),$B941))</f>
        <v>10 L """"חגורת גב """"לומבו</v>
      </c>
      <c r="I941" s="7" t="str">
        <f aca="false">IF($G941="","Unmatched","Matched")</f>
        <v>Matched</v>
      </c>
      <c r="J941" s="7" t="n">
        <f aca="false">IF($G941&lt;&gt;"",$G941,$B941)</f>
        <v>4408027</v>
      </c>
      <c r="K941" s="7" t="str">
        <f aca="false">IF(COUNTIF($O$2:$O$16,$A941)&gt;0,"Y","N")</f>
        <v>Y</v>
      </c>
    </row>
    <row r="942" customFormat="false" ht="15" hidden="false" customHeight="false" outlineLevel="0" collapsed="false">
      <c r="A942" s="7" t="s">
        <v>38</v>
      </c>
      <c r="B942" s="7" t="s">
        <v>216</v>
      </c>
      <c r="C942" s="8" t="n">
        <v>2</v>
      </c>
      <c r="D942" s="8" t="n">
        <v>131.71</v>
      </c>
      <c r="E942" s="8" t="n">
        <v>0</v>
      </c>
      <c r="F942" s="8" t="n">
        <v>0</v>
      </c>
      <c r="G942" s="7" t="str">
        <f aca="false">IFERROR(INDEX('TRANS'!$B:$B,MATCH($B942,'TRANS'!$A:$A,0)),IFERROR(INDEX('TRANS'!$B:$B,MATCH(TRIM(SUBSTITUTE($B942,CHAR(160)," ")),'TRANS'!$D:$D,0)),IFERROR(INDEX('Catalog'!$A:$A,MATCH($B942,'Catalog'!$B:$B,0)),IFERROR(INDEX('Catalog'!$A:$A,MATCH(TRIM(SUBSTITUTE($B942,CHAR(160)," ")),'Catalog'!$C:$C,0)),""))))</f>
        <v/>
      </c>
      <c r="H942" s="7" t="str">
        <f aca="false">IFERROR(INDEX('TRANS'!$C:$C,MATCH($B942,'TRANS'!$A:$A,0)),IFERROR(INDEX('Catalog'!$B:$B,MATCH($G942,'Catalog'!$A:$A,0)),$B942))</f>
        <v>10 S</v>
      </c>
      <c r="I942" s="7" t="str">
        <f aca="false">IF($G942="","Unmatched","Matched")</f>
        <v>Unmatched</v>
      </c>
      <c r="J942" s="7" t="str">
        <f aca="false">IF($G942&lt;&gt;"",$G942,$B942)</f>
        <v>10 S</v>
      </c>
      <c r="K942" s="7" t="str">
        <f aca="false">IF(COUNTIF($O$2:$O$16,$A942)&gt;0,"Y","N")</f>
        <v>Y</v>
      </c>
    </row>
    <row r="943" customFormat="false" ht="15" hidden="false" customHeight="false" outlineLevel="0" collapsed="false">
      <c r="A943" s="7" t="s">
        <v>38</v>
      </c>
      <c r="B943" s="7" t="s">
        <v>145</v>
      </c>
      <c r="C943" s="8" t="n">
        <v>2</v>
      </c>
      <c r="D943" s="8" t="n">
        <v>131.71</v>
      </c>
      <c r="E943" s="8" t="n">
        <v>0</v>
      </c>
      <c r="F943" s="8" t="n">
        <v>0</v>
      </c>
      <c r="G943" s="7" t="str">
        <f aca="false">IFERROR(INDEX('TRANS'!$B:$B,MATCH($B943,'TRANS'!$A:$A,0)),IFERROR(INDEX('TRANS'!$B:$B,MATCH(TRIM(SUBSTITUTE($B943,CHAR(160)," ")),'TRANS'!$D:$D,0)),IFERROR(INDEX('Catalog'!$A:$A,MATCH($B943,'Catalog'!$B:$B,0)),IFERROR(INDEX('Catalog'!$A:$A,MATCH(TRIM(SUBSTITUTE($B943,CHAR(160)," ")),'Catalog'!$C:$C,0)),""))))</f>
        <v/>
      </c>
      <c r="H943" s="7" t="str">
        <f aca="false">IFERROR(INDEX('TRANS'!$C:$C,MATCH($B943,'TRANS'!$A:$A,0)),IFERROR(INDEX('Catalog'!$B:$B,MATCH($G943,'Catalog'!$A:$A,0)),$B943))</f>
        <v>10 XXL</v>
      </c>
      <c r="I943" s="7" t="str">
        <f aca="false">IF($G943="","Unmatched","Matched")</f>
        <v>Unmatched</v>
      </c>
      <c r="J943" s="7" t="str">
        <f aca="false">IF($G943&lt;&gt;"",$G943,$B943)</f>
        <v>10 XXL</v>
      </c>
      <c r="K943" s="7" t="str">
        <f aca="false">IF(COUNTIF($O$2:$O$16,$A943)&gt;0,"Y","N")</f>
        <v>Y</v>
      </c>
    </row>
    <row r="944" customFormat="false" ht="15" hidden="false" customHeight="false" outlineLevel="0" collapsed="false">
      <c r="A944" s="7" t="s">
        <v>38</v>
      </c>
      <c r="B944" s="7" t="s">
        <v>414</v>
      </c>
      <c r="C944" s="8" t="n">
        <v>40</v>
      </c>
      <c r="D944" s="8" t="n">
        <v>1764.75</v>
      </c>
      <c r="E944" s="8" t="n">
        <v>0</v>
      </c>
      <c r="F944" s="8" t="n">
        <v>0</v>
      </c>
      <c r="G944" s="7" t="n">
        <f aca="false">IFERROR(INDEX('TRANS'!$B:$B,MATCH($B944,'TRANS'!$A:$A,0)),IFERROR(INDEX('TRANS'!$B:$B,MATCH(TRIM(SUBSTITUTE($B944,CHAR(160)," ")),'TRANS'!$D:$D,0)),IFERROR(INDEX('Catalog'!$A:$A,MATCH($B944,'Catalog'!$B:$B,0)),IFERROR(INDEX('Catalog'!$A:$A,MATCH(TRIM(SUBSTITUTE($B944,CHAR(160)," ")),'Catalog'!$C:$C,0)),""))))</f>
        <v>4408115</v>
      </c>
      <c r="H944" s="7" t="str">
        <f aca="false">IFERROR(INDEX('TRANS'!$C:$C,MATCH($B944,'TRANS'!$A:$A,0)),IFERROR(INDEX('Catalog'!$B:$B,MATCH($G944,'Catalog'!$A:$A,0)),$B944))</f>
        <v>11EU L ח.בטן לאחר ניתוח</v>
      </c>
      <c r="I944" s="7" t="str">
        <f aca="false">IF($G944="","Unmatched","Matched")</f>
        <v>Matched</v>
      </c>
      <c r="J944" s="7" t="n">
        <f aca="false">IF($G944&lt;&gt;"",$G944,$B944)</f>
        <v>4408115</v>
      </c>
      <c r="K944" s="7" t="str">
        <f aca="false">IF(COUNTIF($O$2:$O$16,$A944)&gt;0,"Y","N")</f>
        <v>Y</v>
      </c>
    </row>
    <row r="945" customFormat="false" ht="15" hidden="false" customHeight="false" outlineLevel="0" collapsed="false">
      <c r="A945" s="7" t="s">
        <v>38</v>
      </c>
      <c r="B945" s="7" t="s">
        <v>415</v>
      </c>
      <c r="C945" s="8" t="n">
        <v>26</v>
      </c>
      <c r="D945" s="8" t="n">
        <v>1145.86</v>
      </c>
      <c r="E945" s="8" t="n">
        <v>18</v>
      </c>
      <c r="F945" s="8" t="n">
        <v>705.43</v>
      </c>
      <c r="G945" s="7" t="n">
        <f aca="false">IFERROR(INDEX('TRANS'!$B:$B,MATCH($B945,'TRANS'!$A:$A,0)),IFERROR(INDEX('TRANS'!$B:$B,MATCH(TRIM(SUBSTITUTE($B945,CHAR(160)," ")),'TRANS'!$D:$D,0)),IFERROR(INDEX('Catalog'!$A:$A,MATCH($B945,'Catalog'!$B:$B,0)),IFERROR(INDEX('Catalog'!$A:$A,MATCH(TRIM(SUBSTITUTE($B945,CHAR(160)," ")),'Catalog'!$C:$C,0)),""))))</f>
        <v>4408114</v>
      </c>
      <c r="H945" s="7" t="str">
        <f aca="false">IFERROR(INDEX('TRANS'!$C:$C,MATCH($B945,'TRANS'!$A:$A,0)),IFERROR(INDEX('Catalog'!$B:$B,MATCH($G945,'Catalog'!$A:$A,0)),$B945))</f>
        <v>11EU M ח.בטן לאחר ניתוח</v>
      </c>
      <c r="I945" s="7" t="str">
        <f aca="false">IF($G945="","Unmatched","Matched")</f>
        <v>Matched</v>
      </c>
      <c r="J945" s="7" t="n">
        <f aca="false">IF($G945&lt;&gt;"",$G945,$B945)</f>
        <v>4408114</v>
      </c>
      <c r="K945" s="7" t="str">
        <f aca="false">IF(COUNTIF($O$2:$O$16,$A945)&gt;0,"Y","N")</f>
        <v>Y</v>
      </c>
    </row>
    <row r="946" customFormat="false" ht="15" hidden="false" customHeight="false" outlineLevel="0" collapsed="false">
      <c r="A946" s="7" t="s">
        <v>38</v>
      </c>
      <c r="B946" s="7" t="s">
        <v>130</v>
      </c>
      <c r="C946" s="8" t="n">
        <v>12</v>
      </c>
      <c r="D946" s="8" t="n">
        <v>524.8</v>
      </c>
      <c r="E946" s="8" t="n">
        <v>6</v>
      </c>
      <c r="F946" s="8" t="n">
        <v>238.5</v>
      </c>
      <c r="G946" s="7" t="str">
        <f aca="false">IFERROR(INDEX('TRANS'!$B:$B,MATCH($B946,'TRANS'!$A:$A,0)),IFERROR(INDEX('TRANS'!$B:$B,MATCH(TRIM(SUBSTITUTE($B946,CHAR(160)," ")),'TRANS'!$D:$D,0)),IFERROR(INDEX('Catalog'!$A:$A,MATCH($B946,'Catalog'!$B:$B,0)),IFERROR(INDEX('Catalog'!$A:$A,MATCH(TRIM(SUBSTITUTE($B946,CHAR(160)," ")),'Catalog'!$C:$C,0)),""))))</f>
        <v/>
      </c>
      <c r="H946" s="7" t="str">
        <f aca="false">IFERROR(INDEX('TRANS'!$C:$C,MATCH($B946,'TRANS'!$A:$A,0)),IFERROR(INDEX('Catalog'!$B:$B,MATCH($G946,'Catalog'!$A:$A,0)),$B946))</f>
        <v>11EU S</v>
      </c>
      <c r="I946" s="7" t="str">
        <f aca="false">IF($G946="","Unmatched","Matched")</f>
        <v>Unmatched</v>
      </c>
      <c r="J946" s="7" t="str">
        <f aca="false">IF($G946&lt;&gt;"",$G946,$B946)</f>
        <v>11EU S</v>
      </c>
      <c r="K946" s="7" t="str">
        <f aca="false">IF(COUNTIF($O$2:$O$16,$A946)&gt;0,"Y","N")</f>
        <v>Y</v>
      </c>
    </row>
    <row r="947" customFormat="false" ht="15" hidden="false" customHeight="false" outlineLevel="0" collapsed="false">
      <c r="A947" s="7" t="s">
        <v>38</v>
      </c>
      <c r="B947" s="7" t="s">
        <v>416</v>
      </c>
      <c r="C947" s="8" t="n">
        <v>40</v>
      </c>
      <c r="D947" s="8" t="n">
        <v>1764.75</v>
      </c>
      <c r="E947" s="8" t="n">
        <v>5</v>
      </c>
      <c r="F947" s="8" t="n">
        <v>198.75</v>
      </c>
      <c r="G947" s="7" t="n">
        <f aca="false">IFERROR(INDEX('TRANS'!$B:$B,MATCH($B947,'TRANS'!$A:$A,0)),IFERROR(INDEX('TRANS'!$B:$B,MATCH(TRIM(SUBSTITUTE($B947,CHAR(160)," ")),'TRANS'!$D:$D,0)),IFERROR(INDEX('Catalog'!$A:$A,MATCH($B947,'Catalog'!$B:$B,0)),IFERROR(INDEX('Catalog'!$A:$A,MATCH(TRIM(SUBSTITUTE($B947,CHAR(160)," ")),'Catalog'!$C:$C,0)),""))))</f>
        <v>4408116</v>
      </c>
      <c r="H947" s="7" t="str">
        <f aca="false">IFERROR(INDEX('TRANS'!$C:$C,MATCH($B947,'TRANS'!$A:$A,0)),IFERROR(INDEX('Catalog'!$B:$B,MATCH($G947,'Catalog'!$A:$A,0)),$B947))</f>
        <v>11EU XLח.בטן לאחר ניתוח</v>
      </c>
      <c r="I947" s="7" t="str">
        <f aca="false">IF($G947="","Unmatched","Matched")</f>
        <v>Matched</v>
      </c>
      <c r="J947" s="7" t="n">
        <f aca="false">IF($G947&lt;&gt;"",$G947,$B947)</f>
        <v>4408116</v>
      </c>
      <c r="K947" s="7" t="str">
        <f aca="false">IF(COUNTIF($O$2:$O$16,$A947)&gt;0,"Y","N")</f>
        <v>Y</v>
      </c>
    </row>
    <row r="948" customFormat="false" ht="15" hidden="false" customHeight="false" outlineLevel="0" collapsed="false">
      <c r="A948" s="7" t="s">
        <v>38</v>
      </c>
      <c r="B948" s="7" t="s">
        <v>417</v>
      </c>
      <c r="C948" s="8" t="n">
        <v>26</v>
      </c>
      <c r="D948" s="8" t="n">
        <v>1145.86</v>
      </c>
      <c r="E948" s="8" t="n">
        <v>5</v>
      </c>
      <c r="F948" s="8" t="n">
        <v>198.75</v>
      </c>
      <c r="G948" s="7" t="n">
        <f aca="false">IFERROR(INDEX('TRANS'!$B:$B,MATCH($B948,'TRANS'!$A:$A,0)),IFERROR(INDEX('TRANS'!$B:$B,MATCH(TRIM(SUBSTITUTE($B948,CHAR(160)," ")),'TRANS'!$D:$D,0)),IFERROR(INDEX('Catalog'!$A:$A,MATCH($B948,'Catalog'!$B:$B,0)),IFERROR(INDEX('Catalog'!$A:$A,MATCH(TRIM(SUBSTITUTE($B948,CHAR(160)," ")),'Catalog'!$C:$C,0)),""))))</f>
        <v>4408132</v>
      </c>
      <c r="H948" s="7" t="str">
        <f aca="false">IFERROR(INDEX('TRANS'!$C:$C,MATCH($B948,'TRANS'!$A:$A,0)),IFERROR(INDEX('Catalog'!$B:$B,MATCH($G948,'Catalog'!$A:$A,0)),$B948))</f>
        <v>11EU XXL חגורת בטןלאחר ניתוח</v>
      </c>
      <c r="I948" s="7" t="str">
        <f aca="false">IF($G948="","Unmatched","Matched")</f>
        <v>Matched</v>
      </c>
      <c r="J948" s="7" t="n">
        <f aca="false">IF($G948&lt;&gt;"",$G948,$B948)</f>
        <v>4408132</v>
      </c>
      <c r="K948" s="7" t="str">
        <f aca="false">IF(COUNTIF($O$2:$O$16,$A948)&gt;0,"Y","N")</f>
        <v>Y</v>
      </c>
    </row>
    <row r="949" customFormat="false" ht="15" hidden="false" customHeight="false" outlineLevel="0" collapsed="false">
      <c r="A949" s="7" t="s">
        <v>38</v>
      </c>
      <c r="B949" s="7" t="s">
        <v>287</v>
      </c>
      <c r="C949" s="8" t="n">
        <v>60</v>
      </c>
      <c r="D949" s="8" t="n">
        <v>925.58</v>
      </c>
      <c r="E949" s="8" t="n">
        <v>80</v>
      </c>
      <c r="F949" s="8" t="n">
        <v>1088.06</v>
      </c>
      <c r="G949" s="7" t="n">
        <f aca="false">IFERROR(INDEX('TRANS'!$B:$B,MATCH($B949,'TRANS'!$A:$A,0)),IFERROR(INDEX('TRANS'!$B:$B,MATCH(TRIM(SUBSTITUTE($B949,CHAR(160)," ")),'TRANS'!$D:$D,0)),IFERROR(INDEX('Catalog'!$A:$A,MATCH($B949,'Catalog'!$B:$B,0)),IFERROR(INDEX('Catalog'!$A:$A,MATCH(TRIM(SUBSTITUTE($B949,CHAR(160)," ")),'Catalog'!$C:$C,0)),""))))</f>
        <v>4408046</v>
      </c>
      <c r="H949" s="7" t="str">
        <f aca="false">IFERROR(INDEX('TRANS'!$C:$C,MATCH($B949,'TRANS'!$A:$A,0)),IFERROR(INDEX('Catalog'!$B:$B,MATCH($G949,'Catalog'!$A:$A,0)),$B949))</f>
        <v>20 L חבק יד מתכוון עם צמדן</v>
      </c>
      <c r="I949" s="7" t="str">
        <f aca="false">IF($G949="","Unmatched","Matched")</f>
        <v>Matched</v>
      </c>
      <c r="J949" s="7" t="n">
        <f aca="false">IF($G949&lt;&gt;"",$G949,$B949)</f>
        <v>4408046</v>
      </c>
      <c r="K949" s="7" t="str">
        <f aca="false">IF(COUNTIF($O$2:$O$16,$A949)&gt;0,"Y","N")</f>
        <v>Y</v>
      </c>
    </row>
    <row r="950" customFormat="false" ht="15" hidden="false" customHeight="false" outlineLevel="0" collapsed="false">
      <c r="A950" s="7" t="s">
        <v>38</v>
      </c>
      <c r="B950" s="7" t="s">
        <v>288</v>
      </c>
      <c r="C950" s="8" t="n">
        <v>70</v>
      </c>
      <c r="D950" s="8" t="n">
        <v>1087.06</v>
      </c>
      <c r="E950" s="8" t="n">
        <v>110</v>
      </c>
      <c r="F950" s="8" t="n">
        <v>1512.81</v>
      </c>
      <c r="G950" s="7" t="n">
        <f aca="false">IFERROR(INDEX('TRANS'!$B:$B,MATCH($B950,'TRANS'!$A:$A,0)),IFERROR(INDEX('TRANS'!$B:$B,MATCH(TRIM(SUBSTITUTE($B950,CHAR(160)," ")),'TRANS'!$D:$D,0)),IFERROR(INDEX('Catalog'!$A:$A,MATCH($B950,'Catalog'!$B:$B,0)),IFERROR(INDEX('Catalog'!$A:$A,MATCH(TRIM(SUBSTITUTE($B950,CHAR(160)," ")),'Catalog'!$C:$C,0)),""))))</f>
        <v>4408047</v>
      </c>
      <c r="H950" s="7" t="str">
        <f aca="false">IFERROR(INDEX('TRANS'!$C:$C,MATCH($B950,'TRANS'!$A:$A,0)),IFERROR(INDEX('Catalog'!$B:$B,MATCH($G950,'Catalog'!$A:$A,0)),$B950))</f>
        <v>20 M חבק יד מתכוון עם צמדן</v>
      </c>
      <c r="I950" s="7" t="str">
        <f aca="false">IF($G950="","Unmatched","Matched")</f>
        <v>Matched</v>
      </c>
      <c r="J950" s="7" t="n">
        <f aca="false">IF($G950&lt;&gt;"",$G950,$B950)</f>
        <v>4408047</v>
      </c>
      <c r="K950" s="7" t="str">
        <f aca="false">IF(COUNTIF($O$2:$O$16,$A950)&gt;0,"Y","N")</f>
        <v>Y</v>
      </c>
    </row>
    <row r="951" customFormat="false" ht="15" hidden="false" customHeight="false" outlineLevel="0" collapsed="false">
      <c r="A951" s="7" t="s">
        <v>38</v>
      </c>
      <c r="B951" s="7" t="s">
        <v>289</v>
      </c>
      <c r="C951" s="8" t="n">
        <v>36</v>
      </c>
      <c r="D951" s="8" t="n">
        <v>569.47</v>
      </c>
      <c r="E951" s="8" t="n">
        <v>72</v>
      </c>
      <c r="F951" s="8" t="n">
        <v>987.74</v>
      </c>
      <c r="G951" s="7" t="n">
        <f aca="false">IFERROR(INDEX('TRANS'!$B:$B,MATCH($B951,'TRANS'!$A:$A,0)),IFERROR(INDEX('TRANS'!$B:$B,MATCH(TRIM(SUBSTITUTE($B951,CHAR(160)," ")),'TRANS'!$D:$D,0)),IFERROR(INDEX('Catalog'!$A:$A,MATCH($B951,'Catalog'!$B:$B,0)),IFERROR(INDEX('Catalog'!$A:$A,MATCH(TRIM(SUBSTITUTE($B951,CHAR(160)," ")),'Catalog'!$C:$C,0)),""))))</f>
        <v>4408048</v>
      </c>
      <c r="H951" s="7" t="str">
        <f aca="false">IFERROR(INDEX('TRANS'!$C:$C,MATCH($B951,'TRANS'!$A:$A,0)),IFERROR(INDEX('Catalog'!$B:$B,MATCH($G951,'Catalog'!$A:$A,0)),$B951))</f>
        <v>20 S חבק יד מתכוון עם צמדן</v>
      </c>
      <c r="I951" s="7" t="str">
        <f aca="false">IF($G951="","Unmatched","Matched")</f>
        <v>Matched</v>
      </c>
      <c r="J951" s="7" t="n">
        <f aca="false">IF($G951&lt;&gt;"",$G951,$B951)</f>
        <v>4408048</v>
      </c>
      <c r="K951" s="7" t="str">
        <f aca="false">IF(COUNTIF($O$2:$O$16,$A951)&gt;0,"Y","N")</f>
        <v>Y</v>
      </c>
    </row>
    <row r="952" customFormat="false" ht="15" hidden="false" customHeight="false" outlineLevel="0" collapsed="false">
      <c r="A952" s="7" t="s">
        <v>38</v>
      </c>
      <c r="B952" s="7" t="s">
        <v>290</v>
      </c>
      <c r="C952" s="8" t="n">
        <v>20</v>
      </c>
      <c r="D952" s="8" t="n">
        <v>302.18</v>
      </c>
      <c r="E952" s="8" t="n">
        <v>6</v>
      </c>
      <c r="F952" s="8" t="n">
        <v>86.56</v>
      </c>
      <c r="G952" s="7" t="n">
        <f aca="false">IFERROR(INDEX('TRANS'!$B:$B,MATCH($B952,'TRANS'!$A:$A,0)),IFERROR(INDEX('TRANS'!$B:$B,MATCH(TRIM(SUBSTITUTE($B952,CHAR(160)," ")),'TRANS'!$D:$D,0)),IFERROR(INDEX('Catalog'!$A:$A,MATCH($B952,'Catalog'!$B:$B,0)),IFERROR(INDEX('Catalog'!$A:$A,MATCH(TRIM(SUBSTITUTE($B952,CHAR(160)," ")),'Catalog'!$C:$C,0)),""))))</f>
        <v>4408049</v>
      </c>
      <c r="H952" s="7" t="str">
        <f aca="false">IFERROR(INDEX('TRANS'!$C:$C,MATCH($B952,'TRANS'!$A:$A,0)),IFERROR(INDEX('Catalog'!$B:$B,MATCH($G952,'Catalog'!$A:$A,0)),$B952))</f>
        <v>20 XL חבק יד מתכוון עם צמדן</v>
      </c>
      <c r="I952" s="7" t="str">
        <f aca="false">IF($G952="","Unmatched","Matched")</f>
        <v>Matched</v>
      </c>
      <c r="J952" s="7" t="n">
        <f aca="false">IF($G952&lt;&gt;"",$G952,$B952)</f>
        <v>4408049</v>
      </c>
      <c r="K952" s="7" t="str">
        <f aca="false">IF(COUNTIF($O$2:$O$16,$A952)&gt;0,"Y","N")</f>
        <v>Y</v>
      </c>
    </row>
    <row r="953" customFormat="false" ht="15" hidden="false" customHeight="false" outlineLevel="0" collapsed="false">
      <c r="A953" s="7" t="s">
        <v>38</v>
      </c>
      <c r="B953" s="7" t="s">
        <v>653</v>
      </c>
      <c r="C953" s="8" t="n">
        <v>0</v>
      </c>
      <c r="D953" s="8" t="n">
        <v>0</v>
      </c>
      <c r="E953" s="8" t="n">
        <v>1</v>
      </c>
      <c r="F953" s="8" t="n">
        <v>0.03</v>
      </c>
      <c r="G953" s="7" t="n">
        <f aca="false">IFERROR(INDEX('TRANS'!$B:$B,MATCH($B953,'TRANS'!$A:$A,0)),IFERROR(INDEX('TRANS'!$B:$B,MATCH(TRIM(SUBSTITUTE($B953,CHAR(160)," ")),'TRANS'!$D:$D,0)),IFERROR(INDEX('Catalog'!$A:$A,MATCH($B953,'Catalog'!$B:$B,0)),IFERROR(INDEX('Catalog'!$A:$A,MATCH(TRIM(SUBSTITUTE($B953,CHAR(160)," ")),'Catalog'!$C:$C,0)),""))))</f>
        <v>4408275</v>
      </c>
      <c r="H953" s="7" t="str">
        <f aca="false">IFERROR(INDEX('TRANS'!$C:$C,MATCH($B953,'TRANS'!$A:$A,0)),IFERROR(INDEX('Catalog'!$B:$B,MATCH($G953,'Catalog'!$A:$A,0)),$B953))</f>
        <v>202  ONE SIZE חבק יד</v>
      </c>
      <c r="I953" s="7" t="str">
        <f aca="false">IF($G953="","Unmatched","Matched")</f>
        <v>Matched</v>
      </c>
      <c r="J953" s="7" t="n">
        <f aca="false">IF($G953&lt;&gt;"",$G953,$B953)</f>
        <v>4408275</v>
      </c>
      <c r="K953" s="7" t="str">
        <f aca="false">IF(COUNTIF($O$2:$O$16,$A953)&gt;0,"Y","N")</f>
        <v>Y</v>
      </c>
    </row>
    <row r="954" customFormat="false" ht="15" hidden="false" customHeight="false" outlineLevel="0" collapsed="false">
      <c r="A954" s="7" t="s">
        <v>38</v>
      </c>
      <c r="B954" s="7" t="s">
        <v>291</v>
      </c>
      <c r="C954" s="8" t="n">
        <v>160</v>
      </c>
      <c r="D954" s="8" t="n">
        <v>2583.89</v>
      </c>
      <c r="E954" s="8" t="n">
        <v>150</v>
      </c>
      <c r="F954" s="8" t="n">
        <v>2150.27</v>
      </c>
      <c r="G954" s="7" t="n">
        <f aca="false">IFERROR(INDEX('TRANS'!$B:$B,MATCH($B954,'TRANS'!$A:$A,0)),IFERROR(INDEX('TRANS'!$B:$B,MATCH(TRIM(SUBSTITUTE($B954,CHAR(160)," ")),'TRANS'!$D:$D,0)),IFERROR(INDEX('Catalog'!$A:$A,MATCH($B954,'Catalog'!$B:$B,0)),IFERROR(INDEX('Catalog'!$A:$A,MATCH(TRIM(SUBSTITUTE($B954,CHAR(160)," ")),'Catalog'!$C:$C,0)),""))))</f>
        <v>4408052</v>
      </c>
      <c r="H954" s="7" t="str">
        <f aca="false">IFERROR(INDEX('TRANS'!$C:$C,MATCH($B954,'TRANS'!$A:$A,0)),IFERROR(INDEX('Catalog'!$B:$B,MATCH($G954,'Catalog'!$A:$A,0)),$B954))</f>
        <v>21 L  חבק יד ארוך</v>
      </c>
      <c r="I954" s="7" t="str">
        <f aca="false">IF($G954="","Unmatched","Matched")</f>
        <v>Matched</v>
      </c>
      <c r="J954" s="7" t="n">
        <f aca="false">IF($G954&lt;&gt;"",$G954,$B954)</f>
        <v>4408052</v>
      </c>
      <c r="K954" s="7" t="str">
        <f aca="false">IF(COUNTIF($O$2:$O$16,$A954)&gt;0,"Y","N")</f>
        <v>Y</v>
      </c>
    </row>
    <row r="955" customFormat="false" ht="15" hidden="false" customHeight="false" outlineLevel="0" collapsed="false">
      <c r="A955" s="7" t="s">
        <v>38</v>
      </c>
      <c r="B955" s="7" t="s">
        <v>292</v>
      </c>
      <c r="C955" s="8" t="n">
        <v>210</v>
      </c>
      <c r="D955" s="8" t="n">
        <v>3379.54</v>
      </c>
      <c r="E955" s="8" t="n">
        <v>240</v>
      </c>
      <c r="F955" s="8" t="n">
        <v>3470.39</v>
      </c>
      <c r="G955" s="7" t="n">
        <f aca="false">IFERROR(INDEX('TRANS'!$B:$B,MATCH($B955,'TRANS'!$A:$A,0)),IFERROR(INDEX('TRANS'!$B:$B,MATCH(TRIM(SUBSTITUTE($B955,CHAR(160)," ")),'TRANS'!$D:$D,0)),IFERROR(INDEX('Catalog'!$A:$A,MATCH($B955,'Catalog'!$B:$B,0)),IFERROR(INDEX('Catalog'!$A:$A,MATCH(TRIM(SUBSTITUTE($B955,CHAR(160)," ")),'Catalog'!$C:$C,0)),""))))</f>
        <v>4408053</v>
      </c>
      <c r="H955" s="7" t="str">
        <f aca="false">IFERROR(INDEX('TRANS'!$C:$C,MATCH($B955,'TRANS'!$A:$A,0)),IFERROR(INDEX('Catalog'!$B:$B,MATCH($G955,'Catalog'!$A:$A,0)),$B955))</f>
        <v>21 M  חבק יד ארוך</v>
      </c>
      <c r="I955" s="7" t="str">
        <f aca="false">IF($G955="","Unmatched","Matched")</f>
        <v>Matched</v>
      </c>
      <c r="J955" s="7" t="n">
        <f aca="false">IF($G955&lt;&gt;"",$G955,$B955)</f>
        <v>4408053</v>
      </c>
      <c r="K955" s="7" t="str">
        <f aca="false">IF(COUNTIF($O$2:$O$16,$A955)&gt;0,"Y","N")</f>
        <v>Y</v>
      </c>
    </row>
    <row r="956" customFormat="false" ht="15" hidden="false" customHeight="false" outlineLevel="0" collapsed="false">
      <c r="A956" s="7" t="s">
        <v>38</v>
      </c>
      <c r="B956" s="7" t="s">
        <v>293</v>
      </c>
      <c r="C956" s="8" t="n">
        <v>95</v>
      </c>
      <c r="D956" s="8" t="n">
        <v>1530.75</v>
      </c>
      <c r="E956" s="8" t="n">
        <v>100</v>
      </c>
      <c r="F956" s="8" t="n">
        <v>1428.92</v>
      </c>
      <c r="G956" s="7" t="n">
        <f aca="false">IFERROR(INDEX('TRANS'!$B:$B,MATCH($B956,'TRANS'!$A:$A,0)),IFERROR(INDEX('TRANS'!$B:$B,MATCH(TRIM(SUBSTITUTE($B956,CHAR(160)," ")),'TRANS'!$D:$D,0)),IFERROR(INDEX('Catalog'!$A:$A,MATCH($B956,'Catalog'!$B:$B,0)),IFERROR(INDEX('Catalog'!$A:$A,MATCH(TRIM(SUBSTITUTE($B956,CHAR(160)," ")),'Catalog'!$C:$C,0)),""))))</f>
        <v>4408051</v>
      </c>
      <c r="H956" s="7" t="str">
        <f aca="false">IFERROR(INDEX('TRANS'!$C:$C,MATCH($B956,'TRANS'!$A:$A,0)),IFERROR(INDEX('Catalog'!$B:$B,MATCH($G956,'Catalog'!$A:$A,0)),$B956))</f>
        <v>21 S  חבק יד ארוך</v>
      </c>
      <c r="I956" s="7" t="str">
        <f aca="false">IF($G956="","Unmatched","Matched")</f>
        <v>Matched</v>
      </c>
      <c r="J956" s="7" t="n">
        <f aca="false">IF($G956&lt;&gt;"",$G956,$B956)</f>
        <v>4408051</v>
      </c>
      <c r="K956" s="7" t="str">
        <f aca="false">IF(COUNTIF($O$2:$O$16,$A956)&gt;0,"Y","N")</f>
        <v>Y</v>
      </c>
    </row>
    <row r="957" customFormat="false" ht="15" hidden="false" customHeight="false" outlineLevel="0" collapsed="false">
      <c r="A957" s="7" t="s">
        <v>38</v>
      </c>
      <c r="B957" s="7" t="s">
        <v>420</v>
      </c>
      <c r="C957" s="8" t="n">
        <v>30</v>
      </c>
      <c r="D957" s="8" t="n">
        <v>478.33</v>
      </c>
      <c r="E957" s="8" t="n">
        <v>16</v>
      </c>
      <c r="F957" s="8" t="n">
        <v>239.31</v>
      </c>
      <c r="G957" s="7" t="n">
        <f aca="false">IFERROR(INDEX('TRANS'!$B:$B,MATCH($B957,'TRANS'!$A:$A,0)),IFERROR(INDEX('TRANS'!$B:$B,MATCH(TRIM(SUBSTITUTE($B957,CHAR(160)," ")),'TRANS'!$D:$D,0)),IFERROR(INDEX('Catalog'!$A:$A,MATCH($B957,'Catalog'!$B:$B,0)),IFERROR(INDEX('Catalog'!$A:$A,MATCH(TRIM(SUBSTITUTE($B957,CHAR(160)," ")),'Catalog'!$C:$C,0)),""))))</f>
        <v>4408054</v>
      </c>
      <c r="H957" s="7" t="str">
        <f aca="false">IFERROR(INDEX('TRANS'!$C:$C,MATCH($B957,'TRANS'!$A:$A,0)),IFERROR(INDEX('Catalog'!$B:$B,MATCH($G957,'Catalog'!$A:$A,0)),$B957))</f>
        <v>21 XL חבק יד ארוך</v>
      </c>
      <c r="I957" s="7" t="str">
        <f aca="false">IF($G957="","Unmatched","Matched")</f>
        <v>Matched</v>
      </c>
      <c r="J957" s="7" t="n">
        <f aca="false">IF($G957&lt;&gt;"",$G957,$B957)</f>
        <v>4408054</v>
      </c>
      <c r="K957" s="7" t="str">
        <f aca="false">IF(COUNTIF($O$2:$O$16,$A957)&gt;0,"Y","N")</f>
        <v>Y</v>
      </c>
    </row>
    <row r="958" customFormat="false" ht="15" hidden="false" customHeight="false" outlineLevel="0" collapsed="false">
      <c r="A958" s="7" t="s">
        <v>38</v>
      </c>
      <c r="B958" s="7" t="s">
        <v>422</v>
      </c>
      <c r="C958" s="8" t="n">
        <v>0</v>
      </c>
      <c r="D958" s="8" t="n">
        <v>0</v>
      </c>
      <c r="E958" s="8" t="n">
        <v>1</v>
      </c>
      <c r="F958" s="8" t="n">
        <v>0.03</v>
      </c>
      <c r="G958" s="7" t="n">
        <f aca="false">IFERROR(INDEX('TRANS'!$B:$B,MATCH($B958,'TRANS'!$A:$A,0)),IFERROR(INDEX('TRANS'!$B:$B,MATCH(TRIM(SUBSTITUTE($B958,CHAR(160)," ")),'TRANS'!$D:$D,0)),IFERROR(INDEX('Catalog'!$A:$A,MATCH($B958,'Catalog'!$B:$B,0)),IFERROR(INDEX('Catalog'!$A:$A,MATCH(TRIM(SUBSTITUTE($B958,CHAR(160)," ")),'Catalog'!$C:$C,0)),""))))</f>
        <v>4411027</v>
      </c>
      <c r="H958" s="7" t="str">
        <f aca="false">IFERROR(INDEX('TRANS'!$C:$C,MATCH($B958,'TRANS'!$A:$A,0)),IFERROR(INDEX('Catalog'!$B:$B,MATCH($G958,'Catalog'!$A:$A,0)),$B958))</f>
        <v>213CTSL M שמאל CTS כפפות</v>
      </c>
      <c r="I958" s="7" t="str">
        <f aca="false">IF($G958="","Unmatched","Matched")</f>
        <v>Matched</v>
      </c>
      <c r="J958" s="7" t="n">
        <f aca="false">IF($G958&lt;&gt;"",$G958,$B958)</f>
        <v>4411027</v>
      </c>
      <c r="K958" s="7" t="str">
        <f aca="false">IF(COUNTIF($O$2:$O$16,$A958)&gt;0,"Y","N")</f>
        <v>Y</v>
      </c>
    </row>
    <row r="959" customFormat="false" ht="15" hidden="false" customHeight="false" outlineLevel="0" collapsed="false">
      <c r="A959" s="7" t="s">
        <v>38</v>
      </c>
      <c r="B959" s="7" t="s">
        <v>425</v>
      </c>
      <c r="C959" s="8" t="n">
        <v>0</v>
      </c>
      <c r="D959" s="8" t="n">
        <v>0</v>
      </c>
      <c r="E959" s="8" t="n">
        <v>1</v>
      </c>
      <c r="F959" s="8" t="n">
        <v>0.03</v>
      </c>
      <c r="G959" s="7" t="n">
        <f aca="false">IFERROR(INDEX('TRANS'!$B:$B,MATCH($B959,'TRANS'!$A:$A,0)),IFERROR(INDEX('TRANS'!$B:$B,MATCH(TRIM(SUBSTITUTE($B959,CHAR(160)," ")),'TRANS'!$D:$D,0)),IFERROR(INDEX('Catalog'!$A:$A,MATCH($B959,'Catalog'!$B:$B,0)),IFERROR(INDEX('Catalog'!$A:$A,MATCH(TRIM(SUBSTITUTE($B959,CHAR(160)," ")),'Catalog'!$C:$C,0)),""))))</f>
        <v>4411030</v>
      </c>
      <c r="H959" s="7" t="str">
        <f aca="false">IFERROR(INDEX('TRANS'!$C:$C,MATCH($B959,'TRANS'!$A:$A,0)),IFERROR(INDEX('Catalog'!$B:$B,MATCH($G959,'Catalog'!$A:$A,0)),$B959))</f>
        <v>213CTSR M ימין CTS כפפות</v>
      </c>
      <c r="I959" s="7" t="str">
        <f aca="false">IF($G959="","Unmatched","Matched")</f>
        <v>Matched</v>
      </c>
      <c r="J959" s="7" t="n">
        <f aca="false">IF($G959&lt;&gt;"",$G959,$B959)</f>
        <v>4411030</v>
      </c>
      <c r="K959" s="7" t="str">
        <f aca="false">IF(COUNTIF($O$2:$O$16,$A959)&gt;0,"Y","N")</f>
        <v>Y</v>
      </c>
    </row>
    <row r="960" customFormat="false" ht="15" hidden="false" customHeight="false" outlineLevel="0" collapsed="false">
      <c r="A960" s="7" t="s">
        <v>38</v>
      </c>
      <c r="B960" s="7" t="s">
        <v>427</v>
      </c>
      <c r="C960" s="8" t="n">
        <v>150</v>
      </c>
      <c r="D960" s="8" t="n">
        <v>2045.29</v>
      </c>
      <c r="E960" s="8" t="n">
        <v>75</v>
      </c>
      <c r="F960" s="8" t="n">
        <v>923.02</v>
      </c>
      <c r="G960" s="7" t="n">
        <f aca="false">IFERROR(INDEX('TRANS'!$B:$B,MATCH($B960,'TRANS'!$A:$A,0)),IFERROR(INDEX('TRANS'!$B:$B,MATCH(TRIM(SUBSTITUTE($B960,CHAR(160)," ")),'TRANS'!$D:$D,0)),IFERROR(INDEX('Catalog'!$A:$A,MATCH($B960,'Catalog'!$B:$B,0)),IFERROR(INDEX('Catalog'!$A:$A,MATCH(TRIM(SUBSTITUTE($B960,CHAR(160)," ")),'Catalog'!$C:$C,0)),""))))</f>
        <v>4415029</v>
      </c>
      <c r="H960" s="7" t="str">
        <f aca="false">IFERROR(INDEX('TRANS'!$C:$C,MATCH($B960,'TRANS'!$A:$A,0)),IFERROR(INDEX('Catalog'!$B:$B,MATCH($G960,'Catalog'!$A:$A,0)),$B960))</f>
        <v>סד קיבוע לאצבע הדק</v>
      </c>
      <c r="I960" s="7" t="str">
        <f aca="false">IF($G960="","Unmatched","Matched")</f>
        <v>Matched</v>
      </c>
      <c r="J960" s="7" t="n">
        <f aca="false">IF($G960&lt;&gt;"",$G960,$B960)</f>
        <v>4415029</v>
      </c>
      <c r="K960" s="7" t="str">
        <f aca="false">IF(COUNTIF($O$2:$O$16,$A960)&gt;0,"Y","N")</f>
        <v>Y</v>
      </c>
    </row>
    <row r="961" customFormat="false" ht="15" hidden="false" customHeight="false" outlineLevel="0" collapsed="false">
      <c r="A961" s="7" t="s">
        <v>38</v>
      </c>
      <c r="B961" s="7" t="s">
        <v>428</v>
      </c>
      <c r="C961" s="8" t="n">
        <v>440</v>
      </c>
      <c r="D961" s="8" t="n">
        <v>3720.57</v>
      </c>
      <c r="E961" s="8" t="n">
        <v>400</v>
      </c>
      <c r="F961" s="8" t="n">
        <v>3036.38</v>
      </c>
      <c r="G961" s="7" t="n">
        <f aca="false">IFERROR(INDEX('TRANS'!$B:$B,MATCH($B961,'TRANS'!$A:$A,0)),IFERROR(INDEX('TRANS'!$B:$B,MATCH(TRIM(SUBSTITUTE($B961,CHAR(160)," ")),'TRANS'!$D:$D,0)),IFERROR(INDEX('Catalog'!$A:$A,MATCH($B961,'Catalog'!$B:$B,0)),IFERROR(INDEX('Catalog'!$A:$A,MATCH(TRIM(SUBSTITUTE($B961,CHAR(160)," ")),'Catalog'!$C:$C,0)),""))))</f>
        <v>4415162</v>
      </c>
      <c r="H961" s="7" t="str">
        <f aca="false">IFERROR(INDEX('TRANS'!$C:$C,MATCH($B961,'TRANS'!$A:$A,0)),IFERROR(INDEX('Catalog'!$B:$B,MATCH($G961,'Catalog'!$A:$A,0)),$B961))</f>
        <v>238L סד ליישור אצבע</v>
      </c>
      <c r="I961" s="7" t="str">
        <f aca="false">IF($G961="","Unmatched","Matched")</f>
        <v>Matched</v>
      </c>
      <c r="J961" s="7" t="n">
        <f aca="false">IF($G961&lt;&gt;"",$G961,$B961)</f>
        <v>4415162</v>
      </c>
      <c r="K961" s="7" t="str">
        <f aca="false">IF(COUNTIF($O$2:$O$16,$A961)&gt;0,"Y","N")</f>
        <v>Y</v>
      </c>
    </row>
    <row r="962" customFormat="false" ht="15" hidden="false" customHeight="false" outlineLevel="0" collapsed="false">
      <c r="A962" s="7" t="s">
        <v>38</v>
      </c>
      <c r="B962" s="7" t="s">
        <v>429</v>
      </c>
      <c r="C962" s="8" t="n">
        <v>550</v>
      </c>
      <c r="D962" s="8" t="n">
        <v>4642.59</v>
      </c>
      <c r="E962" s="8" t="n">
        <v>430</v>
      </c>
      <c r="F962" s="8" t="n">
        <v>3256.42</v>
      </c>
      <c r="G962" s="7" t="n">
        <f aca="false">IFERROR(INDEX('TRANS'!$B:$B,MATCH($B962,'TRANS'!$A:$A,0)),IFERROR(INDEX('TRANS'!$B:$B,MATCH(TRIM(SUBSTITUTE($B962,CHAR(160)," ")),'TRANS'!$D:$D,0)),IFERROR(INDEX('Catalog'!$A:$A,MATCH($B962,'Catalog'!$B:$B,0)),IFERROR(INDEX('Catalog'!$A:$A,MATCH(TRIM(SUBSTITUTE($B962,CHAR(160)," ")),'Catalog'!$C:$C,0)),""))))</f>
        <v>4415161</v>
      </c>
      <c r="H962" s="7" t="str">
        <f aca="false">IFERROR(INDEX('TRANS'!$C:$C,MATCH($B962,'TRANS'!$A:$A,0)),IFERROR(INDEX('Catalog'!$B:$B,MATCH($G962,'Catalog'!$A:$A,0)),$B962))</f>
        <v>238M סד ליישור אצבע</v>
      </c>
      <c r="I962" s="7" t="str">
        <f aca="false">IF($G962="","Unmatched","Matched")</f>
        <v>Matched</v>
      </c>
      <c r="J962" s="7" t="n">
        <f aca="false">IF($G962&lt;&gt;"",$G962,$B962)</f>
        <v>4415161</v>
      </c>
      <c r="K962" s="7" t="str">
        <f aca="false">IF(COUNTIF($O$2:$O$16,$A962)&gt;0,"Y","N")</f>
        <v>Y</v>
      </c>
    </row>
    <row r="963" customFormat="false" ht="15" hidden="false" customHeight="false" outlineLevel="0" collapsed="false">
      <c r="A963" s="7" t="s">
        <v>38</v>
      </c>
      <c r="B963" s="7" t="s">
        <v>430</v>
      </c>
      <c r="C963" s="8" t="n">
        <v>380</v>
      </c>
      <c r="D963" s="8" t="n">
        <v>3214.37</v>
      </c>
      <c r="E963" s="8" t="n">
        <v>260</v>
      </c>
      <c r="F963" s="8" t="n">
        <v>1967.67</v>
      </c>
      <c r="G963" s="7" t="n">
        <f aca="false">IFERROR(INDEX('TRANS'!$B:$B,MATCH($B963,'TRANS'!$A:$A,0)),IFERROR(INDEX('TRANS'!$B:$B,MATCH(TRIM(SUBSTITUTE($B963,CHAR(160)," ")),'TRANS'!$D:$D,0)),IFERROR(INDEX('Catalog'!$A:$A,MATCH($B963,'Catalog'!$B:$B,0)),IFERROR(INDEX('Catalog'!$A:$A,MATCH(TRIM(SUBSTITUTE($B963,CHAR(160)," ")),'Catalog'!$C:$C,0)),""))))</f>
        <v>4415160</v>
      </c>
      <c r="H963" s="7" t="str">
        <f aca="false">IFERROR(INDEX('TRANS'!$C:$C,MATCH($B963,'TRANS'!$A:$A,0)),IFERROR(INDEX('Catalog'!$B:$B,MATCH($G963,'Catalog'!$A:$A,0)),$B963))</f>
        <v>238S סד ליישור אצבע</v>
      </c>
      <c r="I963" s="7" t="str">
        <f aca="false">IF($G963="","Unmatched","Matched")</f>
        <v>Matched</v>
      </c>
      <c r="J963" s="7" t="n">
        <f aca="false">IF($G963&lt;&gt;"",$G963,$B963)</f>
        <v>4415160</v>
      </c>
      <c r="K963" s="7" t="str">
        <f aca="false">IF(COUNTIF($O$2:$O$16,$A963)&gt;0,"Y","N")</f>
        <v>Y</v>
      </c>
    </row>
    <row r="964" customFormat="false" ht="15" hidden="false" customHeight="false" outlineLevel="0" collapsed="false">
      <c r="A964" s="7" t="s">
        <v>38</v>
      </c>
      <c r="B964" s="7" t="s">
        <v>431</v>
      </c>
      <c r="C964" s="8" t="n">
        <v>135</v>
      </c>
      <c r="D964" s="8" t="n">
        <v>1140.49</v>
      </c>
      <c r="E964" s="8" t="n">
        <v>100</v>
      </c>
      <c r="F964" s="8" t="n">
        <v>757.71</v>
      </c>
      <c r="G964" s="7" t="n">
        <f aca="false">IFERROR(INDEX('TRANS'!$B:$B,MATCH($B964,'TRANS'!$A:$A,0)),IFERROR(INDEX('TRANS'!$B:$B,MATCH(TRIM(SUBSTITUTE($B964,CHAR(160)," ")),'TRANS'!$D:$D,0)),IFERROR(INDEX('Catalog'!$A:$A,MATCH($B964,'Catalog'!$B:$B,0)),IFERROR(INDEX('Catalog'!$A:$A,MATCH(TRIM(SUBSTITUTE($B964,CHAR(160)," ")),'Catalog'!$C:$C,0)),""))))</f>
        <v>4415163</v>
      </c>
      <c r="H964" s="7" t="str">
        <f aca="false">IFERROR(INDEX('TRANS'!$C:$C,MATCH($B964,'TRANS'!$A:$A,0)),IFERROR(INDEX('Catalog'!$B:$B,MATCH($G964,'Catalog'!$A:$A,0)),$B964))</f>
        <v>238XL סד ליישור אצבע</v>
      </c>
      <c r="I964" s="7" t="str">
        <f aca="false">IF($G964="","Unmatched","Matched")</f>
        <v>Matched</v>
      </c>
      <c r="J964" s="7" t="n">
        <f aca="false">IF($G964&lt;&gt;"",$G964,$B964)</f>
        <v>4415163</v>
      </c>
      <c r="K964" s="7" t="str">
        <f aca="false">IF(COUNTIF($O$2:$O$16,$A964)&gt;0,"Y","N")</f>
        <v>Y</v>
      </c>
    </row>
    <row r="965" customFormat="false" ht="15" hidden="false" customHeight="false" outlineLevel="0" collapsed="false">
      <c r="A965" s="7" t="s">
        <v>38</v>
      </c>
      <c r="B965" s="7" t="s">
        <v>94</v>
      </c>
      <c r="C965" s="8" t="n">
        <v>1</v>
      </c>
      <c r="D965" s="8" t="n">
        <v>0.04</v>
      </c>
      <c r="E965" s="8" t="n">
        <v>0</v>
      </c>
      <c r="F965" s="8" t="n">
        <v>0</v>
      </c>
      <c r="G965" s="7" t="str">
        <f aca="false">IFERROR(INDEX('TRANS'!$B:$B,MATCH($B965,'TRANS'!$A:$A,0)),IFERROR(INDEX('TRANS'!$B:$B,MATCH(TRIM(SUBSTITUTE($B965,CHAR(160)," ")),'TRANS'!$D:$D,0)),IFERROR(INDEX('Catalog'!$A:$A,MATCH($B965,'Catalog'!$B:$B,0)),IFERROR(INDEX('Catalog'!$A:$A,MATCH(TRIM(SUBSTITUTE($B965,CHAR(160)," ")),'Catalog'!$C:$C,0)),""))))</f>
        <v/>
      </c>
      <c r="H965" s="7" t="str">
        <f aca="false">IFERROR(INDEX('TRANS'!$C:$C,MATCH($B965,'TRANS'!$A:$A,0)),IFERROR(INDEX('Catalog'!$B:$B,MATCH($G965,'Catalog'!$A:$A,0)),$B965))</f>
        <v>239P-S-M</v>
      </c>
      <c r="I965" s="7" t="str">
        <f aca="false">IF($G965="","Unmatched","Matched")</f>
        <v>Unmatched</v>
      </c>
      <c r="J965" s="7" t="str">
        <f aca="false">IF($G965&lt;&gt;"",$G965,$B965)</f>
        <v>239P-S-M</v>
      </c>
      <c r="K965" s="7" t="str">
        <f aca="false">IF(COUNTIF($O$2:$O$16,$A965)&gt;0,"Y","N")</f>
        <v>Y</v>
      </c>
    </row>
    <row r="966" customFormat="false" ht="15" hidden="false" customHeight="false" outlineLevel="0" collapsed="false">
      <c r="A966" s="7" t="s">
        <v>38</v>
      </c>
      <c r="B966" s="7" t="s">
        <v>601</v>
      </c>
      <c r="C966" s="8" t="n">
        <v>1</v>
      </c>
      <c r="D966" s="8" t="n">
        <v>0.04</v>
      </c>
      <c r="E966" s="8" t="n">
        <v>0</v>
      </c>
      <c r="F966" s="8" t="n">
        <v>0</v>
      </c>
      <c r="G966" s="7" t="n">
        <f aca="false">IFERROR(INDEX('TRANS'!$B:$B,MATCH($B966,'TRANS'!$A:$A,0)),IFERROR(INDEX('TRANS'!$B:$B,MATCH(TRIM(SUBSTITUTE($B966,CHAR(160)," ")),'TRANS'!$D:$D,0)),IFERROR(INDEX('Catalog'!$A:$A,MATCH($B966,'Catalog'!$B:$B,0)),IFERROR(INDEX('Catalog'!$A:$A,MATCH(TRIM(SUBSTITUTE($B966,CHAR(160)," ")),'Catalog'!$C:$C,0)),""))))</f>
        <v>4419014</v>
      </c>
      <c r="H966" s="7" t="str">
        <f aca="false">IFERROR(INDEX('TRANS'!$C:$C,MATCH($B966,'TRANS'!$A:$A,0)),IFERROR(INDEX('Catalog'!$B:$B,MATCH($G966,'Catalog'!$A:$A,0)),$B966))</f>
        <v>239TR L-XL STRAP4U</v>
      </c>
      <c r="I966" s="7" t="str">
        <f aca="false">IF($G966="","Unmatched","Matched")</f>
        <v>Matched</v>
      </c>
      <c r="J966" s="7" t="n">
        <f aca="false">IF($G966&lt;&gt;"",$G966,$B966)</f>
        <v>4419014</v>
      </c>
      <c r="K966" s="7" t="str">
        <f aca="false">IF(COUNTIF($O$2:$O$16,$A966)&gt;0,"Y","N")</f>
        <v>Y</v>
      </c>
    </row>
    <row r="967" customFormat="false" ht="15" hidden="false" customHeight="false" outlineLevel="0" collapsed="false">
      <c r="A967" s="7" t="s">
        <v>38</v>
      </c>
      <c r="B967" s="7" t="s">
        <v>432</v>
      </c>
      <c r="C967" s="8" t="n">
        <v>176</v>
      </c>
      <c r="D967" s="8" t="n">
        <v>3255.37</v>
      </c>
      <c r="E967" s="8" t="n">
        <v>145</v>
      </c>
      <c r="F967" s="8" t="n">
        <v>2420.38</v>
      </c>
      <c r="G967" s="7" t="n">
        <f aca="false">IFERROR(INDEX('TRANS'!$B:$B,MATCH($B967,'TRANS'!$A:$A,0)),IFERROR(INDEX('TRANS'!$B:$B,MATCH(TRIM(SUBSTITUTE($B967,CHAR(160)," ")),'TRANS'!$D:$D,0)),IFERROR(INDEX('Catalog'!$A:$A,MATCH($B967,'Catalog'!$B:$B,0)),IFERROR(INDEX('Catalog'!$A:$A,MATCH(TRIM(SUBSTITUTE($B967,CHAR(160)," ")),'Catalog'!$C:$C,0)),""))))</f>
        <v>4421005</v>
      </c>
      <c r="H967" s="7" t="str">
        <f aca="false">IFERROR(INDEX('TRANS'!$C:$C,MATCH($B967,'TRANS'!$A:$A,0)),IFERROR(INDEX('Catalog'!$B:$B,MATCH($G967,'Catalog'!$A:$A,0)),$B967))</f>
        <v>שרוול לגבס קצר יד</v>
      </c>
      <c r="I967" s="7" t="str">
        <f aca="false">IF($G967="","Unmatched","Matched")</f>
        <v>Matched</v>
      </c>
      <c r="J967" s="7" t="n">
        <f aca="false">IF($G967&lt;&gt;"",$G967,$B967)</f>
        <v>4421005</v>
      </c>
      <c r="K967" s="7" t="str">
        <f aca="false">IF(COUNTIF($O$2:$O$16,$A967)&gt;0,"Y","N")</f>
        <v>Y</v>
      </c>
    </row>
    <row r="968" customFormat="false" ht="15" hidden="false" customHeight="false" outlineLevel="0" collapsed="false">
      <c r="A968" s="7" t="s">
        <v>38</v>
      </c>
      <c r="B968" s="7" t="s">
        <v>433</v>
      </c>
      <c r="C968" s="8" t="n">
        <v>325</v>
      </c>
      <c r="D968" s="8" t="n">
        <v>6622.52</v>
      </c>
      <c r="E968" s="8" t="n">
        <v>220</v>
      </c>
      <c r="F968" s="8" t="n">
        <v>4021.87</v>
      </c>
      <c r="G968" s="7" t="n">
        <f aca="false">IFERROR(INDEX('TRANS'!$B:$B,MATCH($B968,'TRANS'!$A:$A,0)),IFERROR(INDEX('TRANS'!$B:$B,MATCH(TRIM(SUBSTITUTE($B968,CHAR(160)," ")),'TRANS'!$D:$D,0)),IFERROR(INDEX('Catalog'!$A:$A,MATCH($B968,'Catalog'!$B:$B,0)),IFERROR(INDEX('Catalog'!$A:$A,MATCH(TRIM(SUBSTITUTE($B968,CHAR(160)," ")),'Catalog'!$C:$C,0)),""))))</f>
        <v>4421006</v>
      </c>
      <c r="H968" s="7" t="str">
        <f aca="false">IFERROR(INDEX('TRANS'!$C:$C,MATCH($B968,'TRANS'!$A:$A,0)),IFERROR(INDEX('Catalog'!$B:$B,MATCH($G968,'Catalog'!$A:$A,0)),$B968))</f>
        <v>שרוול לגבס ארוך יד</v>
      </c>
      <c r="I968" s="7" t="str">
        <f aca="false">IF($G968="","Unmatched","Matched")</f>
        <v>Matched</v>
      </c>
      <c r="J968" s="7" t="n">
        <f aca="false">IF($G968&lt;&gt;"",$G968,$B968)</f>
        <v>4421006</v>
      </c>
      <c r="K968" s="7" t="str">
        <f aca="false">IF(COUNTIF($O$2:$O$16,$A968)&gt;0,"Y","N")</f>
        <v>Y</v>
      </c>
    </row>
    <row r="969" customFormat="false" ht="15" hidden="false" customHeight="false" outlineLevel="0" collapsed="false">
      <c r="A969" s="7" t="s">
        <v>38</v>
      </c>
      <c r="B969" s="7" t="s">
        <v>617</v>
      </c>
      <c r="C969" s="8" t="n">
        <v>78</v>
      </c>
      <c r="D969" s="8" t="n">
        <v>3401.19</v>
      </c>
      <c r="E969" s="8" t="n">
        <v>20</v>
      </c>
      <c r="F969" s="8" t="n">
        <v>780.96</v>
      </c>
      <c r="G969" s="7" t="n">
        <f aca="false">IFERROR(INDEX('TRANS'!$B:$B,MATCH($B969,'TRANS'!$A:$A,0)),IFERROR(INDEX('TRANS'!$B:$B,MATCH(TRIM(SUBSTITUTE($B969,CHAR(160)," ")),'TRANS'!$D:$D,0)),IFERROR(INDEX('Catalog'!$A:$A,MATCH($B969,'Catalog'!$B:$B,0)),IFERROR(INDEX('Catalog'!$A:$A,MATCH(TRIM(SUBSTITUTE($B969,CHAR(160)," ")),'Catalog'!$C:$C,0)),""))))</f>
        <v>4415000</v>
      </c>
      <c r="H969" s="7" t="str">
        <f aca="false">IFERROR(INDEX('TRANS'!$C:$C,MATCH($B969,'TRANS'!$A:$A,0)),IFERROR(INDEX('Catalog'!$B:$B,MATCH($G969,'Catalog'!$A:$A,0)),$B969))</f>
        <v>26 L סד ליד דו צדדי לאחר שבר</v>
      </c>
      <c r="I969" s="7" t="str">
        <f aca="false">IF($G969="","Unmatched","Matched")</f>
        <v>Matched</v>
      </c>
      <c r="J969" s="7" t="n">
        <f aca="false">IF($G969&lt;&gt;"",$G969,$B969)</f>
        <v>4415000</v>
      </c>
      <c r="K969" s="7" t="str">
        <f aca="false">IF(COUNTIF($O$2:$O$16,$A969)&gt;0,"Y","N")</f>
        <v>Y</v>
      </c>
    </row>
    <row r="970" customFormat="false" ht="15" hidden="false" customHeight="false" outlineLevel="0" collapsed="false">
      <c r="A970" s="7" t="s">
        <v>38</v>
      </c>
      <c r="B970" s="7" t="s">
        <v>618</v>
      </c>
      <c r="C970" s="8" t="n">
        <v>73</v>
      </c>
      <c r="D970" s="8" t="n">
        <v>3190.5</v>
      </c>
      <c r="E970" s="8" t="n">
        <v>35</v>
      </c>
      <c r="F970" s="8" t="n">
        <v>1372.39</v>
      </c>
      <c r="G970" s="7" t="n">
        <f aca="false">IFERROR(INDEX('TRANS'!$B:$B,MATCH($B970,'TRANS'!$A:$A,0)),IFERROR(INDEX('TRANS'!$B:$B,MATCH(TRIM(SUBSTITUTE($B970,CHAR(160)," ")),'TRANS'!$D:$D,0)),IFERROR(INDEX('Catalog'!$A:$A,MATCH($B970,'Catalog'!$B:$B,0)),IFERROR(INDEX('Catalog'!$A:$A,MATCH(TRIM(SUBSTITUTE($B970,CHAR(160)," ")),'Catalog'!$C:$C,0)),""))))</f>
        <v>4415001</v>
      </c>
      <c r="H970" s="7" t="str">
        <f aca="false">IFERROR(INDEX('TRANS'!$C:$C,MATCH($B970,'TRANS'!$A:$A,0)),IFERROR(INDEX('Catalog'!$B:$B,MATCH($G970,'Catalog'!$A:$A,0)),$B970))</f>
        <v>26 M סד ליד דו צדדי לאחר שבר</v>
      </c>
      <c r="I970" s="7" t="str">
        <f aca="false">IF($G970="","Unmatched","Matched")</f>
        <v>Matched</v>
      </c>
      <c r="J970" s="7" t="n">
        <f aca="false">IF($G970&lt;&gt;"",$G970,$B970)</f>
        <v>4415001</v>
      </c>
      <c r="K970" s="7" t="str">
        <f aca="false">IF(COUNTIF($O$2:$O$16,$A970)&gt;0,"Y","N")</f>
        <v>Y</v>
      </c>
    </row>
    <row r="971" customFormat="false" ht="15" hidden="false" customHeight="false" outlineLevel="0" collapsed="false">
      <c r="A971" s="7" t="s">
        <v>38</v>
      </c>
      <c r="B971" s="7" t="s">
        <v>619</v>
      </c>
      <c r="C971" s="8" t="n">
        <v>34</v>
      </c>
      <c r="D971" s="8" t="n">
        <v>1463.36</v>
      </c>
      <c r="E971" s="8" t="n">
        <v>16</v>
      </c>
      <c r="F971" s="8" t="n">
        <v>636.28</v>
      </c>
      <c r="G971" s="7" t="n">
        <f aca="false">IFERROR(INDEX('TRANS'!$B:$B,MATCH($B971,'TRANS'!$A:$A,0)),IFERROR(INDEX('TRANS'!$B:$B,MATCH(TRIM(SUBSTITUTE($B971,CHAR(160)," ")),'TRANS'!$D:$D,0)),IFERROR(INDEX('Catalog'!$A:$A,MATCH($B971,'Catalog'!$B:$B,0)),IFERROR(INDEX('Catalog'!$A:$A,MATCH(TRIM(SUBSTITUTE($B971,CHAR(160)," ")),'Catalog'!$C:$C,0)),""))))</f>
        <v>4415002</v>
      </c>
      <c r="H971" s="7" t="str">
        <f aca="false">IFERROR(INDEX('TRANS'!$C:$C,MATCH($B971,'TRANS'!$A:$A,0)),IFERROR(INDEX('Catalog'!$B:$B,MATCH($G971,'Catalog'!$A:$A,0)),$B971))</f>
        <v>26 S סד ליד דו צדדי לאחר שבר</v>
      </c>
      <c r="I971" s="7" t="str">
        <f aca="false">IF($G971="","Unmatched","Matched")</f>
        <v>Matched</v>
      </c>
      <c r="J971" s="7" t="n">
        <f aca="false">IF($G971&lt;&gt;"",$G971,$B971)</f>
        <v>4415002</v>
      </c>
      <c r="K971" s="7" t="str">
        <f aca="false">IF(COUNTIF($O$2:$O$16,$A971)&gt;0,"Y","N")</f>
        <v>Y</v>
      </c>
    </row>
    <row r="972" customFormat="false" ht="15" hidden="false" customHeight="false" outlineLevel="0" collapsed="false">
      <c r="A972" s="7" t="s">
        <v>38</v>
      </c>
      <c r="B972" s="7" t="s">
        <v>620</v>
      </c>
      <c r="C972" s="8" t="n">
        <v>21</v>
      </c>
      <c r="D972" s="8" t="n">
        <v>932.1</v>
      </c>
      <c r="E972" s="8" t="n">
        <v>6</v>
      </c>
      <c r="F972" s="8" t="n">
        <v>236.57</v>
      </c>
      <c r="G972" s="7" t="n">
        <f aca="false">IFERROR(INDEX('TRANS'!$B:$B,MATCH($B972,'TRANS'!$A:$A,0)),IFERROR(INDEX('TRANS'!$B:$B,MATCH(TRIM(SUBSTITUTE($B972,CHAR(160)," ")),'TRANS'!$D:$D,0)),IFERROR(INDEX('Catalog'!$A:$A,MATCH($B972,'Catalog'!$B:$B,0)),IFERROR(INDEX('Catalog'!$A:$A,MATCH(TRIM(SUBSTITUTE($B972,CHAR(160)," ")),'Catalog'!$C:$C,0)),""))))</f>
        <v>4415003</v>
      </c>
      <c r="H972" s="7" t="str">
        <f aca="false">IFERROR(INDEX('TRANS'!$C:$C,MATCH($B972,'TRANS'!$A:$A,0)),IFERROR(INDEX('Catalog'!$B:$B,MATCH($G972,'Catalog'!$A:$A,0)),$B972))</f>
        <v>26 XL סד ליד דו צדדי לאחר שבר</v>
      </c>
      <c r="I972" s="7" t="str">
        <f aca="false">IF($G972="","Unmatched","Matched")</f>
        <v>Matched</v>
      </c>
      <c r="J972" s="7" t="n">
        <f aca="false">IF($G972&lt;&gt;"",$G972,$B972)</f>
        <v>4415003</v>
      </c>
      <c r="K972" s="7" t="str">
        <f aca="false">IF(COUNTIF($O$2:$O$16,$A972)&gt;0,"Y","N")</f>
        <v>Y</v>
      </c>
    </row>
    <row r="973" customFormat="false" ht="15" hidden="false" customHeight="false" outlineLevel="0" collapsed="false">
      <c r="A973" s="7" t="s">
        <v>38</v>
      </c>
      <c r="B973" s="7" t="s">
        <v>393</v>
      </c>
      <c r="C973" s="8" t="n">
        <v>630</v>
      </c>
      <c r="D973" s="8" t="n">
        <v>13891.34</v>
      </c>
      <c r="E973" s="8" t="n">
        <v>540</v>
      </c>
      <c r="F973" s="8" t="n">
        <v>10651.8</v>
      </c>
      <c r="G973" s="7" t="n">
        <f aca="false">IFERROR(INDEX('TRANS'!$B:$B,MATCH($B973,'TRANS'!$A:$A,0)),IFERROR(INDEX('TRANS'!$B:$B,MATCH(TRIM(SUBSTITUTE($B973,CHAR(160)," ")),'TRANS'!$D:$D,0)),IFERROR(INDEX('Catalog'!$A:$A,MATCH($B973,'Catalog'!$B:$B,0)),IFERROR(INDEX('Catalog'!$A:$A,MATCH(TRIM(SUBSTITUTE($B973,CHAR(160)," ")),'Catalog'!$C:$C,0)),""))))</f>
        <v>4415158</v>
      </c>
      <c r="H973" s="7" t="str">
        <f aca="false">IFERROR(INDEX('TRANS'!$C:$C,MATCH($B973,'TRANS'!$A:$A,0)),IFERROR(INDEX('Catalog'!$B:$B,MATCH($G973,'Catalog'!$A:$A,0)),$B973))</f>
        <v>266 סד ליד דו צדדי</v>
      </c>
      <c r="I973" s="7" t="str">
        <f aca="false">IF($G973="","Unmatched","Matched")</f>
        <v>Matched</v>
      </c>
      <c r="J973" s="7" t="n">
        <f aca="false">IF($G973&lt;&gt;"",$G973,$B973)</f>
        <v>4415158</v>
      </c>
      <c r="K973" s="7" t="str">
        <f aca="false">IF(COUNTIF($O$2:$O$16,$A973)&gt;0,"Y","N")</f>
        <v>Y</v>
      </c>
    </row>
    <row r="974" customFormat="false" ht="15" hidden="false" customHeight="false" outlineLevel="0" collapsed="false">
      <c r="A974" s="7" t="s">
        <v>38</v>
      </c>
      <c r="B974" s="7" t="s">
        <v>434</v>
      </c>
      <c r="C974" s="8" t="n">
        <v>400</v>
      </c>
      <c r="D974" s="8" t="n">
        <v>13613.37</v>
      </c>
      <c r="E974" s="8" t="n">
        <v>280</v>
      </c>
      <c r="F974" s="8" t="n">
        <v>8584.17</v>
      </c>
      <c r="G974" s="7" t="n">
        <f aca="false">IFERROR(INDEX('TRANS'!$B:$B,MATCH($B974,'TRANS'!$A:$A,0)),IFERROR(INDEX('TRANS'!$B:$B,MATCH(TRIM(SUBSTITUTE($B974,CHAR(160)," ")),'TRANS'!$D:$D,0)),IFERROR(INDEX('Catalog'!$A:$A,MATCH($B974,'Catalog'!$B:$B,0)),IFERROR(INDEX('Catalog'!$A:$A,MATCH(TRIM(SUBSTITUTE($B974,CHAR(160)," ")),'Catalog'!$C:$C,0)),""))))</f>
        <v>4415159</v>
      </c>
      <c r="H974" s="7" t="str">
        <f aca="false">IFERROR(INDEX('TRANS'!$C:$C,MATCH($B974,'TRANS'!$A:$A,0)),IFERROR(INDEX('Catalog'!$B:$B,MATCH($G974,'Catalog'!$A:$A,0)),$B974))</f>
        <v>268 סד לאגודל</v>
      </c>
      <c r="I974" s="7" t="str">
        <f aca="false">IF($G974="","Unmatched","Matched")</f>
        <v>Matched</v>
      </c>
      <c r="J974" s="7" t="n">
        <f aca="false">IF($G974&lt;&gt;"",$G974,$B974)</f>
        <v>4415159</v>
      </c>
      <c r="K974" s="7" t="str">
        <f aca="false">IF(COUNTIF($O$2:$O$16,$A974)&gt;0,"Y","N")</f>
        <v>Y</v>
      </c>
    </row>
    <row r="975" customFormat="false" ht="15" hidden="false" customHeight="false" outlineLevel="0" collapsed="false">
      <c r="A975" s="7" t="s">
        <v>38</v>
      </c>
      <c r="B975" s="7" t="s">
        <v>435</v>
      </c>
      <c r="C975" s="8" t="n">
        <v>16</v>
      </c>
      <c r="D975" s="8" t="n">
        <v>555.17</v>
      </c>
      <c r="E975" s="8" t="n">
        <v>31</v>
      </c>
      <c r="F975" s="8" t="n">
        <v>1011.7</v>
      </c>
      <c r="G975" s="7" t="n">
        <f aca="false">IFERROR(INDEX('TRANS'!$B:$B,MATCH($B975,'TRANS'!$A:$A,0)),IFERROR(INDEX('TRANS'!$B:$B,MATCH(TRIM(SUBSTITUTE($B975,CHAR(160)," ")),'TRANS'!$D:$D,0)),IFERROR(INDEX('Catalog'!$A:$A,MATCH($B975,'Catalog'!$B:$B,0)),IFERROR(INDEX('Catalog'!$A:$A,MATCH(TRIM(SUBSTITUTE($B975,CHAR(160)," ")),'Catalog'!$C:$C,0)),""))))</f>
        <v>4415005</v>
      </c>
      <c r="H975" s="7" t="str">
        <f aca="false">IFERROR(INDEX('TRANS'!$C:$C,MATCH($B975,'TRANS'!$A:$A,0)),IFERROR(INDEX('Catalog'!$B:$B,MATCH($G975,'Catalog'!$A:$A,0)),$B975))</f>
        <v>28 L סד לאגודל לאחר שבר</v>
      </c>
      <c r="I975" s="7" t="str">
        <f aca="false">IF($G975="","Unmatched","Matched")</f>
        <v>Matched</v>
      </c>
      <c r="J975" s="7" t="n">
        <f aca="false">IF($G975&lt;&gt;"",$G975,$B975)</f>
        <v>4415005</v>
      </c>
      <c r="K975" s="7" t="str">
        <f aca="false">IF(COUNTIF($O$2:$O$16,$A975)&gt;0,"Y","N")</f>
        <v>Y</v>
      </c>
    </row>
    <row r="976" customFormat="false" ht="15" hidden="false" customHeight="false" outlineLevel="0" collapsed="false">
      <c r="A976" s="7" t="s">
        <v>38</v>
      </c>
      <c r="B976" s="7" t="s">
        <v>436</v>
      </c>
      <c r="C976" s="8" t="n">
        <v>61</v>
      </c>
      <c r="D976" s="8" t="n">
        <v>2217.04</v>
      </c>
      <c r="E976" s="8" t="n">
        <v>45</v>
      </c>
      <c r="F976" s="8" t="n">
        <v>1453.13</v>
      </c>
      <c r="G976" s="7" t="n">
        <f aca="false">IFERROR(INDEX('TRANS'!$B:$B,MATCH($B976,'TRANS'!$A:$A,0)),IFERROR(INDEX('TRANS'!$B:$B,MATCH(TRIM(SUBSTITUTE($B976,CHAR(160)," ")),'TRANS'!$D:$D,0)),IFERROR(INDEX('Catalog'!$A:$A,MATCH($B976,'Catalog'!$B:$B,0)),IFERROR(INDEX('Catalog'!$A:$A,MATCH(TRIM(SUBSTITUTE($B976,CHAR(160)," ")),'Catalog'!$C:$C,0)),""))))</f>
        <v>4415006</v>
      </c>
      <c r="H976" s="7" t="str">
        <f aca="false">IFERROR(INDEX('TRANS'!$C:$C,MATCH($B976,'TRANS'!$A:$A,0)),IFERROR(INDEX('Catalog'!$B:$B,MATCH($G976,'Catalog'!$A:$A,0)),$B976))</f>
        <v>28 M סד לאגודל לאחר שבר</v>
      </c>
      <c r="I976" s="7" t="str">
        <f aca="false">IF($G976="","Unmatched","Matched")</f>
        <v>Matched</v>
      </c>
      <c r="J976" s="7" t="n">
        <f aca="false">IF($G976&lt;&gt;"",$G976,$B976)</f>
        <v>4415006</v>
      </c>
      <c r="K976" s="7" t="str">
        <f aca="false">IF(COUNTIF($O$2:$O$16,$A976)&gt;0,"Y","N")</f>
        <v>Y</v>
      </c>
    </row>
    <row r="977" customFormat="false" ht="15" hidden="false" customHeight="false" outlineLevel="0" collapsed="false">
      <c r="A977" s="7" t="s">
        <v>38</v>
      </c>
      <c r="B977" s="7" t="s">
        <v>437</v>
      </c>
      <c r="C977" s="8" t="n">
        <v>27</v>
      </c>
      <c r="D977" s="8" t="n">
        <v>967.81</v>
      </c>
      <c r="E977" s="8" t="n">
        <v>60</v>
      </c>
      <c r="F977" s="8" t="n">
        <v>1951.58</v>
      </c>
      <c r="G977" s="7" t="n">
        <f aca="false">IFERROR(INDEX('TRANS'!$B:$B,MATCH($B977,'TRANS'!$A:$A,0)),IFERROR(INDEX('TRANS'!$B:$B,MATCH(TRIM(SUBSTITUTE($B977,CHAR(160)," ")),'TRANS'!$D:$D,0)),IFERROR(INDEX('Catalog'!$A:$A,MATCH($B977,'Catalog'!$B:$B,0)),IFERROR(INDEX('Catalog'!$A:$A,MATCH(TRIM(SUBSTITUTE($B977,CHAR(160)," ")),'Catalog'!$C:$C,0)),""))))</f>
        <v>4415007</v>
      </c>
      <c r="H977" s="7" t="str">
        <f aca="false">IFERROR(INDEX('TRANS'!$C:$C,MATCH($B977,'TRANS'!$A:$A,0)),IFERROR(INDEX('Catalog'!$B:$B,MATCH($G977,'Catalog'!$A:$A,0)),$B977))</f>
        <v>28 S סד לאגודל לאחר שבר</v>
      </c>
      <c r="I977" s="7" t="str">
        <f aca="false">IF($G977="","Unmatched","Matched")</f>
        <v>Matched</v>
      </c>
      <c r="J977" s="7" t="n">
        <f aca="false">IF($G977&lt;&gt;"",$G977,$B977)</f>
        <v>4415007</v>
      </c>
      <c r="K977" s="7" t="str">
        <f aca="false">IF(COUNTIF($O$2:$O$16,$A977)&gt;0,"Y","N")</f>
        <v>Y</v>
      </c>
    </row>
    <row r="978" customFormat="false" ht="15" hidden="false" customHeight="false" outlineLevel="0" collapsed="false">
      <c r="A978" s="7" t="s">
        <v>38</v>
      </c>
      <c r="B978" s="7" t="s">
        <v>438</v>
      </c>
      <c r="C978" s="8" t="n">
        <v>0</v>
      </c>
      <c r="D978" s="8" t="n">
        <v>0</v>
      </c>
      <c r="E978" s="8" t="n">
        <v>12</v>
      </c>
      <c r="F978" s="8" t="n">
        <v>392.38</v>
      </c>
      <c r="G978" s="7" t="n">
        <f aca="false">IFERROR(INDEX('TRANS'!$B:$B,MATCH($B978,'TRANS'!$A:$A,0)),IFERROR(INDEX('TRANS'!$B:$B,MATCH(TRIM(SUBSTITUTE($B978,CHAR(160)," ")),'TRANS'!$D:$D,0)),IFERROR(INDEX('Catalog'!$A:$A,MATCH($B978,'Catalog'!$B:$B,0)),IFERROR(INDEX('Catalog'!$A:$A,MATCH(TRIM(SUBSTITUTE($B978,CHAR(160)," ")),'Catalog'!$C:$C,0)),""))))</f>
        <v>4415008</v>
      </c>
      <c r="H978" s="7" t="str">
        <f aca="false">IFERROR(INDEX('TRANS'!$C:$C,MATCH($B978,'TRANS'!$A:$A,0)),IFERROR(INDEX('Catalog'!$B:$B,MATCH($G978,'Catalog'!$A:$A,0)),$B978))</f>
        <v>28 XL סד לאגודל לאחר שבר</v>
      </c>
      <c r="I978" s="7" t="str">
        <f aca="false">IF($G978="","Unmatched","Matched")</f>
        <v>Matched</v>
      </c>
      <c r="J978" s="7" t="n">
        <f aca="false">IF($G978&lt;&gt;"",$G978,$B978)</f>
        <v>4415008</v>
      </c>
      <c r="K978" s="7" t="str">
        <f aca="false">IF(COUNTIF($O$2:$O$16,$A978)&gt;0,"Y","N")</f>
        <v>Y</v>
      </c>
    </row>
    <row r="979" customFormat="false" ht="15" hidden="false" customHeight="false" outlineLevel="0" collapsed="false">
      <c r="A979" s="7" t="s">
        <v>38</v>
      </c>
      <c r="B979" s="7" t="s">
        <v>210</v>
      </c>
      <c r="C979" s="8" t="n">
        <v>10</v>
      </c>
      <c r="D979" s="8" t="n">
        <v>296.42</v>
      </c>
      <c r="E979" s="8" t="n">
        <v>0</v>
      </c>
      <c r="F979" s="8" t="n">
        <v>0</v>
      </c>
      <c r="G979" s="7" t="str">
        <f aca="false">IFERROR(INDEX('TRANS'!$B:$B,MATCH($B979,'TRANS'!$A:$A,0)),IFERROR(INDEX('TRANS'!$B:$B,MATCH(TRIM(SUBSTITUTE($B979,CHAR(160)," ")),'TRANS'!$D:$D,0)),IFERROR(INDEX('Catalog'!$A:$A,MATCH($B979,'Catalog'!$B:$B,0)),IFERROR(INDEX('Catalog'!$A:$A,MATCH(TRIM(SUBSTITUTE($B979,CHAR(160)," ")),'Catalog'!$C:$C,0)),""))))</f>
        <v/>
      </c>
      <c r="H979" s="7" t="str">
        <f aca="false">IFERROR(INDEX('TRANS'!$C:$C,MATCH($B979,'TRANS'!$A:$A,0)),IFERROR(INDEX('Catalog'!$B:$B,MATCH($G979,'Catalog'!$A:$A,0)),$B979))</f>
        <v>30 L</v>
      </c>
      <c r="I979" s="7" t="str">
        <f aca="false">IF($G979="","Unmatched","Matched")</f>
        <v>Unmatched</v>
      </c>
      <c r="J979" s="7" t="str">
        <f aca="false">IF($G979&lt;&gt;"",$G979,$B979)</f>
        <v>30 L</v>
      </c>
      <c r="K979" s="7" t="str">
        <f aca="false">IF(COUNTIF($O$2:$O$16,$A979)&gt;0,"Y","N")</f>
        <v>Y</v>
      </c>
    </row>
    <row r="980" customFormat="false" ht="15" hidden="false" customHeight="false" outlineLevel="0" collapsed="false">
      <c r="A980" s="7" t="s">
        <v>38</v>
      </c>
      <c r="B980" s="7" t="s">
        <v>211</v>
      </c>
      <c r="C980" s="8" t="n">
        <v>10</v>
      </c>
      <c r="D980" s="8" t="n">
        <v>296.42</v>
      </c>
      <c r="E980" s="8" t="n">
        <v>0</v>
      </c>
      <c r="F980" s="8" t="n">
        <v>0</v>
      </c>
      <c r="G980" s="7" t="str">
        <f aca="false">IFERROR(INDEX('TRANS'!$B:$B,MATCH($B980,'TRANS'!$A:$A,0)),IFERROR(INDEX('TRANS'!$B:$B,MATCH(TRIM(SUBSTITUTE($B980,CHAR(160)," ")),'TRANS'!$D:$D,0)),IFERROR(INDEX('Catalog'!$A:$A,MATCH($B980,'Catalog'!$B:$B,0)),IFERROR(INDEX('Catalog'!$A:$A,MATCH(TRIM(SUBSTITUTE($B980,CHAR(160)," ")),'Catalog'!$C:$C,0)),""))))</f>
        <v/>
      </c>
      <c r="H980" s="7" t="str">
        <f aca="false">IFERROR(INDEX('TRANS'!$C:$C,MATCH($B980,'TRANS'!$A:$A,0)),IFERROR(INDEX('Catalog'!$B:$B,MATCH($G980,'Catalog'!$A:$A,0)),$B980))</f>
        <v>30 M</v>
      </c>
      <c r="I980" s="7" t="str">
        <f aca="false">IF($G980="","Unmatched","Matched")</f>
        <v>Unmatched</v>
      </c>
      <c r="J980" s="7" t="str">
        <f aca="false">IF($G980&lt;&gt;"",$G980,$B980)</f>
        <v>30 M</v>
      </c>
      <c r="K980" s="7" t="str">
        <f aca="false">IF(COUNTIF($O$2:$O$16,$A980)&gt;0,"Y","N")</f>
        <v>Y</v>
      </c>
    </row>
    <row r="981" customFormat="false" ht="15" hidden="false" customHeight="false" outlineLevel="0" collapsed="false">
      <c r="A981" s="7" t="s">
        <v>38</v>
      </c>
      <c r="B981" s="7" t="s">
        <v>146</v>
      </c>
      <c r="C981" s="8" t="n">
        <v>6</v>
      </c>
      <c r="D981" s="8" t="n">
        <v>177.85</v>
      </c>
      <c r="E981" s="8" t="n">
        <v>0</v>
      </c>
      <c r="F981" s="8" t="n">
        <v>0</v>
      </c>
      <c r="G981" s="7" t="str">
        <f aca="false">IFERROR(INDEX('TRANS'!$B:$B,MATCH($B981,'TRANS'!$A:$A,0)),IFERROR(INDEX('TRANS'!$B:$B,MATCH(TRIM(SUBSTITUTE($B981,CHAR(160)," ")),'TRANS'!$D:$D,0)),IFERROR(INDEX('Catalog'!$A:$A,MATCH($B981,'Catalog'!$B:$B,0)),IFERROR(INDEX('Catalog'!$A:$A,MATCH(TRIM(SUBSTITUTE($B981,CHAR(160)," ")),'Catalog'!$C:$C,0)),""))))</f>
        <v/>
      </c>
      <c r="H981" s="7" t="str">
        <f aca="false">IFERROR(INDEX('TRANS'!$C:$C,MATCH($B981,'TRANS'!$A:$A,0)),IFERROR(INDEX('Catalog'!$B:$B,MATCH($G981,'Catalog'!$A:$A,0)),$B981))</f>
        <v>30 S</v>
      </c>
      <c r="I981" s="7" t="str">
        <f aca="false">IF($G981="","Unmatched","Matched")</f>
        <v>Unmatched</v>
      </c>
      <c r="J981" s="7" t="str">
        <f aca="false">IF($G981&lt;&gt;"",$G981,$B981)</f>
        <v>30 S</v>
      </c>
      <c r="K981" s="7" t="str">
        <f aca="false">IF(COUNTIF($O$2:$O$16,$A981)&gt;0,"Y","N")</f>
        <v>Y</v>
      </c>
    </row>
    <row r="982" customFormat="false" ht="15" hidden="false" customHeight="false" outlineLevel="0" collapsed="false">
      <c r="A982" s="7" t="s">
        <v>38</v>
      </c>
      <c r="B982" s="7" t="s">
        <v>294</v>
      </c>
      <c r="C982" s="8" t="n">
        <v>120</v>
      </c>
      <c r="D982" s="8" t="n">
        <v>3276.11</v>
      </c>
      <c r="E982" s="8" t="n">
        <v>170</v>
      </c>
      <c r="F982" s="8" t="n">
        <v>4142.63</v>
      </c>
      <c r="G982" s="7" t="n">
        <f aca="false">IFERROR(INDEX('TRANS'!$B:$B,MATCH($B982,'TRANS'!$A:$A,0)),IFERROR(INDEX('TRANS'!$B:$B,MATCH(TRIM(SUBSTITUTE($B982,CHAR(160)," ")),'TRANS'!$D:$D,0)),IFERROR(INDEX('Catalog'!$A:$A,MATCH($B982,'Catalog'!$B:$B,0)),IFERROR(INDEX('Catalog'!$A:$A,MATCH(TRIM(SUBSTITUTE($B982,CHAR(160)," ")),'Catalog'!$C:$C,0)),""))))</f>
        <v>4413348</v>
      </c>
      <c r="H982" s="7" t="str">
        <f aca="false">IFERROR(INDEX('TRANS'!$C:$C,MATCH($B982,'TRANS'!$A:$A,0)),IFERROR(INDEX('Catalog'!$B:$B,MATCH($G982,'Catalog'!$A:$A,0)),$B982))</f>
        <v>302 מדרס ג'ל לגבר</v>
      </c>
      <c r="I982" s="7" t="str">
        <f aca="false">IF($G982="","Unmatched","Matched")</f>
        <v>Matched</v>
      </c>
      <c r="J982" s="7" t="n">
        <f aca="false">IF($G982&lt;&gt;"",$G982,$B982)</f>
        <v>4413348</v>
      </c>
      <c r="K982" s="7" t="str">
        <f aca="false">IF(COUNTIF($O$2:$O$16,$A982)&gt;0,"Y","N")</f>
        <v>Y</v>
      </c>
    </row>
    <row r="983" customFormat="false" ht="15" hidden="false" customHeight="false" outlineLevel="0" collapsed="false">
      <c r="A983" s="7" t="s">
        <v>38</v>
      </c>
      <c r="B983" s="7" t="s">
        <v>295</v>
      </c>
      <c r="C983" s="8" t="n">
        <v>90</v>
      </c>
      <c r="D983" s="8" t="n">
        <v>2320.98</v>
      </c>
      <c r="E983" s="8" t="n">
        <v>100</v>
      </c>
      <c r="F983" s="8" t="n">
        <v>2361.52</v>
      </c>
      <c r="G983" s="7" t="n">
        <f aca="false">IFERROR(INDEX('TRANS'!$B:$B,MATCH($B983,'TRANS'!$A:$A,0)),IFERROR(INDEX('TRANS'!$B:$B,MATCH(TRIM(SUBSTITUTE($B983,CHAR(160)," ")),'TRANS'!$D:$D,0)),IFERROR(INDEX('Catalog'!$A:$A,MATCH($B983,'Catalog'!$B:$B,0)),IFERROR(INDEX('Catalog'!$A:$A,MATCH(TRIM(SUBSTITUTE($B983,CHAR(160)," ")),'Catalog'!$C:$C,0)),""))))</f>
        <v>4413372</v>
      </c>
      <c r="H983" s="7" t="str">
        <f aca="false">IFERROR(INDEX('TRANS'!$C:$C,MATCH($B983,'TRANS'!$A:$A,0)),IFERROR(INDEX('Catalog'!$B:$B,MATCH($G983,'Catalog'!$A:$A,0)),$B983))</f>
        <v>302 W מדרס לאישה</v>
      </c>
      <c r="I983" s="7" t="str">
        <f aca="false">IF($G983="","Unmatched","Matched")</f>
        <v>Matched</v>
      </c>
      <c r="J983" s="7" t="n">
        <f aca="false">IF($G983&lt;&gt;"",$G983,$B983)</f>
        <v>4413372</v>
      </c>
      <c r="K983" s="7" t="str">
        <f aca="false">IF(COUNTIF($O$2:$O$16,$A983)&gt;0,"Y","N")</f>
        <v>Y</v>
      </c>
    </row>
    <row r="984" customFormat="false" ht="15" hidden="false" customHeight="false" outlineLevel="0" collapsed="false">
      <c r="A984" s="7" t="s">
        <v>38</v>
      </c>
      <c r="B984" s="7" t="s">
        <v>91</v>
      </c>
      <c r="C984" s="8" t="n">
        <v>6</v>
      </c>
      <c r="D984" s="8" t="n">
        <v>200.98</v>
      </c>
      <c r="E984" s="8" t="n">
        <v>27</v>
      </c>
      <c r="F984" s="8" t="n">
        <v>841.11</v>
      </c>
      <c r="G984" s="7" t="str">
        <f aca="false">IFERROR(INDEX('TRANS'!$B:$B,MATCH($B984,'TRANS'!$A:$A,0)),IFERROR(INDEX('TRANS'!$B:$B,MATCH(TRIM(SUBSTITUTE($B984,CHAR(160)," ")),'TRANS'!$D:$D,0)),IFERROR(INDEX('Catalog'!$A:$A,MATCH($B984,'Catalog'!$B:$B,0)),IFERROR(INDEX('Catalog'!$A:$A,MATCH(TRIM(SUBSTITUTE($B984,CHAR(160)," ")),'Catalog'!$C:$C,0)),""))))</f>
        <v/>
      </c>
      <c r="H984" s="7" t="str">
        <f aca="false">IFERROR(INDEX('TRANS'!$C:$C,MATCH($B984,'TRANS'!$A:$A,0)),IFERROR(INDEX('Catalog'!$B:$B,MATCH($G984,'Catalog'!$A:$A,0)),$B984))</f>
        <v>305-35-36</v>
      </c>
      <c r="I984" s="7" t="str">
        <f aca="false">IF($G984="","Unmatched","Matched")</f>
        <v>Unmatched</v>
      </c>
      <c r="J984" s="7" t="str">
        <f aca="false">IF($G984&lt;&gt;"",$G984,$B984)</f>
        <v>305-35-36</v>
      </c>
      <c r="K984" s="7" t="str">
        <f aca="false">IF(COUNTIF($O$2:$O$16,$A984)&gt;0,"Y","N")</f>
        <v>Y</v>
      </c>
    </row>
    <row r="985" customFormat="false" ht="15" hidden="false" customHeight="false" outlineLevel="0" collapsed="false">
      <c r="A985" s="7" t="s">
        <v>38</v>
      </c>
      <c r="B985" s="7" t="s">
        <v>74</v>
      </c>
      <c r="C985" s="8" t="n">
        <v>75</v>
      </c>
      <c r="D985" s="8" t="n">
        <v>2630.01</v>
      </c>
      <c r="E985" s="8" t="n">
        <v>95</v>
      </c>
      <c r="F985" s="8" t="n">
        <v>2994.23</v>
      </c>
      <c r="G985" s="7" t="str">
        <f aca="false">IFERROR(INDEX('TRANS'!$B:$B,MATCH($B985,'TRANS'!$A:$A,0)),IFERROR(INDEX('TRANS'!$B:$B,MATCH(TRIM(SUBSTITUTE($B985,CHAR(160)," ")),'TRANS'!$D:$D,0)),IFERROR(INDEX('Catalog'!$A:$A,MATCH($B985,'Catalog'!$B:$B,0)),IFERROR(INDEX('Catalog'!$A:$A,MATCH(TRIM(SUBSTITUTE($B985,CHAR(160)," ")),'Catalog'!$C:$C,0)),""))))</f>
        <v/>
      </c>
      <c r="H985" s="7" t="str">
        <f aca="false">IFERROR(INDEX('TRANS'!$C:$C,MATCH($B985,'TRANS'!$A:$A,0)),IFERROR(INDEX('Catalog'!$B:$B,MATCH($G985,'Catalog'!$A:$A,0)),$B985))</f>
        <v>305-37-38</v>
      </c>
      <c r="I985" s="7" t="str">
        <f aca="false">IF($G985="","Unmatched","Matched")</f>
        <v>Unmatched</v>
      </c>
      <c r="J985" s="7" t="str">
        <f aca="false">IF($G985&lt;&gt;"",$G985,$B985)</f>
        <v>305-37-38</v>
      </c>
      <c r="K985" s="7" t="str">
        <f aca="false">IF(COUNTIF($O$2:$O$16,$A985)&gt;0,"Y","N")</f>
        <v>Y</v>
      </c>
    </row>
    <row r="986" customFormat="false" ht="15" hidden="false" customHeight="false" outlineLevel="0" collapsed="false">
      <c r="A986" s="7" t="s">
        <v>38</v>
      </c>
      <c r="B986" s="7" t="s">
        <v>67</v>
      </c>
      <c r="C986" s="8" t="n">
        <v>140</v>
      </c>
      <c r="D986" s="8" t="n">
        <v>4983.37</v>
      </c>
      <c r="E986" s="8" t="n">
        <v>180</v>
      </c>
      <c r="F986" s="8" t="n">
        <v>5639.97</v>
      </c>
      <c r="G986" s="7" t="str">
        <f aca="false">IFERROR(INDEX('TRANS'!$B:$B,MATCH($B986,'TRANS'!$A:$A,0)),IFERROR(INDEX('TRANS'!$B:$B,MATCH(TRIM(SUBSTITUTE($B986,CHAR(160)," ")),'TRANS'!$D:$D,0)),IFERROR(INDEX('Catalog'!$A:$A,MATCH($B986,'Catalog'!$B:$B,0)),IFERROR(INDEX('Catalog'!$A:$A,MATCH(TRIM(SUBSTITUTE($B986,CHAR(160)," ")),'Catalog'!$C:$C,0)),""))))</f>
        <v/>
      </c>
      <c r="H986" s="7" t="str">
        <f aca="false">IFERROR(INDEX('TRANS'!$C:$C,MATCH($B986,'TRANS'!$A:$A,0)),IFERROR(INDEX('Catalog'!$B:$B,MATCH($G986,'Catalog'!$A:$A,0)),$B986))</f>
        <v>305-39-40</v>
      </c>
      <c r="I986" s="7" t="str">
        <f aca="false">IF($G986="","Unmatched","Matched")</f>
        <v>Unmatched</v>
      </c>
      <c r="J986" s="7" t="str">
        <f aca="false">IF($G986&lt;&gt;"",$G986,$B986)</f>
        <v>305-39-40</v>
      </c>
      <c r="K986" s="7" t="str">
        <f aca="false">IF(COUNTIF($O$2:$O$16,$A986)&gt;0,"Y","N")</f>
        <v>Y</v>
      </c>
    </row>
    <row r="987" customFormat="false" ht="15" hidden="false" customHeight="false" outlineLevel="0" collapsed="false">
      <c r="A987" s="7" t="s">
        <v>38</v>
      </c>
      <c r="B987" s="7" t="s">
        <v>68</v>
      </c>
      <c r="C987" s="8" t="n">
        <v>145</v>
      </c>
      <c r="D987" s="8" t="n">
        <v>5142.41</v>
      </c>
      <c r="E987" s="8" t="n">
        <v>135</v>
      </c>
      <c r="F987" s="8" t="n">
        <v>4215.49</v>
      </c>
      <c r="G987" s="7" t="str">
        <f aca="false">IFERROR(INDEX('TRANS'!$B:$B,MATCH($B987,'TRANS'!$A:$A,0)),IFERROR(INDEX('TRANS'!$B:$B,MATCH(TRIM(SUBSTITUTE($B987,CHAR(160)," ")),'TRANS'!$D:$D,0)),IFERROR(INDEX('Catalog'!$A:$A,MATCH($B987,'Catalog'!$B:$B,0)),IFERROR(INDEX('Catalog'!$A:$A,MATCH(TRIM(SUBSTITUTE($B987,CHAR(160)," ")),'Catalog'!$C:$C,0)),""))))</f>
        <v/>
      </c>
      <c r="H987" s="7" t="str">
        <f aca="false">IFERROR(INDEX('TRANS'!$C:$C,MATCH($B987,'TRANS'!$A:$A,0)),IFERROR(INDEX('Catalog'!$B:$B,MATCH($G987,'Catalog'!$A:$A,0)),$B987))</f>
        <v>305-41-42</v>
      </c>
      <c r="I987" s="7" t="str">
        <f aca="false">IF($G987="","Unmatched","Matched")</f>
        <v>Unmatched</v>
      </c>
      <c r="J987" s="7" t="str">
        <f aca="false">IF($G987&lt;&gt;"",$G987,$B987)</f>
        <v>305-41-42</v>
      </c>
      <c r="K987" s="7" t="str">
        <f aca="false">IF(COUNTIF($O$2:$O$16,$A987)&gt;0,"Y","N")</f>
        <v>Y</v>
      </c>
    </row>
    <row r="988" customFormat="false" ht="15" hidden="false" customHeight="false" outlineLevel="0" collapsed="false">
      <c r="A988" s="7" t="s">
        <v>38</v>
      </c>
      <c r="B988" s="7" t="s">
        <v>66</v>
      </c>
      <c r="C988" s="8" t="n">
        <v>165</v>
      </c>
      <c r="D988" s="8" t="n">
        <v>5798.64</v>
      </c>
      <c r="E988" s="8" t="n">
        <v>180</v>
      </c>
      <c r="F988" s="8" t="n">
        <v>5658.26</v>
      </c>
      <c r="G988" s="7" t="str">
        <f aca="false">IFERROR(INDEX('TRANS'!$B:$B,MATCH($B988,'TRANS'!$A:$A,0)),IFERROR(INDEX('TRANS'!$B:$B,MATCH(TRIM(SUBSTITUTE($B988,CHAR(160)," ")),'TRANS'!$D:$D,0)),IFERROR(INDEX('Catalog'!$A:$A,MATCH($B988,'Catalog'!$B:$B,0)),IFERROR(INDEX('Catalog'!$A:$A,MATCH(TRIM(SUBSTITUTE($B988,CHAR(160)," ")),'Catalog'!$C:$C,0)),""))))</f>
        <v/>
      </c>
      <c r="H988" s="7" t="str">
        <f aca="false">IFERROR(INDEX('TRANS'!$C:$C,MATCH($B988,'TRANS'!$A:$A,0)),IFERROR(INDEX('Catalog'!$B:$B,MATCH($G988,'Catalog'!$A:$A,0)),$B988))</f>
        <v>305-43-44</v>
      </c>
      <c r="I988" s="7" t="str">
        <f aca="false">IF($G988="","Unmatched","Matched")</f>
        <v>Unmatched</v>
      </c>
      <c r="J988" s="7" t="str">
        <f aca="false">IF($G988&lt;&gt;"",$G988,$B988)</f>
        <v>305-43-44</v>
      </c>
      <c r="K988" s="7" t="str">
        <f aca="false">IF(COUNTIF($O$2:$O$16,$A988)&gt;0,"Y","N")</f>
        <v>Y</v>
      </c>
    </row>
    <row r="989" customFormat="false" ht="15" hidden="false" customHeight="false" outlineLevel="0" collapsed="false">
      <c r="A989" s="7" t="s">
        <v>38</v>
      </c>
      <c r="B989" s="7" t="s">
        <v>76</v>
      </c>
      <c r="C989" s="8" t="n">
        <v>140</v>
      </c>
      <c r="D989" s="8" t="n">
        <v>4903.29</v>
      </c>
      <c r="E989" s="8" t="n">
        <v>145</v>
      </c>
      <c r="F989" s="8" t="n">
        <v>4520.43</v>
      </c>
      <c r="G989" s="7" t="str">
        <f aca="false">IFERROR(INDEX('TRANS'!$B:$B,MATCH($B989,'TRANS'!$A:$A,0)),IFERROR(INDEX('TRANS'!$B:$B,MATCH(TRIM(SUBSTITUTE($B989,CHAR(160)," ")),'TRANS'!$D:$D,0)),IFERROR(INDEX('Catalog'!$A:$A,MATCH($B989,'Catalog'!$B:$B,0)),IFERROR(INDEX('Catalog'!$A:$A,MATCH(TRIM(SUBSTITUTE($B989,CHAR(160)," ")),'Catalog'!$C:$C,0)),""))))</f>
        <v/>
      </c>
      <c r="H989" s="7" t="str">
        <f aca="false">IFERROR(INDEX('TRANS'!$C:$C,MATCH($B989,'TRANS'!$A:$A,0)),IFERROR(INDEX('Catalog'!$B:$B,MATCH($G989,'Catalog'!$A:$A,0)),$B989))</f>
        <v>305-45-46</v>
      </c>
      <c r="I989" s="7" t="str">
        <f aca="false">IF($G989="","Unmatched","Matched")</f>
        <v>Unmatched</v>
      </c>
      <c r="J989" s="7" t="str">
        <f aca="false">IF($G989&lt;&gt;"",$G989,$B989)</f>
        <v>305-45-46</v>
      </c>
      <c r="K989" s="7" t="str">
        <f aca="false">IF(COUNTIF($O$2:$O$16,$A989)&gt;0,"Y","N")</f>
        <v>Y</v>
      </c>
    </row>
    <row r="990" customFormat="false" ht="15" hidden="false" customHeight="false" outlineLevel="0" collapsed="false">
      <c r="A990" s="7" t="s">
        <v>38</v>
      </c>
      <c r="B990" s="7" t="s">
        <v>441</v>
      </c>
      <c r="C990" s="8" t="n">
        <v>35</v>
      </c>
      <c r="D990" s="8" t="n">
        <v>424.79</v>
      </c>
      <c r="E990" s="8" t="n">
        <v>0</v>
      </c>
      <c r="F990" s="8" t="n">
        <v>0</v>
      </c>
      <c r="G990" s="7" t="n">
        <f aca="false">IFERROR(INDEX('TRANS'!$B:$B,MATCH($B990,'TRANS'!$A:$A,0)),IFERROR(INDEX('TRANS'!$B:$B,MATCH(TRIM(SUBSTITUTE($B990,CHAR(160)," ")),'TRANS'!$D:$D,0)),IFERROR(INDEX('Catalog'!$A:$A,MATCH($B990,'Catalog'!$B:$B,0)),IFERROR(INDEX('Catalog'!$A:$A,MATCH(TRIM(SUBSTITUTE($B990,CHAR(160)," ")),'Catalog'!$C:$C,0)),""))))</f>
        <v>4415297</v>
      </c>
      <c r="H990" s="7" t="str">
        <f aca="false">IFERROR(INDEX('TRANS'!$C:$C,MATCH($B990,'TRANS'!$A:$A,0)),IFERROR(INDEX('Catalog'!$B:$B,MATCH($G990,'Catalog'!$A:$A,0)),$B990))</f>
        <v>313 סט פלסטרים נגד שפשופים</v>
      </c>
      <c r="I990" s="7" t="str">
        <f aca="false">IF($G990="","Unmatched","Matched")</f>
        <v>Matched</v>
      </c>
      <c r="J990" s="7" t="n">
        <f aca="false">IF($G990&lt;&gt;"",$G990,$B990)</f>
        <v>4415297</v>
      </c>
      <c r="K990" s="7" t="str">
        <f aca="false">IF(COUNTIF($O$2:$O$16,$A990)&gt;0,"Y","N")</f>
        <v>Y</v>
      </c>
    </row>
    <row r="991" customFormat="false" ht="15" hidden="false" customHeight="false" outlineLevel="0" collapsed="false">
      <c r="A991" s="7" t="s">
        <v>38</v>
      </c>
      <c r="B991" s="7" t="s">
        <v>442</v>
      </c>
      <c r="C991" s="8" t="n">
        <v>30</v>
      </c>
      <c r="D991" s="8" t="n">
        <v>181.54</v>
      </c>
      <c r="E991" s="8" t="n">
        <v>10</v>
      </c>
      <c r="F991" s="8" t="n">
        <v>57.38</v>
      </c>
      <c r="G991" s="7" t="n">
        <f aca="false">IFERROR(INDEX('TRANS'!$B:$B,MATCH($B991,'TRANS'!$A:$A,0)),IFERROR(INDEX('TRANS'!$B:$B,MATCH(TRIM(SUBSTITUTE($B991,CHAR(160)," ")),'TRANS'!$D:$D,0)),IFERROR(INDEX('Catalog'!$A:$A,MATCH($B991,'Catalog'!$B:$B,0)),IFERROR(INDEX('Catalog'!$A:$A,MATCH(TRIM(SUBSTITUTE($B991,CHAR(160)," ")),'Catalog'!$C:$C,0)),""))))</f>
        <v>4402007</v>
      </c>
      <c r="H991" s="7" t="str">
        <f aca="false">IFERROR(INDEX('TRANS'!$C:$C,MATCH($B991,'TRANS'!$A:$A,0)),IFERROR(INDEX('Catalog'!$B:$B,MATCH($G991,'Catalog'!$A:$A,0)),$B991))</f>
        <v>320 בליסטר פלסטר</v>
      </c>
      <c r="I991" s="7" t="str">
        <f aca="false">IF($G991="","Unmatched","Matched")</f>
        <v>Matched</v>
      </c>
      <c r="J991" s="7" t="n">
        <f aca="false">IF($G991&lt;&gt;"",$G991,$B991)</f>
        <v>4402007</v>
      </c>
      <c r="K991" s="7" t="str">
        <f aca="false">IF(COUNTIF($O$2:$O$16,$A991)&gt;0,"Y","N")</f>
        <v>Y</v>
      </c>
    </row>
    <row r="992" customFormat="false" ht="15" hidden="false" customHeight="false" outlineLevel="0" collapsed="false">
      <c r="A992" s="7" t="s">
        <v>38</v>
      </c>
      <c r="B992" s="7" t="s">
        <v>124</v>
      </c>
      <c r="C992" s="8" t="n">
        <v>13</v>
      </c>
      <c r="D992" s="8" t="n">
        <v>811.55</v>
      </c>
      <c r="E992" s="8" t="n">
        <v>0</v>
      </c>
      <c r="F992" s="8" t="n">
        <v>0</v>
      </c>
      <c r="G992" s="7" t="str">
        <f aca="false">IFERROR(INDEX('TRANS'!$B:$B,MATCH($B992,'TRANS'!$A:$A,0)),IFERROR(INDEX('TRANS'!$B:$B,MATCH(TRIM(SUBSTITUTE($B992,CHAR(160)," ")),'TRANS'!$D:$D,0)),IFERROR(INDEX('Catalog'!$A:$A,MATCH($B992,'Catalog'!$B:$B,0)),IFERROR(INDEX('Catalog'!$A:$A,MATCH(TRIM(SUBSTITUTE($B992,CHAR(160)," ")),'Catalog'!$C:$C,0)),""))))</f>
        <v/>
      </c>
      <c r="H992" s="7" t="str">
        <f aca="false">IFERROR(INDEX('TRANS'!$C:$C,MATCH($B992,'TRANS'!$A:$A,0)),IFERROR(INDEX('Catalog'!$B:$B,MATCH($G992,'Catalog'!$A:$A,0)),$B992))</f>
        <v>332B L</v>
      </c>
      <c r="I992" s="7" t="str">
        <f aca="false">IF($G992="","Unmatched","Matched")</f>
        <v>Unmatched</v>
      </c>
      <c r="J992" s="7" t="str">
        <f aca="false">IF($G992&lt;&gt;"",$G992,$B992)</f>
        <v>332B L</v>
      </c>
      <c r="K992" s="7" t="str">
        <f aca="false">IF(COUNTIF($O$2:$O$16,$A992)&gt;0,"Y","N")</f>
        <v>Y</v>
      </c>
    </row>
    <row r="993" customFormat="false" ht="15" hidden="false" customHeight="false" outlineLevel="0" collapsed="false">
      <c r="A993" s="7" t="s">
        <v>38</v>
      </c>
      <c r="B993" s="7" t="s">
        <v>125</v>
      </c>
      <c r="C993" s="8" t="n">
        <v>10</v>
      </c>
      <c r="D993" s="8" t="n">
        <v>623.26</v>
      </c>
      <c r="E993" s="8" t="n">
        <v>0</v>
      </c>
      <c r="F993" s="8" t="n">
        <v>0</v>
      </c>
      <c r="G993" s="7" t="str">
        <f aca="false">IFERROR(INDEX('TRANS'!$B:$B,MATCH($B993,'TRANS'!$A:$A,0)),IFERROR(INDEX('TRANS'!$B:$B,MATCH(TRIM(SUBSTITUTE($B993,CHAR(160)," ")),'TRANS'!$D:$D,0)),IFERROR(INDEX('Catalog'!$A:$A,MATCH($B993,'Catalog'!$B:$B,0)),IFERROR(INDEX('Catalog'!$A:$A,MATCH(TRIM(SUBSTITUTE($B993,CHAR(160)," ")),'Catalog'!$C:$C,0)),""))))</f>
        <v/>
      </c>
      <c r="H993" s="7" t="str">
        <f aca="false">IFERROR(INDEX('TRANS'!$C:$C,MATCH($B993,'TRANS'!$A:$A,0)),IFERROR(INDEX('Catalog'!$B:$B,MATCH($G993,'Catalog'!$A:$A,0)),$B993))</f>
        <v>332B M</v>
      </c>
      <c r="I993" s="7" t="str">
        <f aca="false">IF($G993="","Unmatched","Matched")</f>
        <v>Unmatched</v>
      </c>
      <c r="J993" s="7" t="str">
        <f aca="false">IF($G993&lt;&gt;"",$G993,$B993)</f>
        <v>332B M</v>
      </c>
      <c r="K993" s="7" t="str">
        <f aca="false">IF(COUNTIF($O$2:$O$16,$A993)&gt;0,"Y","N")</f>
        <v>Y</v>
      </c>
    </row>
    <row r="994" customFormat="false" ht="15" hidden="false" customHeight="false" outlineLevel="0" collapsed="false">
      <c r="A994" s="7" t="s">
        <v>38</v>
      </c>
      <c r="B994" s="7" t="s">
        <v>138</v>
      </c>
      <c r="C994" s="8" t="n">
        <v>0</v>
      </c>
      <c r="D994" s="8" t="n">
        <v>0</v>
      </c>
      <c r="E994" s="8" t="n">
        <v>3</v>
      </c>
      <c r="F994" s="8" t="n">
        <v>178.39</v>
      </c>
      <c r="G994" s="7" t="str">
        <f aca="false">IFERROR(INDEX('TRANS'!$B:$B,MATCH($B994,'TRANS'!$A:$A,0)),IFERROR(INDEX('TRANS'!$B:$B,MATCH(TRIM(SUBSTITUTE($B994,CHAR(160)," ")),'TRANS'!$D:$D,0)),IFERROR(INDEX('Catalog'!$A:$A,MATCH($B994,'Catalog'!$B:$B,0)),IFERROR(INDEX('Catalog'!$A:$A,MATCH(TRIM(SUBSTITUTE($B994,CHAR(160)," ")),'Catalog'!$C:$C,0)),""))))</f>
        <v/>
      </c>
      <c r="H994" s="7" t="str">
        <f aca="false">IFERROR(INDEX('TRANS'!$C:$C,MATCH($B994,'TRANS'!$A:$A,0)),IFERROR(INDEX('Catalog'!$B:$B,MATCH($G994,'Catalog'!$A:$A,0)),$B994))</f>
        <v>332B XL</v>
      </c>
      <c r="I994" s="7" t="str">
        <f aca="false">IF($G994="","Unmatched","Matched")</f>
        <v>Unmatched</v>
      </c>
      <c r="J994" s="7" t="str">
        <f aca="false">IF($G994&lt;&gt;"",$G994,$B994)</f>
        <v>332B XL</v>
      </c>
      <c r="K994" s="7" t="str">
        <f aca="false">IF(COUNTIF($O$2:$O$16,$A994)&gt;0,"Y","N")</f>
        <v>Y</v>
      </c>
    </row>
    <row r="995" customFormat="false" ht="15" hidden="false" customHeight="false" outlineLevel="0" collapsed="false">
      <c r="A995" s="7" t="s">
        <v>38</v>
      </c>
      <c r="B995" s="7" t="s">
        <v>443</v>
      </c>
      <c r="C995" s="8" t="n">
        <v>45</v>
      </c>
      <c r="D995" s="8" t="n">
        <v>928.42</v>
      </c>
      <c r="E995" s="8" t="n">
        <v>90</v>
      </c>
      <c r="F995" s="8" t="n">
        <v>1692.29</v>
      </c>
      <c r="G995" s="7" t="n">
        <f aca="false">IFERROR(INDEX('TRANS'!$B:$B,MATCH($B995,'TRANS'!$A:$A,0)),IFERROR(INDEX('TRANS'!$B:$B,MATCH(TRIM(SUBSTITUTE($B995,CHAR(160)," ")),'TRANS'!$D:$D,0)),IFERROR(INDEX('Catalog'!$A:$A,MATCH($B995,'Catalog'!$B:$B,0)),IFERROR(INDEX('Catalog'!$A:$A,MATCH(TRIM(SUBSTITUTE($B995,CHAR(160)," ")),'Catalog'!$C:$C,0)),""))))</f>
        <v>4413043</v>
      </c>
      <c r="H995" s="7" t="str">
        <f aca="false">IFERROR(INDEX('TRANS'!$C:$C,MATCH($B995,'TRANS'!$A:$A,0)),IFERROR(INDEX('Catalog'!$B:$B,MATCH($G995,'Catalog'!$A:$A,0)),$B995))</f>
        <v>34  L מגן קרסול עקב סגור</v>
      </c>
      <c r="I995" s="7" t="str">
        <f aca="false">IF($G995="","Unmatched","Matched")</f>
        <v>Matched</v>
      </c>
      <c r="J995" s="7" t="n">
        <f aca="false">IF($G995&lt;&gt;"",$G995,$B995)</f>
        <v>4413043</v>
      </c>
      <c r="K995" s="7" t="str">
        <f aca="false">IF(COUNTIF($O$2:$O$16,$A995)&gt;0,"Y","N")</f>
        <v>Y</v>
      </c>
    </row>
    <row r="996" customFormat="false" ht="15" hidden="false" customHeight="false" outlineLevel="0" collapsed="false">
      <c r="A996" s="7" t="s">
        <v>38</v>
      </c>
      <c r="B996" s="7" t="s">
        <v>444</v>
      </c>
      <c r="C996" s="8" t="n">
        <v>65</v>
      </c>
      <c r="D996" s="8" t="n">
        <v>1357.65</v>
      </c>
      <c r="E996" s="8" t="n">
        <v>76</v>
      </c>
      <c r="F996" s="8" t="n">
        <v>1434.7</v>
      </c>
      <c r="G996" s="7" t="n">
        <f aca="false">IFERROR(INDEX('TRANS'!$B:$B,MATCH($B996,'TRANS'!$A:$A,0)),IFERROR(INDEX('TRANS'!$B:$B,MATCH(TRIM(SUBSTITUTE($B996,CHAR(160)," ")),'TRANS'!$D:$D,0)),IFERROR(INDEX('Catalog'!$A:$A,MATCH($B996,'Catalog'!$B:$B,0)),IFERROR(INDEX('Catalog'!$A:$A,MATCH(TRIM(SUBSTITUTE($B996,CHAR(160)," ")),'Catalog'!$C:$C,0)),""))))</f>
        <v>4413041</v>
      </c>
      <c r="H996" s="7" t="str">
        <f aca="false">IFERROR(INDEX('TRANS'!$C:$C,MATCH($B996,'TRANS'!$A:$A,0)),IFERROR(INDEX('Catalog'!$B:$B,MATCH($G996,'Catalog'!$A:$A,0)),$B996))</f>
        <v>34  M מגן קרסול עקב סגור</v>
      </c>
      <c r="I996" s="7" t="str">
        <f aca="false">IF($G996="","Unmatched","Matched")</f>
        <v>Matched</v>
      </c>
      <c r="J996" s="7" t="n">
        <f aca="false">IF($G996&lt;&gt;"",$G996,$B996)</f>
        <v>4413041</v>
      </c>
      <c r="K996" s="7" t="str">
        <f aca="false">IF(COUNTIF($O$2:$O$16,$A996)&gt;0,"Y","N")</f>
        <v>Y</v>
      </c>
    </row>
    <row r="997" customFormat="false" ht="15" hidden="false" customHeight="false" outlineLevel="0" collapsed="false">
      <c r="A997" s="7" t="s">
        <v>38</v>
      </c>
      <c r="B997" s="7" t="s">
        <v>445</v>
      </c>
      <c r="C997" s="8" t="n">
        <v>16</v>
      </c>
      <c r="D997" s="8" t="n">
        <v>323.96</v>
      </c>
      <c r="E997" s="8" t="n">
        <v>53</v>
      </c>
      <c r="F997" s="8" t="n">
        <v>992.32</v>
      </c>
      <c r="G997" s="7" t="n">
        <f aca="false">IFERROR(INDEX('TRANS'!$B:$B,MATCH($B997,'TRANS'!$A:$A,0)),IFERROR(INDEX('TRANS'!$B:$B,MATCH(TRIM(SUBSTITUTE($B997,CHAR(160)," ")),'TRANS'!$D:$D,0)),IFERROR(INDEX('Catalog'!$A:$A,MATCH($B997,'Catalog'!$B:$B,0)),IFERROR(INDEX('Catalog'!$A:$A,MATCH(TRIM(SUBSTITUTE($B997,CHAR(160)," ")),'Catalog'!$C:$C,0)),""))))</f>
        <v>4413042</v>
      </c>
      <c r="H997" s="7" t="str">
        <f aca="false">IFERROR(INDEX('TRANS'!$C:$C,MATCH($B997,'TRANS'!$A:$A,0)),IFERROR(INDEX('Catalog'!$B:$B,MATCH($G997,'Catalog'!$A:$A,0)),$B997))</f>
        <v>34  S מגן קרסול עקב סגור</v>
      </c>
      <c r="I997" s="7" t="str">
        <f aca="false">IF($G997="","Unmatched","Matched")</f>
        <v>Matched</v>
      </c>
      <c r="J997" s="7" t="n">
        <f aca="false">IF($G997&lt;&gt;"",$G997,$B997)</f>
        <v>4413042</v>
      </c>
      <c r="K997" s="7" t="str">
        <f aca="false">IF(COUNTIF($O$2:$O$16,$A997)&gt;0,"Y","N")</f>
        <v>Y</v>
      </c>
    </row>
    <row r="998" customFormat="false" ht="15" hidden="false" customHeight="false" outlineLevel="0" collapsed="false">
      <c r="A998" s="7" t="s">
        <v>38</v>
      </c>
      <c r="B998" s="7" t="s">
        <v>446</v>
      </c>
      <c r="C998" s="8" t="n">
        <v>16</v>
      </c>
      <c r="D998" s="8" t="n">
        <v>330.11</v>
      </c>
      <c r="E998" s="8" t="n">
        <v>22</v>
      </c>
      <c r="F998" s="8" t="n">
        <v>412.9</v>
      </c>
      <c r="G998" s="7" t="n">
        <f aca="false">IFERROR(INDEX('TRANS'!$B:$B,MATCH($B998,'TRANS'!$A:$A,0)),IFERROR(INDEX('TRANS'!$B:$B,MATCH(TRIM(SUBSTITUTE($B998,CHAR(160)," ")),'TRANS'!$D:$D,0)),IFERROR(INDEX('Catalog'!$A:$A,MATCH($B998,'Catalog'!$B:$B,0)),IFERROR(INDEX('Catalog'!$A:$A,MATCH(TRIM(SUBSTITUTE($B998,CHAR(160)," ")),'Catalog'!$C:$C,0)),""))))</f>
        <v>4413044</v>
      </c>
      <c r="H998" s="7" t="str">
        <f aca="false">IFERROR(INDEX('TRANS'!$C:$C,MATCH($B998,'TRANS'!$A:$A,0)),IFERROR(INDEX('Catalog'!$B:$B,MATCH($G998,'Catalog'!$A:$A,0)),$B998))</f>
        <v>34 XL מגן קרסול עקב סגור</v>
      </c>
      <c r="I998" s="7" t="str">
        <f aca="false">IF($G998="","Unmatched","Matched")</f>
        <v>Matched</v>
      </c>
      <c r="J998" s="7" t="n">
        <f aca="false">IF($G998&lt;&gt;"",$G998,$B998)</f>
        <v>4413044</v>
      </c>
      <c r="K998" s="7" t="str">
        <f aca="false">IF(COUNTIF($O$2:$O$16,$A998)&gt;0,"Y","N")</f>
        <v>Y</v>
      </c>
    </row>
    <row r="999" customFormat="false" ht="15" hidden="false" customHeight="false" outlineLevel="0" collapsed="false">
      <c r="A999" s="7" t="s">
        <v>38</v>
      </c>
      <c r="B999" s="7" t="s">
        <v>447</v>
      </c>
      <c r="C999" s="8" t="n">
        <v>6</v>
      </c>
      <c r="D999" s="8" t="n">
        <v>133.49</v>
      </c>
      <c r="E999" s="8" t="n">
        <v>6</v>
      </c>
      <c r="F999" s="8" t="n">
        <v>115.4</v>
      </c>
      <c r="G999" s="7" t="n">
        <f aca="false">IFERROR(INDEX('TRANS'!$B:$B,MATCH($B999,'TRANS'!$A:$A,0)),IFERROR(INDEX('TRANS'!$B:$B,MATCH(TRIM(SUBSTITUTE($B999,CHAR(160)," ")),'TRANS'!$D:$D,0)),IFERROR(INDEX('Catalog'!$A:$A,MATCH($B999,'Catalog'!$B:$B,0)),IFERROR(INDEX('Catalog'!$A:$A,MATCH(TRIM(SUBSTITUTE($B999,CHAR(160)," ")),'Catalog'!$C:$C,0)),""))))</f>
        <v>4413046</v>
      </c>
      <c r="H999" s="7" t="str">
        <f aca="false">IFERROR(INDEX('TRANS'!$C:$C,MATCH($B999,'TRANS'!$A:$A,0)),IFERROR(INDEX('Catalog'!$B:$B,MATCH($G999,'Catalog'!$A:$A,0)),$B999))</f>
        <v>34 XXL מגן קרסול עקב סגור</v>
      </c>
      <c r="I999" s="7" t="str">
        <f aca="false">IF($G999="","Unmatched","Matched")</f>
        <v>Matched</v>
      </c>
      <c r="J999" s="7" t="n">
        <f aca="false">IF($G999&lt;&gt;"",$G999,$B999)</f>
        <v>4413046</v>
      </c>
      <c r="K999" s="7" t="str">
        <f aca="false">IF(COUNTIF($O$2:$O$16,$A999)&gt;0,"Y","N")</f>
        <v>Y</v>
      </c>
    </row>
    <row r="1000" customFormat="false" ht="15" hidden="false" customHeight="false" outlineLevel="0" collapsed="false">
      <c r="A1000" s="7" t="s">
        <v>38</v>
      </c>
      <c r="B1000" s="7" t="s">
        <v>526</v>
      </c>
      <c r="C1000" s="8" t="n">
        <v>1</v>
      </c>
      <c r="D1000" s="8" t="n">
        <v>0.04</v>
      </c>
      <c r="E1000" s="8" t="n">
        <v>26</v>
      </c>
      <c r="F1000" s="8" t="n">
        <v>448.72</v>
      </c>
      <c r="G1000" s="7" t="n">
        <f aca="false">IFERROR(INDEX('TRANS'!$B:$B,MATCH($B1000,'TRANS'!$A:$A,0)),IFERROR(INDEX('TRANS'!$B:$B,MATCH(TRIM(SUBSTITUTE($B1000,CHAR(160)," ")),'TRANS'!$D:$D,0)),IFERROR(INDEX('Catalog'!$A:$A,MATCH($B1000,'Catalog'!$B:$B,0)),IFERROR(INDEX('Catalog'!$A:$A,MATCH(TRIM(SUBSTITUTE($B1000,CHAR(160)," ")),'Catalog'!$C:$C,0)),""))))</f>
        <v>4403040</v>
      </c>
      <c r="H1000" s="7" t="str">
        <f aca="false">IFERROR(INDEX('TRANS'!$C:$C,MATCH($B1000,'TRANS'!$A:$A,0)),IFERROR(INDEX('Catalog'!$B:$B,MATCH($G1000,'Catalog'!$A:$A,0)),$B1000))</f>
        <v>3444B גרבי ג'ל לריכוך עור העקב</v>
      </c>
      <c r="I1000" s="7" t="str">
        <f aca="false">IF($G1000="","Unmatched","Matched")</f>
        <v>Matched</v>
      </c>
      <c r="J1000" s="7" t="n">
        <f aca="false">IF($G1000&lt;&gt;"",$G1000,$B1000)</f>
        <v>4403040</v>
      </c>
      <c r="K1000" s="7" t="str">
        <f aca="false">IF(COUNTIF($O$2:$O$16,$A1000)&gt;0,"Y","N")</f>
        <v>Y</v>
      </c>
    </row>
    <row r="1001" customFormat="false" ht="15" hidden="false" customHeight="false" outlineLevel="0" collapsed="false">
      <c r="A1001" s="7" t="s">
        <v>38</v>
      </c>
      <c r="B1001" s="7" t="s">
        <v>300</v>
      </c>
      <c r="C1001" s="8" t="n">
        <v>20</v>
      </c>
      <c r="D1001" s="8" t="n">
        <v>199.82</v>
      </c>
      <c r="E1001" s="8" t="n">
        <v>0</v>
      </c>
      <c r="F1001" s="8" t="n">
        <v>0</v>
      </c>
      <c r="G1001" s="7" t="n">
        <f aca="false">IFERROR(INDEX('TRANS'!$B:$B,MATCH($B1001,'TRANS'!$A:$A,0)),IFERROR(INDEX('TRANS'!$B:$B,MATCH(TRIM(SUBSTITUTE($B1001,CHAR(160)," ")),'TRANS'!$D:$D,0)),IFERROR(INDEX('Catalog'!$A:$A,MATCH($B1001,'Catalog'!$B:$B,0)),IFERROR(INDEX('Catalog'!$A:$A,MATCH(TRIM(SUBSTITUTE($B1001,CHAR(160)," ")),'Catalog'!$C:$C,0)),""))))</f>
        <v>4413048</v>
      </c>
      <c r="H1001" s="7" t="str">
        <f aca="false">IFERROR(INDEX('TRANS'!$C:$C,MATCH($B1001,'TRANS'!$A:$A,0)),IFERROR(INDEX('Catalog'!$B:$B,MATCH($G1001,'Catalog'!$A:$A,0)),$B1001))</f>
        <v>35 L מגן קרסול לבן</v>
      </c>
      <c r="I1001" s="7" t="str">
        <f aca="false">IF($G1001="","Unmatched","Matched")</f>
        <v>Matched</v>
      </c>
      <c r="J1001" s="7" t="n">
        <f aca="false">IF($G1001&lt;&gt;"",$G1001,$B1001)</f>
        <v>4413048</v>
      </c>
      <c r="K1001" s="7" t="str">
        <f aca="false">IF(COUNTIF($O$2:$O$16,$A1001)&gt;0,"Y","N")</f>
        <v>Y</v>
      </c>
    </row>
    <row r="1002" customFormat="false" ht="15" hidden="false" customHeight="false" outlineLevel="0" collapsed="false">
      <c r="A1002" s="7" t="s">
        <v>38</v>
      </c>
      <c r="B1002" s="7" t="s">
        <v>301</v>
      </c>
      <c r="C1002" s="8" t="n">
        <v>20</v>
      </c>
      <c r="D1002" s="8" t="n">
        <v>199.82</v>
      </c>
      <c r="E1002" s="8" t="n">
        <v>6</v>
      </c>
      <c r="F1002" s="8" t="n">
        <v>53.18</v>
      </c>
      <c r="G1002" s="7" t="n">
        <f aca="false">IFERROR(INDEX('TRANS'!$B:$B,MATCH($B1002,'TRANS'!$A:$A,0)),IFERROR(INDEX('TRANS'!$B:$B,MATCH(TRIM(SUBSTITUTE($B1002,CHAR(160)," ")),'TRANS'!$D:$D,0)),IFERROR(INDEX('Catalog'!$A:$A,MATCH($B1002,'Catalog'!$B:$B,0)),IFERROR(INDEX('Catalog'!$A:$A,MATCH(TRIM(SUBSTITUTE($B1002,CHAR(160)," ")),'Catalog'!$C:$C,0)),""))))</f>
        <v>4413049</v>
      </c>
      <c r="H1002" s="7" t="str">
        <f aca="false">IFERROR(INDEX('TRANS'!$C:$C,MATCH($B1002,'TRANS'!$A:$A,0)),IFERROR(INDEX('Catalog'!$B:$B,MATCH($G1002,'Catalog'!$A:$A,0)),$B1002))</f>
        <v>35 M מגן קרסול לבן</v>
      </c>
      <c r="I1002" s="7" t="str">
        <f aca="false">IF($G1002="","Unmatched","Matched")</f>
        <v>Matched</v>
      </c>
      <c r="J1002" s="7" t="n">
        <f aca="false">IF($G1002&lt;&gt;"",$G1002,$B1002)</f>
        <v>4413049</v>
      </c>
      <c r="K1002" s="7" t="str">
        <f aca="false">IF(COUNTIF($O$2:$O$16,$A1002)&gt;0,"Y","N")</f>
        <v>Y</v>
      </c>
    </row>
    <row r="1003" customFormat="false" ht="15" hidden="false" customHeight="false" outlineLevel="0" collapsed="false">
      <c r="A1003" s="7" t="s">
        <v>38</v>
      </c>
      <c r="B1003" s="7" t="s">
        <v>303</v>
      </c>
      <c r="C1003" s="8" t="n">
        <v>10</v>
      </c>
      <c r="D1003" s="8" t="n">
        <v>97.43</v>
      </c>
      <c r="E1003" s="8" t="n">
        <v>0</v>
      </c>
      <c r="F1003" s="8" t="n">
        <v>0</v>
      </c>
      <c r="G1003" s="7" t="n">
        <f aca="false">IFERROR(INDEX('TRANS'!$B:$B,MATCH($B1003,'TRANS'!$A:$A,0)),IFERROR(INDEX('TRANS'!$B:$B,MATCH(TRIM(SUBSTITUTE($B1003,CHAR(160)," ")),'TRANS'!$D:$D,0)),IFERROR(INDEX('Catalog'!$A:$A,MATCH($B1003,'Catalog'!$B:$B,0)),IFERROR(INDEX('Catalog'!$A:$A,MATCH(TRIM(SUBSTITUTE($B1003,CHAR(160)," ")),'Catalog'!$C:$C,0)),""))))</f>
        <v>4413050</v>
      </c>
      <c r="H1003" s="7" t="str">
        <f aca="false">IFERROR(INDEX('TRANS'!$C:$C,MATCH($B1003,'TRANS'!$A:$A,0)),IFERROR(INDEX('Catalog'!$B:$B,MATCH($G1003,'Catalog'!$A:$A,0)),$B1003))</f>
        <v>35 XL מגן קרסול לבן</v>
      </c>
      <c r="I1003" s="7" t="str">
        <f aca="false">IF($G1003="","Unmatched","Matched")</f>
        <v>Matched</v>
      </c>
      <c r="J1003" s="7" t="n">
        <f aca="false">IF($G1003&lt;&gt;"",$G1003,$B1003)</f>
        <v>4413050</v>
      </c>
      <c r="K1003" s="7" t="str">
        <f aca="false">IF(COUNTIF($O$2:$O$16,$A1003)&gt;0,"Y","N")</f>
        <v>Y</v>
      </c>
    </row>
    <row r="1004" customFormat="false" ht="15" hidden="false" customHeight="false" outlineLevel="0" collapsed="false">
      <c r="A1004" s="7" t="s">
        <v>38</v>
      </c>
      <c r="B1004" s="7" t="s">
        <v>304</v>
      </c>
      <c r="C1004" s="8" t="n">
        <v>230</v>
      </c>
      <c r="D1004" s="8" t="n">
        <v>2506.49</v>
      </c>
      <c r="E1004" s="8" t="n">
        <v>180</v>
      </c>
      <c r="F1004" s="8" t="n">
        <v>1755.51</v>
      </c>
      <c r="G1004" s="7" t="n">
        <f aca="false">IFERROR(INDEX('TRANS'!$B:$B,MATCH($B1004,'TRANS'!$A:$A,0)),IFERROR(INDEX('TRANS'!$B:$B,MATCH(TRIM(SUBSTITUTE($B1004,CHAR(160)," ")),'TRANS'!$D:$D,0)),IFERROR(INDEX('Catalog'!$A:$A,MATCH($B1004,'Catalog'!$B:$B,0)),IFERROR(INDEX('Catalog'!$A:$A,MATCH(TRIM(SUBSTITUTE($B1004,CHAR(160)," ")),'Catalog'!$C:$C,0)),""))))</f>
        <v>4413490</v>
      </c>
      <c r="H1004" s="7" t="str">
        <f aca="false">IFERROR(INDEX('TRANS'!$C:$C,MATCH($B1004,'TRANS'!$A:$A,0)),IFERROR(INDEX('Catalog'!$B:$B,MATCH($G1004,'Catalog'!$A:$A,0)),$B1004))</f>
        <v>35B L מגן קרסול שחור</v>
      </c>
      <c r="I1004" s="7" t="str">
        <f aca="false">IF($G1004="","Unmatched","Matched")</f>
        <v>Matched</v>
      </c>
      <c r="J1004" s="7" t="n">
        <f aca="false">IF($G1004&lt;&gt;"",$G1004,$B1004)</f>
        <v>4413490</v>
      </c>
      <c r="K1004" s="7" t="str">
        <f aca="false">IF(COUNTIF($O$2:$O$16,$A1004)&gt;0,"Y","N")</f>
        <v>Y</v>
      </c>
    </row>
    <row r="1005" customFormat="false" ht="15" hidden="false" customHeight="false" outlineLevel="0" collapsed="false">
      <c r="A1005" s="7" t="s">
        <v>38</v>
      </c>
      <c r="B1005" s="7" t="s">
        <v>305</v>
      </c>
      <c r="C1005" s="8" t="n">
        <v>200</v>
      </c>
      <c r="D1005" s="8" t="n">
        <v>2169.33</v>
      </c>
      <c r="E1005" s="8" t="n">
        <v>180</v>
      </c>
      <c r="F1005" s="8" t="n">
        <v>1767.66</v>
      </c>
      <c r="G1005" s="7" t="n">
        <f aca="false">IFERROR(INDEX('TRANS'!$B:$B,MATCH($B1005,'TRANS'!$A:$A,0)),IFERROR(INDEX('TRANS'!$B:$B,MATCH(TRIM(SUBSTITUTE($B1005,CHAR(160)," ")),'TRANS'!$D:$D,0)),IFERROR(INDEX('Catalog'!$A:$A,MATCH($B1005,'Catalog'!$B:$B,0)),IFERROR(INDEX('Catalog'!$A:$A,MATCH(TRIM(SUBSTITUTE($B1005,CHAR(160)," ")),'Catalog'!$C:$C,0)),""))))</f>
        <v>4413492</v>
      </c>
      <c r="H1005" s="7" t="str">
        <f aca="false">IFERROR(INDEX('TRANS'!$C:$C,MATCH($B1005,'TRANS'!$A:$A,0)),IFERROR(INDEX('Catalog'!$B:$B,MATCH($G1005,'Catalog'!$A:$A,0)),$B1005))</f>
        <v>35B M מגן קרסול שחור</v>
      </c>
      <c r="I1005" s="7" t="str">
        <f aca="false">IF($G1005="","Unmatched","Matched")</f>
        <v>Matched</v>
      </c>
      <c r="J1005" s="7" t="n">
        <f aca="false">IF($G1005&lt;&gt;"",$G1005,$B1005)</f>
        <v>4413492</v>
      </c>
      <c r="K1005" s="7" t="str">
        <f aca="false">IF(COUNTIF($O$2:$O$16,$A1005)&gt;0,"Y","N")</f>
        <v>Y</v>
      </c>
    </row>
    <row r="1006" customFormat="false" ht="15" hidden="false" customHeight="false" outlineLevel="0" collapsed="false">
      <c r="A1006" s="7" t="s">
        <v>38</v>
      </c>
      <c r="B1006" s="7" t="s">
        <v>306</v>
      </c>
      <c r="C1006" s="8" t="n">
        <v>70</v>
      </c>
      <c r="D1006" s="8" t="n">
        <v>760.4</v>
      </c>
      <c r="E1006" s="8" t="n">
        <v>120</v>
      </c>
      <c r="F1006" s="8" t="n">
        <v>1161.27</v>
      </c>
      <c r="G1006" s="7" t="n">
        <f aca="false">IFERROR(INDEX('TRANS'!$B:$B,MATCH($B1006,'TRANS'!$A:$A,0)),IFERROR(INDEX('TRANS'!$B:$B,MATCH(TRIM(SUBSTITUTE($B1006,CHAR(160)," ")),'TRANS'!$D:$D,0)),IFERROR(INDEX('Catalog'!$A:$A,MATCH($B1006,'Catalog'!$B:$B,0)),IFERROR(INDEX('Catalog'!$A:$A,MATCH(TRIM(SUBSTITUTE($B1006,CHAR(160)," ")),'Catalog'!$C:$C,0)),""))))</f>
        <v>4413493</v>
      </c>
      <c r="H1006" s="7" t="str">
        <f aca="false">IFERROR(INDEX('TRANS'!$C:$C,MATCH($B1006,'TRANS'!$A:$A,0)),IFERROR(INDEX('Catalog'!$B:$B,MATCH($G1006,'Catalog'!$A:$A,0)),$B1006))</f>
        <v>35B S מגן קרסול שחור</v>
      </c>
      <c r="I1006" s="7" t="str">
        <f aca="false">IF($G1006="","Unmatched","Matched")</f>
        <v>Matched</v>
      </c>
      <c r="J1006" s="7" t="n">
        <f aca="false">IF($G1006&lt;&gt;"",$G1006,$B1006)</f>
        <v>4413493</v>
      </c>
      <c r="K1006" s="7" t="str">
        <f aca="false">IF(COUNTIF($O$2:$O$16,$A1006)&gt;0,"Y","N")</f>
        <v>Y</v>
      </c>
    </row>
    <row r="1007" customFormat="false" ht="15" hidden="false" customHeight="false" outlineLevel="0" collapsed="false">
      <c r="A1007" s="7" t="s">
        <v>38</v>
      </c>
      <c r="B1007" s="7" t="s">
        <v>307</v>
      </c>
      <c r="C1007" s="8" t="n">
        <v>155</v>
      </c>
      <c r="D1007" s="8" t="n">
        <v>1691.59</v>
      </c>
      <c r="E1007" s="8" t="n">
        <v>95</v>
      </c>
      <c r="F1007" s="8" t="n">
        <v>922.1</v>
      </c>
      <c r="G1007" s="7" t="n">
        <f aca="false">IFERROR(INDEX('TRANS'!$B:$B,MATCH($B1007,'TRANS'!$A:$A,0)),IFERROR(INDEX('TRANS'!$B:$B,MATCH(TRIM(SUBSTITUTE($B1007,CHAR(160)," ")),'TRANS'!$D:$D,0)),IFERROR(INDEX('Catalog'!$A:$A,MATCH($B1007,'Catalog'!$B:$B,0)),IFERROR(INDEX('Catalog'!$A:$A,MATCH(TRIM(SUBSTITUTE($B1007,CHAR(160)," ")),'Catalog'!$C:$C,0)),""))))</f>
        <v>4413491</v>
      </c>
      <c r="H1007" s="7" t="str">
        <f aca="false">IFERROR(INDEX('TRANS'!$C:$C,MATCH($B1007,'TRANS'!$A:$A,0)),IFERROR(INDEX('Catalog'!$B:$B,MATCH($G1007,'Catalog'!$A:$A,0)),$B1007))</f>
        <v>35B XL מגן קרסול שחור</v>
      </c>
      <c r="I1007" s="7" t="str">
        <f aca="false">IF($G1007="","Unmatched","Matched")</f>
        <v>Matched</v>
      </c>
      <c r="J1007" s="7" t="n">
        <f aca="false">IF($G1007&lt;&gt;"",$G1007,$B1007)</f>
        <v>4413491</v>
      </c>
      <c r="K1007" s="7" t="str">
        <f aca="false">IF(COUNTIF($O$2:$O$16,$A1007)&gt;0,"Y","N")</f>
        <v>Y</v>
      </c>
    </row>
    <row r="1008" customFormat="false" ht="15" hidden="false" customHeight="false" outlineLevel="0" collapsed="false">
      <c r="A1008" s="7" t="s">
        <v>38</v>
      </c>
      <c r="B1008" s="7" t="s">
        <v>396</v>
      </c>
      <c r="C1008" s="8" t="n">
        <v>35</v>
      </c>
      <c r="D1008" s="8" t="n">
        <v>385.93</v>
      </c>
      <c r="E1008" s="8" t="n">
        <v>31</v>
      </c>
      <c r="F1008" s="8" t="n">
        <v>308.96</v>
      </c>
      <c r="G1008" s="7" t="n">
        <f aca="false">IFERROR(INDEX('TRANS'!$B:$B,MATCH($B1008,'TRANS'!$A:$A,0)),IFERROR(INDEX('TRANS'!$B:$B,MATCH(TRIM(SUBSTITUTE($B1008,CHAR(160)," ")),'TRANS'!$D:$D,0)),IFERROR(INDEX('Catalog'!$A:$A,MATCH($B1008,'Catalog'!$B:$B,0)),IFERROR(INDEX('Catalog'!$A:$A,MATCH(TRIM(SUBSTITUTE($B1008,CHAR(160)," ")),'Catalog'!$C:$C,0)),""))))</f>
        <v>4413494</v>
      </c>
      <c r="H1008" s="7" t="str">
        <f aca="false">IFERROR(INDEX('TRANS'!$C:$C,MATCH($B1008,'TRANS'!$A:$A,0)),IFERROR(INDEX('Catalog'!$B:$B,MATCH($G1008,'Catalog'!$A:$A,0)),$B1008))</f>
        <v>35B XXL מגן קרסול שחור</v>
      </c>
      <c r="I1008" s="7" t="str">
        <f aca="false">IF($G1008="","Unmatched","Matched")</f>
        <v>Matched</v>
      </c>
      <c r="J1008" s="7" t="n">
        <f aca="false">IF($G1008&lt;&gt;"",$G1008,$B1008)</f>
        <v>4413494</v>
      </c>
      <c r="K1008" s="7" t="str">
        <f aca="false">IF(COUNTIF($O$2:$O$16,$A1008)&gt;0,"Y","N")</f>
        <v>Y</v>
      </c>
    </row>
    <row r="1009" customFormat="false" ht="15" hidden="false" customHeight="false" outlineLevel="0" collapsed="false">
      <c r="A1009" s="7" t="s">
        <v>38</v>
      </c>
      <c r="B1009" s="7" t="s">
        <v>308</v>
      </c>
      <c r="C1009" s="8" t="n">
        <v>100</v>
      </c>
      <c r="D1009" s="8" t="n">
        <v>1024.84</v>
      </c>
      <c r="E1009" s="8" t="n">
        <v>120</v>
      </c>
      <c r="F1009" s="8" t="n">
        <v>1120.49</v>
      </c>
      <c r="G1009" s="7" t="n">
        <f aca="false">IFERROR(INDEX('TRANS'!$B:$B,MATCH($B1009,'TRANS'!$A:$A,0)),IFERROR(INDEX('TRANS'!$B:$B,MATCH(TRIM(SUBSTITUTE($B1009,CHAR(160)," ")),'TRANS'!$D:$D,0)),IFERROR(INDEX('Catalog'!$A:$A,MATCH($B1009,'Catalog'!$B:$B,0)),IFERROR(INDEX('Catalog'!$A:$A,MATCH(TRIM(SUBSTITUTE($B1009,CHAR(160)," ")),'Catalog'!$C:$C,0)),""))))</f>
        <v>4413053</v>
      </c>
      <c r="H1009" s="7" t="str">
        <f aca="false">IFERROR(INDEX('TRANS'!$C:$C,MATCH($B1009,'TRANS'!$A:$A,0)),IFERROR(INDEX('Catalog'!$B:$B,MATCH($G1009,'Catalog'!$A:$A,0)),$B1009))</f>
        <v>35C L מגן קרסול חום</v>
      </c>
      <c r="I1009" s="7" t="str">
        <f aca="false">IF($G1009="","Unmatched","Matched")</f>
        <v>Matched</v>
      </c>
      <c r="J1009" s="7" t="n">
        <f aca="false">IF($G1009&lt;&gt;"",$G1009,$B1009)</f>
        <v>4413053</v>
      </c>
      <c r="K1009" s="7" t="str">
        <f aca="false">IF(COUNTIF($O$2:$O$16,$A1009)&gt;0,"Y","N")</f>
        <v>Y</v>
      </c>
    </row>
    <row r="1010" customFormat="false" ht="15" hidden="false" customHeight="false" outlineLevel="0" collapsed="false">
      <c r="A1010" s="7" t="s">
        <v>38</v>
      </c>
      <c r="B1010" s="7" t="s">
        <v>309</v>
      </c>
      <c r="C1010" s="8" t="n">
        <v>135</v>
      </c>
      <c r="D1010" s="8" t="n">
        <v>1378.31</v>
      </c>
      <c r="E1010" s="8" t="n">
        <v>150</v>
      </c>
      <c r="F1010" s="8" t="n">
        <v>1404.19</v>
      </c>
      <c r="G1010" s="7" t="n">
        <f aca="false">IFERROR(INDEX('TRANS'!$B:$B,MATCH($B1010,'TRANS'!$A:$A,0)),IFERROR(INDEX('TRANS'!$B:$B,MATCH(TRIM(SUBSTITUTE($B1010,CHAR(160)," ")),'TRANS'!$D:$D,0)),IFERROR(INDEX('Catalog'!$A:$A,MATCH($B1010,'Catalog'!$B:$B,0)),IFERROR(INDEX('Catalog'!$A:$A,MATCH(TRIM(SUBSTITUTE($B1010,CHAR(160)," ")),'Catalog'!$C:$C,0)),""))))</f>
        <v>4413054</v>
      </c>
      <c r="H1010" s="7" t="str">
        <f aca="false">IFERROR(INDEX('TRANS'!$C:$C,MATCH($B1010,'TRANS'!$A:$A,0)),IFERROR(INDEX('Catalog'!$B:$B,MATCH($G1010,'Catalog'!$A:$A,0)),$B1010))</f>
        <v>35C M מגן קרסול חום</v>
      </c>
      <c r="I1010" s="7" t="str">
        <f aca="false">IF($G1010="","Unmatched","Matched")</f>
        <v>Matched</v>
      </c>
      <c r="J1010" s="7" t="n">
        <f aca="false">IF($G1010&lt;&gt;"",$G1010,$B1010)</f>
        <v>4413054</v>
      </c>
      <c r="K1010" s="7" t="str">
        <f aca="false">IF(COUNTIF($O$2:$O$16,$A1010)&gt;0,"Y","N")</f>
        <v>Y</v>
      </c>
    </row>
    <row r="1011" customFormat="false" ht="15" hidden="false" customHeight="false" outlineLevel="0" collapsed="false">
      <c r="A1011" s="7" t="s">
        <v>38</v>
      </c>
      <c r="B1011" s="7" t="s">
        <v>310</v>
      </c>
      <c r="C1011" s="8" t="n">
        <v>35</v>
      </c>
      <c r="D1011" s="8" t="n">
        <v>352.64</v>
      </c>
      <c r="E1011" s="8" t="n">
        <v>60</v>
      </c>
      <c r="F1011" s="8" t="n">
        <v>557.42</v>
      </c>
      <c r="G1011" s="7" t="n">
        <f aca="false">IFERROR(INDEX('TRANS'!$B:$B,MATCH($B1011,'TRANS'!$A:$A,0)),IFERROR(INDEX('TRANS'!$B:$B,MATCH(TRIM(SUBSTITUTE($B1011,CHAR(160)," ")),'TRANS'!$D:$D,0)),IFERROR(INDEX('Catalog'!$A:$A,MATCH($B1011,'Catalog'!$B:$B,0)),IFERROR(INDEX('Catalog'!$A:$A,MATCH(TRIM(SUBSTITUTE($B1011,CHAR(160)," ")),'Catalog'!$C:$C,0)),""))))</f>
        <v>4413052</v>
      </c>
      <c r="H1011" s="7" t="str">
        <f aca="false">IFERROR(INDEX('TRANS'!$C:$C,MATCH($B1011,'TRANS'!$A:$A,0)),IFERROR(INDEX('Catalog'!$B:$B,MATCH($G1011,'Catalog'!$A:$A,0)),$B1011))</f>
        <v>35C S מגן קרסול חום</v>
      </c>
      <c r="I1011" s="7" t="str">
        <f aca="false">IF($G1011="","Unmatched","Matched")</f>
        <v>Matched</v>
      </c>
      <c r="J1011" s="7" t="n">
        <f aca="false">IF($G1011&lt;&gt;"",$G1011,$B1011)</f>
        <v>4413052</v>
      </c>
      <c r="K1011" s="7" t="str">
        <f aca="false">IF(COUNTIF($O$2:$O$16,$A1011)&gt;0,"Y","N")</f>
        <v>Y</v>
      </c>
    </row>
    <row r="1012" customFormat="false" ht="15" hidden="false" customHeight="false" outlineLevel="0" collapsed="false">
      <c r="A1012" s="7" t="s">
        <v>38</v>
      </c>
      <c r="B1012" s="7" t="s">
        <v>311</v>
      </c>
      <c r="C1012" s="8" t="n">
        <v>60</v>
      </c>
      <c r="D1012" s="8" t="n">
        <v>616.44</v>
      </c>
      <c r="E1012" s="8" t="n">
        <v>51</v>
      </c>
      <c r="F1012" s="8" t="n">
        <v>469.84</v>
      </c>
      <c r="G1012" s="7" t="n">
        <f aca="false">IFERROR(INDEX('TRANS'!$B:$B,MATCH($B1012,'TRANS'!$A:$A,0)),IFERROR(INDEX('TRANS'!$B:$B,MATCH(TRIM(SUBSTITUTE($B1012,CHAR(160)," ")),'TRANS'!$D:$D,0)),IFERROR(INDEX('Catalog'!$A:$A,MATCH($B1012,'Catalog'!$B:$B,0)),IFERROR(INDEX('Catalog'!$A:$A,MATCH(TRIM(SUBSTITUTE($B1012,CHAR(160)," ")),'Catalog'!$C:$C,0)),""))))</f>
        <v>4413055</v>
      </c>
      <c r="H1012" s="7" t="str">
        <f aca="false">IFERROR(INDEX('TRANS'!$C:$C,MATCH($B1012,'TRANS'!$A:$A,0)),IFERROR(INDEX('Catalog'!$B:$B,MATCH($G1012,'Catalog'!$A:$A,0)),$B1012))</f>
        <v>35C XL מגן קרסול חום</v>
      </c>
      <c r="I1012" s="7" t="str">
        <f aca="false">IF($G1012="","Unmatched","Matched")</f>
        <v>Matched</v>
      </c>
      <c r="J1012" s="7" t="n">
        <f aca="false">IF($G1012&lt;&gt;"",$G1012,$B1012)</f>
        <v>4413055</v>
      </c>
      <c r="K1012" s="7" t="str">
        <f aca="false">IF(COUNTIF($O$2:$O$16,$A1012)&gt;0,"Y","N")</f>
        <v>Y</v>
      </c>
    </row>
    <row r="1013" customFormat="false" ht="15" hidden="false" customHeight="false" outlineLevel="0" collapsed="false">
      <c r="A1013" s="7" t="s">
        <v>38</v>
      </c>
      <c r="B1013" s="7" t="s">
        <v>106</v>
      </c>
      <c r="C1013" s="8" t="n">
        <v>6</v>
      </c>
      <c r="D1013" s="8" t="n">
        <v>59.89</v>
      </c>
      <c r="E1013" s="8" t="n">
        <v>24</v>
      </c>
      <c r="F1013" s="8" t="n">
        <v>223.21</v>
      </c>
      <c r="G1013" s="7" t="str">
        <f aca="false">IFERROR(INDEX('TRANS'!$B:$B,MATCH($B1013,'TRANS'!$A:$A,0)),IFERROR(INDEX('TRANS'!$B:$B,MATCH(TRIM(SUBSTITUTE($B1013,CHAR(160)," ")),'TRANS'!$D:$D,0)),IFERROR(INDEX('Catalog'!$A:$A,MATCH($B1013,'Catalog'!$B:$B,0)),IFERROR(INDEX('Catalog'!$A:$A,MATCH(TRIM(SUBSTITUTE($B1013,CHAR(160)," ")),'Catalog'!$C:$C,0)),""))))</f>
        <v/>
      </c>
      <c r="H1013" s="7" t="str">
        <f aca="false">IFERROR(INDEX('TRANS'!$C:$C,MATCH($B1013,'TRANS'!$A:$A,0)),IFERROR(INDEX('Catalog'!$B:$B,MATCH($G1013,'Catalog'!$A:$A,0)),$B1013))</f>
        <v>35C XXL</v>
      </c>
      <c r="I1013" s="7" t="str">
        <f aca="false">IF($G1013="","Unmatched","Matched")</f>
        <v>Unmatched</v>
      </c>
      <c r="J1013" s="7" t="str">
        <f aca="false">IF($G1013&lt;&gt;"",$G1013,$B1013)</f>
        <v>35C XXL</v>
      </c>
      <c r="K1013" s="7" t="str">
        <f aca="false">IF(COUNTIF($O$2:$O$16,$A1013)&gt;0,"Y","N")</f>
        <v>Y</v>
      </c>
    </row>
    <row r="1014" customFormat="false" ht="15" hidden="false" customHeight="false" outlineLevel="0" collapsed="false">
      <c r="A1014" s="7" t="s">
        <v>38</v>
      </c>
      <c r="B1014" s="7" t="s">
        <v>453</v>
      </c>
      <c r="C1014" s="8" t="n">
        <v>220</v>
      </c>
      <c r="D1014" s="8" t="n">
        <v>5456.05</v>
      </c>
      <c r="E1014" s="8" t="n">
        <v>160</v>
      </c>
      <c r="F1014" s="8" t="n">
        <v>3525.24</v>
      </c>
      <c r="G1014" s="7" t="n">
        <f aca="false">IFERROR(INDEX('TRANS'!$B:$B,MATCH($B1014,'TRANS'!$A:$A,0)),IFERROR(INDEX('TRANS'!$B:$B,MATCH(TRIM(SUBSTITUTE($B1014,CHAR(160)," ")),'TRANS'!$D:$D,0)),IFERROR(INDEX('Catalog'!$A:$A,MATCH($B1014,'Catalog'!$B:$B,0)),IFERROR(INDEX('Catalog'!$A:$A,MATCH(TRIM(SUBSTITUTE($B1014,CHAR(160)," ")),'Catalog'!$C:$C,0)),""))))</f>
        <v>4421007</v>
      </c>
      <c r="H1014" s="7" t="str">
        <f aca="false">IFERROR(INDEX('TRANS'!$C:$C,MATCH($B1014,'TRANS'!$A:$A,0)),IFERROR(INDEX('Catalog'!$B:$B,MATCH($G1014,'Catalog'!$A:$A,0)),$B1014))</f>
        <v>שרוול לגבס קצר רגל</v>
      </c>
      <c r="I1014" s="7" t="str">
        <f aca="false">IF($G1014="","Unmatched","Matched")</f>
        <v>Matched</v>
      </c>
      <c r="J1014" s="7" t="n">
        <f aca="false">IF($G1014&lt;&gt;"",$G1014,$B1014)</f>
        <v>4421007</v>
      </c>
      <c r="K1014" s="7" t="str">
        <f aca="false">IF(COUNTIF($O$2:$O$16,$A1014)&gt;0,"Y","N")</f>
        <v>Y</v>
      </c>
    </row>
    <row r="1015" customFormat="false" ht="15" hidden="false" customHeight="false" outlineLevel="0" collapsed="false">
      <c r="A1015" s="7" t="s">
        <v>38</v>
      </c>
      <c r="B1015" s="7" t="s">
        <v>454</v>
      </c>
      <c r="C1015" s="8" t="n">
        <v>240</v>
      </c>
      <c r="D1015" s="8" t="n">
        <v>6330.7</v>
      </c>
      <c r="E1015" s="8" t="n">
        <v>170</v>
      </c>
      <c r="F1015" s="8" t="n">
        <v>4025.84</v>
      </c>
      <c r="G1015" s="7" t="n">
        <f aca="false">IFERROR(INDEX('TRANS'!$B:$B,MATCH($B1015,'TRANS'!$A:$A,0)),IFERROR(INDEX('TRANS'!$B:$B,MATCH(TRIM(SUBSTITUTE($B1015,CHAR(160)," ")),'TRANS'!$D:$D,0)),IFERROR(INDEX('Catalog'!$A:$A,MATCH($B1015,'Catalog'!$B:$B,0)),IFERROR(INDEX('Catalog'!$A:$A,MATCH(TRIM(SUBSTITUTE($B1015,CHAR(160)," ")),'Catalog'!$C:$C,0)),""))))</f>
        <v>4421008</v>
      </c>
      <c r="H1015" s="7" t="str">
        <f aca="false">IFERROR(INDEX('TRANS'!$C:$C,MATCH($B1015,'TRANS'!$A:$A,0)),IFERROR(INDEX('Catalog'!$B:$B,MATCH($G1015,'Catalog'!$A:$A,0)),$B1015))</f>
        <v>שרוול לגבס ארוך רגל</v>
      </c>
      <c r="I1015" s="7" t="str">
        <f aca="false">IF($G1015="","Unmatched","Matched")</f>
        <v>Matched</v>
      </c>
      <c r="J1015" s="7" t="n">
        <f aca="false">IF($G1015&lt;&gt;"",$G1015,$B1015)</f>
        <v>4421008</v>
      </c>
      <c r="K1015" s="7" t="str">
        <f aca="false">IF(COUNTIF($O$2:$O$16,$A1015)&gt;0,"Y","N")</f>
        <v>Y</v>
      </c>
    </row>
    <row r="1016" customFormat="false" ht="15" hidden="false" customHeight="false" outlineLevel="0" collapsed="false">
      <c r="A1016" s="7" t="s">
        <v>38</v>
      </c>
      <c r="B1016" s="7" t="s">
        <v>455</v>
      </c>
      <c r="C1016" s="8" t="n">
        <v>0</v>
      </c>
      <c r="D1016" s="8" t="n">
        <v>0</v>
      </c>
      <c r="E1016" s="8" t="n">
        <v>21</v>
      </c>
      <c r="F1016" s="8" t="n">
        <v>587.6</v>
      </c>
      <c r="G1016" s="7" t="n">
        <f aca="false">IFERROR(INDEX('TRANS'!$B:$B,MATCH($B1016,'TRANS'!$A:$A,0)),IFERROR(INDEX('TRANS'!$B:$B,MATCH(TRIM(SUBSTITUTE($B1016,CHAR(160)," ")),'TRANS'!$D:$D,0)),IFERROR(INDEX('Catalog'!$A:$A,MATCH($B1016,'Catalog'!$B:$B,0)),IFERROR(INDEX('Catalog'!$A:$A,MATCH(TRIM(SUBSTITUTE($B1016,CHAR(160)," ")),'Catalog'!$C:$C,0)),""))))</f>
        <v>4421001</v>
      </c>
      <c r="H1016" s="7" t="str">
        <f aca="false">IFERROR(INDEX('TRANS'!$C:$C,MATCH($B1016,'TRANS'!$A:$A,0)),IFERROR(INDEX('Catalog'!$B:$B,MATCH($G1016,'Catalog'!$A:$A,0)),$B1016))</f>
        <v>3611 שרוול מטטרזלי מסיליקון</v>
      </c>
      <c r="I1016" s="7" t="str">
        <f aca="false">IF($G1016="","Unmatched","Matched")</f>
        <v>Matched</v>
      </c>
      <c r="J1016" s="7" t="n">
        <f aca="false">IF($G1016&lt;&gt;"",$G1016,$B1016)</f>
        <v>4421001</v>
      </c>
      <c r="K1016" s="7" t="str">
        <f aca="false">IF(COUNTIF($O$2:$O$16,$A1016)&gt;0,"Y","N")</f>
        <v>Y</v>
      </c>
    </row>
    <row r="1017" customFormat="false" ht="15" hidden="false" customHeight="false" outlineLevel="0" collapsed="false">
      <c r="A1017" s="7" t="s">
        <v>38</v>
      </c>
      <c r="B1017" s="7" t="s">
        <v>456</v>
      </c>
      <c r="C1017" s="8" t="n">
        <v>6</v>
      </c>
      <c r="D1017" s="8" t="n">
        <v>84.19</v>
      </c>
      <c r="E1017" s="8" t="n">
        <v>18</v>
      </c>
      <c r="F1017" s="8" t="n">
        <v>225.73</v>
      </c>
      <c r="G1017" s="7" t="n">
        <f aca="false">IFERROR(INDEX('TRANS'!$B:$B,MATCH($B1017,'TRANS'!$A:$A,0)),IFERROR(INDEX('TRANS'!$B:$B,MATCH(TRIM(SUBSTITUTE($B1017,CHAR(160)," ")),'TRANS'!$D:$D,0)),IFERROR(INDEX('Catalog'!$A:$A,MATCH($B1017,'Catalog'!$B:$B,0)),IFERROR(INDEX('Catalog'!$A:$A,MATCH(TRIM(SUBSTITUTE($B1017,CHAR(160)," ")),'Catalog'!$C:$C,0)),""))))</f>
        <v>4411000</v>
      </c>
      <c r="H1017" s="7" t="str">
        <f aca="false">IFERROR(INDEX('TRANS'!$C:$C,MATCH($B1017,'TRANS'!$A:$A,0)),IFERROR(INDEX('Catalog'!$B:$B,MATCH($G1017,'Catalog'!$A:$A,0)),$B1017))</f>
        <v>כרית מטטרזלי סיליקון362</v>
      </c>
      <c r="I1017" s="7" t="str">
        <f aca="false">IF($G1017="","Unmatched","Matched")</f>
        <v>Matched</v>
      </c>
      <c r="J1017" s="7" t="n">
        <f aca="false">IF($G1017&lt;&gt;"",$G1017,$B1017)</f>
        <v>4411000</v>
      </c>
      <c r="K1017" s="7" t="str">
        <f aca="false">IF(COUNTIF($O$2:$O$16,$A1017)&gt;0,"Y","N")</f>
        <v>Y</v>
      </c>
    </row>
    <row r="1018" customFormat="false" ht="15" hidden="false" customHeight="false" outlineLevel="0" collapsed="false">
      <c r="A1018" s="7" t="s">
        <v>38</v>
      </c>
      <c r="B1018" s="7" t="s">
        <v>312</v>
      </c>
      <c r="C1018" s="8" t="n">
        <v>136</v>
      </c>
      <c r="D1018" s="8" t="n">
        <v>2135.79</v>
      </c>
      <c r="E1018" s="8" t="n">
        <v>170</v>
      </c>
      <c r="F1018" s="8" t="n">
        <v>2362.38</v>
      </c>
      <c r="G1018" s="7" t="n">
        <f aca="false">IFERROR(INDEX('TRANS'!$B:$B,MATCH($B1018,'TRANS'!$A:$A,0)),IFERROR(INDEX('TRANS'!$B:$B,MATCH(TRIM(SUBSTITUTE($B1018,CHAR(160)," ")),'TRANS'!$D:$D,0)),IFERROR(INDEX('Catalog'!$A:$A,MATCH($B1018,'Catalog'!$B:$B,0)),IFERROR(INDEX('Catalog'!$A:$A,MATCH(TRIM(SUBSTITUTE($B1018,CHAR(160)," ")),'Catalog'!$C:$C,0)),""))))</f>
        <v>4411001</v>
      </c>
      <c r="H1018" s="7" t="str">
        <f aca="false">IFERROR(INDEX('TRANS'!$C:$C,MATCH($B1018,'TRANS'!$A:$A,0)),IFERROR(INDEX('Catalog'!$B:$B,MATCH($G1018,'Catalog'!$A:$A,0)),$B1018))</f>
        <v>3623 כרית ליישור אצבע פטיש</v>
      </c>
      <c r="I1018" s="7" t="str">
        <f aca="false">IF($G1018="","Unmatched","Matched")</f>
        <v>Matched</v>
      </c>
      <c r="J1018" s="7" t="n">
        <f aca="false">IF($G1018&lt;&gt;"",$G1018,$B1018)</f>
        <v>4411001</v>
      </c>
      <c r="K1018" s="7" t="str">
        <f aca="false">IF(COUNTIF($O$2:$O$16,$A1018)&gt;0,"Y","N")</f>
        <v>Y</v>
      </c>
    </row>
    <row r="1019" customFormat="false" ht="15" hidden="false" customHeight="false" outlineLevel="0" collapsed="false">
      <c r="A1019" s="7" t="s">
        <v>38</v>
      </c>
      <c r="B1019" s="7" t="s">
        <v>171</v>
      </c>
      <c r="C1019" s="8" t="n">
        <v>0</v>
      </c>
      <c r="D1019" s="8" t="n">
        <v>0</v>
      </c>
      <c r="E1019" s="8" t="n">
        <v>1</v>
      </c>
      <c r="F1019" s="8" t="n">
        <v>0.03</v>
      </c>
      <c r="G1019" s="7" t="str">
        <f aca="false">IFERROR(INDEX('TRANS'!$B:$B,MATCH($B1019,'TRANS'!$A:$A,0)),IFERROR(INDEX('TRANS'!$B:$B,MATCH(TRIM(SUBSTITUTE($B1019,CHAR(160)," ")),'TRANS'!$D:$D,0)),IFERROR(INDEX('Catalog'!$A:$A,MATCH($B1019,'Catalog'!$B:$B,0)),IFERROR(INDEX('Catalog'!$A:$A,MATCH(TRIM(SUBSTITUTE($B1019,CHAR(160)," ")),'Catalog'!$C:$C,0)),""))))</f>
        <v/>
      </c>
      <c r="H1019" s="7" t="str">
        <f aca="false">IFERROR(INDEX('TRANS'!$C:$C,MATCH($B1019,'TRANS'!$A:$A,0)),IFERROR(INDEX('Catalog'!$B:$B,MATCH($G1019,'Catalog'!$A:$A,0)),$B1019))</f>
        <v>364XL+ 0</v>
      </c>
      <c r="I1019" s="7" t="str">
        <f aca="false">IF($G1019="","Unmatched","Matched")</f>
        <v>Unmatched</v>
      </c>
      <c r="J1019" s="7" t="str">
        <f aca="false">IF($G1019&lt;&gt;"",$G1019,$B1019)</f>
        <v>364XL+ 0</v>
      </c>
      <c r="K1019" s="7" t="str">
        <f aca="false">IF(COUNTIF($O$2:$O$16,$A1019)&gt;0,"Y","N")</f>
        <v>Y</v>
      </c>
    </row>
    <row r="1020" customFormat="false" ht="15" hidden="false" customHeight="false" outlineLevel="0" collapsed="false">
      <c r="A1020" s="7" t="s">
        <v>38</v>
      </c>
      <c r="B1020" s="7" t="s">
        <v>397</v>
      </c>
      <c r="C1020" s="8" t="n">
        <v>300</v>
      </c>
      <c r="D1020" s="8" t="n">
        <v>1576.45</v>
      </c>
      <c r="E1020" s="8" t="n">
        <v>40</v>
      </c>
      <c r="F1020" s="8" t="n">
        <v>196.74</v>
      </c>
      <c r="G1020" s="7" t="n">
        <f aca="false">IFERROR(INDEX('TRANS'!$B:$B,MATCH($B1020,'TRANS'!$A:$A,0)),IFERROR(INDEX('TRANS'!$B:$B,MATCH(TRIM(SUBSTITUTE($B1020,CHAR(160)," ")),'TRANS'!$D:$D,0)),IFERROR(INDEX('Catalog'!$A:$A,MATCH($B1020,'Catalog'!$B:$B,0)),IFERROR(INDEX('Catalog'!$A:$A,MATCH(TRIM(SUBSTITUTE($B1020,CHAR(160)," ")),'Catalog'!$C:$C,0)),""))))</f>
        <v>4413061</v>
      </c>
      <c r="H1020" s="7" t="str">
        <f aca="false">IFERROR(INDEX('TRANS'!$C:$C,MATCH($B1020,'TRANS'!$A:$A,0)),IFERROR(INDEX('Catalog'!$B:$B,MATCH($G1020,'Catalog'!$A:$A,0)),$B1020))</f>
        <v>3641-מיישר בוהן סיליקון קשיח</v>
      </c>
      <c r="I1020" s="7" t="str">
        <f aca="false">IF($G1020="","Unmatched","Matched")</f>
        <v>Matched</v>
      </c>
      <c r="J1020" s="7" t="n">
        <f aca="false">IF($G1020&lt;&gt;"",$G1020,$B1020)</f>
        <v>4413061</v>
      </c>
      <c r="K1020" s="7" t="str">
        <f aca="false">IF(COUNTIF($O$2:$O$16,$A1020)&gt;0,"Y","N")</f>
        <v>Y</v>
      </c>
    </row>
    <row r="1021" customFormat="false" ht="15" hidden="false" customHeight="false" outlineLevel="0" collapsed="false">
      <c r="A1021" s="7" t="s">
        <v>38</v>
      </c>
      <c r="B1021" s="7" t="s">
        <v>317</v>
      </c>
      <c r="C1021" s="8" t="n">
        <v>290</v>
      </c>
      <c r="D1021" s="8" t="n">
        <v>2483.87</v>
      </c>
      <c r="E1021" s="8" t="n">
        <v>370</v>
      </c>
      <c r="F1021" s="8" t="n">
        <v>2824.71</v>
      </c>
      <c r="G1021" s="7" t="n">
        <f aca="false">IFERROR(INDEX('TRANS'!$B:$B,MATCH($B1021,'TRANS'!$A:$A,0)),IFERROR(INDEX('TRANS'!$B:$B,MATCH(TRIM(SUBSTITUTE($B1021,CHAR(160)," ")),'TRANS'!$D:$D,0)),IFERROR(INDEX('Catalog'!$A:$A,MATCH($B1021,'Catalog'!$B:$B,0)),IFERROR(INDEX('Catalog'!$A:$A,MATCH(TRIM(SUBSTITUTE($B1021,CHAR(160)," ")),'Catalog'!$C:$C,0)),""))))</f>
        <v>4421000</v>
      </c>
      <c r="H1021" s="7" t="str">
        <f aca="false">IFERROR(INDEX('TRANS'!$C:$C,MATCH($B1021,'TRANS'!$A:$A,0)),IFERROR(INDEX('Catalog'!$B:$B,MATCH($G1021,'Catalog'!$A:$A,0)),$B1021))</f>
        <v>3655 שרוול מסיליקון לאצבע</v>
      </c>
      <c r="I1021" s="7" t="str">
        <f aca="false">IF($G1021="","Unmatched","Matched")</f>
        <v>Matched</v>
      </c>
      <c r="J1021" s="7" t="n">
        <f aca="false">IF($G1021&lt;&gt;"",$G1021,$B1021)</f>
        <v>4421000</v>
      </c>
      <c r="K1021" s="7" t="str">
        <f aca="false">IF(COUNTIF($O$2:$O$16,$A1021)&gt;0,"Y","N")</f>
        <v>Y</v>
      </c>
    </row>
    <row r="1022" customFormat="false" ht="15" hidden="false" customHeight="false" outlineLevel="0" collapsed="false">
      <c r="A1022" s="7" t="s">
        <v>38</v>
      </c>
      <c r="B1022" s="7" t="s">
        <v>398</v>
      </c>
      <c r="C1022" s="8" t="n">
        <v>16</v>
      </c>
      <c r="D1022" s="8" t="n">
        <v>245.68</v>
      </c>
      <c r="E1022" s="8" t="n">
        <v>38</v>
      </c>
      <c r="F1022" s="8" t="n">
        <v>547.34</v>
      </c>
      <c r="G1022" s="7" t="n">
        <f aca="false">IFERROR(INDEX('TRANS'!$B:$B,MATCH($B1022,'TRANS'!$A:$A,0)),IFERROR(INDEX('TRANS'!$B:$B,MATCH(TRIM(SUBSTITUTE($B1022,CHAR(160)," ")),'TRANS'!$D:$D,0)),IFERROR(INDEX('Catalog'!$A:$A,MATCH($B1022,'Catalog'!$B:$B,0)),IFERROR(INDEX('Catalog'!$A:$A,MATCH(TRIM(SUBSTITUTE($B1022,CHAR(160)," ")),'Catalog'!$C:$C,0)),""))))</f>
        <v>4413307</v>
      </c>
      <c r="H1022" s="7" t="str">
        <f aca="false">IFERROR(INDEX('TRANS'!$C:$C,MATCH($B1022,'TRANS'!$A:$A,0)),IFERROR(INDEX('Catalog'!$B:$B,MATCH($G1022,'Catalog'!$A:$A,0)),$B1022))</f>
        <v>URI 3667 מגן בוניון</v>
      </c>
      <c r="I1022" s="7" t="str">
        <f aca="false">IF($G1022="","Unmatched","Matched")</f>
        <v>Matched</v>
      </c>
      <c r="J1022" s="7" t="n">
        <f aca="false">IF($G1022&lt;&gt;"",$G1022,$B1022)</f>
        <v>4413307</v>
      </c>
      <c r="K1022" s="7" t="str">
        <f aca="false">IF(COUNTIF($O$2:$O$16,$A1022)&gt;0,"Y","N")</f>
        <v>Y</v>
      </c>
    </row>
    <row r="1023" customFormat="false" ht="15" hidden="false" customHeight="false" outlineLevel="0" collapsed="false">
      <c r="A1023" s="7" t="s">
        <v>38</v>
      </c>
      <c r="B1023" s="7" t="s">
        <v>634</v>
      </c>
      <c r="C1023" s="8" t="n">
        <v>16</v>
      </c>
      <c r="D1023" s="8" t="n">
        <v>277.58</v>
      </c>
      <c r="E1023" s="8" t="n">
        <v>46</v>
      </c>
      <c r="F1023" s="8" t="n">
        <v>762.78</v>
      </c>
      <c r="G1023" s="7" t="n">
        <f aca="false">IFERROR(INDEX('TRANS'!$B:$B,MATCH($B1023,'TRANS'!$A:$A,0)),IFERROR(INDEX('TRANS'!$B:$B,MATCH(TRIM(SUBSTITUTE($B1023,CHAR(160)," ")),'TRANS'!$D:$D,0)),IFERROR(INDEX('Catalog'!$A:$A,MATCH($B1023,'Catalog'!$B:$B,0)),IFERROR(INDEX('Catalog'!$A:$A,MATCH(TRIM(SUBSTITUTE($B1023,CHAR(160)," ")),'Catalog'!$C:$C,0)),""))))</f>
        <v>4421003</v>
      </c>
      <c r="H1023" s="7" t="str">
        <f aca="false">IFERROR(INDEX('TRANS'!$C:$C,MATCH($B1023,'TRANS'!$A:$A,0)),IFERROR(INDEX('Catalog'!$B:$B,MATCH($G1023,'Catalog'!$A:$A,0)),$B1023))</f>
        <v>3672 שרוול מגן לבוניון</v>
      </c>
      <c r="I1023" s="7" t="str">
        <f aca="false">IF($G1023="","Unmatched","Matched")</f>
        <v>Matched</v>
      </c>
      <c r="J1023" s="7" t="n">
        <f aca="false">IF($G1023&lt;&gt;"",$G1023,$B1023)</f>
        <v>4421003</v>
      </c>
      <c r="K1023" s="7" t="str">
        <f aca="false">IF(COUNTIF($O$2:$O$16,$A1023)&gt;0,"Y","N")</f>
        <v>Y</v>
      </c>
    </row>
    <row r="1024" customFormat="false" ht="15" hidden="false" customHeight="false" outlineLevel="0" collapsed="false">
      <c r="A1024" s="7" t="s">
        <v>38</v>
      </c>
      <c r="B1024" s="7" t="s">
        <v>399</v>
      </c>
      <c r="C1024" s="8" t="n">
        <v>38</v>
      </c>
      <c r="D1024" s="8" t="n">
        <v>608.77</v>
      </c>
      <c r="E1024" s="8" t="n">
        <v>56</v>
      </c>
      <c r="F1024" s="8" t="n">
        <v>820.4</v>
      </c>
      <c r="G1024" s="7" t="n">
        <f aca="false">IFERROR(INDEX('TRANS'!$B:$B,MATCH($B1024,'TRANS'!$A:$A,0)),IFERROR(INDEX('TRANS'!$B:$B,MATCH(TRIM(SUBSTITUTE($B1024,CHAR(160)," ")),'TRANS'!$D:$D,0)),IFERROR(INDEX('Catalog'!$A:$A,MATCH($B1024,'Catalog'!$B:$B,0)),IFERROR(INDEX('Catalog'!$A:$A,MATCH(TRIM(SUBSTITUTE($B1024,CHAR(160)," ")),'Catalog'!$C:$C,0)),""))))</f>
        <v>4413370</v>
      </c>
      <c r="H1024" s="7" t="str">
        <f aca="false">IFERROR(INDEX('TRANS'!$C:$C,MATCH($B1024,'TRANS'!$A:$A,0)),IFERROR(INDEX('Catalog'!$B:$B,MATCH($G1024,'Catalog'!$A:$A,0)),$B1024))</f>
        <v>3674 0 מ.בוניון+מפריד אצבע</v>
      </c>
      <c r="I1024" s="7" t="str">
        <f aca="false">IF($G1024="","Unmatched","Matched")</f>
        <v>Matched</v>
      </c>
      <c r="J1024" s="7" t="n">
        <f aca="false">IF($G1024&lt;&gt;"",$G1024,$B1024)</f>
        <v>4413370</v>
      </c>
      <c r="K1024" s="7" t="str">
        <f aca="false">IF(COUNTIF($O$2:$O$16,$A1024)&gt;0,"Y","N")</f>
        <v>Y</v>
      </c>
    </row>
    <row r="1025" customFormat="false" ht="15" hidden="false" customHeight="false" outlineLevel="0" collapsed="false">
      <c r="A1025" s="7" t="s">
        <v>38</v>
      </c>
      <c r="B1025" s="7" t="s">
        <v>400</v>
      </c>
      <c r="C1025" s="8" t="n">
        <v>0</v>
      </c>
      <c r="D1025" s="8" t="n">
        <v>0</v>
      </c>
      <c r="E1025" s="8" t="n">
        <v>38</v>
      </c>
      <c r="F1025" s="8" t="n">
        <v>462.83</v>
      </c>
      <c r="G1025" s="7" t="n">
        <f aca="false">IFERROR(INDEX('TRANS'!$B:$B,MATCH($B1025,'TRANS'!$A:$A,0)),IFERROR(INDEX('TRANS'!$B:$B,MATCH(TRIM(SUBSTITUTE($B1025,CHAR(160)," ")),'TRANS'!$D:$D,0)),IFERROR(INDEX('Catalog'!$A:$A,MATCH($B1025,'Catalog'!$B:$B,0)),IFERROR(INDEX('Catalog'!$A:$A,MATCH(TRIM(SUBSTITUTE($B1025,CHAR(160)," ")),'Catalog'!$C:$C,0)),""))))</f>
        <v>4413371</v>
      </c>
      <c r="H1025" s="7" t="str">
        <f aca="false">IFERROR(INDEX('TRANS'!$C:$C,MATCH($B1025,'TRANS'!$A:$A,0)),IFERROR(INDEX('Catalog'!$B:$B,MATCH($G1025,'Catalog'!$A:$A,0)),$B1025))</f>
        <v>3675    מגן זרת מסיליקון</v>
      </c>
      <c r="I1025" s="7" t="str">
        <f aca="false">IF($G1025="","Unmatched","Matched")</f>
        <v>Matched</v>
      </c>
      <c r="J1025" s="7" t="n">
        <f aca="false">IF($G1025&lt;&gt;"",$G1025,$B1025)</f>
        <v>4413371</v>
      </c>
      <c r="K1025" s="7" t="str">
        <f aca="false">IF(COUNTIF($O$2:$O$16,$A1025)&gt;0,"Y","N")</f>
        <v>Y</v>
      </c>
    </row>
    <row r="1026" customFormat="false" ht="15" hidden="false" customHeight="false" outlineLevel="0" collapsed="false">
      <c r="A1026" s="7" t="s">
        <v>38</v>
      </c>
      <c r="B1026" s="7" t="s">
        <v>322</v>
      </c>
      <c r="C1026" s="8" t="n">
        <v>110</v>
      </c>
      <c r="D1026" s="8" t="n">
        <v>682.52</v>
      </c>
      <c r="E1026" s="8" t="n">
        <v>120</v>
      </c>
      <c r="F1026" s="8" t="n">
        <v>675.87</v>
      </c>
      <c r="G1026" s="7" t="n">
        <f aca="false">IFERROR(INDEX('TRANS'!$B:$B,MATCH($B1026,'TRANS'!$A:$A,0)),IFERROR(INDEX('TRANS'!$B:$B,MATCH(TRIM(SUBSTITUTE($B1026,CHAR(160)," ")),'TRANS'!$D:$D,0)),IFERROR(INDEX('Catalog'!$A:$A,MATCH($B1026,'Catalog'!$B:$B,0)),IFERROR(INDEX('Catalog'!$A:$A,MATCH(TRIM(SUBSTITUTE($B1026,CHAR(160)," ")),'Catalog'!$C:$C,0)),""))))</f>
        <v>4420000</v>
      </c>
      <c r="H1026" s="7" t="str">
        <f aca="false">IFERROR(INDEX('TRANS'!$C:$C,MATCH($B1026,'TRANS'!$A:$A,0)),IFERROR(INDEX('Catalog'!$B:$B,MATCH($G1026,'Catalog'!$A:$A,0)),$B1026))</f>
        <v>370  רפידת נוחות-זוג</v>
      </c>
      <c r="I1026" s="7" t="str">
        <f aca="false">IF($G1026="","Unmatched","Matched")</f>
        <v>Matched</v>
      </c>
      <c r="J1026" s="7" t="n">
        <f aca="false">IF($G1026&lt;&gt;"",$G1026,$B1026)</f>
        <v>4420000</v>
      </c>
      <c r="K1026" s="7" t="str">
        <f aca="false">IF(COUNTIF($O$2:$O$16,$A1026)&gt;0,"Y","N")</f>
        <v>Y</v>
      </c>
    </row>
    <row r="1027" customFormat="false" ht="15" hidden="false" customHeight="false" outlineLevel="0" collapsed="false">
      <c r="A1027" s="7" t="s">
        <v>38</v>
      </c>
      <c r="B1027" s="7" t="s">
        <v>654</v>
      </c>
      <c r="C1027" s="8" t="n">
        <v>45</v>
      </c>
      <c r="D1027" s="8" t="n">
        <v>291.19</v>
      </c>
      <c r="E1027" s="8" t="n">
        <v>80</v>
      </c>
      <c r="F1027" s="8" t="n">
        <v>475.96</v>
      </c>
      <c r="G1027" s="7" t="n">
        <f aca="false">IFERROR(INDEX('TRANS'!$B:$B,MATCH($B1027,'TRANS'!$A:$A,0)),IFERROR(INDEX('TRANS'!$B:$B,MATCH(TRIM(SUBSTITUTE($B1027,CHAR(160)," ")),'TRANS'!$D:$D,0)),IFERROR(INDEX('Catalog'!$A:$A,MATCH($B1027,'Catalog'!$B:$B,0)),IFERROR(INDEX('Catalog'!$A:$A,MATCH(TRIM(SUBSTITUTE($B1027,CHAR(160)," ")),'Catalog'!$C:$C,0)),""))))</f>
        <v>4420027</v>
      </c>
      <c r="H1027" s="7" t="str">
        <f aca="false">IFERROR(INDEX('TRANS'!$C:$C,MATCH($B1027,'TRANS'!$A:$A,0)),IFERROR(INDEX('Catalog'!$B:$B,MATCH($G1027,'Catalog'!$A:$A,0)),$B1027))</f>
        <v>370K 0 רפידת לילדים אנטי ריח</v>
      </c>
      <c r="I1027" s="7" t="str">
        <f aca="false">IF($G1027="","Unmatched","Matched")</f>
        <v>Matched</v>
      </c>
      <c r="J1027" s="7" t="n">
        <f aca="false">IF($G1027&lt;&gt;"",$G1027,$B1027)</f>
        <v>4420027</v>
      </c>
      <c r="K1027" s="7" t="str">
        <f aca="false">IF(COUNTIF($O$2:$O$16,$A1027)&gt;0,"Y","N")</f>
        <v>Y</v>
      </c>
    </row>
    <row r="1028" customFormat="false" ht="15" hidden="false" customHeight="false" outlineLevel="0" collapsed="false">
      <c r="A1028" s="7" t="s">
        <v>38</v>
      </c>
      <c r="B1028" s="7" t="s">
        <v>323</v>
      </c>
      <c r="C1028" s="8" t="n">
        <v>100</v>
      </c>
      <c r="D1028" s="8" t="n">
        <v>613.89</v>
      </c>
      <c r="E1028" s="8" t="n">
        <v>110</v>
      </c>
      <c r="F1028" s="8" t="n">
        <v>588.8</v>
      </c>
      <c r="G1028" s="7" t="n">
        <f aca="false">IFERROR(INDEX('TRANS'!$B:$B,MATCH($B1028,'TRANS'!$A:$A,0)),IFERROR(INDEX('TRANS'!$B:$B,MATCH(TRIM(SUBSTITUTE($B1028,CHAR(160)," ")),'TRANS'!$D:$D,0)),IFERROR(INDEX('Catalog'!$A:$A,MATCH($B1028,'Catalog'!$B:$B,0)),IFERROR(INDEX('Catalog'!$A:$A,MATCH(TRIM(SUBSTITUTE($B1028,CHAR(160)," ")),'Catalog'!$C:$C,0)),""))))</f>
        <v>4420001</v>
      </c>
      <c r="H1028" s="7" t="str">
        <f aca="false">IFERROR(INDEX('TRANS'!$C:$C,MATCH($B1028,'TRANS'!$A:$A,0)),IFERROR(INDEX('Catalog'!$B:$B,MATCH($G1028,'Catalog'!$A:$A,0)),$B1028))</f>
        <v>371 רפידת מגבת כותנה-זוג</v>
      </c>
      <c r="I1028" s="7" t="str">
        <f aca="false">IF($G1028="","Unmatched","Matched")</f>
        <v>Matched</v>
      </c>
      <c r="J1028" s="7" t="n">
        <f aca="false">IF($G1028&lt;&gt;"",$G1028,$B1028)</f>
        <v>4420001</v>
      </c>
      <c r="K1028" s="7" t="str">
        <f aca="false">IF(COUNTIF($O$2:$O$16,$A1028)&gt;0,"Y","N")</f>
        <v>Y</v>
      </c>
    </row>
    <row r="1029" customFormat="false" ht="15" hidden="false" customHeight="false" outlineLevel="0" collapsed="false">
      <c r="A1029" s="7" t="s">
        <v>38</v>
      </c>
      <c r="B1029" s="7" t="s">
        <v>324</v>
      </c>
      <c r="C1029" s="8" t="n">
        <v>155</v>
      </c>
      <c r="D1029" s="8" t="n">
        <v>1090.36</v>
      </c>
      <c r="E1029" s="8" t="n">
        <v>185</v>
      </c>
      <c r="F1029" s="8" t="n">
        <v>1182.72</v>
      </c>
      <c r="G1029" s="7" t="n">
        <f aca="false">IFERROR(INDEX('TRANS'!$B:$B,MATCH($B1029,'TRANS'!$A:$A,0)),IFERROR(INDEX('TRANS'!$B:$B,MATCH(TRIM(SUBSTITUTE($B1029,CHAR(160)," ")),'TRANS'!$D:$D,0)),IFERROR(INDEX('Catalog'!$A:$A,MATCH($B1029,'Catalog'!$B:$B,0)),IFERROR(INDEX('Catalog'!$A:$A,MATCH(TRIM(SUBSTITUTE($B1029,CHAR(160)," ")),'Catalog'!$C:$C,0)),""))))</f>
        <v>4420002</v>
      </c>
      <c r="H1029" s="7" t="str">
        <f aca="false">IFERROR(INDEX('TRANS'!$C:$C,MATCH($B1029,'TRANS'!$A:$A,0)),IFERROR(INDEX('Catalog'!$B:$B,MATCH($G1029,'Catalog'!$A:$A,0)),$B1029))</f>
        <v>372 רפידת אנטי ריח -זוג</v>
      </c>
      <c r="I1029" s="7" t="str">
        <f aca="false">IF($G1029="","Unmatched","Matched")</f>
        <v>Matched</v>
      </c>
      <c r="J1029" s="7" t="n">
        <f aca="false">IF($G1029&lt;&gt;"",$G1029,$B1029)</f>
        <v>4420002</v>
      </c>
      <c r="K1029" s="7" t="str">
        <f aca="false">IF(COUNTIF($O$2:$O$16,$A1029)&gt;0,"Y","N")</f>
        <v>Y</v>
      </c>
    </row>
    <row r="1030" customFormat="false" ht="15" hidden="false" customHeight="false" outlineLevel="0" collapsed="false">
      <c r="A1030" s="7" t="s">
        <v>38</v>
      </c>
      <c r="B1030" s="7" t="s">
        <v>325</v>
      </c>
      <c r="C1030" s="8" t="n">
        <v>65</v>
      </c>
      <c r="D1030" s="8" t="n">
        <v>552.9</v>
      </c>
      <c r="E1030" s="8" t="n">
        <v>70</v>
      </c>
      <c r="F1030" s="8" t="n">
        <v>539.09</v>
      </c>
      <c r="G1030" s="7" t="n">
        <f aca="false">IFERROR(INDEX('TRANS'!$B:$B,MATCH($B1030,'TRANS'!$A:$A,0)),IFERROR(INDEX('TRANS'!$B:$B,MATCH(TRIM(SUBSTITUTE($B1030,CHAR(160)," ")),'TRANS'!$D:$D,0)),IFERROR(INDEX('Catalog'!$A:$A,MATCH($B1030,'Catalog'!$B:$B,0)),IFERROR(INDEX('Catalog'!$A:$A,MATCH(TRIM(SUBSTITUTE($B1030,CHAR(160)," ")),'Catalog'!$C:$C,0)),""))))</f>
        <v>4420003</v>
      </c>
      <c r="H1030" s="7" t="str">
        <f aca="false">IFERROR(INDEX('TRANS'!$C:$C,MATCH($B1030,'TRANS'!$A:$A,0)),IFERROR(INDEX('Catalog'!$B:$B,MATCH($G1030,'Catalog'!$A:$A,0)),$B1030))</f>
        <v>374 רפידת בולמת זעזועים -זוג</v>
      </c>
      <c r="I1030" s="7" t="str">
        <f aca="false">IF($G1030="","Unmatched","Matched")</f>
        <v>Matched</v>
      </c>
      <c r="J1030" s="7" t="n">
        <f aca="false">IF($G1030&lt;&gt;"",$G1030,$B1030)</f>
        <v>4420003</v>
      </c>
      <c r="K1030" s="7" t="str">
        <f aca="false">IF(COUNTIF($O$2:$O$16,$A1030)&gt;0,"Y","N")</f>
        <v>Y</v>
      </c>
    </row>
    <row r="1031" customFormat="false" ht="15" hidden="false" customHeight="false" outlineLevel="0" collapsed="false">
      <c r="A1031" s="7" t="s">
        <v>38</v>
      </c>
      <c r="B1031" s="7" t="s">
        <v>78</v>
      </c>
      <c r="C1031" s="8" t="n">
        <v>72</v>
      </c>
      <c r="D1031" s="8" t="n">
        <v>1049.25</v>
      </c>
      <c r="E1031" s="8" t="n">
        <v>60</v>
      </c>
      <c r="F1031" s="8" t="n">
        <v>795.85</v>
      </c>
      <c r="G1031" s="7" t="str">
        <f aca="false">IFERROR(INDEX('TRANS'!$B:$B,MATCH($B1031,'TRANS'!$A:$A,0)),IFERROR(INDEX('TRANS'!$B:$B,MATCH(TRIM(SUBSTITUTE($B1031,CHAR(160)," ")),'TRANS'!$D:$D,0)),IFERROR(INDEX('Catalog'!$A:$A,MATCH($B1031,'Catalog'!$B:$B,0)),IFERROR(INDEX('Catalog'!$A:$A,MATCH(TRIM(SUBSTITUTE($B1031,CHAR(160)," ")),'Catalog'!$C:$C,0)),""))))</f>
        <v/>
      </c>
      <c r="H1031" s="7" t="str">
        <f aca="false">IFERROR(INDEX('TRANS'!$C:$C,MATCH($B1031,'TRANS'!$A:$A,0)),IFERROR(INDEX('Catalog'!$B:$B,MATCH($G1031,'Catalog'!$A:$A,0)),$B1031))</f>
        <v>376-35-37</v>
      </c>
      <c r="I1031" s="7" t="str">
        <f aca="false">IF($G1031="","Unmatched","Matched")</f>
        <v>Unmatched</v>
      </c>
      <c r="J1031" s="7" t="str">
        <f aca="false">IF($G1031&lt;&gt;"",$G1031,$B1031)</f>
        <v>376-35-37</v>
      </c>
      <c r="K1031" s="7" t="str">
        <f aca="false">IF(COUNTIF($O$2:$O$16,$A1031)&gt;0,"Y","N")</f>
        <v>Y</v>
      </c>
    </row>
    <row r="1032" customFormat="false" ht="15" hidden="false" customHeight="false" outlineLevel="0" collapsed="false">
      <c r="A1032" s="7" t="s">
        <v>38</v>
      </c>
      <c r="B1032" s="7" t="s">
        <v>72</v>
      </c>
      <c r="C1032" s="8" t="n">
        <v>170</v>
      </c>
      <c r="D1032" s="8" t="n">
        <v>2479.51</v>
      </c>
      <c r="E1032" s="8" t="n">
        <v>80</v>
      </c>
      <c r="F1032" s="8" t="n">
        <v>1092.49</v>
      </c>
      <c r="G1032" s="7" t="str">
        <f aca="false">IFERROR(INDEX('TRANS'!$B:$B,MATCH($B1032,'TRANS'!$A:$A,0)),IFERROR(INDEX('TRANS'!$B:$B,MATCH(TRIM(SUBSTITUTE($B1032,CHAR(160)," ")),'TRANS'!$D:$D,0)),IFERROR(INDEX('Catalog'!$A:$A,MATCH($B1032,'Catalog'!$B:$B,0)),IFERROR(INDEX('Catalog'!$A:$A,MATCH(TRIM(SUBSTITUTE($B1032,CHAR(160)," ")),'Catalog'!$C:$C,0)),""))))</f>
        <v/>
      </c>
      <c r="H1032" s="7" t="str">
        <f aca="false">IFERROR(INDEX('TRANS'!$C:$C,MATCH($B1032,'TRANS'!$A:$A,0)),IFERROR(INDEX('Catalog'!$B:$B,MATCH($G1032,'Catalog'!$A:$A,0)),$B1032))</f>
        <v>376-38-40</v>
      </c>
      <c r="I1032" s="7" t="str">
        <f aca="false">IF($G1032="","Unmatched","Matched")</f>
        <v>Unmatched</v>
      </c>
      <c r="J1032" s="7" t="str">
        <f aca="false">IF($G1032&lt;&gt;"",$G1032,$B1032)</f>
        <v>376-38-40</v>
      </c>
      <c r="K1032" s="7" t="str">
        <f aca="false">IF(COUNTIF($O$2:$O$16,$A1032)&gt;0,"Y","N")</f>
        <v>Y</v>
      </c>
    </row>
    <row r="1033" customFormat="false" ht="15" hidden="false" customHeight="false" outlineLevel="0" collapsed="false">
      <c r="A1033" s="7" t="s">
        <v>38</v>
      </c>
      <c r="B1033" s="7" t="s">
        <v>69</v>
      </c>
      <c r="C1033" s="8" t="n">
        <v>410</v>
      </c>
      <c r="D1033" s="8" t="n">
        <v>5992.02</v>
      </c>
      <c r="E1033" s="8" t="n">
        <v>190</v>
      </c>
      <c r="F1033" s="8" t="n">
        <v>2504.54</v>
      </c>
      <c r="G1033" s="7" t="str">
        <f aca="false">IFERROR(INDEX('TRANS'!$B:$B,MATCH($B1033,'TRANS'!$A:$A,0)),IFERROR(INDEX('TRANS'!$B:$B,MATCH(TRIM(SUBSTITUTE($B1033,CHAR(160)," ")),'TRANS'!$D:$D,0)),IFERROR(INDEX('Catalog'!$A:$A,MATCH($B1033,'Catalog'!$B:$B,0)),IFERROR(INDEX('Catalog'!$A:$A,MATCH(TRIM(SUBSTITUTE($B1033,CHAR(160)," ")),'Catalog'!$C:$C,0)),""))))</f>
        <v/>
      </c>
      <c r="H1033" s="7" t="str">
        <f aca="false">IFERROR(INDEX('TRANS'!$C:$C,MATCH($B1033,'TRANS'!$A:$A,0)),IFERROR(INDEX('Catalog'!$B:$B,MATCH($G1033,'Catalog'!$A:$A,0)),$B1033))</f>
        <v>376-41-43</v>
      </c>
      <c r="I1033" s="7" t="str">
        <f aca="false">IF($G1033="","Unmatched","Matched")</f>
        <v>Unmatched</v>
      </c>
      <c r="J1033" s="7" t="str">
        <f aca="false">IF($G1033&lt;&gt;"",$G1033,$B1033)</f>
        <v>376-41-43</v>
      </c>
      <c r="K1033" s="7" t="str">
        <f aca="false">IF(COUNTIF($O$2:$O$16,$A1033)&gt;0,"Y","N")</f>
        <v>Y</v>
      </c>
    </row>
    <row r="1034" customFormat="false" ht="15" hidden="false" customHeight="false" outlineLevel="0" collapsed="false">
      <c r="A1034" s="7" t="s">
        <v>38</v>
      </c>
      <c r="B1034" s="7" t="s">
        <v>73</v>
      </c>
      <c r="C1034" s="8" t="n">
        <v>180</v>
      </c>
      <c r="D1034" s="8" t="n">
        <v>2649.87</v>
      </c>
      <c r="E1034" s="8" t="n">
        <v>170</v>
      </c>
      <c r="F1034" s="8" t="n">
        <v>2259.45</v>
      </c>
      <c r="G1034" s="7" t="str">
        <f aca="false">IFERROR(INDEX('TRANS'!$B:$B,MATCH($B1034,'TRANS'!$A:$A,0)),IFERROR(INDEX('TRANS'!$B:$B,MATCH(TRIM(SUBSTITUTE($B1034,CHAR(160)," ")),'TRANS'!$D:$D,0)),IFERROR(INDEX('Catalog'!$A:$A,MATCH($B1034,'Catalog'!$B:$B,0)),IFERROR(INDEX('Catalog'!$A:$A,MATCH(TRIM(SUBSTITUTE($B1034,CHAR(160)," ")),'Catalog'!$C:$C,0)),""))))</f>
        <v/>
      </c>
      <c r="H1034" s="7" t="str">
        <f aca="false">IFERROR(INDEX('TRANS'!$C:$C,MATCH($B1034,'TRANS'!$A:$A,0)),IFERROR(INDEX('Catalog'!$B:$B,MATCH($G1034,'Catalog'!$A:$A,0)),$B1034))</f>
        <v>376-44-45</v>
      </c>
      <c r="I1034" s="7" t="str">
        <f aca="false">IF($G1034="","Unmatched","Matched")</f>
        <v>Unmatched</v>
      </c>
      <c r="J1034" s="7" t="str">
        <f aca="false">IF($G1034&lt;&gt;"",$G1034,$B1034)</f>
        <v>376-44-45</v>
      </c>
      <c r="K1034" s="7" t="str">
        <f aca="false">IF(COUNTIF($O$2:$O$16,$A1034)&gt;0,"Y","N")</f>
        <v>Y</v>
      </c>
    </row>
    <row r="1035" customFormat="false" ht="15" hidden="false" customHeight="false" outlineLevel="0" collapsed="false">
      <c r="A1035" s="7" t="s">
        <v>38</v>
      </c>
      <c r="B1035" s="7" t="s">
        <v>326</v>
      </c>
      <c r="C1035" s="8" t="n">
        <v>80</v>
      </c>
      <c r="D1035" s="8" t="n">
        <v>1160.89</v>
      </c>
      <c r="E1035" s="8" t="n">
        <v>30</v>
      </c>
      <c r="F1035" s="8" t="n">
        <v>385.97</v>
      </c>
      <c r="G1035" s="7" t="n">
        <f aca="false">IFERROR(INDEX('TRANS'!$B:$B,MATCH($B1035,'TRANS'!$A:$A,0)),IFERROR(INDEX('TRANS'!$B:$B,MATCH(TRIM(SUBSTITUTE($B1035,CHAR(160)," ")),'TRANS'!$D:$D,0)),IFERROR(INDEX('Catalog'!$A:$A,MATCH($B1035,'Catalog'!$B:$B,0)),IFERROR(INDEX('Catalog'!$A:$A,MATCH(TRIM(SUBSTITUTE($B1035,CHAR(160)," ")),'Catalog'!$C:$C,0)),""))))</f>
        <v>4420032</v>
      </c>
      <c r="H1035" s="7" t="str">
        <f aca="false">IFERROR(INDEX('TRANS'!$C:$C,MATCH($B1035,'TRANS'!$A:$A,0)),IFERROR(INDEX('Catalog'!$B:$B,MATCH($G1035,'Catalog'!$A:$A,0)),$B1035))</f>
        <v>46-47 רפידת ספורט 376 מידה</v>
      </c>
      <c r="I1035" s="7" t="str">
        <f aca="false">IF($G1035="","Unmatched","Matched")</f>
        <v>Matched</v>
      </c>
      <c r="J1035" s="7" t="n">
        <f aca="false">IF($G1035&lt;&gt;"",$G1035,$B1035)</f>
        <v>4420032</v>
      </c>
      <c r="K1035" s="7" t="str">
        <f aca="false">IF(COUNTIF($O$2:$O$16,$A1035)&gt;0,"Y","N")</f>
        <v>Y</v>
      </c>
    </row>
    <row r="1036" customFormat="false" ht="15" hidden="false" customHeight="false" outlineLevel="0" collapsed="false">
      <c r="A1036" s="7" t="s">
        <v>38</v>
      </c>
      <c r="B1036" s="7" t="s">
        <v>528</v>
      </c>
      <c r="C1036" s="8" t="n">
        <v>0</v>
      </c>
      <c r="D1036" s="8" t="n">
        <v>0</v>
      </c>
      <c r="E1036" s="8" t="n">
        <v>15</v>
      </c>
      <c r="F1036" s="8" t="n">
        <v>442.38</v>
      </c>
      <c r="G1036" s="7" t="n">
        <f aca="false">IFERROR(INDEX('TRANS'!$B:$B,MATCH($B1036,'TRANS'!$A:$A,0)),IFERROR(INDEX('TRANS'!$B:$B,MATCH(TRIM(SUBSTITUTE($B1036,CHAR(160)," ")),'TRANS'!$D:$D,0)),IFERROR(INDEX('Catalog'!$A:$A,MATCH($B1036,'Catalog'!$B:$B,0)),IFERROR(INDEX('Catalog'!$A:$A,MATCH(TRIM(SUBSTITUTE($B1036,CHAR(160)," ")),'Catalog'!$C:$C,0)),""))))</f>
        <v>4408069</v>
      </c>
      <c r="H1036" s="7" t="str">
        <f aca="false">IFERROR(INDEX('TRANS'!$C:$C,MATCH($B1036,'TRANS'!$A:$A,0)),IFERROR(INDEX('Catalog'!$B:$B,MATCH($G1036,'Catalog'!$A:$A,0)),$B1036))</f>
        <v>38 .חבישת""""הלוקס ולגוס""""לאחר נית</v>
      </c>
      <c r="I1036" s="7" t="str">
        <f aca="false">IF($G1036="","Unmatched","Matched")</f>
        <v>Matched</v>
      </c>
      <c r="J1036" s="7" t="n">
        <f aca="false">IF($G1036&lt;&gt;"",$G1036,$B1036)</f>
        <v>4408069</v>
      </c>
      <c r="K1036" s="7" t="str">
        <f aca="false">IF(COUNTIF($O$2:$O$16,$A1036)&gt;0,"Y","N")</f>
        <v>Y</v>
      </c>
    </row>
    <row r="1037" customFormat="false" ht="15" hidden="false" customHeight="false" outlineLevel="0" collapsed="false">
      <c r="A1037" s="7" t="s">
        <v>38</v>
      </c>
      <c r="B1037" s="7" t="s">
        <v>327</v>
      </c>
      <c r="C1037" s="8" t="n">
        <v>230</v>
      </c>
      <c r="D1037" s="8" t="n">
        <v>3782.49</v>
      </c>
      <c r="E1037" s="8" t="n">
        <v>140</v>
      </c>
      <c r="F1037" s="8" t="n">
        <v>2106.92</v>
      </c>
      <c r="G1037" s="7" t="n">
        <f aca="false">IFERROR(INDEX('TRANS'!$B:$B,MATCH($B1037,'TRANS'!$A:$A,0)),IFERROR(INDEX('TRANS'!$B:$B,MATCH(TRIM(SUBSTITUTE($B1037,CHAR(160)," ")),'TRANS'!$D:$D,0)),IFERROR(INDEX('Catalog'!$A:$A,MATCH($B1037,'Catalog'!$B:$B,0)),IFERROR(INDEX('Catalog'!$A:$A,MATCH(TRIM(SUBSTITUTE($B1037,CHAR(160)," ")),'Catalog'!$C:$C,0)),""))))</f>
        <v>4413452</v>
      </c>
      <c r="H1037" s="7" t="str">
        <f aca="false">IFERROR(INDEX('TRANS'!$C:$C,MATCH($B1037,'TRANS'!$A:$A,0)),IFERROR(INDEX('Catalog'!$B:$B,MATCH($G1037,'Catalog'!$A:$A,0)),$B1037))</f>
        <v>386  מיישר בוניון-האלוקס ולגוס</v>
      </c>
      <c r="I1037" s="7" t="str">
        <f aca="false">IF($G1037="","Unmatched","Matched")</f>
        <v>Matched</v>
      </c>
      <c r="J1037" s="7" t="n">
        <f aca="false">IF($G1037&lt;&gt;"",$G1037,$B1037)</f>
        <v>4413452</v>
      </c>
      <c r="K1037" s="7" t="str">
        <f aca="false">IF(COUNTIF($O$2:$O$16,$A1037)&gt;0,"Y","N")</f>
        <v>Y</v>
      </c>
    </row>
    <row r="1038" customFormat="false" ht="15" hidden="false" customHeight="false" outlineLevel="0" collapsed="false">
      <c r="A1038" s="7" t="s">
        <v>38</v>
      </c>
      <c r="B1038" s="7" t="s">
        <v>464</v>
      </c>
      <c r="C1038" s="8" t="n">
        <v>50</v>
      </c>
      <c r="D1038" s="8" t="n">
        <v>1735.54</v>
      </c>
      <c r="E1038" s="8" t="n">
        <v>42</v>
      </c>
      <c r="F1038" s="8" t="n">
        <v>1329.32</v>
      </c>
      <c r="G1038" s="7" t="n">
        <f aca="false">IFERROR(INDEX('TRANS'!$B:$B,MATCH($B1038,'TRANS'!$A:$A,0)),IFERROR(INDEX('TRANS'!$B:$B,MATCH(TRIM(SUBSTITUTE($B1038,CHAR(160)," ")),'TRANS'!$D:$D,0)),IFERROR(INDEX('Catalog'!$A:$A,MATCH($B1038,'Catalog'!$B:$B,0)),IFERROR(INDEX('Catalog'!$A:$A,MATCH(TRIM(SUBSTITUTE($B1038,CHAR(160)," ")),'Catalog'!$C:$C,0)),""))))</f>
        <v>4415298</v>
      </c>
      <c r="H1038" s="7" t="str">
        <f aca="false">IFERROR(INDEX('TRANS'!$C:$C,MATCH($B1038,'TRANS'!$A:$A,0)),IFERROR(INDEX('Catalog'!$B:$B,MATCH($G1038,'Catalog'!$A:$A,0)),$B1038))</f>
        <v>388B L סד לילה שחור לבוהן שמאל</v>
      </c>
      <c r="I1038" s="7" t="str">
        <f aca="false">IF($G1038="","Unmatched","Matched")</f>
        <v>Matched</v>
      </c>
      <c r="J1038" s="7" t="n">
        <f aca="false">IF($G1038&lt;&gt;"",$G1038,$B1038)</f>
        <v>4415298</v>
      </c>
      <c r="K1038" s="7" t="str">
        <f aca="false">IF(COUNTIF($O$2:$O$16,$A1038)&gt;0,"Y","N")</f>
        <v>Y</v>
      </c>
    </row>
    <row r="1039" customFormat="false" ht="15" hidden="false" customHeight="false" outlineLevel="0" collapsed="false">
      <c r="A1039" s="7" t="s">
        <v>38</v>
      </c>
      <c r="B1039" s="7" t="s">
        <v>465</v>
      </c>
      <c r="C1039" s="8" t="n">
        <v>60</v>
      </c>
      <c r="D1039" s="8" t="n">
        <v>2060.36</v>
      </c>
      <c r="E1039" s="8" t="n">
        <v>56</v>
      </c>
      <c r="F1039" s="8" t="n">
        <v>1777.05</v>
      </c>
      <c r="G1039" s="7" t="n">
        <f aca="false">IFERROR(INDEX('TRANS'!$B:$B,MATCH($B1039,'TRANS'!$A:$A,0)),IFERROR(INDEX('TRANS'!$B:$B,MATCH(TRIM(SUBSTITUTE($B1039,CHAR(160)," ")),'TRANS'!$D:$D,0)),IFERROR(INDEX('Catalog'!$A:$A,MATCH($B1039,'Catalog'!$B:$B,0)),IFERROR(INDEX('Catalog'!$A:$A,MATCH(TRIM(SUBSTITUTE($B1039,CHAR(160)," ")),'Catalog'!$C:$C,0)),""))))</f>
        <v>4415299</v>
      </c>
      <c r="H1039" s="7" t="str">
        <f aca="false">IFERROR(INDEX('TRANS'!$C:$C,MATCH($B1039,'TRANS'!$A:$A,0)),IFERROR(INDEX('Catalog'!$B:$B,MATCH($G1039,'Catalog'!$A:$A,0)),$B1039))</f>
        <v>388B L סד לילה שחור לבוהן ימין</v>
      </c>
      <c r="I1039" s="7" t="str">
        <f aca="false">IF($G1039="","Unmatched","Matched")</f>
        <v>Matched</v>
      </c>
      <c r="J1039" s="7" t="n">
        <f aca="false">IF($G1039&lt;&gt;"",$G1039,$B1039)</f>
        <v>4415299</v>
      </c>
      <c r="K1039" s="7" t="str">
        <f aca="false">IF(COUNTIF($O$2:$O$16,$A1039)&gt;0,"Y","N")</f>
        <v>Y</v>
      </c>
    </row>
    <row r="1040" customFormat="false" ht="15" hidden="false" customHeight="false" outlineLevel="0" collapsed="false">
      <c r="A1040" s="7" t="s">
        <v>38</v>
      </c>
      <c r="B1040" s="7" t="s">
        <v>529</v>
      </c>
      <c r="C1040" s="8" t="n">
        <v>10</v>
      </c>
      <c r="D1040" s="8" t="n">
        <v>213.16</v>
      </c>
      <c r="E1040" s="8" t="n">
        <v>16</v>
      </c>
      <c r="F1040" s="8" t="n">
        <v>314.61</v>
      </c>
      <c r="G1040" s="7" t="n">
        <f aca="false">IFERROR(INDEX('TRANS'!$B:$B,MATCH($B1040,'TRANS'!$A:$A,0)),IFERROR(INDEX('TRANS'!$B:$B,MATCH(TRIM(SUBSTITUTE($B1040,CHAR(160)," ")),'TRANS'!$D:$D,0)),IFERROR(INDEX('Catalog'!$A:$A,MATCH($B1040,'Catalog'!$B:$B,0)),IFERROR(INDEX('Catalog'!$A:$A,MATCH(TRIM(SUBSTITUTE($B1040,CHAR(160)," ")),'Catalog'!$C:$C,0)),""))))</f>
        <v>4403001</v>
      </c>
      <c r="H1040" s="7" t="str">
        <f aca="false">IFERROR(INDEX('TRANS'!$C:$C,MATCH($B1040,'TRANS'!$A:$A,0)),IFERROR(INDEX('Catalog'!$B:$B,MATCH($G1040,'Catalog'!$A:$A,0)),$B1040))</f>
        <v>390B 39-42.גרב.כסף לסכרתיים שח</v>
      </c>
      <c r="I1040" s="7" t="str">
        <f aca="false">IF($G1040="","Unmatched","Matched")</f>
        <v>Matched</v>
      </c>
      <c r="J1040" s="7" t="n">
        <f aca="false">IF($G1040&lt;&gt;"",$G1040,$B1040)</f>
        <v>4403001</v>
      </c>
      <c r="K1040" s="7" t="str">
        <f aca="false">IF(COUNTIF($O$2:$O$16,$A1040)&gt;0,"Y","N")</f>
        <v>Y</v>
      </c>
    </row>
    <row r="1041" customFormat="false" ht="15" hidden="false" customHeight="false" outlineLevel="0" collapsed="false">
      <c r="A1041" s="7" t="s">
        <v>38</v>
      </c>
      <c r="B1041" s="7" t="s">
        <v>530</v>
      </c>
      <c r="C1041" s="8" t="n">
        <v>45</v>
      </c>
      <c r="D1041" s="8" t="n">
        <v>982.73</v>
      </c>
      <c r="E1041" s="8" t="n">
        <v>16</v>
      </c>
      <c r="F1041" s="8" t="n">
        <v>327.76</v>
      </c>
      <c r="G1041" s="7" t="n">
        <f aca="false">IFERROR(INDEX('TRANS'!$B:$B,MATCH($B1041,'TRANS'!$A:$A,0)),IFERROR(INDEX('TRANS'!$B:$B,MATCH(TRIM(SUBSTITUTE($B1041,CHAR(160)," ")),'TRANS'!$D:$D,0)),IFERROR(INDEX('Catalog'!$A:$A,MATCH($B1041,'Catalog'!$B:$B,0)),IFERROR(INDEX('Catalog'!$A:$A,MATCH(TRIM(SUBSTITUTE($B1041,CHAR(160)," ")),'Catalog'!$C:$C,0)),""))))</f>
        <v>4403002</v>
      </c>
      <c r="H1041" s="7" t="str">
        <f aca="false">IFERROR(INDEX('TRANS'!$C:$C,MATCH($B1041,'TRANS'!$A:$A,0)),IFERROR(INDEX('Catalog'!$B:$B,MATCH($G1041,'Catalog'!$A:$A,0)),$B1041))</f>
        <v>390B 43-46.גרב.כסף לסכרתיים שח</v>
      </c>
      <c r="I1041" s="7" t="str">
        <f aca="false">IF($G1041="","Unmatched","Matched")</f>
        <v>Matched</v>
      </c>
      <c r="J1041" s="7" t="n">
        <f aca="false">IF($G1041&lt;&gt;"",$G1041,$B1041)</f>
        <v>4403002</v>
      </c>
      <c r="K1041" s="7" t="str">
        <f aca="false">IF(COUNTIF($O$2:$O$16,$A1041)&gt;0,"Y","N")</f>
        <v>Y</v>
      </c>
    </row>
    <row r="1042" customFormat="false" ht="15" hidden="false" customHeight="false" outlineLevel="0" collapsed="false">
      <c r="A1042" s="7" t="s">
        <v>38</v>
      </c>
      <c r="B1042" s="7" t="s">
        <v>120</v>
      </c>
      <c r="C1042" s="8" t="n">
        <v>12</v>
      </c>
      <c r="D1042" s="8" t="n">
        <v>251.12</v>
      </c>
      <c r="E1042" s="8" t="n">
        <v>10</v>
      </c>
      <c r="F1042" s="8" t="n">
        <v>178.07</v>
      </c>
      <c r="G1042" s="7" t="str">
        <f aca="false">IFERROR(INDEX('TRANS'!$B:$B,MATCH($B1042,'TRANS'!$A:$A,0)),IFERROR(INDEX('TRANS'!$B:$B,MATCH(TRIM(SUBSTITUTE($B1042,CHAR(160)," ")),'TRANS'!$D:$D,0)),IFERROR(INDEX('Catalog'!$A:$A,MATCH($B1042,'Catalog'!$B:$B,0)),IFERROR(INDEX('Catalog'!$A:$A,MATCH(TRIM(SUBSTITUTE($B1042,CHAR(160)," ")),'Catalog'!$C:$C,0)),""))))</f>
        <v/>
      </c>
      <c r="H1042" s="7" t="str">
        <f aca="false">IFERROR(INDEX('TRANS'!$C:$C,MATCH($B1042,'TRANS'!$A:$A,0)),IFERROR(INDEX('Catalog'!$B:$B,MATCH($G1042,'Catalog'!$A:$A,0)),$B1042))</f>
        <v>390G-39-42</v>
      </c>
      <c r="I1042" s="7" t="str">
        <f aca="false">IF($G1042="","Unmatched","Matched")</f>
        <v>Unmatched</v>
      </c>
      <c r="J1042" s="7" t="str">
        <f aca="false">IF($G1042&lt;&gt;"",$G1042,$B1042)</f>
        <v>390G-39-42</v>
      </c>
      <c r="K1042" s="7" t="str">
        <f aca="false">IF(COUNTIF($O$2:$O$16,$A1042)&gt;0,"Y","N")</f>
        <v>Y</v>
      </c>
    </row>
    <row r="1043" customFormat="false" ht="15" hidden="false" customHeight="false" outlineLevel="0" collapsed="false">
      <c r="A1043" s="7" t="s">
        <v>38</v>
      </c>
      <c r="B1043" s="7" t="s">
        <v>466</v>
      </c>
      <c r="C1043" s="8" t="n">
        <v>0</v>
      </c>
      <c r="D1043" s="8" t="n">
        <v>0</v>
      </c>
      <c r="E1043" s="8" t="n">
        <v>6</v>
      </c>
      <c r="F1043" s="8" t="n">
        <v>111.55</v>
      </c>
      <c r="G1043" s="7" t="n">
        <f aca="false">IFERROR(INDEX('TRANS'!$B:$B,MATCH($B1043,'TRANS'!$A:$A,0)),IFERROR(INDEX('TRANS'!$B:$B,MATCH(TRIM(SUBSTITUTE($B1043,CHAR(160)," ")),'TRANS'!$D:$D,0)),IFERROR(INDEX('Catalog'!$A:$A,MATCH($B1043,'Catalog'!$B:$B,0)),IFERROR(INDEX('Catalog'!$A:$A,MATCH(TRIM(SUBSTITUTE($B1043,CHAR(160)," ")),'Catalog'!$C:$C,0)),""))))</f>
        <v>4403005</v>
      </c>
      <c r="H1043" s="7" t="str">
        <f aca="false">IFERROR(INDEX('TRANS'!$C:$C,MATCH($B1043,'TRANS'!$A:$A,0)),IFERROR(INDEX('Catalog'!$B:$B,MATCH($G1043,'Catalog'!$A:$A,0)),$B1043))</f>
        <v>G390.43-46 גרבי כסף לסכרת מידה</v>
      </c>
      <c r="I1043" s="7" t="str">
        <f aca="false">IF($G1043="","Unmatched","Matched")</f>
        <v>Matched</v>
      </c>
      <c r="J1043" s="7" t="n">
        <f aca="false">IF($G1043&lt;&gt;"",$G1043,$B1043)</f>
        <v>4403005</v>
      </c>
      <c r="K1043" s="7" t="str">
        <f aca="false">IF(COUNTIF($O$2:$O$16,$A1043)&gt;0,"Y","N")</f>
        <v>Y</v>
      </c>
    </row>
    <row r="1044" customFormat="false" ht="15" hidden="false" customHeight="false" outlineLevel="0" collapsed="false">
      <c r="A1044" s="7" t="s">
        <v>38</v>
      </c>
      <c r="B1044" s="7" t="s">
        <v>182</v>
      </c>
      <c r="C1044" s="8" t="n">
        <v>1</v>
      </c>
      <c r="D1044" s="8" t="n">
        <v>0.04</v>
      </c>
      <c r="E1044" s="8" t="n">
        <v>0</v>
      </c>
      <c r="F1044" s="8" t="n">
        <v>0</v>
      </c>
      <c r="G1044" s="7" t="str">
        <f aca="false">IFERROR(INDEX('TRANS'!$B:$B,MATCH($B1044,'TRANS'!$A:$A,0)),IFERROR(INDEX('TRANS'!$B:$B,MATCH(TRIM(SUBSTITUTE($B1044,CHAR(160)," ")),'TRANS'!$D:$D,0)),IFERROR(INDEX('Catalog'!$A:$A,MATCH($B1044,'Catalog'!$B:$B,0)),IFERROR(INDEX('Catalog'!$A:$A,MATCH(TRIM(SUBSTITUTE($B1044,CHAR(160)," ")),'Catalog'!$C:$C,0)),""))))</f>
        <v/>
      </c>
      <c r="H1044" s="7" t="str">
        <f aca="false">IFERROR(INDEX('TRANS'!$C:$C,MATCH($B1044,'TRANS'!$A:$A,0)),IFERROR(INDEX('Catalog'!$B:$B,MATCH($G1044,'Catalog'!$A:$A,0)),$B1044))</f>
        <v>391W-35-38</v>
      </c>
      <c r="I1044" s="7" t="str">
        <f aca="false">IF($G1044="","Unmatched","Matched")</f>
        <v>Unmatched</v>
      </c>
      <c r="J1044" s="7" t="str">
        <f aca="false">IF($G1044&lt;&gt;"",$G1044,$B1044)</f>
        <v>391W-35-38</v>
      </c>
      <c r="K1044" s="7" t="str">
        <f aca="false">IF(COUNTIF($O$2:$O$16,$A1044)&gt;0,"Y","N")</f>
        <v>Y</v>
      </c>
    </row>
    <row r="1045" customFormat="false" ht="15" hidden="false" customHeight="false" outlineLevel="0" collapsed="false">
      <c r="A1045" s="7" t="s">
        <v>38</v>
      </c>
      <c r="B1045" s="7" t="s">
        <v>217</v>
      </c>
      <c r="C1045" s="8" t="n">
        <v>10</v>
      </c>
      <c r="D1045" s="8" t="n">
        <v>194.88</v>
      </c>
      <c r="E1045" s="8" t="n">
        <v>0</v>
      </c>
      <c r="F1045" s="8" t="n">
        <v>0</v>
      </c>
      <c r="G1045" s="7" t="str">
        <f aca="false">IFERROR(INDEX('TRANS'!$B:$B,MATCH($B1045,'TRANS'!$A:$A,0)),IFERROR(INDEX('TRANS'!$B:$B,MATCH(TRIM(SUBSTITUTE($B1045,CHAR(160)," ")),'TRANS'!$D:$D,0)),IFERROR(INDEX('Catalog'!$A:$A,MATCH($B1045,'Catalog'!$B:$B,0)),IFERROR(INDEX('Catalog'!$A:$A,MATCH(TRIM(SUBSTITUTE($B1045,CHAR(160)," ")),'Catalog'!$C:$C,0)),""))))</f>
        <v/>
      </c>
      <c r="H1045" s="7" t="str">
        <f aca="false">IFERROR(INDEX('TRANS'!$C:$C,MATCH($B1045,'TRANS'!$A:$A,0)),IFERROR(INDEX('Catalog'!$B:$B,MATCH($G1045,'Catalog'!$A:$A,0)),$B1045))</f>
        <v>392B-39-42</v>
      </c>
      <c r="I1045" s="7" t="str">
        <f aca="false">IF($G1045="","Unmatched","Matched")</f>
        <v>Unmatched</v>
      </c>
      <c r="J1045" s="7" t="str">
        <f aca="false">IF($G1045&lt;&gt;"",$G1045,$B1045)</f>
        <v>392B-39-42</v>
      </c>
      <c r="K1045" s="7" t="str">
        <f aca="false">IF(COUNTIF($O$2:$O$16,$A1045)&gt;0,"Y","N")</f>
        <v>Y</v>
      </c>
    </row>
    <row r="1046" customFormat="false" ht="15" hidden="false" customHeight="false" outlineLevel="0" collapsed="false">
      <c r="A1046" s="7" t="s">
        <v>38</v>
      </c>
      <c r="B1046" s="7" t="s">
        <v>218</v>
      </c>
      <c r="C1046" s="8" t="n">
        <v>20</v>
      </c>
      <c r="D1046" s="8" t="n">
        <v>389.75</v>
      </c>
      <c r="E1046" s="8" t="n">
        <v>0</v>
      </c>
      <c r="F1046" s="8" t="n">
        <v>0</v>
      </c>
      <c r="G1046" s="7" t="str">
        <f aca="false">IFERROR(INDEX('TRANS'!$B:$B,MATCH($B1046,'TRANS'!$A:$A,0)),IFERROR(INDEX('TRANS'!$B:$B,MATCH(TRIM(SUBSTITUTE($B1046,CHAR(160)," ")),'TRANS'!$D:$D,0)),IFERROR(INDEX('Catalog'!$A:$A,MATCH($B1046,'Catalog'!$B:$B,0)),IFERROR(INDEX('Catalog'!$A:$A,MATCH(TRIM(SUBSTITUTE($B1046,CHAR(160)," ")),'Catalog'!$C:$C,0)),""))))</f>
        <v/>
      </c>
      <c r="H1046" s="7" t="str">
        <f aca="false">IFERROR(INDEX('TRANS'!$C:$C,MATCH($B1046,'TRANS'!$A:$A,0)),IFERROR(INDEX('Catalog'!$B:$B,MATCH($G1046,'Catalog'!$A:$A,0)),$B1046))</f>
        <v>392B-43-46</v>
      </c>
      <c r="I1046" s="7" t="str">
        <f aca="false">IF($G1046="","Unmatched","Matched")</f>
        <v>Unmatched</v>
      </c>
      <c r="J1046" s="7" t="str">
        <f aca="false">IF($G1046&lt;&gt;"",$G1046,$B1046)</f>
        <v>392B-43-46</v>
      </c>
      <c r="K1046" s="7" t="str">
        <f aca="false">IF(COUNTIF($O$2:$O$16,$A1046)&gt;0,"Y","N")</f>
        <v>Y</v>
      </c>
    </row>
    <row r="1047" customFormat="false" ht="15" hidden="false" customHeight="false" outlineLevel="0" collapsed="false">
      <c r="A1047" s="7" t="s">
        <v>38</v>
      </c>
      <c r="B1047" s="7" t="s">
        <v>129</v>
      </c>
      <c r="C1047" s="8" t="n">
        <v>0</v>
      </c>
      <c r="D1047" s="8" t="n">
        <v>0</v>
      </c>
      <c r="E1047" s="8" t="n">
        <v>6</v>
      </c>
      <c r="F1047" s="8" t="n">
        <v>123.95</v>
      </c>
      <c r="G1047" s="7" t="str">
        <f aca="false">IFERROR(INDEX('TRANS'!$B:$B,MATCH($B1047,'TRANS'!$A:$A,0)),IFERROR(INDEX('TRANS'!$B:$B,MATCH(TRIM(SUBSTITUTE($B1047,CHAR(160)," ")),'TRANS'!$D:$D,0)),IFERROR(INDEX('Catalog'!$A:$A,MATCH($B1047,'Catalog'!$B:$B,0)),IFERROR(INDEX('Catalog'!$A:$A,MATCH(TRIM(SUBSTITUTE($B1047,CHAR(160)," ")),'Catalog'!$C:$C,0)),""))))</f>
        <v/>
      </c>
      <c r="H1047" s="7" t="str">
        <f aca="false">IFERROR(INDEX('TRANS'!$C:$C,MATCH($B1047,'TRANS'!$A:$A,0)),IFERROR(INDEX('Catalog'!$B:$B,MATCH($G1047,'Catalog'!$A:$A,0)),$B1047))</f>
        <v>395B-35-38</v>
      </c>
      <c r="I1047" s="7" t="str">
        <f aca="false">IF($G1047="","Unmatched","Matched")</f>
        <v>Unmatched</v>
      </c>
      <c r="J1047" s="7" t="str">
        <f aca="false">IF($G1047&lt;&gt;"",$G1047,$B1047)</f>
        <v>395B-35-38</v>
      </c>
      <c r="K1047" s="7" t="str">
        <f aca="false">IF(COUNTIF($O$2:$O$16,$A1047)&gt;0,"Y","N")</f>
        <v>Y</v>
      </c>
    </row>
    <row r="1048" customFormat="false" ht="15" hidden="false" customHeight="false" outlineLevel="0" collapsed="false">
      <c r="A1048" s="7" t="s">
        <v>38</v>
      </c>
      <c r="B1048" s="7" t="s">
        <v>328</v>
      </c>
      <c r="C1048" s="8" t="n">
        <v>0</v>
      </c>
      <c r="D1048" s="8" t="n">
        <v>0</v>
      </c>
      <c r="E1048" s="8" t="n">
        <v>30</v>
      </c>
      <c r="F1048" s="8" t="n">
        <v>600.48</v>
      </c>
      <c r="G1048" s="7" t="n">
        <f aca="false">IFERROR(INDEX('TRANS'!$B:$B,MATCH($B1048,'TRANS'!$A:$A,0)),IFERROR(INDEX('TRANS'!$B:$B,MATCH(TRIM(SUBSTITUTE($B1048,CHAR(160)," ")),'TRANS'!$D:$D,0)),IFERROR(INDEX('Catalog'!$A:$A,MATCH($B1048,'Catalog'!$B:$B,0)),IFERROR(INDEX('Catalog'!$A:$A,MATCH(TRIM(SUBSTITUTE($B1048,CHAR(160)," ")),'Catalog'!$C:$C,0)),""))))</f>
        <v>4403044</v>
      </c>
      <c r="H1048" s="7" t="str">
        <f aca="false">IFERROR(INDEX('TRANS'!$C:$C,MATCH($B1048,'TRANS'!$A:$A,0)),IFERROR(INDEX('Catalog'!$B:$B,MATCH($G1048,'Catalog'!$A:$A,0)),$B1048))</f>
        <v>395B גרבי קיץ אנטי בקטריא39-42</v>
      </c>
      <c r="I1048" s="7" t="str">
        <f aca="false">IF($G1048="","Unmatched","Matched")</f>
        <v>Matched</v>
      </c>
      <c r="J1048" s="7" t="n">
        <f aca="false">IF($G1048&lt;&gt;"",$G1048,$B1048)</f>
        <v>4403044</v>
      </c>
      <c r="K1048" s="7" t="str">
        <f aca="false">IF(COUNTIF($O$2:$O$16,$A1048)&gt;0,"Y","N")</f>
        <v>Y</v>
      </c>
    </row>
    <row r="1049" customFormat="false" ht="15" hidden="false" customHeight="false" outlineLevel="0" collapsed="false">
      <c r="A1049" s="7" t="s">
        <v>38</v>
      </c>
      <c r="B1049" s="7" t="s">
        <v>472</v>
      </c>
      <c r="C1049" s="8" t="n">
        <v>1</v>
      </c>
      <c r="D1049" s="8" t="n">
        <v>0.04</v>
      </c>
      <c r="E1049" s="8" t="n">
        <v>60</v>
      </c>
      <c r="F1049" s="8" t="n">
        <v>1191.33</v>
      </c>
      <c r="G1049" s="7" t="n">
        <f aca="false">IFERROR(INDEX('TRANS'!$B:$B,MATCH($B1049,'TRANS'!$A:$A,0)),IFERROR(INDEX('TRANS'!$B:$B,MATCH(TRIM(SUBSTITUTE($B1049,CHAR(160)," ")),'TRANS'!$D:$D,0)),IFERROR(INDEX('Catalog'!$A:$A,MATCH($B1049,'Catalog'!$B:$B,0)),IFERROR(INDEX('Catalog'!$A:$A,MATCH(TRIM(SUBSTITUTE($B1049,CHAR(160)," ")),'Catalog'!$C:$C,0)),""))))</f>
        <v>4403045</v>
      </c>
      <c r="H1049" s="7" t="str">
        <f aca="false">IFERROR(INDEX('TRANS'!$C:$C,MATCH($B1049,'TRANS'!$A:$A,0)),IFERROR(INDEX('Catalog'!$B:$B,MATCH($G1049,'Catalog'!$A:$A,0)),$B1049))</f>
        <v>395B גרבי קיץ אנטי בקטריא43-46</v>
      </c>
      <c r="I1049" s="7" t="str">
        <f aca="false">IF($G1049="","Unmatched","Matched")</f>
        <v>Matched</v>
      </c>
      <c r="J1049" s="7" t="n">
        <f aca="false">IF($G1049&lt;&gt;"",$G1049,$B1049)</f>
        <v>4403045</v>
      </c>
      <c r="K1049" s="7" t="str">
        <f aca="false">IF(COUNTIF($O$2:$O$16,$A1049)&gt;0,"Y","N")</f>
        <v>Y</v>
      </c>
    </row>
    <row r="1050" customFormat="false" ht="15" hidden="false" customHeight="false" outlineLevel="0" collapsed="false">
      <c r="A1050" s="7" t="s">
        <v>38</v>
      </c>
      <c r="B1050" s="7" t="s">
        <v>332</v>
      </c>
      <c r="C1050" s="8" t="n">
        <v>1</v>
      </c>
      <c r="D1050" s="8" t="n">
        <v>0.04</v>
      </c>
      <c r="E1050" s="8" t="n">
        <v>0</v>
      </c>
      <c r="F1050" s="8" t="n">
        <v>0</v>
      </c>
      <c r="G1050" s="7" t="n">
        <f aca="false">IFERROR(INDEX('TRANS'!$B:$B,MATCH($B1050,'TRANS'!$A:$A,0)),IFERROR(INDEX('TRANS'!$B:$B,MATCH(TRIM(SUBSTITUTE($B1050,CHAR(160)," ")),'TRANS'!$D:$D,0)),IFERROR(INDEX('Catalog'!$A:$A,MATCH($B1050,'Catalog'!$B:$B,0)),IFERROR(INDEX('Catalog'!$A:$A,MATCH(TRIM(SUBSTITUTE($B1050,CHAR(160)," ")),'Catalog'!$C:$C,0)),""))))</f>
        <v>4403043</v>
      </c>
      <c r="H1050" s="7" t="str">
        <f aca="false">IFERROR(INDEX('TRANS'!$C:$C,MATCH($B1050,'TRANS'!$A:$A,0)),IFERROR(INDEX('Catalog'!$B:$B,MATCH($G1050,'Catalog'!$A:$A,0)),$B1050))</f>
        <v>397A-גרבי טיסה אנטי בקטרי43-46</v>
      </c>
      <c r="I1050" s="7" t="str">
        <f aca="false">IF($G1050="","Unmatched","Matched")</f>
        <v>Matched</v>
      </c>
      <c r="J1050" s="7" t="n">
        <f aca="false">IF($G1050&lt;&gt;"",$G1050,$B1050)</f>
        <v>4403043</v>
      </c>
      <c r="K1050" s="7" t="str">
        <f aca="false">IF(COUNTIF($O$2:$O$16,$A1050)&gt;0,"Y","N")</f>
        <v>Y</v>
      </c>
    </row>
    <row r="1051" customFormat="false" ht="15" hidden="false" customHeight="false" outlineLevel="0" collapsed="false">
      <c r="A1051" s="7" t="s">
        <v>38</v>
      </c>
      <c r="B1051" s="7" t="s">
        <v>334</v>
      </c>
      <c r="C1051" s="8" t="n">
        <v>26</v>
      </c>
      <c r="D1051" s="8" t="n">
        <v>268.92</v>
      </c>
      <c r="E1051" s="8" t="n">
        <v>16</v>
      </c>
      <c r="F1051" s="8" t="n">
        <v>151.3</v>
      </c>
      <c r="G1051" s="7" t="n">
        <f aca="false">IFERROR(INDEX('TRANS'!$B:$B,MATCH($B1051,'TRANS'!$A:$A,0)),IFERROR(INDEX('TRANS'!$B:$B,MATCH(TRIM(SUBSTITUTE($B1051,CHAR(160)," ")),'TRANS'!$D:$D,0)),IFERROR(INDEX('Catalog'!$A:$A,MATCH($B1051,'Catalog'!$B:$B,0)),IFERROR(INDEX('Catalog'!$A:$A,MATCH(TRIM(SUBSTITUTE($B1051,CHAR(160)," ")),'Catalog'!$C:$C,0)),""))))</f>
        <v>4413092</v>
      </c>
      <c r="H1051" s="7" t="str">
        <f aca="false">IFERROR(INDEX('TRANS'!$C:$C,MATCH($B1051,'TRANS'!$A:$A,0)),IFERROR(INDEX('Catalog'!$B:$B,MATCH($G1051,'Catalog'!$A:$A,0)),$B1051))</f>
        <v>45 L מגן ברך לבן</v>
      </c>
      <c r="I1051" s="7" t="str">
        <f aca="false">IF($G1051="","Unmatched","Matched")</f>
        <v>Matched</v>
      </c>
      <c r="J1051" s="7" t="n">
        <f aca="false">IF($G1051&lt;&gt;"",$G1051,$B1051)</f>
        <v>4413092</v>
      </c>
      <c r="K1051" s="7" t="str">
        <f aca="false">IF(COUNTIF($O$2:$O$16,$A1051)&gt;0,"Y","N")</f>
        <v>Y</v>
      </c>
    </row>
    <row r="1052" customFormat="false" ht="15" hidden="false" customHeight="false" outlineLevel="0" collapsed="false">
      <c r="A1052" s="7" t="s">
        <v>38</v>
      </c>
      <c r="B1052" s="7" t="s">
        <v>335</v>
      </c>
      <c r="C1052" s="8" t="n">
        <v>22</v>
      </c>
      <c r="D1052" s="8" t="n">
        <v>221.1</v>
      </c>
      <c r="E1052" s="8" t="n">
        <v>50</v>
      </c>
      <c r="F1052" s="8" t="n">
        <v>472.83</v>
      </c>
      <c r="G1052" s="7" t="n">
        <f aca="false">IFERROR(INDEX('TRANS'!$B:$B,MATCH($B1052,'TRANS'!$A:$A,0)),IFERROR(INDEX('TRANS'!$B:$B,MATCH(TRIM(SUBSTITUTE($B1052,CHAR(160)," ")),'TRANS'!$D:$D,0)),IFERROR(INDEX('Catalog'!$A:$A,MATCH($B1052,'Catalog'!$B:$B,0)),IFERROR(INDEX('Catalog'!$A:$A,MATCH(TRIM(SUBSTITUTE($B1052,CHAR(160)," ")),'Catalog'!$C:$C,0)),""))))</f>
        <v>4413093</v>
      </c>
      <c r="H1052" s="7" t="str">
        <f aca="false">IFERROR(INDEX('TRANS'!$C:$C,MATCH($B1052,'TRANS'!$A:$A,0)),IFERROR(INDEX('Catalog'!$B:$B,MATCH($G1052,'Catalog'!$A:$A,0)),$B1052))</f>
        <v>45 M מגן ברך לבן</v>
      </c>
      <c r="I1052" s="7" t="str">
        <f aca="false">IF($G1052="","Unmatched","Matched")</f>
        <v>Matched</v>
      </c>
      <c r="J1052" s="7" t="n">
        <f aca="false">IF($G1052&lt;&gt;"",$G1052,$B1052)</f>
        <v>4413093</v>
      </c>
      <c r="K1052" s="7" t="str">
        <f aca="false">IF(COUNTIF($O$2:$O$16,$A1052)&gt;0,"Y","N")</f>
        <v>Y</v>
      </c>
    </row>
    <row r="1053" customFormat="false" ht="15" hidden="false" customHeight="false" outlineLevel="0" collapsed="false">
      <c r="A1053" s="7" t="s">
        <v>38</v>
      </c>
      <c r="B1053" s="7" t="s">
        <v>336</v>
      </c>
      <c r="C1053" s="8" t="n">
        <v>6</v>
      </c>
      <c r="D1053" s="8" t="n">
        <v>59.89</v>
      </c>
      <c r="E1053" s="8" t="n">
        <v>20</v>
      </c>
      <c r="F1053" s="8" t="n">
        <v>189.13</v>
      </c>
      <c r="G1053" s="7" t="n">
        <f aca="false">IFERROR(INDEX('TRANS'!$B:$B,MATCH($B1053,'TRANS'!$A:$A,0)),IFERROR(INDEX('TRANS'!$B:$B,MATCH(TRIM(SUBSTITUTE($B1053,CHAR(160)," ")),'TRANS'!$D:$D,0)),IFERROR(INDEX('Catalog'!$A:$A,MATCH($B1053,'Catalog'!$B:$B,0)),IFERROR(INDEX('Catalog'!$A:$A,MATCH(TRIM(SUBSTITUTE($B1053,CHAR(160)," ")),'Catalog'!$C:$C,0)),""))))</f>
        <v>4413094</v>
      </c>
      <c r="H1053" s="7" t="str">
        <f aca="false">IFERROR(INDEX('TRANS'!$C:$C,MATCH($B1053,'TRANS'!$A:$A,0)),IFERROR(INDEX('Catalog'!$B:$B,MATCH($G1053,'Catalog'!$A:$A,0)),$B1053))</f>
        <v>45 S מגן ברך לבן</v>
      </c>
      <c r="I1053" s="7" t="str">
        <f aca="false">IF($G1053="","Unmatched","Matched")</f>
        <v>Matched</v>
      </c>
      <c r="J1053" s="7" t="n">
        <f aca="false">IF($G1053&lt;&gt;"",$G1053,$B1053)</f>
        <v>4413094</v>
      </c>
      <c r="K1053" s="7" t="str">
        <f aca="false">IF(COUNTIF($O$2:$O$16,$A1053)&gt;0,"Y","N")</f>
        <v>Y</v>
      </c>
    </row>
    <row r="1054" customFormat="false" ht="15" hidden="false" customHeight="false" outlineLevel="0" collapsed="false">
      <c r="A1054" s="7" t="s">
        <v>38</v>
      </c>
      <c r="B1054" s="7" t="s">
        <v>337</v>
      </c>
      <c r="C1054" s="8" t="n">
        <v>22</v>
      </c>
      <c r="D1054" s="8" t="n">
        <v>226.85</v>
      </c>
      <c r="E1054" s="8" t="n">
        <v>0</v>
      </c>
      <c r="F1054" s="8" t="n">
        <v>0</v>
      </c>
      <c r="G1054" s="7" t="n">
        <f aca="false">IFERROR(INDEX('TRANS'!$B:$B,MATCH($B1054,'TRANS'!$A:$A,0)),IFERROR(INDEX('TRANS'!$B:$B,MATCH(TRIM(SUBSTITUTE($B1054,CHAR(160)," ")),'TRANS'!$D:$D,0)),IFERROR(INDEX('Catalog'!$A:$A,MATCH($B1054,'Catalog'!$B:$B,0)),IFERROR(INDEX('Catalog'!$A:$A,MATCH(TRIM(SUBSTITUTE($B1054,CHAR(160)," ")),'Catalog'!$C:$C,0)),""))))</f>
        <v>4413095</v>
      </c>
      <c r="H1054" s="7" t="str">
        <f aca="false">IFERROR(INDEX('TRANS'!$C:$C,MATCH($B1054,'TRANS'!$A:$A,0)),IFERROR(INDEX('Catalog'!$B:$B,MATCH($G1054,'Catalog'!$A:$A,0)),$B1054))</f>
        <v>45 XL מגן ברך לבן</v>
      </c>
      <c r="I1054" s="7" t="str">
        <f aca="false">IF($G1054="","Unmatched","Matched")</f>
        <v>Matched</v>
      </c>
      <c r="J1054" s="7" t="n">
        <f aca="false">IF($G1054&lt;&gt;"",$G1054,$B1054)</f>
        <v>4413095</v>
      </c>
      <c r="K1054" s="7" t="str">
        <f aca="false">IF(COUNTIF($O$2:$O$16,$A1054)&gt;0,"Y","N")</f>
        <v>Y</v>
      </c>
    </row>
    <row r="1055" customFormat="false" ht="15" hidden="false" customHeight="false" outlineLevel="0" collapsed="false">
      <c r="A1055" s="7" t="s">
        <v>38</v>
      </c>
      <c r="B1055" s="7" t="s">
        <v>338</v>
      </c>
      <c r="C1055" s="8" t="n">
        <v>270</v>
      </c>
      <c r="D1055" s="8" t="n">
        <v>2944.57</v>
      </c>
      <c r="E1055" s="8" t="n">
        <v>140</v>
      </c>
      <c r="F1055" s="8" t="n">
        <v>1425.23</v>
      </c>
      <c r="G1055" s="7" t="n">
        <f aca="false">IFERROR(INDEX('TRANS'!$B:$B,MATCH($B1055,'TRANS'!$A:$A,0)),IFERROR(INDEX('TRANS'!$B:$B,MATCH(TRIM(SUBSTITUTE($B1055,CHAR(160)," ")),'TRANS'!$D:$D,0)),IFERROR(INDEX('Catalog'!$A:$A,MATCH($B1055,'Catalog'!$B:$B,0)),IFERROR(INDEX('Catalog'!$A:$A,MATCH(TRIM(SUBSTITUTE($B1055,CHAR(160)," ")),'Catalog'!$C:$C,0)),""))))</f>
        <v>4413495</v>
      </c>
      <c r="H1055" s="7" t="str">
        <f aca="false">IFERROR(INDEX('TRANS'!$C:$C,MATCH($B1055,'TRANS'!$A:$A,0)),IFERROR(INDEX('Catalog'!$B:$B,MATCH($G1055,'Catalog'!$A:$A,0)),$B1055))</f>
        <v>45B L מגן ברך שחור</v>
      </c>
      <c r="I1055" s="7" t="str">
        <f aca="false">IF($G1055="","Unmatched","Matched")</f>
        <v>Matched</v>
      </c>
      <c r="J1055" s="7" t="n">
        <f aca="false">IF($G1055&lt;&gt;"",$G1055,$B1055)</f>
        <v>4413495</v>
      </c>
      <c r="K1055" s="7" t="str">
        <f aca="false">IF(COUNTIF($O$2:$O$16,$A1055)&gt;0,"Y","N")</f>
        <v>Y</v>
      </c>
    </row>
    <row r="1056" customFormat="false" ht="15" hidden="false" customHeight="false" outlineLevel="0" collapsed="false">
      <c r="A1056" s="7" t="s">
        <v>38</v>
      </c>
      <c r="B1056" s="7" t="s">
        <v>339</v>
      </c>
      <c r="C1056" s="8" t="n">
        <v>290</v>
      </c>
      <c r="D1056" s="8" t="n">
        <v>3236.39</v>
      </c>
      <c r="E1056" s="8" t="n">
        <v>200</v>
      </c>
      <c r="F1056" s="8" t="n">
        <v>1988.63</v>
      </c>
      <c r="G1056" s="7" t="n">
        <f aca="false">IFERROR(INDEX('TRANS'!$B:$B,MATCH($B1056,'TRANS'!$A:$A,0)),IFERROR(INDEX('TRANS'!$B:$B,MATCH(TRIM(SUBSTITUTE($B1056,CHAR(160)," ")),'TRANS'!$D:$D,0)),IFERROR(INDEX('Catalog'!$A:$A,MATCH($B1056,'Catalog'!$B:$B,0)),IFERROR(INDEX('Catalog'!$A:$A,MATCH(TRIM(SUBSTITUTE($B1056,CHAR(160)," ")),'Catalog'!$C:$C,0)),""))))</f>
        <v>4413497</v>
      </c>
      <c r="H1056" s="7" t="str">
        <f aca="false">IFERROR(INDEX('TRANS'!$C:$C,MATCH($B1056,'TRANS'!$A:$A,0)),IFERROR(INDEX('Catalog'!$B:$B,MATCH($G1056,'Catalog'!$A:$A,0)),$B1056))</f>
        <v>45B M מגן ברך שחור</v>
      </c>
      <c r="I1056" s="7" t="str">
        <f aca="false">IF($G1056="","Unmatched","Matched")</f>
        <v>Matched</v>
      </c>
      <c r="J1056" s="7" t="n">
        <f aca="false">IF($G1056&lt;&gt;"",$G1056,$B1056)</f>
        <v>4413497</v>
      </c>
      <c r="K1056" s="7" t="str">
        <f aca="false">IF(COUNTIF($O$2:$O$16,$A1056)&gt;0,"Y","N")</f>
        <v>Y</v>
      </c>
    </row>
    <row r="1057" customFormat="false" ht="15" hidden="false" customHeight="false" outlineLevel="0" collapsed="false">
      <c r="A1057" s="7" t="s">
        <v>38</v>
      </c>
      <c r="B1057" s="7" t="s">
        <v>340</v>
      </c>
      <c r="C1057" s="8" t="n">
        <v>90</v>
      </c>
      <c r="D1057" s="8" t="n">
        <v>992.83</v>
      </c>
      <c r="E1057" s="8" t="n">
        <v>90</v>
      </c>
      <c r="F1057" s="8" t="n">
        <v>879.47</v>
      </c>
      <c r="G1057" s="7" t="n">
        <f aca="false">IFERROR(INDEX('TRANS'!$B:$B,MATCH($B1057,'TRANS'!$A:$A,0)),IFERROR(INDEX('TRANS'!$B:$B,MATCH(TRIM(SUBSTITUTE($B1057,CHAR(160)," ")),'TRANS'!$D:$D,0)),IFERROR(INDEX('Catalog'!$A:$A,MATCH($B1057,'Catalog'!$B:$B,0)),IFERROR(INDEX('Catalog'!$A:$A,MATCH(TRIM(SUBSTITUTE($B1057,CHAR(160)," ")),'Catalog'!$C:$C,0)),""))))</f>
        <v>4413498</v>
      </c>
      <c r="H1057" s="7" t="str">
        <f aca="false">IFERROR(INDEX('TRANS'!$C:$C,MATCH($B1057,'TRANS'!$A:$A,0)),IFERROR(INDEX('Catalog'!$B:$B,MATCH($G1057,'Catalog'!$A:$A,0)),$B1057))</f>
        <v>45B S מגן ברך שחור</v>
      </c>
      <c r="I1057" s="7" t="str">
        <f aca="false">IF($G1057="","Unmatched","Matched")</f>
        <v>Matched</v>
      </c>
      <c r="J1057" s="7" t="n">
        <f aca="false">IF($G1057&lt;&gt;"",$G1057,$B1057)</f>
        <v>4413498</v>
      </c>
      <c r="K1057" s="7" t="str">
        <f aca="false">IF(COUNTIF($O$2:$O$16,$A1057)&gt;0,"Y","N")</f>
        <v>Y</v>
      </c>
    </row>
    <row r="1058" customFormat="false" ht="15" hidden="false" customHeight="false" outlineLevel="0" collapsed="false">
      <c r="A1058" s="7" t="s">
        <v>38</v>
      </c>
      <c r="B1058" s="7" t="s">
        <v>341</v>
      </c>
      <c r="C1058" s="8" t="n">
        <v>200</v>
      </c>
      <c r="D1058" s="8" t="n">
        <v>2210.76</v>
      </c>
      <c r="E1058" s="8" t="n">
        <v>105</v>
      </c>
      <c r="F1058" s="8" t="n">
        <v>1041.07</v>
      </c>
      <c r="G1058" s="7" t="n">
        <f aca="false">IFERROR(INDEX('TRANS'!$B:$B,MATCH($B1058,'TRANS'!$A:$A,0)),IFERROR(INDEX('TRANS'!$B:$B,MATCH(TRIM(SUBSTITUTE($B1058,CHAR(160)," ")),'TRANS'!$D:$D,0)),IFERROR(INDEX('Catalog'!$A:$A,MATCH($B1058,'Catalog'!$B:$B,0)),IFERROR(INDEX('Catalog'!$A:$A,MATCH(TRIM(SUBSTITUTE($B1058,CHAR(160)," ")),'Catalog'!$C:$C,0)),""))))</f>
        <v>4413496</v>
      </c>
      <c r="H1058" s="7" t="str">
        <f aca="false">IFERROR(INDEX('TRANS'!$C:$C,MATCH($B1058,'TRANS'!$A:$A,0)),IFERROR(INDEX('Catalog'!$B:$B,MATCH($G1058,'Catalog'!$A:$A,0)),$B1058))</f>
        <v>45B XL מגן ברך שחור</v>
      </c>
      <c r="I1058" s="7" t="str">
        <f aca="false">IF($G1058="","Unmatched","Matched")</f>
        <v>Matched</v>
      </c>
      <c r="J1058" s="7" t="n">
        <f aca="false">IF($G1058&lt;&gt;"",$G1058,$B1058)</f>
        <v>4413496</v>
      </c>
      <c r="K1058" s="7" t="str">
        <f aca="false">IF(COUNTIF($O$2:$O$16,$A1058)&gt;0,"Y","N")</f>
        <v>Y</v>
      </c>
    </row>
    <row r="1059" customFormat="false" ht="15" hidden="false" customHeight="false" outlineLevel="0" collapsed="false">
      <c r="A1059" s="7" t="s">
        <v>38</v>
      </c>
      <c r="B1059" s="7" t="s">
        <v>403</v>
      </c>
      <c r="C1059" s="8" t="n">
        <v>80</v>
      </c>
      <c r="D1059" s="8" t="n">
        <v>907.45</v>
      </c>
      <c r="E1059" s="8" t="n">
        <v>73</v>
      </c>
      <c r="F1059" s="8" t="n">
        <v>722.65</v>
      </c>
      <c r="G1059" s="7" t="n">
        <f aca="false">IFERROR(INDEX('TRANS'!$B:$B,MATCH($B1059,'TRANS'!$A:$A,0)),IFERROR(INDEX('TRANS'!$B:$B,MATCH(TRIM(SUBSTITUTE($B1059,CHAR(160)," ")),'TRANS'!$D:$D,0)),IFERROR(INDEX('Catalog'!$A:$A,MATCH($B1059,'Catalog'!$B:$B,0)),IFERROR(INDEX('Catalog'!$A:$A,MATCH(TRIM(SUBSTITUTE($B1059,CHAR(160)," ")),'Catalog'!$C:$C,0)),""))))</f>
        <v>4413499</v>
      </c>
      <c r="H1059" s="7" t="str">
        <f aca="false">IFERROR(INDEX('TRANS'!$C:$C,MATCH($B1059,'TRANS'!$A:$A,0)),IFERROR(INDEX('Catalog'!$B:$B,MATCH($G1059,'Catalog'!$A:$A,0)),$B1059))</f>
        <v>45B XXLמגן ברך שחור</v>
      </c>
      <c r="I1059" s="7" t="str">
        <f aca="false">IF($G1059="","Unmatched","Matched")</f>
        <v>Matched</v>
      </c>
      <c r="J1059" s="7" t="n">
        <f aca="false">IF($G1059&lt;&gt;"",$G1059,$B1059)</f>
        <v>4413499</v>
      </c>
      <c r="K1059" s="7" t="str">
        <f aca="false">IF(COUNTIF($O$2:$O$16,$A1059)&gt;0,"Y","N")</f>
        <v>Y</v>
      </c>
    </row>
    <row r="1060" customFormat="false" ht="15" hidden="false" customHeight="false" outlineLevel="0" collapsed="false">
      <c r="A1060" s="7" t="s">
        <v>38</v>
      </c>
      <c r="B1060" s="7" t="s">
        <v>342</v>
      </c>
      <c r="C1060" s="8" t="n">
        <v>220</v>
      </c>
      <c r="D1060" s="8" t="n">
        <v>2259.62</v>
      </c>
      <c r="E1060" s="8" t="n">
        <v>116</v>
      </c>
      <c r="F1060" s="8" t="n">
        <v>1063.27</v>
      </c>
      <c r="G1060" s="7" t="n">
        <f aca="false">IFERROR(INDEX('TRANS'!$B:$B,MATCH($B1060,'TRANS'!$A:$A,0)),IFERROR(INDEX('TRANS'!$B:$B,MATCH(TRIM(SUBSTITUTE($B1060,CHAR(160)," ")),'TRANS'!$D:$D,0)),IFERROR(INDEX('Catalog'!$A:$A,MATCH($B1060,'Catalog'!$B:$B,0)),IFERROR(INDEX('Catalog'!$A:$A,MATCH(TRIM(SUBSTITUTE($B1060,CHAR(160)," ")),'Catalog'!$C:$C,0)),""))))</f>
        <v>4413098</v>
      </c>
      <c r="H1060" s="7" t="str">
        <f aca="false">IFERROR(INDEX('TRANS'!$C:$C,MATCH($B1060,'TRANS'!$A:$A,0)),IFERROR(INDEX('Catalog'!$B:$B,MATCH($G1060,'Catalog'!$A:$A,0)),$B1060))</f>
        <v>45C L מגן ברך חום</v>
      </c>
      <c r="I1060" s="7" t="str">
        <f aca="false">IF($G1060="","Unmatched","Matched")</f>
        <v>Matched</v>
      </c>
      <c r="J1060" s="7" t="n">
        <f aca="false">IF($G1060&lt;&gt;"",$G1060,$B1060)</f>
        <v>4413098</v>
      </c>
      <c r="K1060" s="7" t="str">
        <f aca="false">IF(COUNTIF($O$2:$O$16,$A1060)&gt;0,"Y","N")</f>
        <v>Y</v>
      </c>
    </row>
    <row r="1061" customFormat="false" ht="15" hidden="false" customHeight="false" outlineLevel="0" collapsed="false">
      <c r="A1061" s="7" t="s">
        <v>38</v>
      </c>
      <c r="B1061" s="7" t="s">
        <v>343</v>
      </c>
      <c r="C1061" s="8" t="n">
        <v>150</v>
      </c>
      <c r="D1061" s="8" t="n">
        <v>1555.13</v>
      </c>
      <c r="E1061" s="8" t="n">
        <v>136</v>
      </c>
      <c r="F1061" s="8" t="n">
        <v>1237.42</v>
      </c>
      <c r="G1061" s="7" t="n">
        <f aca="false">IFERROR(INDEX('TRANS'!$B:$B,MATCH($B1061,'TRANS'!$A:$A,0)),IFERROR(INDEX('TRANS'!$B:$B,MATCH(TRIM(SUBSTITUTE($B1061,CHAR(160)," ")),'TRANS'!$D:$D,0)),IFERROR(INDEX('Catalog'!$A:$A,MATCH($B1061,'Catalog'!$B:$B,0)),IFERROR(INDEX('Catalog'!$A:$A,MATCH(TRIM(SUBSTITUTE($B1061,CHAR(160)," ")),'Catalog'!$C:$C,0)),""))))</f>
        <v>4413099</v>
      </c>
      <c r="H1061" s="7" t="str">
        <f aca="false">IFERROR(INDEX('TRANS'!$C:$C,MATCH($B1061,'TRANS'!$A:$A,0)),IFERROR(INDEX('Catalog'!$B:$B,MATCH($G1061,'Catalog'!$A:$A,0)),$B1061))</f>
        <v>45C M מגן ברך חום</v>
      </c>
      <c r="I1061" s="7" t="str">
        <f aca="false">IF($G1061="","Unmatched","Matched")</f>
        <v>Matched</v>
      </c>
      <c r="J1061" s="7" t="n">
        <f aca="false">IF($G1061&lt;&gt;"",$G1061,$B1061)</f>
        <v>4413099</v>
      </c>
      <c r="K1061" s="7" t="str">
        <f aca="false">IF(COUNTIF($O$2:$O$16,$A1061)&gt;0,"Y","N")</f>
        <v>Y</v>
      </c>
    </row>
    <row r="1062" customFormat="false" ht="15" hidden="false" customHeight="false" outlineLevel="0" collapsed="false">
      <c r="A1062" s="7" t="s">
        <v>38</v>
      </c>
      <c r="B1062" s="7" t="s">
        <v>344</v>
      </c>
      <c r="C1062" s="8" t="n">
        <v>42</v>
      </c>
      <c r="D1062" s="8" t="n">
        <v>431.24</v>
      </c>
      <c r="E1062" s="8" t="n">
        <v>33</v>
      </c>
      <c r="F1062" s="8" t="n">
        <v>305.83</v>
      </c>
      <c r="G1062" s="7" t="n">
        <f aca="false">IFERROR(INDEX('TRANS'!$B:$B,MATCH($B1062,'TRANS'!$A:$A,0)),IFERROR(INDEX('TRANS'!$B:$B,MATCH(TRIM(SUBSTITUTE($B1062,CHAR(160)," ")),'TRANS'!$D:$D,0)),IFERROR(INDEX('Catalog'!$A:$A,MATCH($B1062,'Catalog'!$B:$B,0)),IFERROR(INDEX('Catalog'!$A:$A,MATCH(TRIM(SUBSTITUTE($B1062,CHAR(160)," ")),'Catalog'!$C:$C,0)),""))))</f>
        <v>4413097</v>
      </c>
      <c r="H1062" s="7" t="str">
        <f aca="false">IFERROR(INDEX('TRANS'!$C:$C,MATCH($B1062,'TRANS'!$A:$A,0)),IFERROR(INDEX('Catalog'!$B:$B,MATCH($G1062,'Catalog'!$A:$A,0)),$B1062))</f>
        <v>45C S מגן ברך חום</v>
      </c>
      <c r="I1062" s="7" t="str">
        <f aca="false">IF($G1062="","Unmatched","Matched")</f>
        <v>Matched</v>
      </c>
      <c r="J1062" s="7" t="n">
        <f aca="false">IF($G1062&lt;&gt;"",$G1062,$B1062)</f>
        <v>4413097</v>
      </c>
      <c r="K1062" s="7" t="str">
        <f aca="false">IF(COUNTIF($O$2:$O$16,$A1062)&gt;0,"Y","N")</f>
        <v>Y</v>
      </c>
    </row>
    <row r="1063" customFormat="false" ht="15" hidden="false" customHeight="false" outlineLevel="0" collapsed="false">
      <c r="A1063" s="7" t="s">
        <v>38</v>
      </c>
      <c r="B1063" s="7" t="s">
        <v>345</v>
      </c>
      <c r="C1063" s="8" t="n">
        <v>150</v>
      </c>
      <c r="D1063" s="8" t="n">
        <v>1559.48</v>
      </c>
      <c r="E1063" s="8" t="n">
        <v>81</v>
      </c>
      <c r="F1063" s="8" t="n">
        <v>744.03</v>
      </c>
      <c r="G1063" s="7" t="n">
        <f aca="false">IFERROR(INDEX('TRANS'!$B:$B,MATCH($B1063,'TRANS'!$A:$A,0)),IFERROR(INDEX('TRANS'!$B:$B,MATCH(TRIM(SUBSTITUTE($B1063,CHAR(160)," ")),'TRANS'!$D:$D,0)),IFERROR(INDEX('Catalog'!$A:$A,MATCH($B1063,'Catalog'!$B:$B,0)),IFERROR(INDEX('Catalog'!$A:$A,MATCH(TRIM(SUBSTITUTE($B1063,CHAR(160)," ")),'Catalog'!$C:$C,0)),""))))</f>
        <v>4413100</v>
      </c>
      <c r="H1063" s="7" t="str">
        <f aca="false">IFERROR(INDEX('TRANS'!$C:$C,MATCH($B1063,'TRANS'!$A:$A,0)),IFERROR(INDEX('Catalog'!$B:$B,MATCH($G1063,'Catalog'!$A:$A,0)),$B1063))</f>
        <v>45C XL מגן ברך חום</v>
      </c>
      <c r="I1063" s="7" t="str">
        <f aca="false">IF($G1063="","Unmatched","Matched")</f>
        <v>Matched</v>
      </c>
      <c r="J1063" s="7" t="n">
        <f aca="false">IF($G1063&lt;&gt;"",$G1063,$B1063)</f>
        <v>4413100</v>
      </c>
      <c r="K1063" s="7" t="str">
        <f aca="false">IF(COUNTIF($O$2:$O$16,$A1063)&gt;0,"Y","N")</f>
        <v>Y</v>
      </c>
    </row>
    <row r="1064" customFormat="false" ht="15" hidden="false" customHeight="false" outlineLevel="0" collapsed="false">
      <c r="A1064" s="7" t="s">
        <v>38</v>
      </c>
      <c r="B1064" s="7" t="s">
        <v>102</v>
      </c>
      <c r="C1064" s="8" t="n">
        <v>65</v>
      </c>
      <c r="D1064" s="8" t="n">
        <v>681.17</v>
      </c>
      <c r="E1064" s="8" t="n">
        <v>21</v>
      </c>
      <c r="F1064" s="8" t="n">
        <v>199.44</v>
      </c>
      <c r="G1064" s="7" t="str">
        <f aca="false">IFERROR(INDEX('TRANS'!$B:$B,MATCH($B1064,'TRANS'!$A:$A,0)),IFERROR(INDEX('TRANS'!$B:$B,MATCH(TRIM(SUBSTITUTE($B1064,CHAR(160)," ")),'TRANS'!$D:$D,0)),IFERROR(INDEX('Catalog'!$A:$A,MATCH($B1064,'Catalog'!$B:$B,0)),IFERROR(INDEX('Catalog'!$A:$A,MATCH(TRIM(SUBSTITUTE($B1064,CHAR(160)," ")),'Catalog'!$C:$C,0)),""))))</f>
        <v/>
      </c>
      <c r="H1064" s="7" t="str">
        <f aca="false">IFERROR(INDEX('TRANS'!$C:$C,MATCH($B1064,'TRANS'!$A:$A,0)),IFERROR(INDEX('Catalog'!$B:$B,MATCH($G1064,'Catalog'!$A:$A,0)),$B1064))</f>
        <v>45C XXL</v>
      </c>
      <c r="I1064" s="7" t="str">
        <f aca="false">IF($G1064="","Unmatched","Matched")</f>
        <v>Unmatched</v>
      </c>
      <c r="J1064" s="7" t="str">
        <f aca="false">IF($G1064&lt;&gt;"",$G1064,$B1064)</f>
        <v>45C XXL</v>
      </c>
      <c r="K1064" s="7" t="str">
        <f aca="false">IF(COUNTIF($O$2:$O$16,$A1064)&gt;0,"Y","N")</f>
        <v>Y</v>
      </c>
    </row>
    <row r="1065" customFormat="false" ht="15" hidden="false" customHeight="false" outlineLevel="0" collapsed="false">
      <c r="A1065" s="7" t="s">
        <v>38</v>
      </c>
      <c r="B1065" s="7" t="s">
        <v>603</v>
      </c>
      <c r="C1065" s="8" t="n">
        <v>6</v>
      </c>
      <c r="D1065" s="8" t="n">
        <v>69.91</v>
      </c>
      <c r="E1065" s="8" t="n">
        <v>0</v>
      </c>
      <c r="F1065" s="8" t="n">
        <v>0</v>
      </c>
      <c r="G1065" s="7" t="n">
        <f aca="false">IFERROR(INDEX('TRANS'!$B:$B,MATCH($B1065,'TRANS'!$A:$A,0)),IFERROR(INDEX('TRANS'!$B:$B,MATCH(TRIM(SUBSTITUTE($B1065,CHAR(160)," ")),'TRANS'!$D:$D,0)),IFERROR(INDEX('Catalog'!$A:$A,MATCH($B1065,'Catalog'!$B:$B,0)),IFERROR(INDEX('Catalog'!$A:$A,MATCH(TRIM(SUBSTITUTE($B1065,CHAR(160)," ")),'Catalog'!$C:$C,0)),""))))</f>
        <v>4413102</v>
      </c>
      <c r="H1065" s="7" t="str">
        <f aca="false">IFERROR(INDEX('TRANS'!$C:$C,MATCH($B1065,'TRANS'!$A:$A,0)),IFERROR(INDEX('Catalog'!$B:$B,MATCH($G1065,'Catalog'!$A:$A,0)),$B1065))</f>
        <v>45E  L        מגן ברך ארוך לבן</v>
      </c>
      <c r="I1065" s="7" t="str">
        <f aca="false">IF($G1065="","Unmatched","Matched")</f>
        <v>Matched</v>
      </c>
      <c r="J1065" s="7" t="n">
        <f aca="false">IF($G1065&lt;&gt;"",$G1065,$B1065)</f>
        <v>4413102</v>
      </c>
      <c r="K1065" s="7" t="str">
        <f aca="false">IF(COUNTIF($O$2:$O$16,$A1065)&gt;0,"Y","N")</f>
        <v>Y</v>
      </c>
    </row>
    <row r="1066" customFormat="false" ht="15" hidden="false" customHeight="false" outlineLevel="0" collapsed="false">
      <c r="A1066" s="7" t="s">
        <v>38</v>
      </c>
      <c r="B1066" s="7" t="s">
        <v>474</v>
      </c>
      <c r="C1066" s="8" t="n">
        <v>6</v>
      </c>
      <c r="D1066" s="8" t="n">
        <v>69.91</v>
      </c>
      <c r="E1066" s="8" t="n">
        <v>0</v>
      </c>
      <c r="F1066" s="8" t="n">
        <v>0</v>
      </c>
      <c r="G1066" s="7" t="n">
        <f aca="false">IFERROR(INDEX('TRANS'!$B:$B,MATCH($B1066,'TRANS'!$A:$A,0)),IFERROR(INDEX('TRANS'!$B:$B,MATCH(TRIM(SUBSTITUTE($B1066,CHAR(160)," ")),'TRANS'!$D:$D,0)),IFERROR(INDEX('Catalog'!$A:$A,MATCH($B1066,'Catalog'!$B:$B,0)),IFERROR(INDEX('Catalog'!$A:$A,MATCH(TRIM(SUBSTITUTE($B1066,CHAR(160)," ")),'Catalog'!$C:$C,0)),""))))</f>
        <v>4413103</v>
      </c>
      <c r="H1066" s="7" t="str">
        <f aca="false">IFERROR(INDEX('TRANS'!$C:$C,MATCH($B1066,'TRANS'!$A:$A,0)),IFERROR(INDEX('Catalog'!$B:$B,MATCH($G1066,'Catalog'!$A:$A,0)),$B1066))</f>
        <v>45E Mמגן ברך ארוך לבן</v>
      </c>
      <c r="I1066" s="7" t="str">
        <f aca="false">IF($G1066="","Unmatched","Matched")</f>
        <v>Matched</v>
      </c>
      <c r="J1066" s="7" t="n">
        <f aca="false">IF($G1066&lt;&gt;"",$G1066,$B1066)</f>
        <v>4413103</v>
      </c>
      <c r="K1066" s="7" t="str">
        <f aca="false">IF(COUNTIF($O$2:$O$16,$A1066)&gt;0,"Y","N")</f>
        <v>Y</v>
      </c>
    </row>
    <row r="1067" customFormat="false" ht="15" hidden="false" customHeight="false" outlineLevel="0" collapsed="false">
      <c r="A1067" s="7" t="s">
        <v>38</v>
      </c>
      <c r="B1067" s="7" t="s">
        <v>605</v>
      </c>
      <c r="C1067" s="8" t="n">
        <v>10</v>
      </c>
      <c r="D1067" s="8" t="n">
        <v>116.51</v>
      </c>
      <c r="E1067" s="8" t="n">
        <v>0</v>
      </c>
      <c r="F1067" s="8" t="n">
        <v>0</v>
      </c>
      <c r="G1067" s="7" t="n">
        <f aca="false">IFERROR(INDEX('TRANS'!$B:$B,MATCH($B1067,'TRANS'!$A:$A,0)),IFERROR(INDEX('TRANS'!$B:$B,MATCH(TRIM(SUBSTITUTE($B1067,CHAR(160)," ")),'TRANS'!$D:$D,0)),IFERROR(INDEX('Catalog'!$A:$A,MATCH($B1067,'Catalog'!$B:$B,0)),IFERROR(INDEX('Catalog'!$A:$A,MATCH(TRIM(SUBSTITUTE($B1067,CHAR(160)," ")),'Catalog'!$C:$C,0)),""))))</f>
        <v>4413104</v>
      </c>
      <c r="H1067" s="7" t="str">
        <f aca="false">IFERROR(INDEX('TRANS'!$C:$C,MATCH($B1067,'TRANS'!$A:$A,0)),IFERROR(INDEX('Catalog'!$B:$B,MATCH($G1067,'Catalog'!$A:$A,0)),$B1067))</f>
        <v>45E XLמגן ברך ארוך לבן</v>
      </c>
      <c r="I1067" s="7" t="str">
        <f aca="false">IF($G1067="","Unmatched","Matched")</f>
        <v>Matched</v>
      </c>
      <c r="J1067" s="7" t="n">
        <f aca="false">IF($G1067&lt;&gt;"",$G1067,$B1067)</f>
        <v>4413104</v>
      </c>
      <c r="K1067" s="7" t="str">
        <f aca="false">IF(COUNTIF($O$2:$O$16,$A1067)&gt;0,"Y","N")</f>
        <v>Y</v>
      </c>
    </row>
    <row r="1068" customFormat="false" ht="15" hidden="false" customHeight="false" outlineLevel="0" collapsed="false">
      <c r="A1068" s="7" t="s">
        <v>38</v>
      </c>
      <c r="B1068" s="7" t="s">
        <v>655</v>
      </c>
      <c r="C1068" s="8" t="n">
        <v>100</v>
      </c>
      <c r="D1068" s="8" t="n">
        <v>3135.24</v>
      </c>
      <c r="E1068" s="8" t="n">
        <v>18</v>
      </c>
      <c r="F1068" s="8" t="n">
        <v>522.81</v>
      </c>
      <c r="G1068" s="7" t="n">
        <f aca="false">IFERROR(INDEX('TRANS'!$B:$B,MATCH($B1068,'TRANS'!$A:$A,0)),IFERROR(INDEX('TRANS'!$B:$B,MATCH(TRIM(SUBSTITUTE($B1068,CHAR(160)," ")),'TRANS'!$D:$D,0)),IFERROR(INDEX('Catalog'!$A:$A,MATCH($B1068,'Catalog'!$B:$B,0)),IFERROR(INDEX('Catalog'!$A:$A,MATCH(TRIM(SUBSTITUTE($B1068,CHAR(160)," ")),'Catalog'!$C:$C,0)),""))))</f>
        <v>4413122</v>
      </c>
      <c r="H1068" s="7" t="str">
        <f aca="false">IFERROR(INDEX('TRANS'!$C:$C,MATCH($B1068,'TRANS'!$A:$A,0)),IFERROR(INDEX('Catalog'!$B:$B,MATCH($G1068,'Catalog'!$A:$A,0)),$B1068))</f>
        <v>55 L מתלה אשכים לספורטאים</v>
      </c>
      <c r="I1068" s="7" t="str">
        <f aca="false">IF($G1068="","Unmatched","Matched")</f>
        <v>Matched</v>
      </c>
      <c r="J1068" s="7" t="n">
        <f aca="false">IF($G1068&lt;&gt;"",$G1068,$B1068)</f>
        <v>4413122</v>
      </c>
      <c r="K1068" s="7" t="str">
        <f aca="false">IF(COUNTIF($O$2:$O$16,$A1068)&gt;0,"Y","N")</f>
        <v>Y</v>
      </c>
    </row>
    <row r="1069" customFormat="false" ht="15" hidden="false" customHeight="false" outlineLevel="0" collapsed="false">
      <c r="A1069" s="7" t="s">
        <v>38</v>
      </c>
      <c r="B1069" s="7" t="s">
        <v>104</v>
      </c>
      <c r="C1069" s="8" t="n">
        <v>50</v>
      </c>
      <c r="D1069" s="8" t="n">
        <v>1584.91</v>
      </c>
      <c r="E1069" s="8" t="n">
        <v>26</v>
      </c>
      <c r="F1069" s="8" t="n">
        <v>738.56</v>
      </c>
      <c r="G1069" s="7" t="str">
        <f aca="false">IFERROR(INDEX('TRANS'!$B:$B,MATCH($B1069,'TRANS'!$A:$A,0)),IFERROR(INDEX('TRANS'!$B:$B,MATCH(TRIM(SUBSTITUTE($B1069,CHAR(160)," ")),'TRANS'!$D:$D,0)),IFERROR(INDEX('Catalog'!$A:$A,MATCH($B1069,'Catalog'!$B:$B,0)),IFERROR(INDEX('Catalog'!$A:$A,MATCH(TRIM(SUBSTITUTE($B1069,CHAR(160)," ")),'Catalog'!$C:$C,0)),""))))</f>
        <v/>
      </c>
      <c r="H1069" s="7" t="str">
        <f aca="false">IFERROR(INDEX('TRANS'!$C:$C,MATCH($B1069,'TRANS'!$A:$A,0)),IFERROR(INDEX('Catalog'!$B:$B,MATCH($G1069,'Catalog'!$A:$A,0)),$B1069))</f>
        <v>55 M</v>
      </c>
      <c r="I1069" s="7" t="str">
        <f aca="false">IF($G1069="","Unmatched","Matched")</f>
        <v>Unmatched</v>
      </c>
      <c r="J1069" s="7" t="str">
        <f aca="false">IF($G1069&lt;&gt;"",$G1069,$B1069)</f>
        <v>55 M</v>
      </c>
      <c r="K1069" s="7" t="str">
        <f aca="false">IF(COUNTIF($O$2:$O$16,$A1069)&gt;0,"Y","N")</f>
        <v>Y</v>
      </c>
    </row>
    <row r="1070" customFormat="false" ht="15" hidden="false" customHeight="false" outlineLevel="0" collapsed="false">
      <c r="A1070" s="7" t="s">
        <v>38</v>
      </c>
      <c r="B1070" s="7" t="s">
        <v>219</v>
      </c>
      <c r="C1070" s="8" t="n">
        <v>6</v>
      </c>
      <c r="D1070" s="8" t="n">
        <v>183.73</v>
      </c>
      <c r="E1070" s="8" t="n">
        <v>0</v>
      </c>
      <c r="F1070" s="8" t="n">
        <v>0</v>
      </c>
      <c r="G1070" s="7" t="str">
        <f aca="false">IFERROR(INDEX('TRANS'!$B:$B,MATCH($B1070,'TRANS'!$A:$A,0)),IFERROR(INDEX('TRANS'!$B:$B,MATCH(TRIM(SUBSTITUTE($B1070,CHAR(160)," ")),'TRANS'!$D:$D,0)),IFERROR(INDEX('Catalog'!$A:$A,MATCH($B1070,'Catalog'!$B:$B,0)),IFERROR(INDEX('Catalog'!$A:$A,MATCH(TRIM(SUBSTITUTE($B1070,CHAR(160)," ")),'Catalog'!$C:$C,0)),""))))</f>
        <v/>
      </c>
      <c r="H1070" s="7" t="str">
        <f aca="false">IFERROR(INDEX('TRANS'!$C:$C,MATCH($B1070,'TRANS'!$A:$A,0)),IFERROR(INDEX('Catalog'!$B:$B,MATCH($G1070,'Catalog'!$A:$A,0)),$B1070))</f>
        <v>55 S</v>
      </c>
      <c r="I1070" s="7" t="str">
        <f aca="false">IF($G1070="","Unmatched","Matched")</f>
        <v>Unmatched</v>
      </c>
      <c r="J1070" s="7" t="str">
        <f aca="false">IF($G1070&lt;&gt;"",$G1070,$B1070)</f>
        <v>55 S</v>
      </c>
      <c r="K1070" s="7" t="str">
        <f aca="false">IF(COUNTIF($O$2:$O$16,$A1070)&gt;0,"Y","N")</f>
        <v>Y</v>
      </c>
    </row>
    <row r="1071" customFormat="false" ht="15" hidden="false" customHeight="false" outlineLevel="0" collapsed="false">
      <c r="A1071" s="7" t="s">
        <v>38</v>
      </c>
      <c r="B1071" s="7" t="s">
        <v>656</v>
      </c>
      <c r="C1071" s="8" t="n">
        <v>31</v>
      </c>
      <c r="D1071" s="8" t="n">
        <v>991.17</v>
      </c>
      <c r="E1071" s="8" t="n">
        <v>22</v>
      </c>
      <c r="F1071" s="8" t="n">
        <v>637.54</v>
      </c>
      <c r="G1071" s="7" t="n">
        <f aca="false">IFERROR(INDEX('TRANS'!$B:$B,MATCH($B1071,'TRANS'!$A:$A,0)),IFERROR(INDEX('TRANS'!$B:$B,MATCH(TRIM(SUBSTITUTE($B1071,CHAR(160)," ")),'TRANS'!$D:$D,0)),IFERROR(INDEX('Catalog'!$A:$A,MATCH($B1071,'Catalog'!$B:$B,0)),IFERROR(INDEX('Catalog'!$A:$A,MATCH(TRIM(SUBSTITUTE($B1071,CHAR(160)," ")),'Catalog'!$C:$C,0)),""))))</f>
        <v>4413124</v>
      </c>
      <c r="H1071" s="7" t="str">
        <f aca="false">IFERROR(INDEX('TRANS'!$C:$C,MATCH($B1071,'TRANS'!$A:$A,0)),IFERROR(INDEX('Catalog'!$B:$B,MATCH($G1071,'Catalog'!$A:$A,0)),$B1071))</f>
        <v>55 XL מתלה אשכים לספורטאים</v>
      </c>
      <c r="I1071" s="7" t="str">
        <f aca="false">IF($G1071="","Unmatched","Matched")</f>
        <v>Matched</v>
      </c>
      <c r="J1071" s="7" t="n">
        <f aca="false">IF($G1071&lt;&gt;"",$G1071,$B1071)</f>
        <v>4413124</v>
      </c>
      <c r="K1071" s="7" t="str">
        <f aca="false">IF(COUNTIF($O$2:$O$16,$A1071)&gt;0,"Y","N")</f>
        <v>Y</v>
      </c>
    </row>
    <row r="1072" customFormat="false" ht="15" hidden="false" customHeight="false" outlineLevel="0" collapsed="false">
      <c r="A1072" s="7" t="s">
        <v>38</v>
      </c>
      <c r="B1072" s="7" t="s">
        <v>133</v>
      </c>
      <c r="C1072" s="8" t="n">
        <v>26</v>
      </c>
      <c r="D1072" s="8" t="n">
        <v>823.38</v>
      </c>
      <c r="E1072" s="8" t="n">
        <v>6</v>
      </c>
      <c r="F1072" s="8" t="n">
        <v>178.05</v>
      </c>
      <c r="G1072" s="7" t="str">
        <f aca="false">IFERROR(INDEX('TRANS'!$B:$B,MATCH($B1072,'TRANS'!$A:$A,0)),IFERROR(INDEX('TRANS'!$B:$B,MATCH(TRIM(SUBSTITUTE($B1072,CHAR(160)," ")),'TRANS'!$D:$D,0)),IFERROR(INDEX('Catalog'!$A:$A,MATCH($B1072,'Catalog'!$B:$B,0)),IFERROR(INDEX('Catalog'!$A:$A,MATCH(TRIM(SUBSTITUTE($B1072,CHAR(160)," ")),'Catalog'!$C:$C,0)),""))))</f>
        <v/>
      </c>
      <c r="H1072" s="7" t="str">
        <f aca="false">IFERROR(INDEX('TRANS'!$C:$C,MATCH($B1072,'TRANS'!$A:$A,0)),IFERROR(INDEX('Catalog'!$B:$B,MATCH($G1072,'Catalog'!$A:$A,0)),$B1072))</f>
        <v>55 XXL</v>
      </c>
      <c r="I1072" s="7" t="str">
        <f aca="false">IF($G1072="","Unmatched","Matched")</f>
        <v>Unmatched</v>
      </c>
      <c r="J1072" s="7" t="str">
        <f aca="false">IF($G1072&lt;&gt;"",$G1072,$B1072)</f>
        <v>55 XXL</v>
      </c>
      <c r="K1072" s="7" t="str">
        <f aca="false">IF(COUNTIF($O$2:$O$16,$A1072)&gt;0,"Y","N")</f>
        <v>Y</v>
      </c>
    </row>
    <row r="1073" customFormat="false" ht="15" hidden="false" customHeight="false" outlineLevel="0" collapsed="false">
      <c r="A1073" s="7" t="s">
        <v>38</v>
      </c>
      <c r="B1073" s="7" t="s">
        <v>485</v>
      </c>
      <c r="C1073" s="8" t="n">
        <v>37</v>
      </c>
      <c r="D1073" s="8" t="n">
        <v>844.36</v>
      </c>
      <c r="E1073" s="8" t="n">
        <v>16</v>
      </c>
      <c r="F1073" s="8" t="n">
        <v>321.22</v>
      </c>
      <c r="G1073" s="7" t="n">
        <f aca="false">IFERROR(INDEX('TRANS'!$B:$B,MATCH($B1073,'TRANS'!$A:$A,0)),IFERROR(INDEX('TRANS'!$B:$B,MATCH(TRIM(SUBSTITUTE($B1073,CHAR(160)," ")),'TRANS'!$D:$D,0)),IFERROR(INDEX('Catalog'!$A:$A,MATCH($B1073,'Catalog'!$B:$B,0)),IFERROR(INDEX('Catalog'!$A:$A,MATCH(TRIM(SUBSTITUTE($B1073,CHAR(160)," ")),'Catalog'!$C:$C,0)),""))))</f>
        <v>4418000</v>
      </c>
      <c r="H1073" s="7" t="str">
        <f aca="false">IFERROR(INDEX('TRANS'!$C:$C,MATCH($B1073,'TRANS'!$A:$A,0)),IFERROR(INDEX('Catalog'!$B:$B,MATCH($G1073,'Catalog'!$A:$A,0)),$B1073))</f>
        <v>60 L צוארון ספוגי</v>
      </c>
      <c r="I1073" s="7" t="str">
        <f aca="false">IF($G1073="","Unmatched","Matched")</f>
        <v>Matched</v>
      </c>
      <c r="J1073" s="7" t="n">
        <f aca="false">IF($G1073&lt;&gt;"",$G1073,$B1073)</f>
        <v>4418000</v>
      </c>
      <c r="K1073" s="7" t="str">
        <f aca="false">IF(COUNTIF($O$2:$O$16,$A1073)&gt;0,"Y","N")</f>
        <v>Y</v>
      </c>
    </row>
    <row r="1074" customFormat="false" ht="15" hidden="false" customHeight="false" outlineLevel="0" collapsed="false">
      <c r="A1074" s="7" t="s">
        <v>38</v>
      </c>
      <c r="B1074" s="7" t="s">
        <v>486</v>
      </c>
      <c r="C1074" s="8" t="n">
        <v>50</v>
      </c>
      <c r="D1074" s="8" t="n">
        <v>1127.64</v>
      </c>
      <c r="E1074" s="8" t="n">
        <v>28</v>
      </c>
      <c r="F1074" s="8" t="n">
        <v>576.06</v>
      </c>
      <c r="G1074" s="7" t="n">
        <f aca="false">IFERROR(INDEX('TRANS'!$B:$B,MATCH($B1074,'TRANS'!$A:$A,0)),IFERROR(INDEX('TRANS'!$B:$B,MATCH(TRIM(SUBSTITUTE($B1074,CHAR(160)," ")),'TRANS'!$D:$D,0)),IFERROR(INDEX('Catalog'!$A:$A,MATCH($B1074,'Catalog'!$B:$B,0)),IFERROR(INDEX('Catalog'!$A:$A,MATCH(TRIM(SUBSTITUTE($B1074,CHAR(160)," ")),'Catalog'!$C:$C,0)),""))))</f>
        <v>4418001</v>
      </c>
      <c r="H1074" s="7" t="str">
        <f aca="false">IFERROR(INDEX('TRANS'!$C:$C,MATCH($B1074,'TRANS'!$A:$A,0)),IFERROR(INDEX('Catalog'!$B:$B,MATCH($G1074,'Catalog'!$A:$A,0)),$B1074))</f>
        <v>60 M צוארון ספוגי</v>
      </c>
      <c r="I1074" s="7" t="str">
        <f aca="false">IF($G1074="","Unmatched","Matched")</f>
        <v>Matched</v>
      </c>
      <c r="J1074" s="7" t="n">
        <f aca="false">IF($G1074&lt;&gt;"",$G1074,$B1074)</f>
        <v>4418001</v>
      </c>
      <c r="K1074" s="7" t="str">
        <f aca="false">IF(COUNTIF($O$2:$O$16,$A1074)&gt;0,"Y","N")</f>
        <v>Y</v>
      </c>
    </row>
    <row r="1075" customFormat="false" ht="15" hidden="false" customHeight="false" outlineLevel="0" collapsed="false">
      <c r="A1075" s="7" t="s">
        <v>38</v>
      </c>
      <c r="B1075" s="7" t="s">
        <v>487</v>
      </c>
      <c r="C1075" s="8" t="n">
        <v>26</v>
      </c>
      <c r="D1075" s="8" t="n">
        <v>595.57</v>
      </c>
      <c r="E1075" s="8" t="n">
        <v>12</v>
      </c>
      <c r="F1075" s="8" t="n">
        <v>246.64</v>
      </c>
      <c r="G1075" s="7" t="n">
        <f aca="false">IFERROR(INDEX('TRANS'!$B:$B,MATCH($B1075,'TRANS'!$A:$A,0)),IFERROR(INDEX('TRANS'!$B:$B,MATCH(TRIM(SUBSTITUTE($B1075,CHAR(160)," ")),'TRANS'!$D:$D,0)),IFERROR(INDEX('Catalog'!$A:$A,MATCH($B1075,'Catalog'!$B:$B,0)),IFERROR(INDEX('Catalog'!$A:$A,MATCH(TRIM(SUBSTITUTE($B1075,CHAR(160)," ")),'Catalog'!$C:$C,0)),""))))</f>
        <v>4418002</v>
      </c>
      <c r="H1075" s="7" t="str">
        <f aca="false">IFERROR(INDEX('TRANS'!$C:$C,MATCH($B1075,'TRANS'!$A:$A,0)),IFERROR(INDEX('Catalog'!$B:$B,MATCH($G1075,'Catalog'!$A:$A,0)),$B1075))</f>
        <v>60 S צוארון ספוגי</v>
      </c>
      <c r="I1075" s="7" t="str">
        <f aca="false">IF($G1075="","Unmatched","Matched")</f>
        <v>Matched</v>
      </c>
      <c r="J1075" s="7" t="n">
        <f aca="false">IF($G1075&lt;&gt;"",$G1075,$B1075)</f>
        <v>4418002</v>
      </c>
      <c r="K1075" s="7" t="str">
        <f aca="false">IF(COUNTIF($O$2:$O$16,$A1075)&gt;0,"Y","N")</f>
        <v>Y</v>
      </c>
    </row>
    <row r="1076" customFormat="false" ht="15" hidden="false" customHeight="false" outlineLevel="0" collapsed="false">
      <c r="A1076" s="7" t="s">
        <v>38</v>
      </c>
      <c r="B1076" s="7" t="s">
        <v>101</v>
      </c>
      <c r="C1076" s="8" t="n">
        <v>160</v>
      </c>
      <c r="D1076" s="8" t="n">
        <v>2814.71</v>
      </c>
      <c r="E1076" s="8" t="n">
        <v>20</v>
      </c>
      <c r="F1076" s="8" t="n">
        <v>316.93</v>
      </c>
      <c r="G1076" s="7" t="str">
        <f aca="false">IFERROR(INDEX('TRANS'!$B:$B,MATCH($B1076,'TRANS'!$A:$A,0)),IFERROR(INDEX('TRANS'!$B:$B,MATCH(TRIM(SUBSTITUTE($B1076,CHAR(160)," ")),'TRANS'!$D:$D,0)),IFERROR(INDEX('Catalog'!$A:$A,MATCH($B1076,'Catalog'!$B:$B,0)),IFERROR(INDEX('Catalog'!$A:$A,MATCH(TRIM(SUBSTITUTE($B1076,CHAR(160)," ")),'Catalog'!$C:$C,0)),""))))</f>
        <v/>
      </c>
      <c r="H1076" s="7" t="str">
        <f aca="false">IFERROR(INDEX('TRANS'!$C:$C,MATCH($B1076,'TRANS'!$A:$A,0)),IFERROR(INDEX('Catalog'!$B:$B,MATCH($G1076,'Catalog'!$A:$A,0)),$B1076))</f>
        <v>61 L</v>
      </c>
      <c r="I1076" s="7" t="str">
        <f aca="false">IF($G1076="","Unmatched","Matched")</f>
        <v>Unmatched</v>
      </c>
      <c r="J1076" s="7" t="str">
        <f aca="false">IF($G1076&lt;&gt;"",$G1076,$B1076)</f>
        <v>61 L</v>
      </c>
      <c r="K1076" s="7" t="str">
        <f aca="false">IF(COUNTIF($O$2:$O$16,$A1076)&gt;0,"Y","N")</f>
        <v>Y</v>
      </c>
    </row>
    <row r="1077" customFormat="false" ht="15" hidden="false" customHeight="false" outlineLevel="0" collapsed="false">
      <c r="A1077" s="7" t="s">
        <v>38</v>
      </c>
      <c r="B1077" s="7" t="s">
        <v>79</v>
      </c>
      <c r="C1077" s="8" t="n">
        <v>216</v>
      </c>
      <c r="D1077" s="8" t="n">
        <v>3814.23</v>
      </c>
      <c r="E1077" s="8" t="n">
        <v>150</v>
      </c>
      <c r="F1077" s="8" t="n">
        <v>2377.4</v>
      </c>
      <c r="G1077" s="7" t="str">
        <f aca="false">IFERROR(INDEX('TRANS'!$B:$B,MATCH($B1077,'TRANS'!$A:$A,0)),IFERROR(INDEX('TRANS'!$B:$B,MATCH(TRIM(SUBSTITUTE($B1077,CHAR(160)," ")),'TRANS'!$D:$D,0)),IFERROR(INDEX('Catalog'!$A:$A,MATCH($B1077,'Catalog'!$B:$B,0)),IFERROR(INDEX('Catalog'!$A:$A,MATCH(TRIM(SUBSTITUTE($B1077,CHAR(160)," ")),'Catalog'!$C:$C,0)),""))))</f>
        <v/>
      </c>
      <c r="H1077" s="7" t="str">
        <f aca="false">IFERROR(INDEX('TRANS'!$C:$C,MATCH($B1077,'TRANS'!$A:$A,0)),IFERROR(INDEX('Catalog'!$B:$B,MATCH($G1077,'Catalog'!$A:$A,0)),$B1077))</f>
        <v>61 M</v>
      </c>
      <c r="I1077" s="7" t="str">
        <f aca="false">IF($G1077="","Unmatched","Matched")</f>
        <v>Unmatched</v>
      </c>
      <c r="J1077" s="7" t="str">
        <f aca="false">IF($G1077&lt;&gt;"",$G1077,$B1077)</f>
        <v>61 M</v>
      </c>
      <c r="K1077" s="7" t="str">
        <f aca="false">IF(COUNTIF($O$2:$O$16,$A1077)&gt;0,"Y","N")</f>
        <v>Y</v>
      </c>
    </row>
    <row r="1078" customFormat="false" ht="15" hidden="false" customHeight="false" outlineLevel="0" collapsed="false">
      <c r="A1078" s="7" t="s">
        <v>38</v>
      </c>
      <c r="B1078" s="7" t="s">
        <v>87</v>
      </c>
      <c r="C1078" s="8" t="n">
        <v>95</v>
      </c>
      <c r="D1078" s="8" t="n">
        <v>1682.44</v>
      </c>
      <c r="E1078" s="8" t="n">
        <v>85</v>
      </c>
      <c r="F1078" s="8" t="n">
        <v>1348.67</v>
      </c>
      <c r="G1078" s="7" t="str">
        <f aca="false">IFERROR(INDEX('TRANS'!$B:$B,MATCH($B1078,'TRANS'!$A:$A,0)),IFERROR(INDEX('TRANS'!$B:$B,MATCH(TRIM(SUBSTITUTE($B1078,CHAR(160)," ")),'TRANS'!$D:$D,0)),IFERROR(INDEX('Catalog'!$A:$A,MATCH($B1078,'Catalog'!$B:$B,0)),IFERROR(INDEX('Catalog'!$A:$A,MATCH(TRIM(SUBSTITUTE($B1078,CHAR(160)," ")),'Catalog'!$C:$C,0)),""))))</f>
        <v/>
      </c>
      <c r="H1078" s="7" t="str">
        <f aca="false">IFERROR(INDEX('TRANS'!$C:$C,MATCH($B1078,'TRANS'!$A:$A,0)),IFERROR(INDEX('Catalog'!$B:$B,MATCH($G1078,'Catalog'!$A:$A,0)),$B1078))</f>
        <v>61 S</v>
      </c>
      <c r="I1078" s="7" t="str">
        <f aca="false">IF($G1078="","Unmatched","Matched")</f>
        <v>Unmatched</v>
      </c>
      <c r="J1078" s="7" t="str">
        <f aca="false">IF($G1078&lt;&gt;"",$G1078,$B1078)</f>
        <v>61 S</v>
      </c>
      <c r="K1078" s="7" t="str">
        <f aca="false">IF(COUNTIF($O$2:$O$16,$A1078)&gt;0,"Y","N")</f>
        <v>Y</v>
      </c>
    </row>
    <row r="1079" customFormat="false" ht="15" hidden="false" customHeight="false" outlineLevel="0" collapsed="false">
      <c r="A1079" s="7" t="s">
        <v>38</v>
      </c>
      <c r="B1079" s="7" t="s">
        <v>220</v>
      </c>
      <c r="C1079" s="8" t="n">
        <v>20</v>
      </c>
      <c r="D1079" s="8" t="n">
        <v>346.83</v>
      </c>
      <c r="E1079" s="8" t="n">
        <v>0</v>
      </c>
      <c r="F1079" s="8" t="n">
        <v>0</v>
      </c>
      <c r="G1079" s="7" t="str">
        <f aca="false">IFERROR(INDEX('TRANS'!$B:$B,MATCH($B1079,'TRANS'!$A:$A,0)),IFERROR(INDEX('TRANS'!$B:$B,MATCH(TRIM(SUBSTITUTE($B1079,CHAR(160)," ")),'TRANS'!$D:$D,0)),IFERROR(INDEX('Catalog'!$A:$A,MATCH($B1079,'Catalog'!$B:$B,0)),IFERROR(INDEX('Catalog'!$A:$A,MATCH(TRIM(SUBSTITUTE($B1079,CHAR(160)," ")),'Catalog'!$C:$C,0)),""))))</f>
        <v/>
      </c>
      <c r="H1079" s="7" t="str">
        <f aca="false">IFERROR(INDEX('TRANS'!$C:$C,MATCH($B1079,'TRANS'!$A:$A,0)),IFERROR(INDEX('Catalog'!$B:$B,MATCH($G1079,'Catalog'!$A:$A,0)),$B1079))</f>
        <v>61 XL</v>
      </c>
      <c r="I1079" s="7" t="str">
        <f aca="false">IF($G1079="","Unmatched","Matched")</f>
        <v>Unmatched</v>
      </c>
      <c r="J1079" s="7" t="str">
        <f aca="false">IF($G1079&lt;&gt;"",$G1079,$B1079)</f>
        <v>61 XL</v>
      </c>
      <c r="K1079" s="7" t="str">
        <f aca="false">IF(COUNTIF($O$2:$O$16,$A1079)&gt;0,"Y","N")</f>
        <v>Y</v>
      </c>
    </row>
    <row r="1080" customFormat="false" ht="15" hidden="false" customHeight="false" outlineLevel="0" collapsed="false">
      <c r="A1080" s="7" t="s">
        <v>38</v>
      </c>
      <c r="B1080" s="7" t="s">
        <v>221</v>
      </c>
      <c r="C1080" s="8" t="n">
        <v>31</v>
      </c>
      <c r="D1080" s="8" t="n">
        <v>3006.36</v>
      </c>
      <c r="E1080" s="8" t="n">
        <v>0</v>
      </c>
      <c r="F1080" s="8" t="n">
        <v>0</v>
      </c>
      <c r="G1080" s="7" t="str">
        <f aca="false">IFERROR(INDEX('TRANS'!$B:$B,MATCH($B1080,'TRANS'!$A:$A,0)),IFERROR(INDEX('TRANS'!$B:$B,MATCH(TRIM(SUBSTITUTE($B1080,CHAR(160)," ")),'TRANS'!$D:$D,0)),IFERROR(INDEX('Catalog'!$A:$A,MATCH($B1080,'Catalog'!$B:$B,0)),IFERROR(INDEX('Catalog'!$A:$A,MATCH(TRIM(SUBSTITUTE($B1080,CHAR(160)," ")),'Catalog'!$C:$C,0)),""))))</f>
        <v/>
      </c>
      <c r="H1080" s="7" t="str">
        <f aca="false">IFERROR(INDEX('TRANS'!$C:$C,MATCH($B1080,'TRANS'!$A:$A,0)),IFERROR(INDEX('Catalog'!$B:$B,MATCH($G1080,'Catalog'!$A:$A,0)),$B1080))</f>
        <v>67 0</v>
      </c>
      <c r="I1080" s="7" t="str">
        <f aca="false">IF($G1080="","Unmatched","Matched")</f>
        <v>Unmatched</v>
      </c>
      <c r="J1080" s="7" t="str">
        <f aca="false">IF($G1080&lt;&gt;"",$G1080,$B1080)</f>
        <v>67 0</v>
      </c>
      <c r="K1080" s="7" t="str">
        <f aca="false">IF(COUNTIF($O$2:$O$16,$A1080)&gt;0,"Y","N")</f>
        <v>Y</v>
      </c>
    </row>
    <row r="1081" customFormat="false" ht="15" hidden="false" customHeight="false" outlineLevel="0" collapsed="false">
      <c r="A1081" s="7" t="s">
        <v>38</v>
      </c>
      <c r="B1081" s="7" t="s">
        <v>222</v>
      </c>
      <c r="C1081" s="8" t="n">
        <v>16</v>
      </c>
      <c r="D1081" s="8" t="n">
        <v>0.57</v>
      </c>
      <c r="E1081" s="8" t="n">
        <v>0</v>
      </c>
      <c r="F1081" s="8" t="n">
        <v>0</v>
      </c>
      <c r="G1081" s="7" t="str">
        <f aca="false">IFERROR(INDEX('TRANS'!$B:$B,MATCH($B1081,'TRANS'!$A:$A,0)),IFERROR(INDEX('TRANS'!$B:$B,MATCH(TRIM(SUBSTITUTE($B1081,CHAR(160)," ")),'TRANS'!$D:$D,0)),IFERROR(INDEX('Catalog'!$A:$A,MATCH($B1081,'Catalog'!$B:$B,0)),IFERROR(INDEX('Catalog'!$A:$A,MATCH(TRIM(SUBSTITUTE($B1081,CHAR(160)," ")),'Catalog'!$C:$C,0)),""))))</f>
        <v/>
      </c>
      <c r="H1081" s="7" t="str">
        <f aca="false">IFERROR(INDEX('TRANS'!$C:$C,MATCH($B1081,'TRANS'!$A:$A,0)),IFERROR(INDEX('Catalog'!$B:$B,MATCH($G1081,'Catalog'!$A:$A,0)),$B1081))</f>
        <v>67800020</v>
      </c>
      <c r="I1081" s="7" t="str">
        <f aca="false">IF($G1081="","Unmatched","Matched")</f>
        <v>Unmatched</v>
      </c>
      <c r="J1081" s="7" t="str">
        <f aca="false">IF($G1081&lt;&gt;"",$G1081,$B1081)</f>
        <v>67800020</v>
      </c>
      <c r="K1081" s="7" t="str">
        <f aca="false">IF(COUNTIF($O$2:$O$16,$A1081)&gt;0,"Y","N")</f>
        <v>Y</v>
      </c>
    </row>
    <row r="1082" customFormat="false" ht="15" hidden="false" customHeight="false" outlineLevel="0" collapsed="false">
      <c r="A1082" s="7" t="s">
        <v>38</v>
      </c>
      <c r="B1082" s="7" t="s">
        <v>657</v>
      </c>
      <c r="C1082" s="8" t="n">
        <v>3</v>
      </c>
      <c r="D1082" s="8" t="n">
        <v>189.5</v>
      </c>
      <c r="E1082" s="8" t="n">
        <v>0</v>
      </c>
      <c r="F1082" s="8" t="n">
        <v>0</v>
      </c>
      <c r="G1082" s="7" t="n">
        <f aca="false">IFERROR(INDEX('TRANS'!$B:$B,MATCH($B1082,'TRANS'!$A:$A,0)),IFERROR(INDEX('TRANS'!$B:$B,MATCH(TRIM(SUBSTITUTE($B1082,CHAR(160)," ")),'TRANS'!$D:$D,0)),IFERROR(INDEX('Catalog'!$A:$A,MATCH($B1082,'Catalog'!$B:$B,0)),IFERROR(INDEX('Catalog'!$A:$A,MATCH(TRIM(SUBSTITUTE($B1082,CHAR(160)," ")),'Catalog'!$C:$C,0)),""))))</f>
        <v>4413127</v>
      </c>
      <c r="H1082" s="7" t="str">
        <f aca="false">IFERROR(INDEX('TRANS'!$C:$C,MATCH($B1082,'TRANS'!$A:$A,0)),IFERROR(INDEX('Catalog'!$B:$B,MATCH($G1082,'Catalog'!$A:$A,0)),$B1082))</f>
        <v>75 Lמיישר כתף יציב יישור גב צר</v>
      </c>
      <c r="I1082" s="7" t="str">
        <f aca="false">IF($G1082="","Unmatched","Matched")</f>
        <v>Matched</v>
      </c>
      <c r="J1082" s="7" t="n">
        <f aca="false">IF($G1082&lt;&gt;"",$G1082,$B1082)</f>
        <v>4413127</v>
      </c>
      <c r="K1082" s="7" t="str">
        <f aca="false">IF(COUNTIF($O$2:$O$16,$A1082)&gt;0,"Y","N")</f>
        <v>Y</v>
      </c>
    </row>
    <row r="1083" customFormat="false" ht="15" hidden="false" customHeight="false" outlineLevel="0" collapsed="false">
      <c r="A1083" s="7" t="s">
        <v>38</v>
      </c>
      <c r="B1083" s="7" t="s">
        <v>346</v>
      </c>
      <c r="C1083" s="8" t="n">
        <v>50</v>
      </c>
      <c r="D1083" s="8" t="n">
        <v>498.16</v>
      </c>
      <c r="E1083" s="8" t="n">
        <v>25</v>
      </c>
      <c r="F1083" s="8" t="n">
        <v>220.61</v>
      </c>
      <c r="G1083" s="7" t="n">
        <f aca="false">IFERROR(INDEX('TRANS'!$B:$B,MATCH($B1083,'TRANS'!$A:$A,0)),IFERROR(INDEX('TRANS'!$B:$B,MATCH(TRIM(SUBSTITUTE($B1083,CHAR(160)," ")),'TRANS'!$D:$D,0)),IFERROR(INDEX('Catalog'!$A:$A,MATCH($B1083,'Catalog'!$B:$B,0)),IFERROR(INDEX('Catalog'!$A:$A,MATCH(TRIM(SUBSTITUTE($B1083,CHAR(160)," ")),'Catalog'!$C:$C,0)),""))))</f>
        <v>4422000</v>
      </c>
      <c r="H1083" s="7" t="str">
        <f aca="false">IFERROR(INDEX('TRANS'!$C:$C,MATCH($B1083,'TRANS'!$A:$A,0)),IFERROR(INDEX('Catalog'!$B:$B,MATCH($G1083,'Catalog'!$A:$A,0)),$B1083))</f>
        <v>801  תחבושת אלסטית מקררת</v>
      </c>
      <c r="I1083" s="7" t="str">
        <f aca="false">IF($G1083="","Unmatched","Matched")</f>
        <v>Matched</v>
      </c>
      <c r="J1083" s="7" t="n">
        <f aca="false">IF($G1083&lt;&gt;"",$G1083,$B1083)</f>
        <v>4422000</v>
      </c>
      <c r="K1083" s="7" t="str">
        <f aca="false">IF(COUNTIF($O$2:$O$16,$A1083)&gt;0,"Y","N")</f>
        <v>Y</v>
      </c>
    </row>
    <row r="1084" customFormat="false" ht="15" hidden="false" customHeight="false" outlineLevel="0" collapsed="false">
      <c r="A1084" s="7" t="s">
        <v>38</v>
      </c>
      <c r="B1084" s="7" t="s">
        <v>491</v>
      </c>
      <c r="C1084" s="8" t="n">
        <v>56</v>
      </c>
      <c r="D1084" s="8" t="n">
        <v>501.97</v>
      </c>
      <c r="E1084" s="8" t="n">
        <v>70</v>
      </c>
      <c r="F1084" s="8" t="n">
        <v>557.96</v>
      </c>
      <c r="G1084" s="7" t="n">
        <f aca="false">IFERROR(INDEX('TRANS'!$B:$B,MATCH($B1084,'TRANS'!$A:$A,0)),IFERROR(INDEX('TRANS'!$B:$B,MATCH(TRIM(SUBSTITUTE($B1084,CHAR(160)," ")),'TRANS'!$D:$D,0)),IFERROR(INDEX('Catalog'!$A:$A,MATCH($B1084,'Catalog'!$B:$B,0)),IFERROR(INDEX('Catalog'!$A:$A,MATCH(TRIM(SUBSTITUTE($B1084,CHAR(160)," ")),'Catalog'!$C:$C,0)),""))))</f>
        <v>4401012</v>
      </c>
      <c r="H1084" s="7" t="str">
        <f aca="false">IFERROR(INDEX('TRANS'!$C:$C,MATCH($B1084,'TRANS'!$A:$A,0)),IFERROR(INDEX('Catalog'!$B:$B,MATCH($G1084,'Catalog'!$A:$A,0)),$B1084))</f>
        <v>805AT-B אתלטיק טייפ שחור 20מ""""מ</v>
      </c>
      <c r="I1084" s="7" t="str">
        <f aca="false">IF($G1084="","Unmatched","Matched")</f>
        <v>Matched</v>
      </c>
      <c r="J1084" s="7" t="n">
        <f aca="false">IF($G1084&lt;&gt;"",$G1084,$B1084)</f>
        <v>4401012</v>
      </c>
      <c r="K1084" s="7" t="str">
        <f aca="false">IF(COUNTIF($O$2:$O$16,$A1084)&gt;0,"Y","N")</f>
        <v>Y</v>
      </c>
    </row>
    <row r="1085" customFormat="false" ht="15" hidden="false" customHeight="false" outlineLevel="0" collapsed="false">
      <c r="A1085" s="7" t="s">
        <v>38</v>
      </c>
      <c r="B1085" s="7" t="s">
        <v>492</v>
      </c>
      <c r="C1085" s="8" t="n">
        <v>62</v>
      </c>
      <c r="D1085" s="8" t="n">
        <v>537.87</v>
      </c>
      <c r="E1085" s="8" t="n">
        <v>90</v>
      </c>
      <c r="F1085" s="8" t="n">
        <v>717.64</v>
      </c>
      <c r="G1085" s="7" t="n">
        <f aca="false">IFERROR(INDEX('TRANS'!$B:$B,MATCH($B1085,'TRANS'!$A:$A,0)),IFERROR(INDEX('TRANS'!$B:$B,MATCH(TRIM(SUBSTITUTE($B1085,CHAR(160)," ")),'TRANS'!$D:$D,0)),IFERROR(INDEX('Catalog'!$A:$A,MATCH($B1085,'Catalog'!$B:$B,0)),IFERROR(INDEX('Catalog'!$A:$A,MATCH(TRIM(SUBSTITUTE($B1085,CHAR(160)," ")),'Catalog'!$C:$C,0)),""))))</f>
        <v>4401013</v>
      </c>
      <c r="H1085" s="7" t="str">
        <f aca="false">IFERROR(INDEX('TRANS'!$C:$C,MATCH($B1085,'TRANS'!$A:$A,0)),IFERROR(INDEX('Catalog'!$B:$B,MATCH($G1085,'Catalog'!$A:$A,0)),$B1085))</f>
        <v>805AT-BLאתלטיק טייפ כחול 20מ""""מ</v>
      </c>
      <c r="I1085" s="7" t="str">
        <f aca="false">IF($G1085="","Unmatched","Matched")</f>
        <v>Matched</v>
      </c>
      <c r="J1085" s="7" t="n">
        <f aca="false">IF($G1085&lt;&gt;"",$G1085,$B1085)</f>
        <v>4401013</v>
      </c>
      <c r="K1085" s="7" t="str">
        <f aca="false">IF(COUNTIF($O$2:$O$16,$A1085)&gt;0,"Y","N")</f>
        <v>Y</v>
      </c>
    </row>
    <row r="1086" customFormat="false" ht="15" hidden="false" customHeight="false" outlineLevel="0" collapsed="false">
      <c r="A1086" s="7" t="s">
        <v>38</v>
      </c>
      <c r="B1086" s="7" t="s">
        <v>493</v>
      </c>
      <c r="C1086" s="8" t="n">
        <v>95</v>
      </c>
      <c r="D1086" s="8" t="n">
        <v>840.36</v>
      </c>
      <c r="E1086" s="8" t="n">
        <v>130</v>
      </c>
      <c r="F1086" s="8" t="n">
        <v>1036.92</v>
      </c>
      <c r="G1086" s="7" t="n">
        <f aca="false">IFERROR(INDEX('TRANS'!$B:$B,MATCH($B1086,'TRANS'!$A:$A,0)),IFERROR(INDEX('TRANS'!$B:$B,MATCH(TRIM(SUBSTITUTE($B1086,CHAR(160)," ")),'TRANS'!$D:$D,0)),IFERROR(INDEX('Catalog'!$A:$A,MATCH($B1086,'Catalog'!$B:$B,0)),IFERROR(INDEX('Catalog'!$A:$A,MATCH(TRIM(SUBSTITUTE($B1086,CHAR(160)," ")),'Catalog'!$C:$C,0)),""))))</f>
        <v>4401011</v>
      </c>
      <c r="H1086" s="7" t="str">
        <f aca="false">IFERROR(INDEX('TRANS'!$C:$C,MATCH($B1086,'TRANS'!$A:$A,0)),IFERROR(INDEX('Catalog'!$B:$B,MATCH($G1086,'Catalog'!$A:$A,0)),$B1086))</f>
        <v>805AT-Cאתלטיק טייפ בז' 20מ""""מ20</v>
      </c>
      <c r="I1086" s="7" t="str">
        <f aca="false">IF($G1086="","Unmatched","Matched")</f>
        <v>Matched</v>
      </c>
      <c r="J1086" s="7" t="n">
        <f aca="false">IF($G1086&lt;&gt;"",$G1086,$B1086)</f>
        <v>4401011</v>
      </c>
      <c r="K1086" s="7" t="str">
        <f aca="false">IF(COUNTIF($O$2:$O$16,$A1086)&gt;0,"Y","N")</f>
        <v>Y</v>
      </c>
    </row>
    <row r="1087" customFormat="false" ht="15" hidden="false" customHeight="false" outlineLevel="0" collapsed="false">
      <c r="A1087" s="7" t="s">
        <v>38</v>
      </c>
      <c r="B1087" s="7" t="s">
        <v>494</v>
      </c>
      <c r="C1087" s="8" t="n">
        <v>55</v>
      </c>
      <c r="D1087" s="8" t="n">
        <v>490.11</v>
      </c>
      <c r="E1087" s="8" t="n">
        <v>97</v>
      </c>
      <c r="F1087" s="8" t="n">
        <v>778.63</v>
      </c>
      <c r="G1087" s="7" t="n">
        <f aca="false">IFERROR(INDEX('TRANS'!$B:$B,MATCH($B1087,'TRANS'!$A:$A,0)),IFERROR(INDEX('TRANS'!$B:$B,MATCH(TRIM(SUBSTITUTE($B1087,CHAR(160)," ")),'TRANS'!$D:$D,0)),IFERROR(INDEX('Catalog'!$A:$A,MATCH($B1087,'Catalog'!$B:$B,0)),IFERROR(INDEX('Catalog'!$A:$A,MATCH(TRIM(SUBSTITUTE($B1087,CHAR(160)," ")),'Catalog'!$C:$C,0)),""))))</f>
        <v>4401014</v>
      </c>
      <c r="H1087" s="7" t="str">
        <f aca="false">IFERROR(INDEX('TRANS'!$C:$C,MATCH($B1087,'TRANS'!$A:$A,0)),IFERROR(INDEX('Catalog'!$B:$B,MATCH($G1087,'Catalog'!$A:$A,0)),$B1087))</f>
        <v>805AT-W  אתלטיק טייפ לבן 20מ""""מ</v>
      </c>
      <c r="I1087" s="7" t="str">
        <f aca="false">IF($G1087="","Unmatched","Matched")</f>
        <v>Matched</v>
      </c>
      <c r="J1087" s="7" t="n">
        <f aca="false">IF($G1087&lt;&gt;"",$G1087,$B1087)</f>
        <v>4401014</v>
      </c>
      <c r="K1087" s="7" t="str">
        <f aca="false">IF(COUNTIF($O$2:$O$16,$A1087)&gt;0,"Y","N")</f>
        <v>Y</v>
      </c>
    </row>
    <row r="1088" customFormat="false" ht="15" hidden="false" customHeight="false" outlineLevel="0" collapsed="false">
      <c r="A1088" s="7" t="s">
        <v>38</v>
      </c>
      <c r="B1088" s="7" t="s">
        <v>347</v>
      </c>
      <c r="C1088" s="8" t="n">
        <v>90</v>
      </c>
      <c r="D1088" s="8" t="n">
        <v>561.79</v>
      </c>
      <c r="E1088" s="8" t="n">
        <v>90</v>
      </c>
      <c r="F1088" s="8" t="n">
        <v>506.31</v>
      </c>
      <c r="G1088" s="7" t="n">
        <f aca="false">IFERROR(INDEX('TRANS'!$B:$B,MATCH($B1088,'TRANS'!$A:$A,0)),IFERROR(INDEX('TRANS'!$B:$B,MATCH(TRIM(SUBSTITUTE($B1088,CHAR(160)," ")),'TRANS'!$D:$D,0)),IFERROR(INDEX('Catalog'!$A:$A,MATCH($B1088,'Catalog'!$B:$B,0)),IFERROR(INDEX('Catalog'!$A:$A,MATCH(TRIM(SUBSTITUTE($B1088,CHAR(160)," ")),'Catalog'!$C:$C,0)),""))))</f>
        <v>4422024</v>
      </c>
      <c r="H1088" s="7" t="str">
        <f aca="false">IFERROR(INDEX('TRANS'!$C:$C,MATCH($B1088,'TRANS'!$A:$A,0)),IFERROR(INDEX('Catalog'!$B:$B,MATCH($G1088,'Catalog'!$A:$A,0)),$B1088))</f>
        <v>806CB-BLACK      תחבושת א.נצמ</v>
      </c>
      <c r="I1088" s="7" t="str">
        <f aca="false">IF($G1088="","Unmatched","Matched")</f>
        <v>Matched</v>
      </c>
      <c r="J1088" s="7" t="n">
        <f aca="false">IF($G1088&lt;&gt;"",$G1088,$B1088)</f>
        <v>4422024</v>
      </c>
      <c r="K1088" s="7" t="str">
        <f aca="false">IF(COUNTIF($O$2:$O$16,$A1088)&gt;0,"Y","N")</f>
        <v>Y</v>
      </c>
    </row>
    <row r="1089" customFormat="false" ht="15" hidden="false" customHeight="false" outlineLevel="0" collapsed="false">
      <c r="A1089" s="7" t="s">
        <v>38</v>
      </c>
      <c r="B1089" s="7" t="s">
        <v>348</v>
      </c>
      <c r="C1089" s="8" t="n">
        <v>110</v>
      </c>
      <c r="D1089" s="8" t="n">
        <v>688.33</v>
      </c>
      <c r="E1089" s="8" t="n">
        <v>100</v>
      </c>
      <c r="F1089" s="8" t="n">
        <v>564.01</v>
      </c>
      <c r="G1089" s="7" t="n">
        <f aca="false">IFERROR(INDEX('TRANS'!$B:$B,MATCH($B1089,'TRANS'!$A:$A,0)),IFERROR(INDEX('TRANS'!$B:$B,MATCH(TRIM(SUBSTITUTE($B1089,CHAR(160)," ")),'TRANS'!$D:$D,0)),IFERROR(INDEX('Catalog'!$A:$A,MATCH($B1089,'Catalog'!$B:$B,0)),IFERROR(INDEX('Catalog'!$A:$A,MATCH(TRIM(SUBSTITUTE($B1089,CHAR(160)," ")),'Catalog'!$C:$C,0)),""))))</f>
        <v>4422023</v>
      </c>
      <c r="H1089" s="7" t="str">
        <f aca="false">IFERROR(INDEX('TRANS'!$C:$C,MATCH($B1089,'TRANS'!$A:$A,0)),IFERROR(INDEX('Catalog'!$B:$B,MATCH($G1089,'Catalog'!$A:$A,0)),$B1089))</f>
        <v>806CB-BEIGE      תחבושת א.נצמ</v>
      </c>
      <c r="I1089" s="7" t="str">
        <f aca="false">IF($G1089="","Unmatched","Matched")</f>
        <v>Matched</v>
      </c>
      <c r="J1089" s="7" t="n">
        <f aca="false">IF($G1089&lt;&gt;"",$G1089,$B1089)</f>
        <v>4422023</v>
      </c>
      <c r="K1089" s="7" t="str">
        <f aca="false">IF(COUNTIF($O$2:$O$16,$A1089)&gt;0,"Y","N")</f>
        <v>Y</v>
      </c>
    </row>
    <row r="1090" customFormat="false" ht="15" hidden="false" customHeight="false" outlineLevel="0" collapsed="false">
      <c r="A1090" s="7" t="s">
        <v>38</v>
      </c>
      <c r="B1090" s="7" t="s">
        <v>349</v>
      </c>
      <c r="C1090" s="8" t="n">
        <v>50</v>
      </c>
      <c r="D1090" s="8" t="n">
        <v>318.44</v>
      </c>
      <c r="E1090" s="8" t="n">
        <v>30</v>
      </c>
      <c r="F1090" s="8" t="n">
        <v>169.3</v>
      </c>
      <c r="G1090" s="7" t="n">
        <f aca="false">IFERROR(INDEX('TRANS'!$B:$B,MATCH($B1090,'TRANS'!$A:$A,0)),IFERROR(INDEX('TRANS'!$B:$B,MATCH(TRIM(SUBSTITUTE($B1090,CHAR(160)," ")),'TRANS'!$D:$D,0)),IFERROR(INDEX('Catalog'!$A:$A,MATCH($B1090,'Catalog'!$B:$B,0)),IFERROR(INDEX('Catalog'!$A:$A,MATCH(TRIM(SUBSTITUTE($B1090,CHAR(160)," ")),'Catalog'!$C:$C,0)),""))))</f>
        <v>4422025</v>
      </c>
      <c r="H1090" s="7" t="str">
        <f aca="false">IFERROR(INDEX('TRANS'!$C:$C,MATCH($B1090,'TRANS'!$A:$A,0)),IFERROR(INDEX('Catalog'!$B:$B,MATCH($G1090,'Catalog'!$A:$A,0)),$B1090))</f>
        <v>806CB-GREEN      תחבושת א.נצמ</v>
      </c>
      <c r="I1090" s="7" t="str">
        <f aca="false">IF($G1090="","Unmatched","Matched")</f>
        <v>Matched</v>
      </c>
      <c r="J1090" s="7" t="n">
        <f aca="false">IF($G1090&lt;&gt;"",$G1090,$B1090)</f>
        <v>4422025</v>
      </c>
      <c r="K1090" s="7" t="str">
        <f aca="false">IF(COUNTIF($O$2:$O$16,$A1090)&gt;0,"Y","N")</f>
        <v>Y</v>
      </c>
    </row>
    <row r="1091" customFormat="false" ht="15" hidden="false" customHeight="false" outlineLevel="0" collapsed="false">
      <c r="A1091" s="7" t="s">
        <v>38</v>
      </c>
      <c r="B1091" s="7" t="s">
        <v>350</v>
      </c>
      <c r="C1091" s="8" t="n">
        <v>41</v>
      </c>
      <c r="D1091" s="8" t="n">
        <v>255.66</v>
      </c>
      <c r="E1091" s="8" t="n">
        <v>30</v>
      </c>
      <c r="F1091" s="8" t="n">
        <v>169.3</v>
      </c>
      <c r="G1091" s="7" t="n">
        <f aca="false">IFERROR(INDEX('TRANS'!$B:$B,MATCH($B1091,'TRANS'!$A:$A,0)),IFERROR(INDEX('TRANS'!$B:$B,MATCH(TRIM(SUBSTITUTE($B1091,CHAR(160)," ")),'TRANS'!$D:$D,0)),IFERROR(INDEX('Catalog'!$A:$A,MATCH($B1091,'Catalog'!$B:$B,0)),IFERROR(INDEX('Catalog'!$A:$A,MATCH(TRIM(SUBSTITUTE($B1091,CHAR(160)," ")),'Catalog'!$C:$C,0)),""))))</f>
        <v>4422026</v>
      </c>
      <c r="H1091" s="7" t="str">
        <f aca="false">IFERROR(INDEX('TRANS'!$C:$C,MATCH($B1091,'TRANS'!$A:$A,0)),IFERROR(INDEX('Catalog'!$B:$B,MATCH($G1091,'Catalog'!$A:$A,0)),$B1091))</f>
        <v>806CB-PINK       תחבושת א.נצמ</v>
      </c>
      <c r="I1091" s="7" t="str">
        <f aca="false">IF($G1091="","Unmatched","Matched")</f>
        <v>Matched</v>
      </c>
      <c r="J1091" s="7" t="n">
        <f aca="false">IF($G1091&lt;&gt;"",$G1091,$B1091)</f>
        <v>4422026</v>
      </c>
      <c r="K1091" s="7" t="str">
        <f aca="false">IF(COUNTIF($O$2:$O$16,$A1091)&gt;0,"Y","N")</f>
        <v>Y</v>
      </c>
    </row>
    <row r="1092" customFormat="false" ht="15" hidden="false" customHeight="false" outlineLevel="0" collapsed="false">
      <c r="A1092" s="7" t="s">
        <v>38</v>
      </c>
      <c r="B1092" s="7" t="s">
        <v>351</v>
      </c>
      <c r="C1092" s="8" t="n">
        <v>20</v>
      </c>
      <c r="D1092" s="8" t="n">
        <v>239.39</v>
      </c>
      <c r="E1092" s="8" t="n">
        <v>50</v>
      </c>
      <c r="F1092" s="8" t="n">
        <v>561.5</v>
      </c>
      <c r="G1092" s="7" t="n">
        <f aca="false">IFERROR(INDEX('TRANS'!$B:$B,MATCH($B1092,'TRANS'!$A:$A,0)),IFERROR(INDEX('TRANS'!$B:$B,MATCH(TRIM(SUBSTITUTE($B1092,CHAR(160)," ")),'TRANS'!$D:$D,0)),IFERROR(INDEX('Catalog'!$A:$A,MATCH($B1092,'Catalog'!$B:$B,0)),IFERROR(INDEX('Catalog'!$A:$A,MATCH(TRIM(SUBSTITUTE($B1092,CHAR(160)," ")),'Catalog'!$C:$C,0)),""))))</f>
        <v>4409017</v>
      </c>
      <c r="H1092" s="7" t="str">
        <f aca="false">IFERROR(INDEX('TRANS'!$C:$C,MATCH($B1092,'TRANS'!$A:$A,0)),IFERROR(INDEX('Catalog'!$B:$B,MATCH($G1092,'Catalog'!$A:$A,0)),$B1092))</f>
        <v>808KT-B        טייפ קינזיולוגי</v>
      </c>
      <c r="I1092" s="7" t="str">
        <f aca="false">IF($G1092="","Unmatched","Matched")</f>
        <v>Matched</v>
      </c>
      <c r="J1092" s="7" t="n">
        <f aca="false">IF($G1092&lt;&gt;"",$G1092,$B1092)</f>
        <v>4409017</v>
      </c>
      <c r="K1092" s="7" t="str">
        <f aca="false">IF(COUNTIF($O$2:$O$16,$A1092)&gt;0,"Y","N")</f>
        <v>Y</v>
      </c>
    </row>
    <row r="1093" customFormat="false" ht="15" hidden="false" customHeight="false" outlineLevel="0" collapsed="false">
      <c r="A1093" s="7" t="s">
        <v>38</v>
      </c>
      <c r="B1093" s="7" t="s">
        <v>352</v>
      </c>
      <c r="C1093" s="8" t="n">
        <v>26</v>
      </c>
      <c r="D1093" s="8" t="n">
        <v>322.75</v>
      </c>
      <c r="E1093" s="8" t="n">
        <v>50</v>
      </c>
      <c r="F1093" s="8" t="n">
        <v>564.09</v>
      </c>
      <c r="G1093" s="7" t="n">
        <f aca="false">IFERROR(INDEX('TRANS'!$B:$B,MATCH($B1093,'TRANS'!$A:$A,0)),IFERROR(INDEX('TRANS'!$B:$B,MATCH(TRIM(SUBSTITUTE($B1093,CHAR(160)," ")),'TRANS'!$D:$D,0)),IFERROR(INDEX('Catalog'!$A:$A,MATCH($B1093,'Catalog'!$B:$B,0)),IFERROR(INDEX('Catalog'!$A:$A,MATCH(TRIM(SUBSTITUTE($B1093,CHAR(160)," ")),'Catalog'!$C:$C,0)),""))))</f>
        <v>4409015</v>
      </c>
      <c r="H1093" s="7" t="str">
        <f aca="false">IFERROR(INDEX('TRANS'!$C:$C,MATCH($B1093,'TRANS'!$A:$A,0)),IFERROR(INDEX('Catalog'!$B:$B,MATCH($G1093,'Catalog'!$A:$A,0)),$B1093))</f>
        <v>808KT-BL       טייפ קינזיולוגי</v>
      </c>
      <c r="I1093" s="7" t="str">
        <f aca="false">IF($G1093="","Unmatched","Matched")</f>
        <v>Matched</v>
      </c>
      <c r="J1093" s="7" t="n">
        <f aca="false">IF($G1093&lt;&gt;"",$G1093,$B1093)</f>
        <v>4409015</v>
      </c>
      <c r="K1093" s="7" t="str">
        <f aca="false">IF(COUNTIF($O$2:$O$16,$A1093)&gt;0,"Y","N")</f>
        <v>Y</v>
      </c>
    </row>
    <row r="1094" customFormat="false" ht="15" hidden="false" customHeight="false" outlineLevel="0" collapsed="false">
      <c r="A1094" s="7" t="s">
        <v>38</v>
      </c>
      <c r="B1094" s="7" t="s">
        <v>353</v>
      </c>
      <c r="C1094" s="8" t="n">
        <v>30</v>
      </c>
      <c r="D1094" s="8" t="n">
        <v>359.51</v>
      </c>
      <c r="E1094" s="8" t="n">
        <v>40</v>
      </c>
      <c r="F1094" s="8" t="n">
        <v>445.09</v>
      </c>
      <c r="G1094" s="7" t="n">
        <f aca="false">IFERROR(INDEX('TRANS'!$B:$B,MATCH($B1094,'TRANS'!$A:$A,0)),IFERROR(INDEX('TRANS'!$B:$B,MATCH(TRIM(SUBSTITUTE($B1094,CHAR(160)," ")),'TRANS'!$D:$D,0)),IFERROR(INDEX('Catalog'!$A:$A,MATCH($B1094,'Catalog'!$B:$B,0)),IFERROR(INDEX('Catalog'!$A:$A,MATCH(TRIM(SUBSTITUTE($B1094,CHAR(160)," ")),'Catalog'!$C:$C,0)),""))))</f>
        <v>4409016</v>
      </c>
      <c r="H1094" s="7" t="str">
        <f aca="false">IFERROR(INDEX('TRANS'!$C:$C,MATCH($B1094,'TRANS'!$A:$A,0)),IFERROR(INDEX('Catalog'!$B:$B,MATCH($G1094,'Catalog'!$A:$A,0)),$B1094))</f>
        <v>808KT-C        טייפ קינזיולוגי</v>
      </c>
      <c r="I1094" s="7" t="str">
        <f aca="false">IF($G1094="","Unmatched","Matched")</f>
        <v>Matched</v>
      </c>
      <c r="J1094" s="7" t="n">
        <f aca="false">IF($G1094&lt;&gt;"",$G1094,$B1094)</f>
        <v>4409016</v>
      </c>
      <c r="K1094" s="7" t="str">
        <f aca="false">IF(COUNTIF($O$2:$O$16,$A1094)&gt;0,"Y","N")</f>
        <v>Y</v>
      </c>
    </row>
    <row r="1095" customFormat="false" ht="15" hidden="false" customHeight="false" outlineLevel="0" collapsed="false">
      <c r="A1095" s="7" t="s">
        <v>38</v>
      </c>
      <c r="B1095" s="7" t="s">
        <v>354</v>
      </c>
      <c r="C1095" s="8" t="n">
        <v>20</v>
      </c>
      <c r="D1095" s="8" t="n">
        <v>250.68</v>
      </c>
      <c r="E1095" s="8" t="n">
        <v>30</v>
      </c>
      <c r="F1095" s="8" t="n">
        <v>339.2</v>
      </c>
      <c r="G1095" s="7" t="n">
        <f aca="false">IFERROR(INDEX('TRANS'!$B:$B,MATCH($B1095,'TRANS'!$A:$A,0)),IFERROR(INDEX('TRANS'!$B:$B,MATCH(TRIM(SUBSTITUTE($B1095,CHAR(160)," ")),'TRANS'!$D:$D,0)),IFERROR(INDEX('Catalog'!$A:$A,MATCH($B1095,'Catalog'!$B:$B,0)),IFERROR(INDEX('Catalog'!$A:$A,MATCH(TRIM(SUBSTITUTE($B1095,CHAR(160)," ")),'Catalog'!$C:$C,0)),""))))</f>
        <v>4409014</v>
      </c>
      <c r="H1095" s="7" t="str">
        <f aca="false">IFERROR(INDEX('TRANS'!$C:$C,MATCH($B1095,'TRANS'!$A:$A,0)),IFERROR(INDEX('Catalog'!$B:$B,MATCH($G1095,'Catalog'!$A:$A,0)),$B1095))</f>
        <v>808KT-P        טייפ קינזיולוגי</v>
      </c>
      <c r="I1095" s="7" t="str">
        <f aca="false">IF($G1095="","Unmatched","Matched")</f>
        <v>Matched</v>
      </c>
      <c r="J1095" s="7" t="n">
        <f aca="false">IF($G1095&lt;&gt;"",$G1095,$B1095)</f>
        <v>4409014</v>
      </c>
      <c r="K1095" s="7" t="str">
        <f aca="false">IF(COUNTIF($O$2:$O$16,$A1095)&gt;0,"Y","N")</f>
        <v>Y</v>
      </c>
    </row>
    <row r="1096" customFormat="false" ht="15" hidden="false" customHeight="false" outlineLevel="0" collapsed="false">
      <c r="A1096" s="7" t="s">
        <v>38</v>
      </c>
      <c r="B1096" s="7" t="s">
        <v>170</v>
      </c>
      <c r="C1096" s="8" t="n">
        <v>0</v>
      </c>
      <c r="D1096" s="8" t="n">
        <v>0</v>
      </c>
      <c r="E1096" s="8" t="n">
        <v>1</v>
      </c>
      <c r="F1096" s="8" t="n">
        <v>0.03</v>
      </c>
      <c r="G1096" s="7" t="str">
        <f aca="false">IFERROR(INDEX('TRANS'!$B:$B,MATCH($B1096,'TRANS'!$A:$A,0)),IFERROR(INDEX('TRANS'!$B:$B,MATCH(TRIM(SUBSTITUTE($B1096,CHAR(160)," ")),'TRANS'!$D:$D,0)),IFERROR(INDEX('Catalog'!$A:$A,MATCH($B1096,'Catalog'!$B:$B,0)),IFERROR(INDEX('Catalog'!$A:$A,MATCH(TRIM(SUBSTITUTE($B1096,CHAR(160)," ")),'Catalog'!$C:$C,0)),""))))</f>
        <v/>
      </c>
      <c r="H1096" s="7" t="str">
        <f aca="false">IFERROR(INDEX('TRANS'!$C:$C,MATCH($B1096,'TRANS'!$A:$A,0)),IFERROR(INDEX('Catalog'!$B:$B,MATCH($G1096,'Catalog'!$A:$A,0)),$B1096))</f>
        <v>809PW-C</v>
      </c>
      <c r="I1096" s="7" t="str">
        <f aca="false">IF($G1096="","Unmatched","Matched")</f>
        <v>Unmatched</v>
      </c>
      <c r="J1096" s="7" t="str">
        <f aca="false">IF($G1096&lt;&gt;"",$G1096,$B1096)</f>
        <v>809PW-C</v>
      </c>
      <c r="K1096" s="7" t="str">
        <f aca="false">IF(COUNTIF($O$2:$O$16,$A1096)&gt;0,"Y","N")</f>
        <v>Y</v>
      </c>
    </row>
    <row r="1097" customFormat="false" ht="15" hidden="false" customHeight="false" outlineLevel="0" collapsed="false">
      <c r="A1097" s="7" t="s">
        <v>38</v>
      </c>
      <c r="B1097" s="7" t="s">
        <v>81</v>
      </c>
      <c r="C1097" s="8" t="n">
        <v>170</v>
      </c>
      <c r="D1097" s="8" t="n">
        <v>4725.51</v>
      </c>
      <c r="E1097" s="8" t="n">
        <v>110</v>
      </c>
      <c r="F1097" s="8" t="n">
        <v>2678.71</v>
      </c>
      <c r="G1097" s="7" t="str">
        <f aca="false">IFERROR(INDEX('TRANS'!$B:$B,MATCH($B1097,'TRANS'!$A:$A,0)),IFERROR(INDEX('TRANS'!$B:$B,MATCH(TRIM(SUBSTITUTE($B1097,CHAR(160)," ")),'TRANS'!$D:$D,0)),IFERROR(INDEX('Catalog'!$A:$A,MATCH($B1097,'Catalog'!$B:$B,0)),IFERROR(INDEX('Catalog'!$A:$A,MATCH(TRIM(SUBSTITUTE($B1097,CHAR(160)," ")),'Catalog'!$C:$C,0)),""))))</f>
        <v/>
      </c>
      <c r="H1097" s="7" t="str">
        <f aca="false">IFERROR(INDEX('TRANS'!$C:$C,MATCH($B1097,'TRANS'!$A:$A,0)),IFERROR(INDEX('Catalog'!$B:$B,MATCH($G1097,'Catalog'!$A:$A,0)),$B1097))</f>
        <v>82 0</v>
      </c>
      <c r="I1097" s="7" t="str">
        <f aca="false">IF($G1097="","Unmatched","Matched")</f>
        <v>Unmatched</v>
      </c>
      <c r="J1097" s="7" t="str">
        <f aca="false">IF($G1097&lt;&gt;"",$G1097,$B1097)</f>
        <v>82 0</v>
      </c>
      <c r="K1097" s="7" t="str">
        <f aca="false">IF(COUNTIF($O$2:$O$16,$A1097)&gt;0,"Y","N")</f>
        <v>Y</v>
      </c>
    </row>
    <row r="1098" customFormat="false" ht="15" hidden="false" customHeight="false" outlineLevel="0" collapsed="false">
      <c r="A1098" s="7" t="s">
        <v>38</v>
      </c>
      <c r="B1098" s="7" t="s">
        <v>607</v>
      </c>
      <c r="C1098" s="8" t="n">
        <v>51</v>
      </c>
      <c r="D1098" s="8" t="n">
        <v>1198.79</v>
      </c>
      <c r="E1098" s="8" t="n">
        <v>31</v>
      </c>
      <c r="F1098" s="8" t="n">
        <v>645</v>
      </c>
      <c r="G1098" s="7" t="n">
        <f aca="false">IFERROR(INDEX('TRANS'!$B:$B,MATCH($B1098,'TRANS'!$A:$A,0)),IFERROR(INDEX('TRANS'!$B:$B,MATCH(TRIM(SUBSTITUTE($B1098,CHAR(160)," ")),'TRANS'!$D:$D,0)),IFERROR(INDEX('Catalog'!$A:$A,MATCH($B1098,'Catalog'!$B:$B,0)),IFERROR(INDEX('Catalog'!$A:$A,MATCH(TRIM(SUBSTITUTE($B1098,CHAR(160)," ")),'Catalog'!$C:$C,0)),""))))</f>
        <v>4411015</v>
      </c>
      <c r="H1098" s="7" t="str">
        <f aca="false">IFERROR(INDEX('TRANS'!$C:$C,MATCH($B1098,'TRANS'!$A:$A,0)),IFERROR(INDEX('Catalog'!$B:$B,MATCH($G1098,'Catalog'!$A:$A,0)),$B1098))</f>
        <v>820 0 כרית חום וקור</v>
      </c>
      <c r="I1098" s="7" t="str">
        <f aca="false">IF($G1098="","Unmatched","Matched")</f>
        <v>Matched</v>
      </c>
      <c r="J1098" s="7" t="n">
        <f aca="false">IF($G1098&lt;&gt;"",$G1098,$B1098)</f>
        <v>4411015</v>
      </c>
      <c r="K1098" s="7" t="str">
        <f aca="false">IF(COUNTIF($O$2:$O$16,$A1098)&gt;0,"Y","N")</f>
        <v>Y</v>
      </c>
    </row>
    <row r="1099" customFormat="false" ht="15" hidden="false" customHeight="false" outlineLevel="0" collapsed="false">
      <c r="A1099" s="7" t="s">
        <v>38</v>
      </c>
      <c r="B1099" s="7" t="s">
        <v>355</v>
      </c>
      <c r="C1099" s="8" t="n">
        <v>280</v>
      </c>
      <c r="D1099" s="8" t="n">
        <v>5355.16</v>
      </c>
      <c r="E1099" s="8" t="n">
        <v>190</v>
      </c>
      <c r="F1099" s="8" t="n">
        <v>3223.61</v>
      </c>
      <c r="G1099" s="7" t="n">
        <f aca="false">IFERROR(INDEX('TRANS'!$B:$B,MATCH($B1099,'TRANS'!$A:$A,0)),IFERROR(INDEX('TRANS'!$B:$B,MATCH(TRIM(SUBSTITUTE($B1099,CHAR(160)," ")),'TRANS'!$D:$D,0)),IFERROR(INDEX('Catalog'!$A:$A,MATCH($B1099,'Catalog'!$B:$B,0)),IFERROR(INDEX('Catalog'!$A:$A,MATCH(TRIM(SUBSTITUTE($B1099,CHAR(160)," ")),'Catalog'!$C:$C,0)),""))))</f>
        <v>4413135</v>
      </c>
      <c r="H1099" s="7" t="str">
        <f aca="false">IFERROR(INDEX('TRANS'!$C:$C,MATCH($B1099,'TRANS'!$A:$A,0)),IFERROR(INDEX('Catalog'!$B:$B,MATCH($G1099,'Catalog'!$A:$A,0)),$B1099))</f>
        <v>85 L (מתלה ליד )כיס</v>
      </c>
      <c r="I1099" s="7" t="str">
        <f aca="false">IF($G1099="","Unmatched","Matched")</f>
        <v>Matched</v>
      </c>
      <c r="J1099" s="7" t="n">
        <f aca="false">IF($G1099&lt;&gt;"",$G1099,$B1099)</f>
        <v>4413135</v>
      </c>
      <c r="K1099" s="7" t="str">
        <f aca="false">IF(COUNTIF($O$2:$O$16,$A1099)&gt;0,"Y","N")</f>
        <v>Y</v>
      </c>
    </row>
    <row r="1100" customFormat="false" ht="15" hidden="false" customHeight="false" outlineLevel="0" collapsed="false">
      <c r="A1100" s="7" t="s">
        <v>38</v>
      </c>
      <c r="B1100" s="7" t="s">
        <v>356</v>
      </c>
      <c r="C1100" s="8" t="n">
        <v>220</v>
      </c>
      <c r="D1100" s="8" t="n">
        <v>4207.96</v>
      </c>
      <c r="E1100" s="8" t="n">
        <v>210</v>
      </c>
      <c r="F1100" s="8" t="n">
        <v>3580.27</v>
      </c>
      <c r="G1100" s="7" t="n">
        <f aca="false">IFERROR(INDEX('TRANS'!$B:$B,MATCH($B1100,'TRANS'!$A:$A,0)),IFERROR(INDEX('TRANS'!$B:$B,MATCH(TRIM(SUBSTITUTE($B1100,CHAR(160)," ")),'TRANS'!$D:$D,0)),IFERROR(INDEX('Catalog'!$A:$A,MATCH($B1100,'Catalog'!$B:$B,0)),IFERROR(INDEX('Catalog'!$A:$A,MATCH(TRIM(SUBSTITUTE($B1100,CHAR(160)," ")),'Catalog'!$C:$C,0)),""))))</f>
        <v>4413136</v>
      </c>
      <c r="H1100" s="7" t="str">
        <f aca="false">IFERROR(INDEX('TRANS'!$C:$C,MATCH($B1100,'TRANS'!$A:$A,0)),IFERROR(INDEX('Catalog'!$B:$B,MATCH($G1100,'Catalog'!$A:$A,0)),$B1100))</f>
        <v>85 M (מתלה ליד )כיס</v>
      </c>
      <c r="I1100" s="7" t="str">
        <f aca="false">IF($G1100="","Unmatched","Matched")</f>
        <v>Matched</v>
      </c>
      <c r="J1100" s="7" t="n">
        <f aca="false">IF($G1100&lt;&gt;"",$G1100,$B1100)</f>
        <v>4413136</v>
      </c>
      <c r="K1100" s="7" t="str">
        <f aca="false">IF(COUNTIF($O$2:$O$16,$A1100)&gt;0,"Y","N")</f>
        <v>Y</v>
      </c>
    </row>
    <row r="1101" customFormat="false" ht="15" hidden="false" customHeight="false" outlineLevel="0" collapsed="false">
      <c r="A1101" s="7" t="s">
        <v>38</v>
      </c>
      <c r="B1101" s="7" t="s">
        <v>357</v>
      </c>
      <c r="C1101" s="8" t="n">
        <v>56</v>
      </c>
      <c r="D1101" s="8" t="n">
        <v>1065.21</v>
      </c>
      <c r="E1101" s="8" t="n">
        <v>40</v>
      </c>
      <c r="F1101" s="8" t="n">
        <v>686.15</v>
      </c>
      <c r="G1101" s="7" t="n">
        <f aca="false">IFERROR(INDEX('TRANS'!$B:$B,MATCH($B1101,'TRANS'!$A:$A,0)),IFERROR(INDEX('TRANS'!$B:$B,MATCH(TRIM(SUBSTITUTE($B1101,CHAR(160)," ")),'TRANS'!$D:$D,0)),IFERROR(INDEX('Catalog'!$A:$A,MATCH($B1101,'Catalog'!$B:$B,0)),IFERROR(INDEX('Catalog'!$A:$A,MATCH(TRIM(SUBSTITUTE($B1101,CHAR(160)," ")),'Catalog'!$C:$C,0)),""))))</f>
        <v>4413137</v>
      </c>
      <c r="H1101" s="7" t="str">
        <f aca="false">IFERROR(INDEX('TRANS'!$C:$C,MATCH($B1101,'TRANS'!$A:$A,0)),IFERROR(INDEX('Catalog'!$B:$B,MATCH($G1101,'Catalog'!$A:$A,0)),$B1101))</f>
        <v>85 S (מתלה ליד )כיס</v>
      </c>
      <c r="I1101" s="7" t="str">
        <f aca="false">IF($G1101="","Unmatched","Matched")</f>
        <v>Matched</v>
      </c>
      <c r="J1101" s="7" t="n">
        <f aca="false">IF($G1101&lt;&gt;"",$G1101,$B1101)</f>
        <v>4413137</v>
      </c>
      <c r="K1101" s="7" t="str">
        <f aca="false">IF(COUNTIF($O$2:$O$16,$A1101)&gt;0,"Y","N")</f>
        <v>Y</v>
      </c>
    </row>
    <row r="1102" customFormat="false" ht="15" hidden="false" customHeight="false" outlineLevel="0" collapsed="false">
      <c r="A1102" s="7" t="s">
        <v>38</v>
      </c>
      <c r="B1102" s="7" t="s">
        <v>358</v>
      </c>
      <c r="C1102" s="8" t="n">
        <v>50</v>
      </c>
      <c r="D1102" s="8" t="n">
        <v>949.7</v>
      </c>
      <c r="E1102" s="8" t="n">
        <v>32</v>
      </c>
      <c r="F1102" s="8" t="n">
        <v>554.24</v>
      </c>
      <c r="G1102" s="7" t="n">
        <f aca="false">IFERROR(INDEX('TRANS'!$B:$B,MATCH($B1102,'TRANS'!$A:$A,0)),IFERROR(INDEX('TRANS'!$B:$B,MATCH(TRIM(SUBSTITUTE($B1102,CHAR(160)," ")),'TRANS'!$D:$D,0)),IFERROR(INDEX('Catalog'!$A:$A,MATCH($B1102,'Catalog'!$B:$B,0)),IFERROR(INDEX('Catalog'!$A:$A,MATCH(TRIM(SUBSTITUTE($B1102,CHAR(160)," ")),'Catalog'!$C:$C,0)),""))))</f>
        <v>4413138</v>
      </c>
      <c r="H1102" s="7" t="str">
        <f aca="false">IFERROR(INDEX('TRANS'!$C:$C,MATCH($B1102,'TRANS'!$A:$A,0)),IFERROR(INDEX('Catalog'!$B:$B,MATCH($G1102,'Catalog'!$A:$A,0)),$B1102))</f>
        <v>85 XL (מתלה ליד )כיס</v>
      </c>
      <c r="I1102" s="7" t="str">
        <f aca="false">IF($G1102="","Unmatched","Matched")</f>
        <v>Matched</v>
      </c>
      <c r="J1102" s="7" t="n">
        <f aca="false">IF($G1102&lt;&gt;"",$G1102,$B1102)</f>
        <v>4413138</v>
      </c>
      <c r="K1102" s="7" t="str">
        <f aca="false">IF(COUNTIF($O$2:$O$16,$A1102)&gt;0,"Y","N")</f>
        <v>Y</v>
      </c>
    </row>
    <row r="1103" customFormat="false" ht="15" hidden="false" customHeight="false" outlineLevel="0" collapsed="false">
      <c r="A1103" s="7" t="s">
        <v>38</v>
      </c>
      <c r="B1103" s="7" t="s">
        <v>127</v>
      </c>
      <c r="C1103" s="8" t="n">
        <v>0</v>
      </c>
      <c r="D1103" s="8" t="n">
        <v>0</v>
      </c>
      <c r="E1103" s="8" t="n">
        <v>8</v>
      </c>
      <c r="F1103" s="8" t="n">
        <v>247.59</v>
      </c>
      <c r="G1103" s="7" t="str">
        <f aca="false">IFERROR(INDEX('TRANS'!$B:$B,MATCH($B1103,'TRANS'!$A:$A,0)),IFERROR(INDEX('TRANS'!$B:$B,MATCH(TRIM(SUBSTITUTE($B1103,CHAR(160)," ")),'TRANS'!$D:$D,0)),IFERROR(INDEX('Catalog'!$A:$A,MATCH($B1103,'Catalog'!$B:$B,0)),IFERROR(INDEX('Catalog'!$A:$A,MATCH(TRIM(SUBSTITUTE($B1103,CHAR(160)," ")),'Catalog'!$C:$C,0)),""))))</f>
        <v/>
      </c>
      <c r="H1103" s="7" t="str">
        <f aca="false">IFERROR(INDEX('TRANS'!$C:$C,MATCH($B1103,'TRANS'!$A:$A,0)),IFERROR(INDEX('Catalog'!$B:$B,MATCH($G1103,'Catalog'!$A:$A,0)),$B1103))</f>
        <v>91 0</v>
      </c>
      <c r="I1103" s="7" t="str">
        <f aca="false">IF($G1103="","Unmatched","Matched")</f>
        <v>Unmatched</v>
      </c>
      <c r="J1103" s="7" t="str">
        <f aca="false">IF($G1103&lt;&gt;"",$G1103,$B1103)</f>
        <v>91 0</v>
      </c>
      <c r="K1103" s="7" t="str">
        <f aca="false">IF(COUNTIF($O$2:$O$16,$A1103)&gt;0,"Y","N")</f>
        <v>Y</v>
      </c>
    </row>
    <row r="1104" customFormat="false" ht="15" hidden="false" customHeight="false" outlineLevel="0" collapsed="false">
      <c r="A1104" s="7" t="s">
        <v>38</v>
      </c>
      <c r="B1104" s="7" t="s">
        <v>495</v>
      </c>
      <c r="C1104" s="8" t="n">
        <v>0</v>
      </c>
      <c r="D1104" s="8" t="n">
        <v>0</v>
      </c>
      <c r="E1104" s="8" t="n">
        <v>1</v>
      </c>
      <c r="F1104" s="8" t="n">
        <v>0.03</v>
      </c>
      <c r="G1104" s="7" t="n">
        <f aca="false">IFERROR(INDEX('TRANS'!$B:$B,MATCH($B1104,'TRANS'!$A:$A,0)),IFERROR(INDEX('TRANS'!$B:$B,MATCH(TRIM(SUBSTITUTE($B1104,CHAR(160)," ")),'TRANS'!$D:$D,0)),IFERROR(INDEX('Catalog'!$A:$A,MATCH($B1104,'Catalog'!$B:$B,0)),IFERROR(INDEX('Catalog'!$A:$A,MATCH(TRIM(SUBSTITUTE($B1104,CHAR(160)," ")),'Catalog'!$C:$C,0)),""))))</f>
        <v>4408266</v>
      </c>
      <c r="H1104" s="7" t="str">
        <f aca="false">IFERROR(INDEX('TRANS'!$C:$C,MATCH($B1104,'TRANS'!$A:$A,0)),IFERROR(INDEX('Catalog'!$B:$B,MATCH($G1104,'Catalog'!$A:$A,0)),$B1104))</f>
        <v>91B חבק טניס אלבו</v>
      </c>
      <c r="I1104" s="7" t="str">
        <f aca="false">IF($G1104="","Unmatched","Matched")</f>
        <v>Matched</v>
      </c>
      <c r="J1104" s="7" t="n">
        <f aca="false">IF($G1104&lt;&gt;"",$G1104,$B1104)</f>
        <v>4408266</v>
      </c>
      <c r="K1104" s="7" t="str">
        <f aca="false">IF(COUNTIF($O$2:$O$16,$A1104)&gt;0,"Y","N")</f>
        <v>Y</v>
      </c>
    </row>
    <row r="1105" customFormat="false" ht="15" hidden="false" customHeight="false" outlineLevel="0" collapsed="false">
      <c r="A1105" s="7" t="s">
        <v>38</v>
      </c>
      <c r="B1105" s="7" t="s">
        <v>363</v>
      </c>
      <c r="C1105" s="8" t="n">
        <v>90</v>
      </c>
      <c r="D1105" s="8" t="n">
        <v>967.11</v>
      </c>
      <c r="E1105" s="8" t="n">
        <v>75</v>
      </c>
      <c r="F1105" s="8" t="n">
        <v>726.86</v>
      </c>
      <c r="G1105" s="7" t="n">
        <f aca="false">IFERROR(INDEX('TRANS'!$B:$B,MATCH($B1105,'TRANS'!$A:$A,0)),IFERROR(INDEX('TRANS'!$B:$B,MATCH(TRIM(SUBSTITUTE($B1105,CHAR(160)," ")),'TRANS'!$D:$D,0)),IFERROR(INDEX('Catalog'!$A:$A,MATCH($B1105,'Catalog'!$B:$B,0)),IFERROR(INDEX('Catalog'!$A:$A,MATCH(TRIM(SUBSTITUTE($B1105,CHAR(160)," ")),'Catalog'!$C:$C,0)),""))))</f>
        <v>4413500</v>
      </c>
      <c r="H1105" s="7" t="str">
        <f aca="false">IFERROR(INDEX('TRANS'!$C:$C,MATCH($B1105,'TRANS'!$A:$A,0)),IFERROR(INDEX('Catalog'!$B:$B,MATCH($G1105,'Catalog'!$A:$A,0)),$B1105))</f>
        <v>95B L מגן מרפק שחור</v>
      </c>
      <c r="I1105" s="7" t="str">
        <f aca="false">IF($G1105="","Unmatched","Matched")</f>
        <v>Matched</v>
      </c>
      <c r="J1105" s="7" t="n">
        <f aca="false">IF($G1105&lt;&gt;"",$G1105,$B1105)</f>
        <v>4413500</v>
      </c>
      <c r="K1105" s="7" t="str">
        <f aca="false">IF(COUNTIF($O$2:$O$16,$A1105)&gt;0,"Y","N")</f>
        <v>Y</v>
      </c>
    </row>
    <row r="1106" customFormat="false" ht="15" hidden="false" customHeight="false" outlineLevel="0" collapsed="false">
      <c r="A1106" s="7" t="s">
        <v>38</v>
      </c>
      <c r="B1106" s="7" t="s">
        <v>364</v>
      </c>
      <c r="C1106" s="8" t="n">
        <v>145</v>
      </c>
      <c r="D1106" s="8" t="n">
        <v>1571.6</v>
      </c>
      <c r="E1106" s="8" t="n">
        <v>85</v>
      </c>
      <c r="F1106" s="8" t="n">
        <v>816.96</v>
      </c>
      <c r="G1106" s="7" t="n">
        <f aca="false">IFERROR(INDEX('TRANS'!$B:$B,MATCH($B1106,'TRANS'!$A:$A,0)),IFERROR(INDEX('TRANS'!$B:$B,MATCH(TRIM(SUBSTITUTE($B1106,CHAR(160)," ")),'TRANS'!$D:$D,0)),IFERROR(INDEX('Catalog'!$A:$A,MATCH($B1106,'Catalog'!$B:$B,0)),IFERROR(INDEX('Catalog'!$A:$A,MATCH(TRIM(SUBSTITUTE($B1106,CHAR(160)," ")),'Catalog'!$C:$C,0)),""))))</f>
        <v>4413501</v>
      </c>
      <c r="H1106" s="7" t="str">
        <f aca="false">IFERROR(INDEX('TRANS'!$C:$C,MATCH($B1106,'TRANS'!$A:$A,0)),IFERROR(INDEX('Catalog'!$B:$B,MATCH($G1106,'Catalog'!$A:$A,0)),$B1106))</f>
        <v>95B M מגן מרפק שחור</v>
      </c>
      <c r="I1106" s="7" t="str">
        <f aca="false">IF($G1106="","Unmatched","Matched")</f>
        <v>Matched</v>
      </c>
      <c r="J1106" s="7" t="n">
        <f aca="false">IF($G1106&lt;&gt;"",$G1106,$B1106)</f>
        <v>4413501</v>
      </c>
      <c r="K1106" s="7" t="str">
        <f aca="false">IF(COUNTIF($O$2:$O$16,$A1106)&gt;0,"Y","N")</f>
        <v>Y</v>
      </c>
    </row>
    <row r="1107" customFormat="false" ht="15" hidden="false" customHeight="false" outlineLevel="0" collapsed="false">
      <c r="A1107" s="7" t="s">
        <v>38</v>
      </c>
      <c r="B1107" s="7" t="s">
        <v>365</v>
      </c>
      <c r="C1107" s="8" t="n">
        <v>35</v>
      </c>
      <c r="D1107" s="8" t="n">
        <v>372.89</v>
      </c>
      <c r="E1107" s="8" t="n">
        <v>60</v>
      </c>
      <c r="F1107" s="8" t="n">
        <v>580.87</v>
      </c>
      <c r="G1107" s="7" t="n">
        <f aca="false">IFERROR(INDEX('TRANS'!$B:$B,MATCH($B1107,'TRANS'!$A:$A,0)),IFERROR(INDEX('TRANS'!$B:$B,MATCH(TRIM(SUBSTITUTE($B1107,CHAR(160)," ")),'TRANS'!$D:$D,0)),IFERROR(INDEX('Catalog'!$A:$A,MATCH($B1107,'Catalog'!$B:$B,0)),IFERROR(INDEX('Catalog'!$A:$A,MATCH(TRIM(SUBSTITUTE($B1107,CHAR(160)," ")),'Catalog'!$C:$C,0)),""))))</f>
        <v>4413502</v>
      </c>
      <c r="H1107" s="7" t="str">
        <f aca="false">IFERROR(INDEX('TRANS'!$C:$C,MATCH($B1107,'TRANS'!$A:$A,0)),IFERROR(INDEX('Catalog'!$B:$B,MATCH($G1107,'Catalog'!$A:$A,0)),$B1107))</f>
        <v>95B S מגן מרפק שחור</v>
      </c>
      <c r="I1107" s="7" t="str">
        <f aca="false">IF($G1107="","Unmatched","Matched")</f>
        <v>Matched</v>
      </c>
      <c r="J1107" s="7" t="n">
        <f aca="false">IF($G1107&lt;&gt;"",$G1107,$B1107)</f>
        <v>4413502</v>
      </c>
      <c r="K1107" s="7" t="str">
        <f aca="false">IF(COUNTIF($O$2:$O$16,$A1107)&gt;0,"Y","N")</f>
        <v>Y</v>
      </c>
    </row>
    <row r="1108" customFormat="false" ht="15" hidden="false" customHeight="false" outlineLevel="0" collapsed="false">
      <c r="A1108" s="7" t="s">
        <v>38</v>
      </c>
      <c r="B1108" s="7" t="s">
        <v>366</v>
      </c>
      <c r="C1108" s="8" t="n">
        <v>56</v>
      </c>
      <c r="D1108" s="8" t="n">
        <v>616.21</v>
      </c>
      <c r="E1108" s="8" t="n">
        <v>16</v>
      </c>
      <c r="F1108" s="8" t="n">
        <v>158.76</v>
      </c>
      <c r="G1108" s="7" t="n">
        <f aca="false">IFERROR(INDEX('TRANS'!$B:$B,MATCH($B1108,'TRANS'!$A:$A,0)),IFERROR(INDEX('TRANS'!$B:$B,MATCH(TRIM(SUBSTITUTE($B1108,CHAR(160)," ")),'TRANS'!$D:$D,0)),IFERROR(INDEX('Catalog'!$A:$A,MATCH($B1108,'Catalog'!$B:$B,0)),IFERROR(INDEX('Catalog'!$A:$A,MATCH(TRIM(SUBSTITUTE($B1108,CHAR(160)," ")),'Catalog'!$C:$C,0)),""))))</f>
        <v>4413503</v>
      </c>
      <c r="H1108" s="7" t="str">
        <f aca="false">IFERROR(INDEX('TRANS'!$C:$C,MATCH($B1108,'TRANS'!$A:$A,0)),IFERROR(INDEX('Catalog'!$B:$B,MATCH($G1108,'Catalog'!$A:$A,0)),$B1108))</f>
        <v>95B XL מגן מרפק שחור</v>
      </c>
      <c r="I1108" s="7" t="str">
        <f aca="false">IF($G1108="","Unmatched","Matched")</f>
        <v>Matched</v>
      </c>
      <c r="J1108" s="7" t="n">
        <f aca="false">IF($G1108&lt;&gt;"",$G1108,$B1108)</f>
        <v>4413503</v>
      </c>
      <c r="K1108" s="7" t="str">
        <f aca="false">IF(COUNTIF($O$2:$O$16,$A1108)&gt;0,"Y","N")</f>
        <v>Y</v>
      </c>
    </row>
    <row r="1109" customFormat="false" ht="15" hidden="false" customHeight="false" outlineLevel="0" collapsed="false">
      <c r="A1109" s="7" t="s">
        <v>38</v>
      </c>
      <c r="B1109" s="7" t="s">
        <v>658</v>
      </c>
      <c r="C1109" s="8" t="n">
        <v>6</v>
      </c>
      <c r="D1109" s="8" t="n">
        <v>68.97</v>
      </c>
      <c r="E1109" s="8" t="n">
        <v>12</v>
      </c>
      <c r="F1109" s="8" t="n">
        <v>113.95</v>
      </c>
      <c r="G1109" s="7" t="n">
        <f aca="false">IFERROR(INDEX('TRANS'!$B:$B,MATCH($B1109,'TRANS'!$A:$A,0)),IFERROR(INDEX('TRANS'!$B:$B,MATCH(TRIM(SUBSTITUTE($B1109,CHAR(160)," ")),'TRANS'!$D:$D,0)),IFERROR(INDEX('Catalog'!$A:$A,MATCH($B1109,'Catalog'!$B:$B,0)),IFERROR(INDEX('Catalog'!$A:$A,MATCH(TRIM(SUBSTITUTE($B1109,CHAR(160)," ")),'Catalog'!$C:$C,0)),""))))</f>
        <v>4413504</v>
      </c>
      <c r="H1109" s="7" t="str">
        <f aca="false">IFERROR(INDEX('TRANS'!$C:$C,MATCH($B1109,'TRANS'!$A:$A,0)),IFERROR(INDEX('Catalog'!$B:$B,MATCH($G1109,'Catalog'!$A:$A,0)),$B1109))</f>
        <v>95B XXLמגן מרפק שחור</v>
      </c>
      <c r="I1109" s="7" t="str">
        <f aca="false">IF($G1109="","Unmatched","Matched")</f>
        <v>Matched</v>
      </c>
      <c r="J1109" s="7" t="n">
        <f aca="false">IF($G1109&lt;&gt;"",$G1109,$B1109)</f>
        <v>4413504</v>
      </c>
      <c r="K1109" s="7" t="str">
        <f aca="false">IF(COUNTIF($O$2:$O$16,$A1109)&gt;0,"Y","N")</f>
        <v>Y</v>
      </c>
    </row>
    <row r="1110" customFormat="false" ht="15" hidden="false" customHeight="false" outlineLevel="0" collapsed="false">
      <c r="A1110" s="7" t="s">
        <v>38</v>
      </c>
      <c r="B1110" s="7" t="s">
        <v>497</v>
      </c>
      <c r="C1110" s="8" t="n">
        <v>390</v>
      </c>
      <c r="D1110" s="8" t="n">
        <v>13356.8</v>
      </c>
      <c r="E1110" s="8" t="n">
        <v>210</v>
      </c>
      <c r="F1110" s="8" t="n">
        <v>6522.55</v>
      </c>
      <c r="G1110" s="7" t="n">
        <f aca="false">IFERROR(INDEX('TRANS'!$B:$B,MATCH($B1110,'TRANS'!$A:$A,0)),IFERROR(INDEX('TRANS'!$B:$B,MATCH(TRIM(SUBSTITUTE($B1110,CHAR(160)," ")),'TRANS'!$D:$D,0)),IFERROR(INDEX('Catalog'!$A:$A,MATCH($B1110,'Catalog'!$B:$B,0)),IFERROR(INDEX('Catalog'!$A:$A,MATCH(TRIM(SUBSTITUTE($B1110,CHAR(160)," ")),'Catalog'!$C:$C,0)),""))))</f>
        <v>4408206</v>
      </c>
      <c r="H1110" s="7" t="str">
        <f aca="false">IFERROR(INDEX('TRANS'!$C:$C,MATCH($B1110,'TRANS'!$A:$A,0)),IFERROR(INDEX('Catalog'!$B:$B,MATCH($G1110,'Catalog'!$A:$A,0)),$B1110))</f>
        <v>AC-11 חגורת בטן קלה</v>
      </c>
      <c r="I1110" s="7" t="str">
        <f aca="false">IF($G1110="","Unmatched","Matched")</f>
        <v>Matched</v>
      </c>
      <c r="J1110" s="7" t="n">
        <f aca="false">IF($G1110&lt;&gt;"",$G1110,$B1110)</f>
        <v>4408206</v>
      </c>
      <c r="K1110" s="7" t="str">
        <f aca="false">IF(COUNTIF($O$2:$O$16,$A1110)&gt;0,"Y","N")</f>
        <v>Y</v>
      </c>
    </row>
    <row r="1111" customFormat="false" ht="15" hidden="false" customHeight="false" outlineLevel="0" collapsed="false">
      <c r="A1111" s="7" t="s">
        <v>38</v>
      </c>
      <c r="B1111" s="7" t="s">
        <v>371</v>
      </c>
      <c r="C1111" s="8" t="n">
        <v>1080</v>
      </c>
      <c r="D1111" s="8" t="n">
        <v>16006.91</v>
      </c>
      <c r="E1111" s="8" t="n">
        <v>990</v>
      </c>
      <c r="F1111" s="8" t="n">
        <v>13225.04</v>
      </c>
      <c r="G1111" s="7" t="n">
        <f aca="false">IFERROR(INDEX('TRANS'!$B:$B,MATCH($B1111,'TRANS'!$A:$A,0)),IFERROR(INDEX('TRANS'!$B:$B,MATCH(TRIM(SUBSTITUTE($B1111,CHAR(160)," ")),'TRANS'!$D:$D,0)),IFERROR(INDEX('Catalog'!$A:$A,MATCH($B1111,'Catalog'!$B:$B,0)),IFERROR(INDEX('Catalog'!$A:$A,MATCH(TRIM(SUBSTITUTE($B1111,CHAR(160)," ")),'Catalog'!$C:$C,0)),""))))</f>
        <v>4408207</v>
      </c>
      <c r="H1111" s="7" t="str">
        <f aca="false">IFERROR(INDEX('TRANS'!$C:$C,MATCH($B1111,'TRANS'!$A:$A,0)),IFERROR(INDEX('Catalog'!$B:$B,MATCH($G1111,'Catalog'!$A:$A,0)),$B1111))</f>
        <v>AC-25 חבק לשורש כף היד</v>
      </c>
      <c r="I1111" s="7" t="str">
        <f aca="false">IF($G1111="","Unmatched","Matched")</f>
        <v>Matched</v>
      </c>
      <c r="J1111" s="7" t="n">
        <f aca="false">IF($G1111&lt;&gt;"",$G1111,$B1111)</f>
        <v>4408207</v>
      </c>
      <c r="K1111" s="7" t="str">
        <f aca="false">IF(COUNTIF($O$2:$O$16,$A1111)&gt;0,"Y","N")</f>
        <v>Y</v>
      </c>
    </row>
    <row r="1112" customFormat="false" ht="15" hidden="false" customHeight="false" outlineLevel="0" collapsed="false">
      <c r="A1112" s="7" t="s">
        <v>38</v>
      </c>
      <c r="B1112" s="7" t="s">
        <v>372</v>
      </c>
      <c r="C1112" s="8" t="n">
        <v>370</v>
      </c>
      <c r="D1112" s="8" t="n">
        <v>6604.34</v>
      </c>
      <c r="E1112" s="8" t="n">
        <v>270</v>
      </c>
      <c r="F1112" s="8" t="n">
        <v>4382.22</v>
      </c>
      <c r="G1112" s="7" t="n">
        <f aca="false">IFERROR(INDEX('TRANS'!$B:$B,MATCH($B1112,'TRANS'!$A:$A,0)),IFERROR(INDEX('TRANS'!$B:$B,MATCH(TRIM(SUBSTITUTE($B1112,CHAR(160)," ")),'TRANS'!$D:$D,0)),IFERROR(INDEX('Catalog'!$A:$A,MATCH($B1112,'Catalog'!$B:$B,0)),IFERROR(INDEX('Catalog'!$A:$A,MATCH(TRIM(SUBSTITUTE($B1112,CHAR(160)," ")),'Catalog'!$C:$C,0)),""))))</f>
        <v>4415026</v>
      </c>
      <c r="H1112" s="7" t="str">
        <f aca="false">IFERROR(INDEX('TRANS'!$C:$C,MATCH($B1112,'TRANS'!$A:$A,0)),IFERROR(INDEX('Catalog'!$B:$B,MATCH($G1112,'Catalog'!$A:$A,0)),$B1112))</f>
        <v>AC-27L סד לש.כף יד שמאל</v>
      </c>
      <c r="I1112" s="7" t="str">
        <f aca="false">IF($G1112="","Unmatched","Matched")</f>
        <v>Matched</v>
      </c>
      <c r="J1112" s="7" t="n">
        <f aca="false">IF($G1112&lt;&gt;"",$G1112,$B1112)</f>
        <v>4415026</v>
      </c>
      <c r="K1112" s="7" t="str">
        <f aca="false">IF(COUNTIF($O$2:$O$16,$A1112)&gt;0,"Y","N")</f>
        <v>Y</v>
      </c>
    </row>
    <row r="1113" customFormat="false" ht="15" hidden="false" customHeight="false" outlineLevel="0" collapsed="false">
      <c r="A1113" s="7" t="s">
        <v>38</v>
      </c>
      <c r="B1113" s="7" t="s">
        <v>373</v>
      </c>
      <c r="C1113" s="8" t="n">
        <v>400</v>
      </c>
      <c r="D1113" s="8" t="n">
        <v>7141.27</v>
      </c>
      <c r="E1113" s="8" t="n">
        <v>350</v>
      </c>
      <c r="F1113" s="8" t="n">
        <v>5680.04</v>
      </c>
      <c r="G1113" s="7" t="n">
        <f aca="false">IFERROR(INDEX('TRANS'!$B:$B,MATCH($B1113,'TRANS'!$A:$A,0)),IFERROR(INDEX('TRANS'!$B:$B,MATCH(TRIM(SUBSTITUTE($B1113,CHAR(160)," ")),'TRANS'!$D:$D,0)),IFERROR(INDEX('Catalog'!$A:$A,MATCH($B1113,'Catalog'!$B:$B,0)),IFERROR(INDEX('Catalog'!$A:$A,MATCH(TRIM(SUBSTITUTE($B1113,CHAR(160)," ")),'Catalog'!$C:$C,0)),""))))</f>
        <v>4415027</v>
      </c>
      <c r="H1113" s="7" t="str">
        <f aca="false">IFERROR(INDEX('TRANS'!$C:$C,MATCH($B1113,'TRANS'!$A:$A,0)),IFERROR(INDEX('Catalog'!$B:$B,MATCH($G1113,'Catalog'!$A:$A,0)),$B1113))</f>
        <v>AC-27R סד לש.כף יד ימין</v>
      </c>
      <c r="I1113" s="7" t="str">
        <f aca="false">IF($G1113="","Unmatched","Matched")</f>
        <v>Matched</v>
      </c>
      <c r="J1113" s="7" t="n">
        <f aca="false">IF($G1113&lt;&gt;"",$G1113,$B1113)</f>
        <v>4415027</v>
      </c>
      <c r="K1113" s="7" t="str">
        <f aca="false">IF(COUNTIF($O$2:$O$16,$A1113)&gt;0,"Y","N")</f>
        <v>Y</v>
      </c>
    </row>
    <row r="1114" customFormat="false" ht="15" hidden="false" customHeight="false" outlineLevel="0" collapsed="false">
      <c r="A1114" s="7" t="s">
        <v>38</v>
      </c>
      <c r="B1114" s="7" t="s">
        <v>374</v>
      </c>
      <c r="C1114" s="8" t="n">
        <v>700</v>
      </c>
      <c r="D1114" s="8" t="n">
        <v>10389.8</v>
      </c>
      <c r="E1114" s="8" t="n">
        <v>870</v>
      </c>
      <c r="F1114" s="8" t="n">
        <v>11685.59</v>
      </c>
      <c r="G1114" s="7" t="n">
        <f aca="false">IFERROR(INDEX('TRANS'!$B:$B,MATCH($B1114,'TRANS'!$A:$A,0)),IFERROR(INDEX('TRANS'!$B:$B,MATCH(TRIM(SUBSTITUTE($B1114,CHAR(160)," ")),'TRANS'!$D:$D,0)),IFERROR(INDEX('Catalog'!$A:$A,MATCH($B1114,'Catalog'!$B:$B,0)),IFERROR(INDEX('Catalog'!$A:$A,MATCH(TRIM(SUBSTITUTE($B1114,CHAR(160)," ")),'Catalog'!$C:$C,0)),""))))</f>
        <v>4415028</v>
      </c>
      <c r="H1114" s="7" t="str">
        <f aca="false">IFERROR(INDEX('TRANS'!$C:$C,MATCH($B1114,'TRANS'!$A:$A,0)),IFERROR(INDEX('Catalog'!$B:$B,MATCH($G1114,'Catalog'!$A:$A,0)),$B1114))</f>
        <v>AC-28 סד לאגודל</v>
      </c>
      <c r="I1114" s="7" t="str">
        <f aca="false">IF($G1114="","Unmatched","Matched")</f>
        <v>Matched</v>
      </c>
      <c r="J1114" s="7" t="n">
        <f aca="false">IF($G1114&lt;&gt;"",$G1114,$B1114)</f>
        <v>4415028</v>
      </c>
      <c r="K1114" s="7" t="str">
        <f aca="false">IF(COUNTIF($O$2:$O$16,$A1114)&gt;0,"Y","N")</f>
        <v>Y</v>
      </c>
    </row>
    <row r="1115" customFormat="false" ht="15" hidden="false" customHeight="false" outlineLevel="0" collapsed="false">
      <c r="A1115" s="7" t="s">
        <v>38</v>
      </c>
      <c r="B1115" s="7" t="s">
        <v>375</v>
      </c>
      <c r="C1115" s="8" t="n">
        <v>380</v>
      </c>
      <c r="D1115" s="8" t="n">
        <v>7011.67</v>
      </c>
      <c r="E1115" s="8" t="n">
        <v>530</v>
      </c>
      <c r="F1115" s="8" t="n">
        <v>8633.34</v>
      </c>
      <c r="G1115" s="7" t="n">
        <f aca="false">IFERROR(INDEX('TRANS'!$B:$B,MATCH($B1115,'TRANS'!$A:$A,0)),IFERROR(INDEX('TRANS'!$B:$B,MATCH(TRIM(SUBSTITUTE($B1115,CHAR(160)," ")),'TRANS'!$D:$D,0)),IFERROR(INDEX('Catalog'!$A:$A,MATCH($B1115,'Catalog'!$B:$B,0)),IFERROR(INDEX('Catalog'!$A:$A,MATCH(TRIM(SUBSTITUTE($B1115,CHAR(160)," ")),'Catalog'!$C:$C,0)),""))))</f>
        <v>4413326</v>
      </c>
      <c r="H1115" s="7" t="str">
        <f aca="false">IFERROR(INDEX('TRANS'!$C:$C,MATCH($B1115,'TRANS'!$A:$A,0)),IFERROR(INDEX('Catalog'!$B:$B,MATCH($G1115,'Catalog'!$A:$A,0)),$B1115))</f>
        <v>AC37 מגן קרסול נושם</v>
      </c>
      <c r="I1115" s="7" t="str">
        <f aca="false">IF($G1115="","Unmatched","Matched")</f>
        <v>Matched</v>
      </c>
      <c r="J1115" s="7" t="n">
        <f aca="false">IF($G1115&lt;&gt;"",$G1115,$B1115)</f>
        <v>4413326</v>
      </c>
      <c r="K1115" s="7" t="str">
        <f aca="false">IF(COUNTIF($O$2:$O$16,$A1115)&gt;0,"Y","N")</f>
        <v>Y</v>
      </c>
    </row>
    <row r="1116" customFormat="false" ht="15" hidden="false" customHeight="false" outlineLevel="0" collapsed="false">
      <c r="A1116" s="7" t="s">
        <v>38</v>
      </c>
      <c r="B1116" s="7" t="s">
        <v>376</v>
      </c>
      <c r="C1116" s="8" t="n">
        <v>310</v>
      </c>
      <c r="D1116" s="8" t="n">
        <v>13299.71</v>
      </c>
      <c r="E1116" s="8" t="n">
        <v>250</v>
      </c>
      <c r="F1116" s="8" t="n">
        <v>9809.78</v>
      </c>
      <c r="G1116" s="7" t="n">
        <f aca="false">IFERROR(INDEX('TRANS'!$B:$B,MATCH($B1116,'TRANS'!$A:$A,0)),IFERROR(INDEX('TRANS'!$B:$B,MATCH(TRIM(SUBSTITUTE($B1116,CHAR(160)," ")),'TRANS'!$D:$D,0)),IFERROR(INDEX('Catalog'!$A:$A,MATCH($B1116,'Catalog'!$B:$B,0)),IFERROR(INDEX('Catalog'!$A:$A,MATCH(TRIM(SUBSTITUTE($B1116,CHAR(160)," ")),'Catalog'!$C:$C,0)),""))))</f>
        <v>4413328</v>
      </c>
      <c r="H1116" s="7" t="str">
        <f aca="false">IFERROR(INDEX('TRANS'!$C:$C,MATCH($B1116,'TRANS'!$A:$A,0)),IFERROR(INDEX('Catalog'!$B:$B,MATCH($G1116,'Catalog'!$A:$A,0)),$B1116))</f>
        <v>AC43D מגן ברך + צירים</v>
      </c>
      <c r="I1116" s="7" t="str">
        <f aca="false">IF($G1116="","Unmatched","Matched")</f>
        <v>Matched</v>
      </c>
      <c r="J1116" s="7" t="n">
        <f aca="false">IF($G1116&lt;&gt;"",$G1116,$B1116)</f>
        <v>4413328</v>
      </c>
      <c r="K1116" s="7" t="str">
        <f aca="false">IF(COUNTIF($O$2:$O$16,$A1116)&gt;0,"Y","N")</f>
        <v>Y</v>
      </c>
    </row>
    <row r="1117" customFormat="false" ht="15" hidden="false" customHeight="false" outlineLevel="0" collapsed="false">
      <c r="A1117" s="7" t="s">
        <v>38</v>
      </c>
      <c r="B1117" s="7" t="s">
        <v>377</v>
      </c>
      <c r="C1117" s="8" t="n">
        <v>480</v>
      </c>
      <c r="D1117" s="8" t="n">
        <v>16012.02</v>
      </c>
      <c r="E1117" s="8" t="n">
        <v>480</v>
      </c>
      <c r="F1117" s="8" t="n">
        <v>14459.98</v>
      </c>
      <c r="G1117" s="7" t="n">
        <f aca="false">IFERROR(INDEX('TRANS'!$B:$B,MATCH($B1117,'TRANS'!$A:$A,0)),IFERROR(INDEX('TRANS'!$B:$B,MATCH(TRIM(SUBSTITUTE($B1117,CHAR(160)," ")),'TRANS'!$D:$D,0)),IFERROR(INDEX('Catalog'!$A:$A,MATCH($B1117,'Catalog'!$B:$B,0)),IFERROR(INDEX('Catalog'!$A:$A,MATCH(TRIM(SUBSTITUTE($B1117,CHAR(160)," ")),'Catalog'!$C:$C,0)),""))))</f>
        <v>4413329</v>
      </c>
      <c r="H1117" s="7" t="str">
        <f aca="false">IFERROR(INDEX('TRANS'!$C:$C,MATCH($B1117,'TRANS'!$A:$A,0)),IFERROR(INDEX('Catalog'!$B:$B,MATCH($G1117,'Catalog'!$A:$A,0)),$B1117))</f>
        <v>AC45X מגן ברך עם תמיכות</v>
      </c>
      <c r="I1117" s="7" t="str">
        <f aca="false">IF($G1117="","Unmatched","Matched")</f>
        <v>Matched</v>
      </c>
      <c r="J1117" s="7" t="n">
        <f aca="false">IF($G1117&lt;&gt;"",$G1117,$B1117)</f>
        <v>4413329</v>
      </c>
      <c r="K1117" s="7" t="str">
        <f aca="false">IF(COUNTIF($O$2:$O$16,$A1117)&gt;0,"Y","N")</f>
        <v>Y</v>
      </c>
    </row>
    <row r="1118" customFormat="false" ht="15" hidden="false" customHeight="false" outlineLevel="0" collapsed="false">
      <c r="A1118" s="7" t="s">
        <v>38</v>
      </c>
      <c r="B1118" s="7" t="s">
        <v>379</v>
      </c>
      <c r="C1118" s="8" t="n">
        <v>115</v>
      </c>
      <c r="D1118" s="8" t="n">
        <v>3675.09</v>
      </c>
      <c r="E1118" s="8" t="n">
        <v>75</v>
      </c>
      <c r="F1118" s="8" t="n">
        <v>2150.11</v>
      </c>
      <c r="G1118" s="7" t="n">
        <f aca="false">IFERROR(INDEX('TRANS'!$B:$B,MATCH($B1118,'TRANS'!$A:$A,0)),IFERROR(INDEX('TRANS'!$B:$B,MATCH(TRIM(SUBSTITUTE($B1118,CHAR(160)," ")),'TRANS'!$D:$D,0)),IFERROR(INDEX('Catalog'!$A:$A,MATCH($B1118,'Catalog'!$B:$B,0)),IFERROR(INDEX('Catalog'!$A:$A,MATCH(TRIM(SUBSTITUTE($B1118,CHAR(160)," ")),'Catalog'!$C:$C,0)),""))))</f>
        <v>4413453</v>
      </c>
      <c r="H1118" s="7" t="str">
        <f aca="false">IFERROR(INDEX('TRANS'!$C:$C,MATCH($B1118,'TRANS'!$A:$A,0)),IFERROR(INDEX('Catalog'!$B:$B,MATCH($G1118,'Catalog'!$A:$A,0)),$B1118))</f>
        <v>AC75 מישר כתפיים אקטיב</v>
      </c>
      <c r="I1118" s="7" t="str">
        <f aca="false">IF($G1118="","Unmatched","Matched")</f>
        <v>Matched</v>
      </c>
      <c r="J1118" s="7" t="n">
        <f aca="false">IF($G1118&lt;&gt;"",$G1118,$B1118)</f>
        <v>4413453</v>
      </c>
      <c r="K1118" s="7" t="str">
        <f aca="false">IF(COUNTIF($O$2:$O$16,$A1118)&gt;0,"Y","N")</f>
        <v>Y</v>
      </c>
    </row>
    <row r="1119" customFormat="false" ht="15" hidden="false" customHeight="false" outlineLevel="0" collapsed="false">
      <c r="A1119" s="7" t="s">
        <v>38</v>
      </c>
      <c r="B1119" s="7" t="s">
        <v>380</v>
      </c>
      <c r="C1119" s="8" t="n">
        <v>430</v>
      </c>
      <c r="D1119" s="8" t="n">
        <v>6711.58</v>
      </c>
      <c r="E1119" s="8" t="n">
        <v>380</v>
      </c>
      <c r="F1119" s="8" t="n">
        <v>5341.4</v>
      </c>
      <c r="G1119" s="7" t="n">
        <f aca="false">IFERROR(INDEX('TRANS'!$B:$B,MATCH($B1119,'TRANS'!$A:$A,0)),IFERROR(INDEX('TRANS'!$B:$B,MATCH(TRIM(SUBSTITUTE($B1119,CHAR(160)," ")),'TRANS'!$D:$D,0)),IFERROR(INDEX('Catalog'!$A:$A,MATCH($B1119,'Catalog'!$B:$B,0)),IFERROR(INDEX('Catalog'!$A:$A,MATCH(TRIM(SUBSTITUTE($B1119,CHAR(160)," ")),'Catalog'!$C:$C,0)),""))))</f>
        <v>4408208</v>
      </c>
      <c r="H1119" s="7" t="str">
        <f aca="false">IFERROR(INDEX('TRANS'!$C:$C,MATCH($B1119,'TRANS'!$A:$A,0)),IFERROR(INDEX('Catalog'!$B:$B,MATCH($G1119,'Catalog'!$A:$A,0)),$B1119))</f>
        <v>AC91 חבק טניס</v>
      </c>
      <c r="I1119" s="7" t="str">
        <f aca="false">IF($G1119="","Unmatched","Matched")</f>
        <v>Matched</v>
      </c>
      <c r="J1119" s="7" t="n">
        <f aca="false">IF($G1119&lt;&gt;"",$G1119,$B1119)</f>
        <v>4408208</v>
      </c>
      <c r="K1119" s="7" t="str">
        <f aca="false">IF(COUNTIF($O$2:$O$16,$A1119)&gt;0,"Y","N")</f>
        <v>Y</v>
      </c>
    </row>
    <row r="1120" customFormat="false" ht="15" hidden="false" customHeight="false" outlineLevel="0" collapsed="false">
      <c r="A1120" s="7" t="s">
        <v>38</v>
      </c>
      <c r="B1120" s="7" t="s">
        <v>405</v>
      </c>
      <c r="C1120" s="8" t="n">
        <v>185</v>
      </c>
      <c r="D1120" s="8" t="n">
        <v>2958.23</v>
      </c>
      <c r="E1120" s="8" t="n">
        <v>130</v>
      </c>
      <c r="F1120" s="8" t="n">
        <v>1884.69</v>
      </c>
      <c r="G1120" s="7" t="n">
        <f aca="false">IFERROR(INDEX('TRANS'!$B:$B,MATCH($B1120,'TRANS'!$A:$A,0)),IFERROR(INDEX('TRANS'!$B:$B,MATCH(TRIM(SUBSTITUTE($B1120,CHAR(160)," ")),'TRANS'!$D:$D,0)),IFERROR(INDEX('Catalog'!$A:$A,MATCH($B1120,'Catalog'!$B:$B,0)),IFERROR(INDEX('Catalog'!$A:$A,MATCH(TRIM(SUBSTITUTE($B1120,CHAR(160)," ")),'Catalog'!$C:$C,0)),""))))</f>
        <v>4413331</v>
      </c>
      <c r="H1120" s="7" t="str">
        <f aca="false">IFERROR(INDEX('TRANS'!$C:$C,MATCH($B1120,'TRANS'!$A:$A,0)),IFERROR(INDEX('Catalog'!$B:$B,MATCH($G1120,'Catalog'!$A:$A,0)),$B1120))</f>
        <v>AC95 מגן מרפק</v>
      </c>
      <c r="I1120" s="7" t="str">
        <f aca="false">IF($G1120="","Unmatched","Matched")</f>
        <v>Matched</v>
      </c>
      <c r="J1120" s="7" t="n">
        <f aca="false">IF($G1120&lt;&gt;"",$G1120,$B1120)</f>
        <v>4413331</v>
      </c>
      <c r="K1120" s="7" t="str">
        <f aca="false">IF(COUNTIF($O$2:$O$16,$A1120)&gt;0,"Y","N")</f>
        <v>Y</v>
      </c>
    </row>
    <row r="1121" customFormat="false" ht="15" hidden="false" customHeight="false" outlineLevel="0" collapsed="false">
      <c r="A1121" s="7" t="s">
        <v>38</v>
      </c>
      <c r="B1121" s="7" t="s">
        <v>381</v>
      </c>
      <c r="C1121" s="8" t="n">
        <v>190</v>
      </c>
      <c r="D1121" s="8" t="n">
        <v>2052.19</v>
      </c>
      <c r="E1121" s="8" t="n">
        <v>180</v>
      </c>
      <c r="F1121" s="8" t="n">
        <v>1767.58</v>
      </c>
      <c r="G1121" s="7" t="n">
        <f aca="false">IFERROR(INDEX('TRANS'!$B:$B,MATCH($B1121,'TRANS'!$A:$A,0)),IFERROR(INDEX('TRANS'!$B:$B,MATCH(TRIM(SUBSTITUTE($B1121,CHAR(160)," ")),'TRANS'!$D:$D,0)),IFERROR(INDEX('Catalog'!$A:$A,MATCH($B1121,'Catalog'!$B:$B,0)),IFERROR(INDEX('Catalog'!$A:$A,MATCH(TRIM(SUBSTITUTE($B1121,CHAR(160)," ")),'Catalog'!$C:$C,0)),""))))</f>
        <v>4413056</v>
      </c>
      <c r="H1121" s="7" t="str">
        <f aca="false">IFERROR(INDEX('TRANS'!$C:$C,MATCH($B1121,'TRANS'!$A:$A,0)),IFERROR(INDEX('Catalog'!$B:$B,MATCH($G1121,'Catalog'!$A:$A,0)),$B1121))</f>
        <v>LF360 מדרס מטטרזלי לנעלי עקב</v>
      </c>
      <c r="I1121" s="7" t="str">
        <f aca="false">IF($G1121="","Unmatched","Matched")</f>
        <v>Matched</v>
      </c>
      <c r="J1121" s="7" t="n">
        <f aca="false">IF($G1121&lt;&gt;"",$G1121,$B1121)</f>
        <v>4413056</v>
      </c>
      <c r="K1121" s="7" t="str">
        <f aca="false">IF(COUNTIF($O$2:$O$16,$A1121)&gt;0,"Y","N")</f>
        <v>Y</v>
      </c>
    </row>
    <row r="1122" customFormat="false" ht="15" hidden="false" customHeight="false" outlineLevel="0" collapsed="false">
      <c r="A1122" s="7" t="s">
        <v>38</v>
      </c>
      <c r="B1122" s="7" t="s">
        <v>382</v>
      </c>
      <c r="C1122" s="8" t="n">
        <v>40</v>
      </c>
      <c r="D1122" s="8" t="n">
        <v>245.41</v>
      </c>
      <c r="E1122" s="8" t="n">
        <v>90</v>
      </c>
      <c r="F1122" s="8" t="n">
        <v>519.51</v>
      </c>
      <c r="G1122" s="7" t="n">
        <f aca="false">IFERROR(INDEX('TRANS'!$B:$B,MATCH($B1122,'TRANS'!$A:$A,0)),IFERROR(INDEX('TRANS'!$B:$B,MATCH(TRIM(SUBSTITUTE($B1122,CHAR(160)," ")),'TRANS'!$D:$D,0)),IFERROR(INDEX('Catalog'!$A:$A,MATCH($B1122,'Catalog'!$B:$B,0)),IFERROR(INDEX('Catalog'!$A:$A,MATCH(TRIM(SUBSTITUTE($B1122,CHAR(160)," ")),'Catalog'!$C:$C,0)),""))))</f>
        <v>4420022</v>
      </c>
      <c r="H1122" s="7" t="str">
        <f aca="false">IFERROR(INDEX('TRANS'!$C:$C,MATCH($B1122,'TRANS'!$A:$A,0)),IFERROR(INDEX('Catalog'!$B:$B,MATCH($G1122,'Catalog'!$A:$A,0)),$B1122))</f>
        <v>LF370 ריפוד סיליקון לעקב אחורי</v>
      </c>
      <c r="I1122" s="7" t="str">
        <f aca="false">IF($G1122="","Unmatched","Matched")</f>
        <v>Matched</v>
      </c>
      <c r="J1122" s="7" t="n">
        <f aca="false">IF($G1122&lt;&gt;"",$G1122,$B1122)</f>
        <v>4420022</v>
      </c>
      <c r="K1122" s="7" t="str">
        <f aca="false">IF(COUNTIF($O$2:$O$16,$A1122)&gt;0,"Y","N")</f>
        <v>Y</v>
      </c>
    </row>
    <row r="1123" customFormat="false" ht="15" hidden="false" customHeight="false" outlineLevel="0" collapsed="false">
      <c r="A1123" s="7" t="s">
        <v>38</v>
      </c>
      <c r="B1123" s="7" t="s">
        <v>383</v>
      </c>
      <c r="C1123" s="8" t="n">
        <v>6</v>
      </c>
      <c r="D1123" s="8" t="n">
        <v>74.14</v>
      </c>
      <c r="E1123" s="8" t="n">
        <v>10</v>
      </c>
      <c r="F1123" s="8" t="n">
        <v>107.46</v>
      </c>
      <c r="G1123" s="7" t="n">
        <f aca="false">IFERROR(INDEX('TRANS'!$B:$B,MATCH($B1123,'TRANS'!$A:$A,0)),IFERROR(INDEX('TRANS'!$B:$B,MATCH(TRIM(SUBSTITUTE($B1123,CHAR(160)," ")),'TRANS'!$D:$D,0)),IFERROR(INDEX('Catalog'!$A:$A,MATCH($B1123,'Catalog'!$B:$B,0)),IFERROR(INDEX('Catalog'!$A:$A,MATCH(TRIM(SUBSTITUTE($B1123,CHAR(160)," ")),'Catalog'!$C:$C,0)),""))))</f>
        <v>4420023</v>
      </c>
      <c r="H1123" s="7" t="str">
        <f aca="false">IFERROR(INDEX('TRANS'!$C:$C,MATCH($B1123,'TRANS'!$A:$A,0)),IFERROR(INDEX('Catalog'!$B:$B,MATCH($G1123,'Catalog'!$A:$A,0)),$B1123))</f>
        <v>LF371 ריפוד סיליקון לנעלי אצבע</v>
      </c>
      <c r="I1123" s="7" t="str">
        <f aca="false">IF($G1123="","Unmatched","Matched")</f>
        <v>Matched</v>
      </c>
      <c r="J1123" s="7" t="n">
        <f aca="false">IF($G1123&lt;&gt;"",$G1123,$B1123)</f>
        <v>4420023</v>
      </c>
      <c r="K1123" s="7" t="str">
        <f aca="false">IF(COUNTIF($O$2:$O$16,$A1123)&gt;0,"Y","N")</f>
        <v>Y</v>
      </c>
    </row>
    <row r="1124" customFormat="false" ht="15" hidden="false" customHeight="false" outlineLevel="0" collapsed="false">
      <c r="A1124" s="7" t="s">
        <v>38</v>
      </c>
      <c r="B1124" s="7" t="s">
        <v>384</v>
      </c>
      <c r="C1124" s="8" t="n">
        <v>180</v>
      </c>
      <c r="D1124" s="8" t="n">
        <v>1646.79</v>
      </c>
      <c r="E1124" s="8" t="n">
        <v>145</v>
      </c>
      <c r="F1124" s="8" t="n">
        <v>1213.98</v>
      </c>
      <c r="G1124" s="7" t="n">
        <f aca="false">IFERROR(INDEX('TRANS'!$B:$B,MATCH($B1124,'TRANS'!$A:$A,0)),IFERROR(INDEX('TRANS'!$B:$B,MATCH(TRIM(SUBSTITUTE($B1124,CHAR(160)," ")),'TRANS'!$D:$D,0)),IFERROR(INDEX('Catalog'!$A:$A,MATCH($B1124,'Catalog'!$B:$B,0)),IFERROR(INDEX('Catalog'!$A:$A,MATCH(TRIM(SUBSTITUTE($B1124,CHAR(160)," ")),'Catalog'!$C:$C,0)),""))))</f>
        <v>4420024</v>
      </c>
      <c r="H1124" s="7" t="str">
        <f aca="false">IFERROR(INDEX('TRANS'!$C:$C,MATCH($B1124,'TRANS'!$A:$A,0)),IFERROR(INDEX('Catalog'!$B:$B,MATCH($G1124,'Catalog'!$A:$A,0)),$B1124))</f>
        <v>LFריפוד סיליק.לכרית כף הרגל373</v>
      </c>
      <c r="I1124" s="7" t="str">
        <f aca="false">IF($G1124="","Unmatched","Matched")</f>
        <v>Matched</v>
      </c>
      <c r="J1124" s="7" t="n">
        <f aca="false">IF($G1124&lt;&gt;"",$G1124,$B1124)</f>
        <v>4420024</v>
      </c>
      <c r="K1124" s="7" t="str">
        <f aca="false">IF(COUNTIF($O$2:$O$16,$A1124)&gt;0,"Y","N")</f>
        <v>Y</v>
      </c>
    </row>
    <row r="1125" customFormat="false" ht="15" hidden="false" customHeight="false" outlineLevel="0" collapsed="false">
      <c r="A1125" s="7" t="s">
        <v>38</v>
      </c>
      <c r="B1125" s="7" t="s">
        <v>385</v>
      </c>
      <c r="C1125" s="8" t="n">
        <v>41</v>
      </c>
      <c r="D1125" s="8" t="n">
        <v>430.3</v>
      </c>
      <c r="E1125" s="8" t="n">
        <v>30</v>
      </c>
      <c r="F1125" s="8" t="n">
        <v>289.19</v>
      </c>
      <c r="G1125" s="7" t="n">
        <f aca="false">IFERROR(INDEX('TRANS'!$B:$B,MATCH($B1125,'TRANS'!$A:$A,0)),IFERROR(INDEX('TRANS'!$B:$B,MATCH(TRIM(SUBSTITUTE($B1125,CHAR(160)," ")),'TRANS'!$D:$D,0)),IFERROR(INDEX('Catalog'!$A:$A,MATCH($B1125,'Catalog'!$B:$B,0)),IFERROR(INDEX('Catalog'!$A:$A,MATCH(TRIM(SUBSTITUTE($B1125,CHAR(160)," ")),'Catalog'!$C:$C,0)),""))))</f>
        <v>4420025</v>
      </c>
      <c r="H1125" s="7" t="str">
        <f aca="false">IFERROR(INDEX('TRANS'!$C:$C,MATCH($B1125,'TRANS'!$A:$A,0)),IFERROR(INDEX('Catalog'!$B:$B,MATCH($G1125,'Catalog'!$A:$A,0)),$B1125))</f>
        <v>LF374 ריפוד סיליק.לעקב תחתון</v>
      </c>
      <c r="I1125" s="7" t="str">
        <f aca="false">IF($G1125="","Unmatched","Matched")</f>
        <v>Matched</v>
      </c>
      <c r="J1125" s="7" t="n">
        <f aca="false">IF($G1125&lt;&gt;"",$G1125,$B1125)</f>
        <v>4420025</v>
      </c>
      <c r="K1125" s="7" t="str">
        <f aca="false">IF(COUNTIF($O$2:$O$16,$A1125)&gt;0,"Y","N")</f>
        <v>Y</v>
      </c>
    </row>
    <row r="1126" customFormat="false" ht="15" hidden="false" customHeight="false" outlineLevel="0" collapsed="false">
      <c r="A1126" s="7" t="s">
        <v>38</v>
      </c>
      <c r="B1126" s="7" t="s">
        <v>386</v>
      </c>
      <c r="C1126" s="8" t="n">
        <v>12</v>
      </c>
      <c r="D1126" s="8" t="n">
        <v>233.8</v>
      </c>
      <c r="E1126" s="8" t="n">
        <v>0</v>
      </c>
      <c r="F1126" s="8" t="n">
        <v>0</v>
      </c>
      <c r="G1126" s="7" t="n">
        <f aca="false">IFERROR(INDEX('TRANS'!$B:$B,MATCH($B1126,'TRANS'!$A:$A,0)),IFERROR(INDEX('TRANS'!$B:$B,MATCH(TRIM(SUBSTITUTE($B1126,CHAR(160)," ")),'TRANS'!$D:$D,0)),IFERROR(INDEX('Catalog'!$A:$A,MATCH($B1126,'Catalog'!$B:$B,0)),IFERROR(INDEX('Catalog'!$A:$A,MATCH(TRIM(SUBSTITUTE($B1126,CHAR(160)," ")),'Catalog'!$C:$C,0)),""))))</f>
        <v>4413276</v>
      </c>
      <c r="H1126" s="7" t="str">
        <f aca="false">IFERROR(INDEX('TRANS'!$C:$C,MATCH($B1126,'TRANS'!$A:$A,0)),IFERROR(INDEX('Catalog'!$B:$B,MATCH($G1126,'Catalog'!$A:$A,0)),$B1126))</f>
        <v>LF377 L-מדרס סיליקון לנעלי עקב</v>
      </c>
      <c r="I1126" s="7" t="str">
        <f aca="false">IF($G1126="","Unmatched","Matched")</f>
        <v>Matched</v>
      </c>
      <c r="J1126" s="7" t="n">
        <f aca="false">IF($G1126&lt;&gt;"",$G1126,$B1126)</f>
        <v>4413276</v>
      </c>
      <c r="K1126" s="7" t="str">
        <f aca="false">IF(COUNTIF($O$2:$O$16,$A1126)&gt;0,"Y","N")</f>
        <v>Y</v>
      </c>
    </row>
    <row r="1127" customFormat="false" ht="15" hidden="false" customHeight="false" outlineLevel="0" collapsed="false">
      <c r="A1127" s="7" t="s">
        <v>38</v>
      </c>
      <c r="B1127" s="7" t="s">
        <v>387</v>
      </c>
      <c r="C1127" s="8" t="n">
        <v>6</v>
      </c>
      <c r="D1127" s="8" t="n">
        <v>108.86</v>
      </c>
      <c r="E1127" s="8" t="n">
        <v>26</v>
      </c>
      <c r="F1127" s="8" t="n">
        <v>437.93</v>
      </c>
      <c r="G1127" s="7" t="n">
        <f aca="false">IFERROR(INDEX('TRANS'!$B:$B,MATCH($B1127,'TRANS'!$A:$A,0)),IFERROR(INDEX('TRANS'!$B:$B,MATCH(TRIM(SUBSTITUTE($B1127,CHAR(160)," ")),'TRANS'!$D:$D,0)),IFERROR(INDEX('Catalog'!$A:$A,MATCH($B1127,'Catalog'!$B:$B,0)),IFERROR(INDEX('Catalog'!$A:$A,MATCH(TRIM(SUBSTITUTE($B1127,CHAR(160)," ")),'Catalog'!$C:$C,0)),""))))</f>
        <v>4413277</v>
      </c>
      <c r="H1127" s="7" t="str">
        <f aca="false">IFERROR(INDEX('TRANS'!$C:$C,MATCH($B1127,'TRANS'!$A:$A,0)),IFERROR(INDEX('Catalog'!$B:$B,MATCH($G1127,'Catalog'!$A:$A,0)),$B1127))</f>
        <v>LF377 M-מדרס סיליקון לנעלי עקב</v>
      </c>
      <c r="I1127" s="7" t="str">
        <f aca="false">IF($G1127="","Unmatched","Matched")</f>
        <v>Matched</v>
      </c>
      <c r="J1127" s="7" t="n">
        <f aca="false">IF($G1127&lt;&gt;"",$G1127,$B1127)</f>
        <v>4413277</v>
      </c>
      <c r="K1127" s="7" t="str">
        <f aca="false">IF(COUNTIF($O$2:$O$16,$A1127)&gt;0,"Y","N")</f>
        <v>Y</v>
      </c>
    </row>
    <row r="1128" customFormat="false" ht="15" hidden="false" customHeight="false" outlineLevel="0" collapsed="false">
      <c r="A1128" s="7" t="s">
        <v>38</v>
      </c>
      <c r="B1128" s="7" t="s">
        <v>388</v>
      </c>
      <c r="C1128" s="8" t="n">
        <v>0</v>
      </c>
      <c r="D1128" s="8" t="n">
        <v>0</v>
      </c>
      <c r="E1128" s="8" t="n">
        <v>6</v>
      </c>
      <c r="F1128" s="8" t="n">
        <v>99.48</v>
      </c>
      <c r="G1128" s="7" t="n">
        <f aca="false">IFERROR(INDEX('TRANS'!$B:$B,MATCH($B1128,'TRANS'!$A:$A,0)),IFERROR(INDEX('TRANS'!$B:$B,MATCH(TRIM(SUBSTITUTE($B1128,CHAR(160)," ")),'TRANS'!$D:$D,0)),IFERROR(INDEX('Catalog'!$A:$A,MATCH($B1128,'Catalog'!$B:$B,0)),IFERROR(INDEX('Catalog'!$A:$A,MATCH(TRIM(SUBSTITUTE($B1128,CHAR(160)," ")),'Catalog'!$C:$C,0)),""))))</f>
        <v>4413278</v>
      </c>
      <c r="H1128" s="7" t="str">
        <f aca="false">IFERROR(INDEX('TRANS'!$C:$C,MATCH($B1128,'TRANS'!$A:$A,0)),IFERROR(INDEX('Catalog'!$B:$B,MATCH($G1128,'Catalog'!$A:$A,0)),$B1128))</f>
        <v>LF377 S-מדרס סיליקון לנעלי עקב</v>
      </c>
      <c r="I1128" s="7" t="str">
        <f aca="false">IF($G1128="","Unmatched","Matched")</f>
        <v>Matched</v>
      </c>
      <c r="J1128" s="7" t="n">
        <f aca="false">IF($G1128&lt;&gt;"",$G1128,$B1128)</f>
        <v>4413278</v>
      </c>
      <c r="K1128" s="7" t="str">
        <f aca="false">IF(COUNTIF($O$2:$O$16,$A1128)&gt;0,"Y","N")</f>
        <v>Y</v>
      </c>
    </row>
    <row r="1129" customFormat="false" ht="15" hidden="false" customHeight="false" outlineLevel="0" collapsed="false">
      <c r="A1129" s="7" t="s">
        <v>38</v>
      </c>
      <c r="B1129" s="7" t="s">
        <v>507</v>
      </c>
      <c r="C1129" s="8" t="n">
        <v>0</v>
      </c>
      <c r="D1129" s="8" t="n">
        <v>0</v>
      </c>
      <c r="E1129" s="8" t="n">
        <v>1</v>
      </c>
      <c r="F1129" s="8" t="n">
        <v>0.03</v>
      </c>
      <c r="G1129" s="7" t="n">
        <f aca="false">IFERROR(INDEX('TRANS'!$B:$B,MATCH($B1129,'TRANS'!$A:$A,0)),IFERROR(INDEX('TRANS'!$B:$B,MATCH(TRIM(SUBSTITUTE($B1129,CHAR(160)," ")),'TRANS'!$D:$D,0)),IFERROR(INDEX('Catalog'!$A:$A,MATCH($B1129,'Catalog'!$B:$B,0)),IFERROR(INDEX('Catalog'!$A:$A,MATCH(TRIM(SUBSTITUTE($B1129,CHAR(160)," ")),'Catalog'!$C:$C,0)),""))))</f>
        <v>4413534</v>
      </c>
      <c r="H1129" s="7" t="str">
        <f aca="false">IFERROR(INDEX('TRANS'!$C:$C,MATCH($B1129,'TRANS'!$A:$A,0)),IFERROR(INDEX('Catalog'!$B:$B,MATCH($G1129,'Catalog'!$A:$A,0)),$B1129))</f>
        <v>SH333 מקבע קרסול</v>
      </c>
      <c r="I1129" s="7" t="str">
        <f aca="false">IF($G1129="","Unmatched","Matched")</f>
        <v>Matched</v>
      </c>
      <c r="J1129" s="7" t="n">
        <f aca="false">IF($G1129&lt;&gt;"",$G1129,$B1129)</f>
        <v>4413534</v>
      </c>
      <c r="K1129" s="7" t="str">
        <f aca="false">IF(COUNTIF($O$2:$O$16,$A1129)&gt;0,"Y","N")</f>
        <v>Y</v>
      </c>
    </row>
    <row r="1130" customFormat="false" ht="15" hidden="false" customHeight="false" outlineLevel="0" collapsed="false">
      <c r="A1130" s="7" t="s">
        <v>38</v>
      </c>
      <c r="B1130" s="7" t="s">
        <v>510</v>
      </c>
      <c r="C1130" s="8" t="n">
        <v>0</v>
      </c>
      <c r="D1130" s="8" t="n">
        <v>0</v>
      </c>
      <c r="E1130" s="8" t="n">
        <v>1</v>
      </c>
      <c r="F1130" s="8" t="n">
        <v>0.03</v>
      </c>
      <c r="G1130" s="7" t="n">
        <f aca="false">IFERROR(INDEX('TRANS'!$B:$B,MATCH($B1130,'TRANS'!$A:$A,0)),IFERROR(INDEX('TRANS'!$B:$B,MATCH(TRIM(SUBSTITUTE($B1130,CHAR(160)," ")),'TRANS'!$D:$D,0)),IFERROR(INDEX('Catalog'!$A:$A,MATCH($B1130,'Catalog'!$B:$B,0)),IFERROR(INDEX('Catalog'!$A:$A,MATCH(TRIM(SUBSTITUTE($B1130,CHAR(160)," ")),'Catalog'!$C:$C,0)),""))))</f>
        <v>4422039</v>
      </c>
      <c r="H1130" s="7" t="str">
        <f aca="false">IFERROR(INDEX('TRANS'!$C:$C,MATCH($B1130,'TRANS'!$A:$A,0)),IFERROR(INDEX('Catalog'!$B:$B,MATCH($G1130,'Catalog'!$A:$A,0)),$B1130))</f>
        <v>SH422 3 תומך ברך גנושילד</v>
      </c>
      <c r="I1130" s="7" t="str">
        <f aca="false">IF($G1130="","Unmatched","Matched")</f>
        <v>Matched</v>
      </c>
      <c r="J1130" s="7" t="n">
        <f aca="false">IF($G1130&lt;&gt;"",$G1130,$B1130)</f>
        <v>4422039</v>
      </c>
      <c r="K1130" s="7" t="str">
        <f aca="false">IF(COUNTIF($O$2:$O$16,$A1130)&gt;0,"Y","N")</f>
        <v>Y</v>
      </c>
    </row>
    <row r="1131" customFormat="false" ht="15" hidden="false" customHeight="false" outlineLevel="0" collapsed="false">
      <c r="A1131" s="7" t="s">
        <v>38</v>
      </c>
      <c r="B1131" s="7" t="s">
        <v>513</v>
      </c>
      <c r="C1131" s="8" t="n">
        <v>13</v>
      </c>
      <c r="D1131" s="8" t="n">
        <v>335.39</v>
      </c>
      <c r="E1131" s="8" t="n">
        <v>0</v>
      </c>
      <c r="F1131" s="8" t="n">
        <v>0</v>
      </c>
      <c r="G1131" s="7" t="n">
        <f aca="false">IFERROR(INDEX('TRANS'!$B:$B,MATCH($B1131,'TRANS'!$A:$A,0)),IFERROR(INDEX('TRANS'!$B:$B,MATCH(TRIM(SUBSTITUTE($B1131,CHAR(160)," ")),'TRANS'!$D:$D,0)),IFERROR(INDEX('Catalog'!$A:$A,MATCH($B1131,'Catalog'!$B:$B,0)),IFERROR(INDEX('Catalog'!$A:$A,MATCH(TRIM(SUBSTITUTE($B1131,CHAR(160)," ")),'Catalog'!$C:$C,0)),""))))</f>
        <v>4408270</v>
      </c>
      <c r="H1131" s="7" t="str">
        <f aca="false">IFERROR(INDEX('TRANS'!$C:$C,MATCH($B1131,'TRANS'!$A:$A,0)),IFERROR(INDEX('Catalog'!$B:$B,MATCH($G1131,'Catalog'!$A:$A,0)),$B1131))</f>
        <v>ST11  חגורת בטן</v>
      </c>
      <c r="I1131" s="7" t="str">
        <f aca="false">IF($G1131="","Unmatched","Matched")</f>
        <v>Matched</v>
      </c>
      <c r="J1131" s="7" t="n">
        <f aca="false">IF($G1131&lt;&gt;"",$G1131,$B1131)</f>
        <v>4408270</v>
      </c>
      <c r="K1131" s="7" t="str">
        <f aca="false">IF(COUNTIF($O$2:$O$16,$A1131)&gt;0,"Y","N")</f>
        <v>Y</v>
      </c>
    </row>
    <row r="1132" customFormat="false" ht="15" hidden="false" customHeight="false" outlineLevel="0" collapsed="false">
      <c r="A1132" s="7" t="s">
        <v>38</v>
      </c>
      <c r="B1132" s="7" t="s">
        <v>626</v>
      </c>
      <c r="C1132" s="8" t="n">
        <v>390</v>
      </c>
      <c r="D1132" s="8" t="n">
        <v>4106.96</v>
      </c>
      <c r="E1132" s="8" t="n">
        <v>410</v>
      </c>
      <c r="F1132" s="8" t="n">
        <v>3846.71</v>
      </c>
      <c r="G1132" s="7" t="n">
        <f aca="false">IFERROR(INDEX('TRANS'!$B:$B,MATCH($B1132,'TRANS'!$A:$A,0)),IFERROR(INDEX('TRANS'!$B:$B,MATCH(TRIM(SUBSTITUTE($B1132,CHAR(160)," ")),'TRANS'!$D:$D,0)),IFERROR(INDEX('Catalog'!$A:$A,MATCH($B1132,'Catalog'!$B:$B,0)),IFERROR(INDEX('Catalog'!$A:$A,MATCH(TRIM(SUBSTITUTE($B1132,CHAR(160)," ")),'Catalog'!$C:$C,0)),""))))</f>
        <v>4408268</v>
      </c>
      <c r="H1132" s="7" t="str">
        <f aca="false">IFERROR(INDEX('TRANS'!$C:$C,MATCH($B1132,'TRANS'!$A:$A,0)),IFERROR(INDEX('Catalog'!$B:$B,MATCH($G1132,'Catalog'!$A:$A,0)),$B1132))</f>
        <v>ST20 חבק יד</v>
      </c>
      <c r="I1132" s="7" t="str">
        <f aca="false">IF($G1132="","Unmatched","Matched")</f>
        <v>Matched</v>
      </c>
      <c r="J1132" s="7" t="n">
        <f aca="false">IF($G1132&lt;&gt;"",$G1132,$B1132)</f>
        <v>4408268</v>
      </c>
      <c r="K1132" s="7" t="str">
        <f aca="false">IF(COUNTIF($O$2:$O$16,$A1132)&gt;0,"Y","N")</f>
        <v>Y</v>
      </c>
    </row>
    <row r="1133" customFormat="false" ht="15" hidden="false" customHeight="false" outlineLevel="0" collapsed="false">
      <c r="A1133" s="7" t="s">
        <v>38</v>
      </c>
      <c r="B1133" s="7" t="s">
        <v>514</v>
      </c>
      <c r="C1133" s="8" t="n">
        <v>27</v>
      </c>
      <c r="D1133" s="8" t="n">
        <v>359.77</v>
      </c>
      <c r="E1133" s="8" t="n">
        <v>15</v>
      </c>
      <c r="F1133" s="8" t="n">
        <v>180.31</v>
      </c>
      <c r="G1133" s="7" t="n">
        <f aca="false">IFERROR(INDEX('TRANS'!$B:$B,MATCH($B1133,'TRANS'!$A:$A,0)),IFERROR(INDEX('TRANS'!$B:$B,MATCH(TRIM(SUBSTITUTE($B1133,CHAR(160)," ")),'TRANS'!$D:$D,0)),IFERROR(INDEX('Catalog'!$A:$A,MATCH($B1133,'Catalog'!$B:$B,0)),IFERROR(INDEX('Catalog'!$A:$A,MATCH(TRIM(SUBSTITUTE($B1133,CHAR(160)," ")),'Catalog'!$C:$C,0)),""))))</f>
        <v>4408267</v>
      </c>
      <c r="H1133" s="7" t="str">
        <f aca="false">IFERROR(INDEX('TRANS'!$C:$C,MATCH($B1133,'TRANS'!$A:$A,0)),IFERROR(INDEX('Catalog'!$B:$B,MATCH($G1133,'Catalog'!$A:$A,0)),$B1133))</f>
        <v>ST25 חבק שורש לכף היד</v>
      </c>
      <c r="I1133" s="7" t="str">
        <f aca="false">IF($G1133="","Unmatched","Matched")</f>
        <v>Matched</v>
      </c>
      <c r="J1133" s="7" t="n">
        <f aca="false">IF($G1133&lt;&gt;"",$G1133,$B1133)</f>
        <v>4408267</v>
      </c>
      <c r="K1133" s="7" t="str">
        <f aca="false">IF(COUNTIF($O$2:$O$16,$A1133)&gt;0,"Y","N")</f>
        <v>Y</v>
      </c>
    </row>
    <row r="1134" customFormat="false" ht="15" hidden="false" customHeight="false" outlineLevel="0" collapsed="false">
      <c r="A1134" s="7" t="s">
        <v>38</v>
      </c>
      <c r="B1134" s="7" t="s">
        <v>59</v>
      </c>
      <c r="C1134" s="8" t="n">
        <v>3</v>
      </c>
      <c r="D1134" s="8" t="n">
        <v>51.57</v>
      </c>
      <c r="E1134" s="8" t="n">
        <v>0</v>
      </c>
      <c r="F1134" s="8" t="n">
        <v>0</v>
      </c>
      <c r="G1134" s="7" t="str">
        <f aca="false">IFERROR(INDEX('TRANS'!$B:$B,MATCH($B1134,'TRANS'!$A:$A,0)),IFERROR(INDEX('TRANS'!$B:$B,MATCH(TRIM(SUBSTITUTE($B1134,CHAR(160)," ")),'TRANS'!$D:$D,0)),IFERROR(INDEX('Catalog'!$A:$A,MATCH($B1134,'Catalog'!$B:$B,0)),IFERROR(INDEX('Catalog'!$A:$A,MATCH(TRIM(SUBSTITUTE($B1134,CHAR(160)," ")),'Catalog'!$C:$C,0)),""))))</f>
        <v/>
      </c>
      <c r="H1134" s="7" t="str">
        <f aca="false">IFERROR(INDEX('TRANS'!$C:$C,MATCH($B1134,'TRANS'!$A:$A,0)),IFERROR(INDEX('Catalog'!$B:$B,MATCH($G1134,'Catalog'!$A:$A,0)),$B1134))</f>
        <v>ST45X 0</v>
      </c>
      <c r="I1134" s="7" t="str">
        <f aca="false">IF($G1134="","Unmatched","Matched")</f>
        <v>Unmatched</v>
      </c>
      <c r="J1134" s="7" t="str">
        <f aca="false">IF($G1134&lt;&gt;"",$G1134,$B1134)</f>
        <v>ST45X 0</v>
      </c>
      <c r="K1134" s="7" t="str">
        <f aca="false">IF(COUNTIF($O$2:$O$16,$A1134)&gt;0,"Y","N")</f>
        <v>Y</v>
      </c>
    </row>
    <row r="1135" customFormat="false" ht="15" hidden="false" customHeight="false" outlineLevel="0" collapsed="false">
      <c r="A1135" s="7" t="s">
        <v>38</v>
      </c>
      <c r="B1135" s="7" t="s">
        <v>517</v>
      </c>
      <c r="C1135" s="8" t="n">
        <v>28</v>
      </c>
      <c r="D1135" s="8" t="n">
        <v>454.61</v>
      </c>
      <c r="E1135" s="8" t="n">
        <v>22</v>
      </c>
      <c r="F1135" s="8" t="n">
        <v>322.96</v>
      </c>
      <c r="G1135" s="7" t="n">
        <f aca="false">IFERROR(INDEX('TRANS'!$B:$B,MATCH($B1135,'TRANS'!$A:$A,0)),IFERROR(INDEX('TRANS'!$B:$B,MATCH(TRIM(SUBSTITUTE($B1135,CHAR(160)," ")),'TRANS'!$D:$D,0)),IFERROR(INDEX('Catalog'!$A:$A,MATCH($B1135,'Catalog'!$B:$B,0)),IFERROR(INDEX('Catalog'!$A:$A,MATCH(TRIM(SUBSTITUTE($B1135,CHAR(160)," ")),'Catalog'!$C:$C,0)),""))))</f>
        <v>4413533</v>
      </c>
      <c r="H1135" s="7" t="str">
        <f aca="false">IFERROR(INDEX('TRANS'!$C:$C,MATCH($B1135,'TRANS'!$A:$A,0)),IFERROR(INDEX('Catalog'!$B:$B,MATCH($G1135,'Catalog'!$A:$A,0)),$B1135))</f>
        <v>ST49 מגן ירך</v>
      </c>
      <c r="I1135" s="7" t="str">
        <f aca="false">IF($G1135="","Unmatched","Matched")</f>
        <v>Matched</v>
      </c>
      <c r="J1135" s="7" t="n">
        <f aca="false">IF($G1135&lt;&gt;"",$G1135,$B1135)</f>
        <v>4413533</v>
      </c>
      <c r="K1135" s="7" t="str">
        <f aca="false">IF(COUNTIF($O$2:$O$16,$A1135)&gt;0,"Y","N")</f>
        <v>Y</v>
      </c>
    </row>
    <row r="1136" customFormat="false" ht="15" hidden="false" customHeight="false" outlineLevel="0" collapsed="false">
      <c r="A1136" s="7" t="s">
        <v>38</v>
      </c>
      <c r="B1136" s="7" t="s">
        <v>71</v>
      </c>
      <c r="C1136" s="8" t="n">
        <v>2</v>
      </c>
      <c r="D1136" s="8" t="n">
        <v>35.61</v>
      </c>
      <c r="E1136" s="8" t="n">
        <v>0</v>
      </c>
      <c r="F1136" s="8" t="n">
        <v>0</v>
      </c>
      <c r="G1136" s="7" t="str">
        <f aca="false">IFERROR(INDEX('TRANS'!$B:$B,MATCH($B1136,'TRANS'!$A:$A,0)),IFERROR(INDEX('TRANS'!$B:$B,MATCH(TRIM(SUBSTITUTE($B1136,CHAR(160)," ")),'TRANS'!$D:$D,0)),IFERROR(INDEX('Catalog'!$A:$A,MATCH($B1136,'Catalog'!$B:$B,0)),IFERROR(INDEX('Catalog'!$A:$A,MATCH(TRIM(SUBSTITUTE($B1136,CHAR(160)," ")),'Catalog'!$C:$C,0)),""))))</f>
        <v/>
      </c>
      <c r="H1136" s="7" t="str">
        <f aca="false">IFERROR(INDEX('TRANS'!$C:$C,MATCH($B1136,'TRANS'!$A:$A,0)),IFERROR(INDEX('Catalog'!$B:$B,MATCH($G1136,'Catalog'!$A:$A,0)),$B1136))</f>
        <v>ST95 0</v>
      </c>
      <c r="I1136" s="7" t="str">
        <f aca="false">IF($G1136="","Unmatched","Matched")</f>
        <v>Unmatched</v>
      </c>
      <c r="J1136" s="7" t="str">
        <f aca="false">IF($G1136&lt;&gt;"",$G1136,$B1136)</f>
        <v>ST95 0</v>
      </c>
      <c r="K1136" s="7" t="str">
        <f aca="false">IF(COUNTIF($O$2:$O$16,$A1136)&gt;0,"Y","N")</f>
        <v>Y</v>
      </c>
    </row>
    <row r="1137" customFormat="false" ht="15" hidden="false" customHeight="false" outlineLevel="0" collapsed="false">
      <c r="A1137" s="7" t="s">
        <v>38</v>
      </c>
      <c r="B1137" s="7" t="s">
        <v>390</v>
      </c>
      <c r="C1137" s="8" t="n">
        <v>40</v>
      </c>
      <c r="D1137" s="8" t="n">
        <v>676.67</v>
      </c>
      <c r="E1137" s="8" t="n">
        <v>80</v>
      </c>
      <c r="F1137" s="8" t="n">
        <v>1214.63</v>
      </c>
      <c r="G1137" s="7" t="n">
        <f aca="false">IFERROR(INDEX('TRANS'!$B:$B,MATCH($B1137,'TRANS'!$A:$A,0)),IFERROR(INDEX('TRANS'!$B:$B,MATCH(TRIM(SUBSTITUTE($B1137,CHAR(160)," ")),'TRANS'!$D:$D,0)),IFERROR(INDEX('Catalog'!$A:$A,MATCH($B1137,'Catalog'!$B:$B,0)),IFERROR(INDEX('Catalog'!$A:$A,MATCH(TRIM(SUBSTITUTE($B1137,CHAR(160)," ")),'Catalog'!$C:$C,0)),""))))</f>
        <v>4408098</v>
      </c>
      <c r="H1137" s="7" t="str">
        <f aca="false">IFERROR(INDEX('TRANS'!$C:$C,MATCH($B1137,'TRANS'!$A:$A,0)),IFERROR(INDEX('Catalog'!$B:$B,MATCH($G1137,'Catalog'!$A:$A,0)),$B1137))</f>
        <v>T25-חבק יד אגודלי</v>
      </c>
      <c r="I1137" s="7" t="str">
        <f aca="false">IF($G1137="","Unmatched","Matched")</f>
        <v>Matched</v>
      </c>
      <c r="J1137" s="7" t="n">
        <f aca="false">IF($G1137&lt;&gt;"",$G1137,$B1137)</f>
        <v>4408098</v>
      </c>
      <c r="K1137" s="7" t="str">
        <f aca="false">IF(COUNTIF($O$2:$O$16,$A1137)&gt;0,"Y","N")</f>
        <v>Y</v>
      </c>
    </row>
    <row r="1138" customFormat="false" ht="15" hidden="false" customHeight="false" outlineLevel="0" collapsed="false">
      <c r="A1138" s="7" t="s">
        <v>38</v>
      </c>
      <c r="B1138" s="7" t="s">
        <v>118</v>
      </c>
      <c r="C1138" s="8" t="n">
        <v>0</v>
      </c>
      <c r="D1138" s="8" t="n">
        <v>0</v>
      </c>
      <c r="E1138" s="8" t="n">
        <v>1</v>
      </c>
      <c r="F1138" s="8" t="n">
        <v>0.03</v>
      </c>
      <c r="G1138" s="7" t="str">
        <f aca="false">IFERROR(INDEX('TRANS'!$B:$B,MATCH($B1138,'TRANS'!$A:$A,0)),IFERROR(INDEX('TRANS'!$B:$B,MATCH(TRIM(SUBSTITUTE($B1138,CHAR(160)," ")),'TRANS'!$D:$D,0)),IFERROR(INDEX('Catalog'!$A:$A,MATCH($B1138,'Catalog'!$B:$B,0)),IFERROR(INDEX('Catalog'!$A:$A,MATCH(TRIM(SUBSTITUTE($B1138,CHAR(160)," ")),'Catalog'!$C:$C,0)),""))))</f>
        <v/>
      </c>
      <c r="H1138" s="7" t="str">
        <f aca="false">IFERROR(INDEX('TRANS'!$C:$C,MATCH($B1138,'TRANS'!$A:$A,0)),IFERROR(INDEX('Catalog'!$B:$B,MATCH($G1138,'Catalog'!$A:$A,0)),$B1138))</f>
        <v>T40B 0</v>
      </c>
      <c r="I1138" s="7" t="str">
        <f aca="false">IF($G1138="","Unmatched","Matched")</f>
        <v>Unmatched</v>
      </c>
      <c r="J1138" s="7" t="str">
        <f aca="false">IF($G1138&lt;&gt;"",$G1138,$B1138)</f>
        <v>T40B 0</v>
      </c>
      <c r="K1138" s="7" t="str">
        <f aca="false">IF(COUNTIF($O$2:$O$16,$A1138)&gt;0,"Y","N")</f>
        <v>Y</v>
      </c>
    </row>
    <row r="1139" customFormat="false" ht="15" hidden="false" customHeight="false" outlineLevel="0" collapsed="false">
      <c r="A1139" s="7" t="s">
        <v>39</v>
      </c>
      <c r="B1139" s="7" t="s">
        <v>421</v>
      </c>
      <c r="C1139" s="8" t="n">
        <v>5</v>
      </c>
      <c r="D1139" s="8" t="n">
        <v>222.25</v>
      </c>
      <c r="E1139" s="8" t="n">
        <v>5</v>
      </c>
      <c r="F1139" s="8" t="n">
        <v>206.74</v>
      </c>
      <c r="G1139" s="7" t="n">
        <f aca="false">IFERROR(INDEX('TRANS'!$B:$B,MATCH($B1139,'TRANS'!$A:$A,0)),IFERROR(INDEX('TRANS'!$B:$B,MATCH(TRIM(SUBSTITUTE($B1139,CHAR(160)," ")),'TRANS'!$D:$D,0)),IFERROR(INDEX('Catalog'!$A:$A,MATCH($B1139,'Catalog'!$B:$B,0)),IFERROR(INDEX('Catalog'!$A:$A,MATCH(TRIM(SUBSTITUTE($B1139,CHAR(160)," ")),'Catalog'!$C:$C,0)),""))))</f>
        <v>4411026</v>
      </c>
      <c r="H1139" s="7" t="str">
        <f aca="false">IFERROR(INDEX('TRANS'!$C:$C,MATCH($B1139,'TRANS'!$A:$A,0)),IFERROR(INDEX('Catalog'!$B:$B,MATCH($G1139,'Catalog'!$A:$A,0)),$B1139))</f>
        <v>213CTSL L שמאל CTS כפפות</v>
      </c>
      <c r="I1139" s="7" t="str">
        <f aca="false">IF($G1139="","Unmatched","Matched")</f>
        <v>Matched</v>
      </c>
      <c r="J1139" s="7" t="n">
        <f aca="false">IF($G1139&lt;&gt;"",$G1139,$B1139)</f>
        <v>4411026</v>
      </c>
      <c r="K1139" s="7" t="str">
        <f aca="false">IF(COUNTIF($O$2:$O$16,$A1139)&gt;0,"Y","N")</f>
        <v>Y</v>
      </c>
    </row>
    <row r="1140" customFormat="false" ht="15" hidden="false" customHeight="false" outlineLevel="0" collapsed="false">
      <c r="A1140" s="7" t="s">
        <v>39</v>
      </c>
      <c r="B1140" s="7" t="s">
        <v>422</v>
      </c>
      <c r="C1140" s="8" t="n">
        <v>10</v>
      </c>
      <c r="D1140" s="8" t="n">
        <v>444.5</v>
      </c>
      <c r="E1140" s="8" t="n">
        <v>2</v>
      </c>
      <c r="F1140" s="8" t="n">
        <v>82.7</v>
      </c>
      <c r="G1140" s="7" t="n">
        <f aca="false">IFERROR(INDEX('TRANS'!$B:$B,MATCH($B1140,'TRANS'!$A:$A,0)),IFERROR(INDEX('TRANS'!$B:$B,MATCH(TRIM(SUBSTITUTE($B1140,CHAR(160)," ")),'TRANS'!$D:$D,0)),IFERROR(INDEX('Catalog'!$A:$A,MATCH($B1140,'Catalog'!$B:$B,0)),IFERROR(INDEX('Catalog'!$A:$A,MATCH(TRIM(SUBSTITUTE($B1140,CHAR(160)," ")),'Catalog'!$C:$C,0)),""))))</f>
        <v>4411027</v>
      </c>
      <c r="H1140" s="7" t="str">
        <f aca="false">IFERROR(INDEX('TRANS'!$C:$C,MATCH($B1140,'TRANS'!$A:$A,0)),IFERROR(INDEX('Catalog'!$B:$B,MATCH($G1140,'Catalog'!$A:$A,0)),$B1140))</f>
        <v>213CTSL M שמאל CTS כפפות</v>
      </c>
      <c r="I1140" s="7" t="str">
        <f aca="false">IF($G1140="","Unmatched","Matched")</f>
        <v>Matched</v>
      </c>
      <c r="J1140" s="7" t="n">
        <f aca="false">IF($G1140&lt;&gt;"",$G1140,$B1140)</f>
        <v>4411027</v>
      </c>
      <c r="K1140" s="7" t="str">
        <f aca="false">IF(COUNTIF($O$2:$O$16,$A1140)&gt;0,"Y","N")</f>
        <v>Y</v>
      </c>
    </row>
    <row r="1141" customFormat="false" ht="15" hidden="false" customHeight="false" outlineLevel="0" collapsed="false">
      <c r="A1141" s="7" t="s">
        <v>39</v>
      </c>
      <c r="B1141" s="7" t="s">
        <v>423</v>
      </c>
      <c r="C1141" s="8" t="n">
        <v>10</v>
      </c>
      <c r="D1141" s="8" t="n">
        <v>444.5</v>
      </c>
      <c r="E1141" s="8" t="n">
        <v>0</v>
      </c>
      <c r="F1141" s="8" t="n">
        <v>0</v>
      </c>
      <c r="G1141" s="7" t="n">
        <f aca="false">IFERROR(INDEX('TRANS'!$B:$B,MATCH($B1141,'TRANS'!$A:$A,0)),IFERROR(INDEX('TRANS'!$B:$B,MATCH(TRIM(SUBSTITUTE($B1141,CHAR(160)," ")),'TRANS'!$D:$D,0)),IFERROR(INDEX('Catalog'!$A:$A,MATCH($B1141,'Catalog'!$B:$B,0)),IFERROR(INDEX('Catalog'!$A:$A,MATCH(TRIM(SUBSTITUTE($B1141,CHAR(160)," ")),'Catalog'!$C:$C,0)),""))))</f>
        <v>4411028</v>
      </c>
      <c r="H1141" s="7" t="str">
        <f aca="false">IFERROR(INDEX('TRANS'!$C:$C,MATCH($B1141,'TRANS'!$A:$A,0)),IFERROR(INDEX('Catalog'!$B:$B,MATCH($G1141,'Catalog'!$A:$A,0)),$B1141))</f>
        <v>213CTSL S שמאל CTS כפפות</v>
      </c>
      <c r="I1141" s="7" t="str">
        <f aca="false">IF($G1141="","Unmatched","Matched")</f>
        <v>Matched</v>
      </c>
      <c r="J1141" s="7" t="n">
        <f aca="false">IF($G1141&lt;&gt;"",$G1141,$B1141)</f>
        <v>4411028</v>
      </c>
      <c r="K1141" s="7" t="str">
        <f aca="false">IF(COUNTIF($O$2:$O$16,$A1141)&gt;0,"Y","N")</f>
        <v>Y</v>
      </c>
    </row>
    <row r="1142" customFormat="false" ht="15" hidden="false" customHeight="false" outlineLevel="0" collapsed="false">
      <c r="A1142" s="7" t="s">
        <v>39</v>
      </c>
      <c r="B1142" s="7" t="s">
        <v>424</v>
      </c>
      <c r="C1142" s="8" t="n">
        <v>5</v>
      </c>
      <c r="D1142" s="8" t="n">
        <v>222.25</v>
      </c>
      <c r="E1142" s="8" t="n">
        <v>5</v>
      </c>
      <c r="F1142" s="8" t="n">
        <v>206.74</v>
      </c>
      <c r="G1142" s="7" t="n">
        <f aca="false">IFERROR(INDEX('TRANS'!$B:$B,MATCH($B1142,'TRANS'!$A:$A,0)),IFERROR(INDEX('TRANS'!$B:$B,MATCH(TRIM(SUBSTITUTE($B1142,CHAR(160)," ")),'TRANS'!$D:$D,0)),IFERROR(INDEX('Catalog'!$A:$A,MATCH($B1142,'Catalog'!$B:$B,0)),IFERROR(INDEX('Catalog'!$A:$A,MATCH(TRIM(SUBSTITUTE($B1142,CHAR(160)," ")),'Catalog'!$C:$C,0)),""))))</f>
        <v>4411029</v>
      </c>
      <c r="H1142" s="7" t="str">
        <f aca="false">IFERROR(INDEX('TRANS'!$C:$C,MATCH($B1142,'TRANS'!$A:$A,0)),IFERROR(INDEX('Catalog'!$B:$B,MATCH($G1142,'Catalog'!$A:$A,0)),$B1142))</f>
        <v>213CTSR L ימין CTS כפפות</v>
      </c>
      <c r="I1142" s="7" t="str">
        <f aca="false">IF($G1142="","Unmatched","Matched")</f>
        <v>Matched</v>
      </c>
      <c r="J1142" s="7" t="n">
        <f aca="false">IF($G1142&lt;&gt;"",$G1142,$B1142)</f>
        <v>4411029</v>
      </c>
      <c r="K1142" s="7" t="str">
        <f aca="false">IF(COUNTIF($O$2:$O$16,$A1142)&gt;0,"Y","N")</f>
        <v>Y</v>
      </c>
    </row>
    <row r="1143" customFormat="false" ht="15" hidden="false" customHeight="false" outlineLevel="0" collapsed="false">
      <c r="A1143" s="7" t="s">
        <v>39</v>
      </c>
      <c r="B1143" s="7" t="s">
        <v>425</v>
      </c>
      <c r="C1143" s="8" t="n">
        <v>10</v>
      </c>
      <c r="D1143" s="8" t="n">
        <v>444.5</v>
      </c>
      <c r="E1143" s="8" t="n">
        <v>2</v>
      </c>
      <c r="F1143" s="8" t="n">
        <v>82.7</v>
      </c>
      <c r="G1143" s="7" t="n">
        <f aca="false">IFERROR(INDEX('TRANS'!$B:$B,MATCH($B1143,'TRANS'!$A:$A,0)),IFERROR(INDEX('TRANS'!$B:$B,MATCH(TRIM(SUBSTITUTE($B1143,CHAR(160)," ")),'TRANS'!$D:$D,0)),IFERROR(INDEX('Catalog'!$A:$A,MATCH($B1143,'Catalog'!$B:$B,0)),IFERROR(INDEX('Catalog'!$A:$A,MATCH(TRIM(SUBSTITUTE($B1143,CHAR(160)," ")),'Catalog'!$C:$C,0)),""))))</f>
        <v>4411030</v>
      </c>
      <c r="H1143" s="7" t="str">
        <f aca="false">IFERROR(INDEX('TRANS'!$C:$C,MATCH($B1143,'TRANS'!$A:$A,0)),IFERROR(INDEX('Catalog'!$B:$B,MATCH($G1143,'Catalog'!$A:$A,0)),$B1143))</f>
        <v>213CTSR M ימין CTS כפפות</v>
      </c>
      <c r="I1143" s="7" t="str">
        <f aca="false">IF($G1143="","Unmatched","Matched")</f>
        <v>Matched</v>
      </c>
      <c r="J1143" s="7" t="n">
        <f aca="false">IF($G1143&lt;&gt;"",$G1143,$B1143)</f>
        <v>4411030</v>
      </c>
      <c r="K1143" s="7" t="str">
        <f aca="false">IF(COUNTIF($O$2:$O$16,$A1143)&gt;0,"Y","N")</f>
        <v>Y</v>
      </c>
    </row>
    <row r="1144" customFormat="false" ht="15" hidden="false" customHeight="false" outlineLevel="0" collapsed="false">
      <c r="A1144" s="7" t="s">
        <v>39</v>
      </c>
      <c r="B1144" s="7" t="s">
        <v>426</v>
      </c>
      <c r="C1144" s="8" t="n">
        <v>10</v>
      </c>
      <c r="D1144" s="8" t="n">
        <v>444.5</v>
      </c>
      <c r="E1144" s="8" t="n">
        <v>0</v>
      </c>
      <c r="F1144" s="8" t="n">
        <v>0</v>
      </c>
      <c r="G1144" s="7" t="n">
        <f aca="false">IFERROR(INDEX('TRANS'!$B:$B,MATCH($B1144,'TRANS'!$A:$A,0)),IFERROR(INDEX('TRANS'!$B:$B,MATCH(TRIM(SUBSTITUTE($B1144,CHAR(160)," ")),'TRANS'!$D:$D,0)),IFERROR(INDEX('Catalog'!$A:$A,MATCH($B1144,'Catalog'!$B:$B,0)),IFERROR(INDEX('Catalog'!$A:$A,MATCH(TRIM(SUBSTITUTE($B1144,CHAR(160)," ")),'Catalog'!$C:$C,0)),""))))</f>
        <v>4411031</v>
      </c>
      <c r="H1144" s="7" t="str">
        <f aca="false">IFERROR(INDEX('TRANS'!$C:$C,MATCH($B1144,'TRANS'!$A:$A,0)),IFERROR(INDEX('Catalog'!$B:$B,MATCH($G1144,'Catalog'!$A:$A,0)),$B1144))</f>
        <v>213CTS  S ימין CTS כפפות</v>
      </c>
      <c r="I1144" s="7" t="str">
        <f aca="false">IF($G1144="","Unmatched","Matched")</f>
        <v>Matched</v>
      </c>
      <c r="J1144" s="7" t="n">
        <f aca="false">IF($G1144&lt;&gt;"",$G1144,$B1144)</f>
        <v>4411031</v>
      </c>
      <c r="K1144" s="7" t="str">
        <f aca="false">IF(COUNTIF($O$2:$O$16,$A1144)&gt;0,"Y","N")</f>
        <v>Y</v>
      </c>
    </row>
    <row r="1145" customFormat="false" ht="15" hidden="false" customHeight="false" outlineLevel="0" collapsed="false">
      <c r="A1145" s="7" t="s">
        <v>39</v>
      </c>
      <c r="B1145" s="7" t="s">
        <v>457</v>
      </c>
      <c r="C1145" s="8" t="n">
        <v>1</v>
      </c>
      <c r="D1145" s="8" t="n">
        <v>0.04</v>
      </c>
      <c r="E1145" s="8" t="n">
        <v>0</v>
      </c>
      <c r="F1145" s="8" t="n">
        <v>0</v>
      </c>
      <c r="G1145" s="7" t="n">
        <f aca="false">IFERROR(INDEX('TRANS'!$B:$B,MATCH($B1145,'TRANS'!$A:$A,0)),IFERROR(INDEX('TRANS'!$B:$B,MATCH(TRIM(SUBSTITUTE($B1145,CHAR(160)," ")),'TRANS'!$D:$D,0)),IFERROR(INDEX('Catalog'!$A:$A,MATCH($B1145,'Catalog'!$B:$B,0)),IFERROR(INDEX('Catalog'!$A:$A,MATCH(TRIM(SUBSTITUTE($B1145,CHAR(160)," ")),'Catalog'!$C:$C,0)),""))))</f>
        <v>4413523</v>
      </c>
      <c r="H1145" s="7" t="str">
        <f aca="false">IFERROR(INDEX('TRANS'!$C:$C,MATCH($B1145,'TRANS'!$A:$A,0)),IFERROR(INDEX('Catalog'!$B:$B,MATCH($G1145,'Catalog'!$A:$A,0)),$B1145))</f>
        <v>35-38 מדרסי אפיק ג'ל נוחות</v>
      </c>
      <c r="I1145" s="7" t="str">
        <f aca="false">IF($G1145="","Unmatched","Matched")</f>
        <v>Matched</v>
      </c>
      <c r="J1145" s="7" t="n">
        <f aca="false">IF($G1145&lt;&gt;"",$G1145,$B1145)</f>
        <v>4413523</v>
      </c>
      <c r="K1145" s="7" t="str">
        <f aca="false">IF(COUNTIF($O$2:$O$16,$A1145)&gt;0,"Y","N")</f>
        <v>Y</v>
      </c>
    </row>
    <row r="1146" customFormat="false" ht="15" hidden="false" customHeight="false" outlineLevel="0" collapsed="false">
      <c r="A1146" s="7" t="s">
        <v>39</v>
      </c>
      <c r="B1146" s="7" t="s">
        <v>401</v>
      </c>
      <c r="C1146" s="8" t="n">
        <v>1</v>
      </c>
      <c r="D1146" s="8" t="n">
        <v>0.04</v>
      </c>
      <c r="E1146" s="8" t="n">
        <v>0</v>
      </c>
      <c r="F1146" s="8" t="n">
        <v>0</v>
      </c>
      <c r="G1146" s="7" t="n">
        <f aca="false">IFERROR(INDEX('TRANS'!$B:$B,MATCH($B1146,'TRANS'!$A:$A,0)),IFERROR(INDEX('TRANS'!$B:$B,MATCH(TRIM(SUBSTITUTE($B1146,CHAR(160)," ")),'TRANS'!$D:$D,0)),IFERROR(INDEX('Catalog'!$A:$A,MATCH($B1146,'Catalog'!$B:$B,0)),IFERROR(INDEX('Catalog'!$A:$A,MATCH(TRIM(SUBSTITUTE($B1146,CHAR(160)," ")),'Catalog'!$C:$C,0)),""))))</f>
        <v>4413520</v>
      </c>
      <c r="H1146" s="7" t="str">
        <f aca="false">IFERROR(INDEX('TRANS'!$C:$C,MATCH($B1146,'TRANS'!$A:$A,0)),IFERROR(INDEX('Catalog'!$B:$B,MATCH($G1146,'Catalog'!$A:$A,0)),$B1146))</f>
        <v>מדרסי אפיק ג'ל מולט.ספורט35-38</v>
      </c>
      <c r="I1146" s="7" t="str">
        <f aca="false">IF($G1146="","Unmatched","Matched")</f>
        <v>Matched</v>
      </c>
      <c r="J1146" s="7" t="n">
        <f aca="false">IF($G1146&lt;&gt;"",$G1146,$B1146)</f>
        <v>4413520</v>
      </c>
      <c r="K1146" s="7" t="str">
        <f aca="false">IF(COUNTIF($O$2:$O$16,$A1146)&gt;0,"Y","N")</f>
        <v>Y</v>
      </c>
    </row>
    <row r="1147" customFormat="false" ht="15" hidden="false" customHeight="false" outlineLevel="0" collapsed="false">
      <c r="A1147" s="7" t="s">
        <v>39</v>
      </c>
      <c r="B1147" s="7" t="s">
        <v>460</v>
      </c>
      <c r="C1147" s="8" t="n">
        <v>1</v>
      </c>
      <c r="D1147" s="8" t="n">
        <v>0.04</v>
      </c>
      <c r="E1147" s="8" t="n">
        <v>0</v>
      </c>
      <c r="F1147" s="8" t="n">
        <v>0</v>
      </c>
      <c r="G1147" s="7" t="n">
        <f aca="false">IFERROR(INDEX('TRANS'!$B:$B,MATCH($B1147,'TRANS'!$A:$A,0)),IFERROR(INDEX('TRANS'!$B:$B,MATCH(TRIM(SUBSTITUTE($B1147,CHAR(160)," ")),'TRANS'!$D:$D,0)),IFERROR(INDEX('Catalog'!$A:$A,MATCH($B1147,'Catalog'!$B:$B,0)),IFERROR(INDEX('Catalog'!$A:$A,MATCH(TRIM(SUBSTITUTE($B1147,CHAR(160)," ")),'Catalog'!$C:$C,0)),""))))</f>
        <v>4413522</v>
      </c>
      <c r="H1147" s="7" t="str">
        <f aca="false">IFERROR(INDEX('TRANS'!$C:$C,MATCH($B1147,'TRANS'!$A:$A,0)),IFERROR(INDEX('Catalog'!$B:$B,MATCH($G1147,'Catalog'!$A:$A,0)),$B1147))</f>
        <v>מדרסי אפיק ג'ל מולט.ספורט43-47</v>
      </c>
      <c r="I1147" s="7" t="str">
        <f aca="false">IF($G1147="","Unmatched","Matched")</f>
        <v>Matched</v>
      </c>
      <c r="J1147" s="7" t="n">
        <f aca="false">IF($G1147&lt;&gt;"",$G1147,$B1147)</f>
        <v>4413522</v>
      </c>
      <c r="K1147" s="7" t="str">
        <f aca="false">IF(COUNTIF($O$2:$O$16,$A1147)&gt;0,"Y","N")</f>
        <v>Y</v>
      </c>
    </row>
    <row r="1148" customFormat="false" ht="15" hidden="false" customHeight="false" outlineLevel="0" collapsed="false">
      <c r="A1148" s="7" t="s">
        <v>39</v>
      </c>
      <c r="B1148" s="7" t="s">
        <v>404</v>
      </c>
      <c r="C1148" s="8" t="n">
        <v>80</v>
      </c>
      <c r="D1148" s="8" t="n">
        <v>4565.43</v>
      </c>
      <c r="E1148" s="8" t="n">
        <v>60</v>
      </c>
      <c r="F1148" s="8" t="n">
        <v>3124.87</v>
      </c>
      <c r="G1148" s="7" t="n">
        <f aca="false">IFERROR(INDEX('TRANS'!$B:$B,MATCH($B1148,'TRANS'!$A:$A,0)),IFERROR(INDEX('TRANS'!$B:$B,MATCH(TRIM(SUBSTITUTE($B1148,CHAR(160)," ")),'TRANS'!$D:$D,0)),IFERROR(INDEX('Catalog'!$A:$A,MATCH($B1148,'Catalog'!$B:$B,0)),IFERROR(INDEX('Catalog'!$A:$A,MATCH(TRIM(SUBSTITUTE($B1148,CHAR(160)," ")),'Catalog'!$C:$C,0)),""))))</f>
        <v>4408205</v>
      </c>
      <c r="H1148" s="7" t="str">
        <f aca="false">IFERROR(INDEX('TRANS'!$C:$C,MATCH($B1148,'TRANS'!$A:$A,0)),IFERROR(INDEX('Catalog'!$B:$B,MATCH($G1148,'Catalog'!$A:$A,0)),$B1148))</f>
        <v>AC-07 חגורת גב עם תמיכות</v>
      </c>
      <c r="I1148" s="7" t="str">
        <f aca="false">IF($G1148="","Unmatched","Matched")</f>
        <v>Matched</v>
      </c>
      <c r="J1148" s="7" t="n">
        <f aca="false">IF($G1148&lt;&gt;"",$G1148,$B1148)</f>
        <v>4408205</v>
      </c>
      <c r="K1148" s="7" t="str">
        <f aca="false">IF(COUNTIF($O$2:$O$16,$A1148)&gt;0,"Y","N")</f>
        <v>Y</v>
      </c>
    </row>
    <row r="1149" customFormat="false" ht="15" hidden="false" customHeight="false" outlineLevel="0" collapsed="false">
      <c r="A1149" s="7" t="s">
        <v>39</v>
      </c>
      <c r="B1149" s="7" t="s">
        <v>371</v>
      </c>
      <c r="C1149" s="8" t="n">
        <v>274</v>
      </c>
      <c r="D1149" s="8" t="n">
        <v>4506.09</v>
      </c>
      <c r="E1149" s="8" t="n">
        <v>120</v>
      </c>
      <c r="F1149" s="8" t="n">
        <v>1829.88</v>
      </c>
      <c r="G1149" s="7" t="n">
        <f aca="false">IFERROR(INDEX('TRANS'!$B:$B,MATCH($B1149,'TRANS'!$A:$A,0)),IFERROR(INDEX('TRANS'!$B:$B,MATCH(TRIM(SUBSTITUTE($B1149,CHAR(160)," ")),'TRANS'!$D:$D,0)),IFERROR(INDEX('Catalog'!$A:$A,MATCH($B1149,'Catalog'!$B:$B,0)),IFERROR(INDEX('Catalog'!$A:$A,MATCH(TRIM(SUBSTITUTE($B1149,CHAR(160)," ")),'Catalog'!$C:$C,0)),""))))</f>
        <v>4408207</v>
      </c>
      <c r="H1149" s="7" t="str">
        <f aca="false">IFERROR(INDEX('TRANS'!$C:$C,MATCH($B1149,'TRANS'!$A:$A,0)),IFERROR(INDEX('Catalog'!$B:$B,MATCH($G1149,'Catalog'!$A:$A,0)),$B1149))</f>
        <v>AC-25 חבק לשורש כף היד</v>
      </c>
      <c r="I1149" s="7" t="str">
        <f aca="false">IF($G1149="","Unmatched","Matched")</f>
        <v>Matched</v>
      </c>
      <c r="J1149" s="7" t="n">
        <f aca="false">IF($G1149&lt;&gt;"",$G1149,$B1149)</f>
        <v>4408207</v>
      </c>
      <c r="K1149" s="7" t="str">
        <f aca="false">IF(COUNTIF($O$2:$O$16,$A1149)&gt;0,"Y","N")</f>
        <v>Y</v>
      </c>
    </row>
    <row r="1150" customFormat="false" ht="15" hidden="false" customHeight="false" outlineLevel="0" collapsed="false">
      <c r="A1150" s="7" t="s">
        <v>39</v>
      </c>
      <c r="B1150" s="7" t="s">
        <v>372</v>
      </c>
      <c r="C1150" s="8" t="n">
        <v>70</v>
      </c>
      <c r="D1150" s="8" t="n">
        <v>2118.48</v>
      </c>
      <c r="E1150" s="8" t="n">
        <v>80</v>
      </c>
      <c r="F1150" s="8" t="n">
        <v>2252.16</v>
      </c>
      <c r="G1150" s="7" t="n">
        <f aca="false">IFERROR(INDEX('TRANS'!$B:$B,MATCH($B1150,'TRANS'!$A:$A,0)),IFERROR(INDEX('TRANS'!$B:$B,MATCH(TRIM(SUBSTITUTE($B1150,CHAR(160)," ")),'TRANS'!$D:$D,0)),IFERROR(INDEX('Catalog'!$A:$A,MATCH($B1150,'Catalog'!$B:$B,0)),IFERROR(INDEX('Catalog'!$A:$A,MATCH(TRIM(SUBSTITUTE($B1150,CHAR(160)," ")),'Catalog'!$C:$C,0)),""))))</f>
        <v>4415026</v>
      </c>
      <c r="H1150" s="7" t="str">
        <f aca="false">IFERROR(INDEX('TRANS'!$C:$C,MATCH($B1150,'TRANS'!$A:$A,0)),IFERROR(INDEX('Catalog'!$B:$B,MATCH($G1150,'Catalog'!$A:$A,0)),$B1150))</f>
        <v>AC-27L סד לש.כף יד שמאל</v>
      </c>
      <c r="I1150" s="7" t="str">
        <f aca="false">IF($G1150="","Unmatched","Matched")</f>
        <v>Matched</v>
      </c>
      <c r="J1150" s="7" t="n">
        <f aca="false">IF($G1150&lt;&gt;"",$G1150,$B1150)</f>
        <v>4415026</v>
      </c>
      <c r="K1150" s="7" t="str">
        <f aca="false">IF(COUNTIF($O$2:$O$16,$A1150)&gt;0,"Y","N")</f>
        <v>Y</v>
      </c>
    </row>
    <row r="1151" customFormat="false" ht="15" hidden="false" customHeight="false" outlineLevel="0" collapsed="false">
      <c r="A1151" s="7" t="s">
        <v>39</v>
      </c>
      <c r="B1151" s="7" t="s">
        <v>373</v>
      </c>
      <c r="C1151" s="8" t="n">
        <v>100</v>
      </c>
      <c r="D1151" s="8" t="n">
        <v>3073.08</v>
      </c>
      <c r="E1151" s="8" t="n">
        <v>80</v>
      </c>
      <c r="F1151" s="8" t="n">
        <v>2252.16</v>
      </c>
      <c r="G1151" s="7" t="n">
        <f aca="false">IFERROR(INDEX('TRANS'!$B:$B,MATCH($B1151,'TRANS'!$A:$A,0)),IFERROR(INDEX('TRANS'!$B:$B,MATCH(TRIM(SUBSTITUTE($B1151,CHAR(160)," ")),'TRANS'!$D:$D,0)),IFERROR(INDEX('Catalog'!$A:$A,MATCH($B1151,'Catalog'!$B:$B,0)),IFERROR(INDEX('Catalog'!$A:$A,MATCH(TRIM(SUBSTITUTE($B1151,CHAR(160)," ")),'Catalog'!$C:$C,0)),""))))</f>
        <v>4415027</v>
      </c>
      <c r="H1151" s="7" t="str">
        <f aca="false">IFERROR(INDEX('TRANS'!$C:$C,MATCH($B1151,'TRANS'!$A:$A,0)),IFERROR(INDEX('Catalog'!$B:$B,MATCH($G1151,'Catalog'!$A:$A,0)),$B1151))</f>
        <v>AC-27R סד לש.כף יד ימין</v>
      </c>
      <c r="I1151" s="7" t="str">
        <f aca="false">IF($G1151="","Unmatched","Matched")</f>
        <v>Matched</v>
      </c>
      <c r="J1151" s="7" t="n">
        <f aca="false">IF($G1151&lt;&gt;"",$G1151,$B1151)</f>
        <v>4415027</v>
      </c>
      <c r="K1151" s="7" t="str">
        <f aca="false">IF(COUNTIF($O$2:$O$16,$A1151)&gt;0,"Y","N")</f>
        <v>Y</v>
      </c>
    </row>
    <row r="1152" customFormat="false" ht="15" hidden="false" customHeight="false" outlineLevel="0" collapsed="false">
      <c r="A1152" s="7" t="s">
        <v>39</v>
      </c>
      <c r="B1152" s="7" t="s">
        <v>374</v>
      </c>
      <c r="C1152" s="8" t="n">
        <v>160</v>
      </c>
      <c r="D1152" s="8" t="n">
        <v>3760.05</v>
      </c>
      <c r="E1152" s="8" t="n">
        <v>100</v>
      </c>
      <c r="F1152" s="8" t="n">
        <v>2111.4</v>
      </c>
      <c r="G1152" s="7" t="n">
        <f aca="false">IFERROR(INDEX('TRANS'!$B:$B,MATCH($B1152,'TRANS'!$A:$A,0)),IFERROR(INDEX('TRANS'!$B:$B,MATCH(TRIM(SUBSTITUTE($B1152,CHAR(160)," ")),'TRANS'!$D:$D,0)),IFERROR(INDEX('Catalog'!$A:$A,MATCH($B1152,'Catalog'!$B:$B,0)),IFERROR(INDEX('Catalog'!$A:$A,MATCH(TRIM(SUBSTITUTE($B1152,CHAR(160)," ")),'Catalog'!$C:$C,0)),""))))</f>
        <v>4415028</v>
      </c>
      <c r="H1152" s="7" t="str">
        <f aca="false">IFERROR(INDEX('TRANS'!$C:$C,MATCH($B1152,'TRANS'!$A:$A,0)),IFERROR(INDEX('Catalog'!$B:$B,MATCH($G1152,'Catalog'!$A:$A,0)),$B1152))</f>
        <v>AC-28 סד לאגודל</v>
      </c>
      <c r="I1152" s="7" t="str">
        <f aca="false">IF($G1152="","Unmatched","Matched")</f>
        <v>Matched</v>
      </c>
      <c r="J1152" s="7" t="n">
        <f aca="false">IF($G1152&lt;&gt;"",$G1152,$B1152)</f>
        <v>4415028</v>
      </c>
      <c r="K1152" s="7" t="str">
        <f aca="false">IF(COUNTIF($O$2:$O$16,$A1152)&gt;0,"Y","N")</f>
        <v>Y</v>
      </c>
    </row>
    <row r="1153" customFormat="false" ht="15" hidden="false" customHeight="false" outlineLevel="0" collapsed="false">
      <c r="A1153" s="7" t="s">
        <v>39</v>
      </c>
      <c r="B1153" s="7" t="s">
        <v>375</v>
      </c>
      <c r="C1153" s="8" t="n">
        <v>255</v>
      </c>
      <c r="D1153" s="8" t="n">
        <v>5430.64</v>
      </c>
      <c r="E1153" s="8" t="n">
        <v>172</v>
      </c>
      <c r="F1153" s="8" t="n">
        <v>3244.52</v>
      </c>
      <c r="G1153" s="7" t="n">
        <f aca="false">IFERROR(INDEX('TRANS'!$B:$B,MATCH($B1153,'TRANS'!$A:$A,0)),IFERROR(INDEX('TRANS'!$B:$B,MATCH(TRIM(SUBSTITUTE($B1153,CHAR(160)," ")),'TRANS'!$D:$D,0)),IFERROR(INDEX('Catalog'!$A:$A,MATCH($B1153,'Catalog'!$B:$B,0)),IFERROR(INDEX('Catalog'!$A:$A,MATCH(TRIM(SUBSTITUTE($B1153,CHAR(160)," ")),'Catalog'!$C:$C,0)),""))))</f>
        <v>4413326</v>
      </c>
      <c r="H1153" s="7" t="str">
        <f aca="false">IFERROR(INDEX('TRANS'!$C:$C,MATCH($B1153,'TRANS'!$A:$A,0)),IFERROR(INDEX('Catalog'!$B:$B,MATCH($G1153,'Catalog'!$A:$A,0)),$B1153))</f>
        <v>AC37 מגן קרסול נושם</v>
      </c>
      <c r="I1153" s="7" t="str">
        <f aca="false">IF($G1153="","Unmatched","Matched")</f>
        <v>Matched</v>
      </c>
      <c r="J1153" s="7" t="n">
        <f aca="false">IF($G1153&lt;&gt;"",$G1153,$B1153)</f>
        <v>4413326</v>
      </c>
      <c r="K1153" s="7" t="str">
        <f aca="false">IF(COUNTIF($O$2:$O$16,$A1153)&gt;0,"Y","N")</f>
        <v>Y</v>
      </c>
    </row>
    <row r="1154" customFormat="false" ht="15" hidden="false" customHeight="false" outlineLevel="0" collapsed="false">
      <c r="A1154" s="7" t="s">
        <v>39</v>
      </c>
      <c r="B1154" s="7" t="s">
        <v>648</v>
      </c>
      <c r="C1154" s="8" t="n">
        <v>30</v>
      </c>
      <c r="D1154" s="8" t="n">
        <v>964.67</v>
      </c>
      <c r="E1154" s="8" t="n">
        <v>50</v>
      </c>
      <c r="F1154" s="8" t="n">
        <v>1495.58</v>
      </c>
      <c r="G1154" s="7" t="n">
        <f aca="false">IFERROR(INDEX('TRANS'!$B:$B,MATCH($B1154,'TRANS'!$A:$A,0)),IFERROR(INDEX('TRANS'!$B:$B,MATCH(TRIM(SUBSTITUTE($B1154,CHAR(160)," ")),'TRANS'!$D:$D,0)),IFERROR(INDEX('Catalog'!$A:$A,MATCH($B1154,'Catalog'!$B:$B,0)),IFERROR(INDEX('Catalog'!$A:$A,MATCH(TRIM(SUBSTITUTE($B1154,CHAR(160)," ")),'Catalog'!$C:$C,0)),""))))</f>
        <v>4420026</v>
      </c>
      <c r="H1154" s="7" t="str">
        <f aca="false">IFERROR(INDEX('TRANS'!$C:$C,MATCH($B1154,'TRANS'!$A:$A,0)),IFERROR(INDEX('Catalog'!$B:$B,MATCH($G1154,'Catalog'!$A:$A,0)),$B1154))</f>
        <v>AC40 רצועה לפיקת הברך</v>
      </c>
      <c r="I1154" s="7" t="str">
        <f aca="false">IF($G1154="","Unmatched","Matched")</f>
        <v>Matched</v>
      </c>
      <c r="J1154" s="7" t="n">
        <f aca="false">IF($G1154&lt;&gt;"",$G1154,$B1154)</f>
        <v>4420026</v>
      </c>
      <c r="K1154" s="7" t="str">
        <f aca="false">IF(COUNTIF($O$2:$O$16,$A1154)&gt;0,"Y","N")</f>
        <v>Y</v>
      </c>
    </row>
    <row r="1155" customFormat="false" ht="15" hidden="false" customHeight="false" outlineLevel="0" collapsed="false">
      <c r="A1155" s="7" t="s">
        <v>39</v>
      </c>
      <c r="B1155" s="7" t="s">
        <v>376</v>
      </c>
      <c r="C1155" s="8" t="n">
        <v>70</v>
      </c>
      <c r="D1155" s="8" t="n">
        <v>4236.96</v>
      </c>
      <c r="E1155" s="8" t="n">
        <v>60</v>
      </c>
      <c r="F1155" s="8" t="n">
        <v>3378.24</v>
      </c>
      <c r="G1155" s="7" t="n">
        <f aca="false">IFERROR(INDEX('TRANS'!$B:$B,MATCH($B1155,'TRANS'!$A:$A,0)),IFERROR(INDEX('TRANS'!$B:$B,MATCH(TRIM(SUBSTITUTE($B1155,CHAR(160)," ")),'TRANS'!$D:$D,0)),IFERROR(INDEX('Catalog'!$A:$A,MATCH($B1155,'Catalog'!$B:$B,0)),IFERROR(INDEX('Catalog'!$A:$A,MATCH(TRIM(SUBSTITUTE($B1155,CHAR(160)," ")),'Catalog'!$C:$C,0)),""))))</f>
        <v>4413328</v>
      </c>
      <c r="H1155" s="7" t="str">
        <f aca="false">IFERROR(INDEX('TRANS'!$C:$C,MATCH($B1155,'TRANS'!$A:$A,0)),IFERROR(INDEX('Catalog'!$B:$B,MATCH($G1155,'Catalog'!$A:$A,0)),$B1155))</f>
        <v>AC43D מגן ברך + צירים</v>
      </c>
      <c r="I1155" s="7" t="str">
        <f aca="false">IF($G1155="","Unmatched","Matched")</f>
        <v>Matched</v>
      </c>
      <c r="J1155" s="7" t="n">
        <f aca="false">IF($G1155&lt;&gt;"",$G1155,$B1155)</f>
        <v>4413328</v>
      </c>
      <c r="K1155" s="7" t="str">
        <f aca="false">IF(COUNTIF($O$2:$O$16,$A1155)&gt;0,"Y","N")</f>
        <v>Y</v>
      </c>
    </row>
    <row r="1156" customFormat="false" ht="15" hidden="false" customHeight="false" outlineLevel="0" collapsed="false">
      <c r="A1156" s="7" t="s">
        <v>39</v>
      </c>
      <c r="B1156" s="7" t="s">
        <v>377</v>
      </c>
      <c r="C1156" s="8" t="n">
        <v>515</v>
      </c>
      <c r="D1156" s="8" t="n">
        <v>19712.86</v>
      </c>
      <c r="E1156" s="8" t="n">
        <v>22</v>
      </c>
      <c r="F1156" s="8" t="n">
        <v>753.07</v>
      </c>
      <c r="G1156" s="7" t="n">
        <f aca="false">IFERROR(INDEX('TRANS'!$B:$B,MATCH($B1156,'TRANS'!$A:$A,0)),IFERROR(INDEX('TRANS'!$B:$B,MATCH(TRIM(SUBSTITUTE($B1156,CHAR(160)," ")),'TRANS'!$D:$D,0)),IFERROR(INDEX('Catalog'!$A:$A,MATCH($B1156,'Catalog'!$B:$B,0)),IFERROR(INDEX('Catalog'!$A:$A,MATCH(TRIM(SUBSTITUTE($B1156,CHAR(160)," ")),'Catalog'!$C:$C,0)),""))))</f>
        <v>4413329</v>
      </c>
      <c r="H1156" s="7" t="str">
        <f aca="false">IFERROR(INDEX('TRANS'!$C:$C,MATCH($B1156,'TRANS'!$A:$A,0)),IFERROR(INDEX('Catalog'!$B:$B,MATCH($G1156,'Catalog'!$A:$A,0)),$B1156))</f>
        <v>AC45X מגן ברך עם תמיכות</v>
      </c>
      <c r="I1156" s="7" t="str">
        <f aca="false">IF($G1156="","Unmatched","Matched")</f>
        <v>Matched</v>
      </c>
      <c r="J1156" s="7" t="n">
        <f aca="false">IF($G1156&lt;&gt;"",$G1156,$B1156)</f>
        <v>4413329</v>
      </c>
      <c r="K1156" s="7" t="str">
        <f aca="false">IF(COUNTIF($O$2:$O$16,$A1156)&gt;0,"Y","N")</f>
        <v>Y</v>
      </c>
    </row>
    <row r="1157" customFormat="false" ht="15" hidden="false" customHeight="false" outlineLevel="0" collapsed="false">
      <c r="A1157" s="7" t="s">
        <v>39</v>
      </c>
      <c r="B1157" s="7" t="s">
        <v>379</v>
      </c>
      <c r="C1157" s="8" t="n">
        <v>30</v>
      </c>
      <c r="D1157" s="8" t="n">
        <v>1191.65</v>
      </c>
      <c r="E1157" s="8" t="n">
        <v>50</v>
      </c>
      <c r="F1157" s="8" t="n">
        <v>1847.48</v>
      </c>
      <c r="G1157" s="7" t="n">
        <f aca="false">IFERROR(INDEX('TRANS'!$B:$B,MATCH($B1157,'TRANS'!$A:$A,0)),IFERROR(INDEX('TRANS'!$B:$B,MATCH(TRIM(SUBSTITUTE($B1157,CHAR(160)," ")),'TRANS'!$D:$D,0)),IFERROR(INDEX('Catalog'!$A:$A,MATCH($B1157,'Catalog'!$B:$B,0)),IFERROR(INDEX('Catalog'!$A:$A,MATCH(TRIM(SUBSTITUTE($B1157,CHAR(160)," ")),'Catalog'!$C:$C,0)),""))))</f>
        <v>4413453</v>
      </c>
      <c r="H1157" s="7" t="str">
        <f aca="false">IFERROR(INDEX('TRANS'!$C:$C,MATCH($B1157,'TRANS'!$A:$A,0)),IFERROR(INDEX('Catalog'!$B:$B,MATCH($G1157,'Catalog'!$A:$A,0)),$B1157))</f>
        <v>AC75 מישר כתפיים אקטיב</v>
      </c>
      <c r="I1157" s="7" t="str">
        <f aca="false">IF($G1157="","Unmatched","Matched")</f>
        <v>Matched</v>
      </c>
      <c r="J1157" s="7" t="n">
        <f aca="false">IF($G1157&lt;&gt;"",$G1157,$B1157)</f>
        <v>4413453</v>
      </c>
      <c r="K1157" s="7" t="str">
        <f aca="false">IF(COUNTIF($O$2:$O$16,$A1157)&gt;0,"Y","N")</f>
        <v>Y</v>
      </c>
    </row>
    <row r="1158" customFormat="false" ht="15" hidden="false" customHeight="false" outlineLevel="0" collapsed="false">
      <c r="A1158" s="7" t="s">
        <v>39</v>
      </c>
      <c r="B1158" s="7" t="s">
        <v>380</v>
      </c>
      <c r="C1158" s="8" t="n">
        <v>50</v>
      </c>
      <c r="D1158" s="8" t="n">
        <v>945.75</v>
      </c>
      <c r="E1158" s="8" t="n">
        <v>100</v>
      </c>
      <c r="F1158" s="8" t="n">
        <v>1759.5</v>
      </c>
      <c r="G1158" s="7" t="n">
        <f aca="false">IFERROR(INDEX('TRANS'!$B:$B,MATCH($B1158,'TRANS'!$A:$A,0)),IFERROR(INDEX('TRANS'!$B:$B,MATCH(TRIM(SUBSTITUTE($B1158,CHAR(160)," ")),'TRANS'!$D:$D,0)),IFERROR(INDEX('Catalog'!$A:$A,MATCH($B1158,'Catalog'!$B:$B,0)),IFERROR(INDEX('Catalog'!$A:$A,MATCH(TRIM(SUBSTITUTE($B1158,CHAR(160)," ")),'Catalog'!$C:$C,0)),""))))</f>
        <v>4408208</v>
      </c>
      <c r="H1158" s="7" t="str">
        <f aca="false">IFERROR(INDEX('TRANS'!$C:$C,MATCH($B1158,'TRANS'!$A:$A,0)),IFERROR(INDEX('Catalog'!$B:$B,MATCH($G1158,'Catalog'!$A:$A,0)),$B1158))</f>
        <v>AC91 חבק טניס</v>
      </c>
      <c r="I1158" s="7" t="str">
        <f aca="false">IF($G1158="","Unmatched","Matched")</f>
        <v>Matched</v>
      </c>
      <c r="J1158" s="7" t="n">
        <f aca="false">IF($G1158&lt;&gt;"",$G1158,$B1158)</f>
        <v>4408208</v>
      </c>
      <c r="K1158" s="7" t="str">
        <f aca="false">IF(COUNTIF($O$2:$O$16,$A1158)&gt;0,"Y","N")</f>
        <v>Y</v>
      </c>
    </row>
    <row r="1159" customFormat="false" ht="15" hidden="false" customHeight="false" outlineLevel="0" collapsed="false">
      <c r="A1159" s="7" t="s">
        <v>39</v>
      </c>
      <c r="B1159" s="7" t="s">
        <v>405</v>
      </c>
      <c r="C1159" s="8" t="n">
        <v>50</v>
      </c>
      <c r="D1159" s="8" t="n">
        <v>1134.9</v>
      </c>
      <c r="E1159" s="8" t="n">
        <v>70</v>
      </c>
      <c r="F1159" s="8" t="n">
        <v>1477.98</v>
      </c>
      <c r="G1159" s="7" t="n">
        <f aca="false">IFERROR(INDEX('TRANS'!$B:$B,MATCH($B1159,'TRANS'!$A:$A,0)),IFERROR(INDEX('TRANS'!$B:$B,MATCH(TRIM(SUBSTITUTE($B1159,CHAR(160)," ")),'TRANS'!$D:$D,0)),IFERROR(INDEX('Catalog'!$A:$A,MATCH($B1159,'Catalog'!$B:$B,0)),IFERROR(INDEX('Catalog'!$A:$A,MATCH(TRIM(SUBSTITUTE($B1159,CHAR(160)," ")),'Catalog'!$C:$C,0)),""))))</f>
        <v>4413331</v>
      </c>
      <c r="H1159" s="7" t="str">
        <f aca="false">IFERROR(INDEX('TRANS'!$C:$C,MATCH($B1159,'TRANS'!$A:$A,0)),IFERROR(INDEX('Catalog'!$B:$B,MATCH($G1159,'Catalog'!$A:$A,0)),$B1159))</f>
        <v>AC95 מגן מרפק</v>
      </c>
      <c r="I1159" s="7" t="str">
        <f aca="false">IF($G1159="","Unmatched","Matched")</f>
        <v>Matched</v>
      </c>
      <c r="J1159" s="7" t="n">
        <f aca="false">IF($G1159&lt;&gt;"",$G1159,$B1159)</f>
        <v>4413331</v>
      </c>
      <c r="K1159" s="7" t="str">
        <f aca="false">IF(COUNTIF($O$2:$O$16,$A1159)&gt;0,"Y","N")</f>
        <v>Y</v>
      </c>
    </row>
    <row r="1160" customFormat="false" ht="15" hidden="false" customHeight="false" outlineLevel="0" collapsed="false">
      <c r="A1160" s="7" t="s">
        <v>40</v>
      </c>
      <c r="B1160" s="7" t="s">
        <v>123</v>
      </c>
      <c r="C1160" s="8" t="n">
        <v>15</v>
      </c>
      <c r="D1160" s="8" t="n">
        <v>496.51</v>
      </c>
      <c r="E1160" s="8" t="n">
        <v>9</v>
      </c>
      <c r="F1160" s="8" t="n">
        <v>262.22</v>
      </c>
      <c r="G1160" s="7" t="str">
        <f aca="false">IFERROR(INDEX('TRANS'!$B:$B,MATCH($B1160,'TRANS'!$A:$A,0)),IFERROR(INDEX('TRANS'!$B:$B,MATCH(TRIM(SUBSTITUTE($B1160,CHAR(160)," ")),'TRANS'!$D:$D,0)),IFERROR(INDEX('Catalog'!$A:$A,MATCH($B1160,'Catalog'!$B:$B,0)),IFERROR(INDEX('Catalog'!$A:$A,MATCH(TRIM(SUBSTITUTE($B1160,CHAR(160)," ")),'Catalog'!$C:$C,0)),""))))</f>
        <v/>
      </c>
      <c r="H1160" s="7" t="str">
        <f aca="false">IFERROR(INDEX('TRANS'!$C:$C,MATCH($B1160,'TRANS'!$A:$A,0)),IFERROR(INDEX('Catalog'!$B:$B,MATCH($G1160,'Catalog'!$A:$A,0)),$B1160))</f>
        <v>25 M</v>
      </c>
      <c r="I1160" s="7" t="str">
        <f aca="false">IF($G1160="","Unmatched","Matched")</f>
        <v>Unmatched</v>
      </c>
      <c r="J1160" s="7" t="str">
        <f aca="false">IF($G1160&lt;&gt;"",$G1160,$B1160)</f>
        <v>25 M</v>
      </c>
      <c r="K1160" s="7" t="str">
        <f aca="false">IF(COUNTIF($O$2:$O$16,$A1160)&gt;0,"Y","N")</f>
        <v>Y</v>
      </c>
    </row>
    <row r="1161" customFormat="false" ht="15" hidden="false" customHeight="false" outlineLevel="0" collapsed="false">
      <c r="A1161" s="7" t="s">
        <v>40</v>
      </c>
      <c r="B1161" s="7" t="s">
        <v>223</v>
      </c>
      <c r="C1161" s="8" t="n">
        <v>1</v>
      </c>
      <c r="D1161" s="8" t="n">
        <v>0.04</v>
      </c>
      <c r="E1161" s="8" t="n">
        <v>0</v>
      </c>
      <c r="F1161" s="8" t="n">
        <v>0</v>
      </c>
      <c r="G1161" s="7" t="str">
        <f aca="false">IFERROR(INDEX('TRANS'!$B:$B,MATCH($B1161,'TRANS'!$A:$A,0)),IFERROR(INDEX('TRANS'!$B:$B,MATCH(TRIM(SUBSTITUTE($B1161,CHAR(160)," ")),'TRANS'!$D:$D,0)),IFERROR(INDEX('Catalog'!$A:$A,MATCH($B1161,'Catalog'!$B:$B,0)),IFERROR(INDEX('Catalog'!$A:$A,MATCH(TRIM(SUBSTITUTE($B1161,CHAR(160)," ")),'Catalog'!$C:$C,0)),""))))</f>
        <v/>
      </c>
      <c r="H1161" s="7" t="str">
        <f aca="false">IFERROR(INDEX('TRANS'!$C:$C,MATCH($B1161,'TRANS'!$A:$A,0)),IFERROR(INDEX('Catalog'!$B:$B,MATCH($G1161,'Catalog'!$A:$A,0)),$B1161))</f>
        <v>391B-35-38</v>
      </c>
      <c r="I1161" s="7" t="str">
        <f aca="false">IF($G1161="","Unmatched","Matched")</f>
        <v>Unmatched</v>
      </c>
      <c r="J1161" s="7" t="str">
        <f aca="false">IF($G1161&lt;&gt;"",$G1161,$B1161)</f>
        <v>391B-35-38</v>
      </c>
      <c r="K1161" s="7" t="str">
        <f aca="false">IF(COUNTIF($O$2:$O$16,$A1161)&gt;0,"Y","N")</f>
        <v>Y</v>
      </c>
    </row>
    <row r="1162" customFormat="false" ht="15" hidden="false" customHeight="false" outlineLevel="0" collapsed="false">
      <c r="A1162" s="7" t="s">
        <v>40</v>
      </c>
      <c r="B1162" s="7" t="s">
        <v>224</v>
      </c>
      <c r="C1162" s="8" t="n">
        <v>1</v>
      </c>
      <c r="D1162" s="8" t="n">
        <v>0.04</v>
      </c>
      <c r="E1162" s="8" t="n">
        <v>0</v>
      </c>
      <c r="F1162" s="8" t="n">
        <v>0</v>
      </c>
      <c r="G1162" s="7" t="str">
        <f aca="false">IFERROR(INDEX('TRANS'!$B:$B,MATCH($B1162,'TRANS'!$A:$A,0)),IFERROR(INDEX('TRANS'!$B:$B,MATCH(TRIM(SUBSTITUTE($B1162,CHAR(160)," ")),'TRANS'!$D:$D,0)),IFERROR(INDEX('Catalog'!$A:$A,MATCH($B1162,'Catalog'!$B:$B,0)),IFERROR(INDEX('Catalog'!$A:$A,MATCH(TRIM(SUBSTITUTE($B1162,CHAR(160)," ")),'Catalog'!$C:$C,0)),""))))</f>
        <v/>
      </c>
      <c r="H1162" s="7" t="str">
        <f aca="false">IFERROR(INDEX('TRANS'!$C:$C,MATCH($B1162,'TRANS'!$A:$A,0)),IFERROR(INDEX('Catalog'!$B:$B,MATCH($G1162,'Catalog'!$A:$A,0)),$B1162))</f>
        <v>395W-35-38</v>
      </c>
      <c r="I1162" s="7" t="str">
        <f aca="false">IF($G1162="","Unmatched","Matched")</f>
        <v>Unmatched</v>
      </c>
      <c r="J1162" s="7" t="str">
        <f aca="false">IF($G1162&lt;&gt;"",$G1162,$B1162)</f>
        <v>395W-35-38</v>
      </c>
      <c r="K1162" s="7" t="str">
        <f aca="false">IF(COUNTIF($O$2:$O$16,$A1162)&gt;0,"Y","N")</f>
        <v>Y</v>
      </c>
    </row>
    <row r="1163" customFormat="false" ht="15" hidden="false" customHeight="false" outlineLevel="0" collapsed="false">
      <c r="A1163" s="7" t="s">
        <v>40</v>
      </c>
      <c r="B1163" s="7" t="s">
        <v>331</v>
      </c>
      <c r="C1163" s="8" t="n">
        <v>1</v>
      </c>
      <c r="D1163" s="8" t="n">
        <v>0.04</v>
      </c>
      <c r="E1163" s="8" t="n">
        <v>0</v>
      </c>
      <c r="F1163" s="8" t="n">
        <v>0</v>
      </c>
      <c r="G1163" s="7" t="n">
        <f aca="false">IFERROR(INDEX('TRANS'!$B:$B,MATCH($B1163,'TRANS'!$A:$A,0)),IFERROR(INDEX('TRANS'!$B:$B,MATCH(TRIM(SUBSTITUTE($B1163,CHAR(160)," ")),'TRANS'!$D:$D,0)),IFERROR(INDEX('Catalog'!$A:$A,MATCH($B1163,'Catalog'!$B:$B,0)),IFERROR(INDEX('Catalog'!$A:$A,MATCH(TRIM(SUBSTITUTE($B1163,CHAR(160)," ")),'Catalog'!$C:$C,0)),""))))</f>
        <v>4403042</v>
      </c>
      <c r="H1163" s="7" t="str">
        <f aca="false">IFERROR(INDEX('TRANS'!$C:$C,MATCH($B1163,'TRANS'!$A:$A,0)),IFERROR(INDEX('Catalog'!$B:$B,MATCH($G1163,'Catalog'!$A:$A,0)),$B1163))</f>
        <v>397A-גרבי טיסה אנטי בקטרי39-42</v>
      </c>
      <c r="I1163" s="7" t="str">
        <f aca="false">IF($G1163="","Unmatched","Matched")</f>
        <v>Matched</v>
      </c>
      <c r="J1163" s="7" t="n">
        <f aca="false">IF($G1163&lt;&gt;"",$G1163,$B1163)</f>
        <v>4403042</v>
      </c>
      <c r="K1163" s="7" t="str">
        <f aca="false">IF(COUNTIF($O$2:$O$16,$A1163)&gt;0,"Y","N")</f>
        <v>Y</v>
      </c>
    </row>
    <row r="1164" customFormat="false" ht="15" hidden="false" customHeight="false" outlineLevel="0" collapsed="false">
      <c r="A1164" s="7" t="s">
        <v>40</v>
      </c>
      <c r="B1164" s="7" t="s">
        <v>334</v>
      </c>
      <c r="C1164" s="8" t="n">
        <v>130</v>
      </c>
      <c r="D1164" s="8" t="n">
        <v>1507.92</v>
      </c>
      <c r="E1164" s="8" t="n">
        <v>0</v>
      </c>
      <c r="F1164" s="8" t="n">
        <v>0</v>
      </c>
      <c r="G1164" s="7" t="n">
        <f aca="false">IFERROR(INDEX('TRANS'!$B:$B,MATCH($B1164,'TRANS'!$A:$A,0)),IFERROR(INDEX('TRANS'!$B:$B,MATCH(TRIM(SUBSTITUTE($B1164,CHAR(160)," ")),'TRANS'!$D:$D,0)),IFERROR(INDEX('Catalog'!$A:$A,MATCH($B1164,'Catalog'!$B:$B,0)),IFERROR(INDEX('Catalog'!$A:$A,MATCH(TRIM(SUBSTITUTE($B1164,CHAR(160)," ")),'Catalog'!$C:$C,0)),""))))</f>
        <v>4413092</v>
      </c>
      <c r="H1164" s="7" t="str">
        <f aca="false">IFERROR(INDEX('TRANS'!$C:$C,MATCH($B1164,'TRANS'!$A:$A,0)),IFERROR(INDEX('Catalog'!$B:$B,MATCH($G1164,'Catalog'!$A:$A,0)),$B1164))</f>
        <v>45 L מגן ברך לבן</v>
      </c>
      <c r="I1164" s="7" t="str">
        <f aca="false">IF($G1164="","Unmatched","Matched")</f>
        <v>Matched</v>
      </c>
      <c r="J1164" s="7" t="n">
        <f aca="false">IF($G1164&lt;&gt;"",$G1164,$B1164)</f>
        <v>4413092</v>
      </c>
      <c r="K1164" s="7" t="str">
        <f aca="false">IF(COUNTIF($O$2:$O$16,$A1164)&gt;0,"Y","N")</f>
        <v>Y</v>
      </c>
    </row>
    <row r="1165" customFormat="false" ht="15" hidden="false" customHeight="false" outlineLevel="0" collapsed="false">
      <c r="A1165" s="7" t="s">
        <v>40</v>
      </c>
      <c r="B1165" s="7" t="s">
        <v>335</v>
      </c>
      <c r="C1165" s="8" t="n">
        <v>140</v>
      </c>
      <c r="D1165" s="8" t="n">
        <v>1623.82</v>
      </c>
      <c r="E1165" s="8" t="n">
        <v>0</v>
      </c>
      <c r="F1165" s="8" t="n">
        <v>0</v>
      </c>
      <c r="G1165" s="7" t="n">
        <f aca="false">IFERROR(INDEX('TRANS'!$B:$B,MATCH($B1165,'TRANS'!$A:$A,0)),IFERROR(INDEX('TRANS'!$B:$B,MATCH(TRIM(SUBSTITUTE($B1165,CHAR(160)," ")),'TRANS'!$D:$D,0)),IFERROR(INDEX('Catalog'!$A:$A,MATCH($B1165,'Catalog'!$B:$B,0)),IFERROR(INDEX('Catalog'!$A:$A,MATCH(TRIM(SUBSTITUTE($B1165,CHAR(160)," ")),'Catalog'!$C:$C,0)),""))))</f>
        <v>4413093</v>
      </c>
      <c r="H1165" s="7" t="str">
        <f aca="false">IFERROR(INDEX('TRANS'!$C:$C,MATCH($B1165,'TRANS'!$A:$A,0)),IFERROR(INDEX('Catalog'!$B:$B,MATCH($G1165,'Catalog'!$A:$A,0)),$B1165))</f>
        <v>45 M מגן ברך לבן</v>
      </c>
      <c r="I1165" s="7" t="str">
        <f aca="false">IF($G1165="","Unmatched","Matched")</f>
        <v>Matched</v>
      </c>
      <c r="J1165" s="7" t="n">
        <f aca="false">IF($G1165&lt;&gt;"",$G1165,$B1165)</f>
        <v>4413093</v>
      </c>
      <c r="K1165" s="7" t="str">
        <f aca="false">IF(COUNTIF($O$2:$O$16,$A1165)&gt;0,"Y","N")</f>
        <v>Y</v>
      </c>
    </row>
    <row r="1166" customFormat="false" ht="15" hidden="false" customHeight="false" outlineLevel="0" collapsed="false">
      <c r="A1166" s="7" t="s">
        <v>40</v>
      </c>
      <c r="B1166" s="7" t="s">
        <v>336</v>
      </c>
      <c r="C1166" s="8" t="n">
        <v>90</v>
      </c>
      <c r="D1166" s="8" t="n">
        <v>1043.9</v>
      </c>
      <c r="E1166" s="8" t="n">
        <v>0</v>
      </c>
      <c r="F1166" s="8" t="n">
        <v>0</v>
      </c>
      <c r="G1166" s="7" t="n">
        <f aca="false">IFERROR(INDEX('TRANS'!$B:$B,MATCH($B1166,'TRANS'!$A:$A,0)),IFERROR(INDEX('TRANS'!$B:$B,MATCH(TRIM(SUBSTITUTE($B1166,CHAR(160)," ")),'TRANS'!$D:$D,0)),IFERROR(INDEX('Catalog'!$A:$A,MATCH($B1166,'Catalog'!$B:$B,0)),IFERROR(INDEX('Catalog'!$A:$A,MATCH(TRIM(SUBSTITUTE($B1166,CHAR(160)," ")),'Catalog'!$C:$C,0)),""))))</f>
        <v>4413094</v>
      </c>
      <c r="H1166" s="7" t="str">
        <f aca="false">IFERROR(INDEX('TRANS'!$C:$C,MATCH($B1166,'TRANS'!$A:$A,0)),IFERROR(INDEX('Catalog'!$B:$B,MATCH($G1166,'Catalog'!$A:$A,0)),$B1166))</f>
        <v>45 S מגן ברך לבן</v>
      </c>
      <c r="I1166" s="7" t="str">
        <f aca="false">IF($G1166="","Unmatched","Matched")</f>
        <v>Matched</v>
      </c>
      <c r="J1166" s="7" t="n">
        <f aca="false">IF($G1166&lt;&gt;"",$G1166,$B1166)</f>
        <v>4413094</v>
      </c>
      <c r="K1166" s="7" t="str">
        <f aca="false">IF(COUNTIF($O$2:$O$16,$A1166)&gt;0,"Y","N")</f>
        <v>Y</v>
      </c>
    </row>
    <row r="1167" customFormat="false" ht="15" hidden="false" customHeight="false" outlineLevel="0" collapsed="false">
      <c r="A1167" s="7" t="s">
        <v>40</v>
      </c>
      <c r="B1167" s="7" t="s">
        <v>337</v>
      </c>
      <c r="C1167" s="8" t="n">
        <v>70</v>
      </c>
      <c r="D1167" s="8" t="n">
        <v>811.07</v>
      </c>
      <c r="E1167" s="8" t="n">
        <v>0</v>
      </c>
      <c r="F1167" s="8" t="n">
        <v>0</v>
      </c>
      <c r="G1167" s="7" t="n">
        <f aca="false">IFERROR(INDEX('TRANS'!$B:$B,MATCH($B1167,'TRANS'!$A:$A,0)),IFERROR(INDEX('TRANS'!$B:$B,MATCH(TRIM(SUBSTITUTE($B1167,CHAR(160)," ")),'TRANS'!$D:$D,0)),IFERROR(INDEX('Catalog'!$A:$A,MATCH($B1167,'Catalog'!$B:$B,0)),IFERROR(INDEX('Catalog'!$A:$A,MATCH(TRIM(SUBSTITUTE($B1167,CHAR(160)," ")),'Catalog'!$C:$C,0)),""))))</f>
        <v>4413095</v>
      </c>
      <c r="H1167" s="7" t="str">
        <f aca="false">IFERROR(INDEX('TRANS'!$C:$C,MATCH($B1167,'TRANS'!$A:$A,0)),IFERROR(INDEX('Catalog'!$B:$B,MATCH($G1167,'Catalog'!$A:$A,0)),$B1167))</f>
        <v>45 XL מגן ברך לבן</v>
      </c>
      <c r="I1167" s="7" t="str">
        <f aca="false">IF($G1167="","Unmatched","Matched")</f>
        <v>Matched</v>
      </c>
      <c r="J1167" s="7" t="n">
        <f aca="false">IF($G1167&lt;&gt;"",$G1167,$B1167)</f>
        <v>4413095</v>
      </c>
      <c r="K1167" s="7" t="str">
        <f aca="false">IF(COUNTIF($O$2:$O$16,$A1167)&gt;0,"Y","N")</f>
        <v>Y</v>
      </c>
    </row>
    <row r="1168" customFormat="false" ht="15" hidden="false" customHeight="false" outlineLevel="0" collapsed="false">
      <c r="A1168" s="7" t="s">
        <v>40</v>
      </c>
      <c r="B1168" s="7" t="s">
        <v>640</v>
      </c>
      <c r="C1168" s="8" t="n">
        <v>1</v>
      </c>
      <c r="D1168" s="8" t="n">
        <v>46.89</v>
      </c>
      <c r="E1168" s="8" t="n">
        <v>0</v>
      </c>
      <c r="F1168" s="8" t="n">
        <v>0</v>
      </c>
      <c r="G1168" s="7" t="n">
        <f aca="false">IFERROR(INDEX('TRANS'!$B:$B,MATCH($B1168,'TRANS'!$A:$A,0)),IFERROR(INDEX('TRANS'!$B:$B,MATCH(TRIM(SUBSTITUTE($B1168,CHAR(160)," ")),'TRANS'!$D:$D,0)),IFERROR(INDEX('Catalog'!$A:$A,MATCH($B1168,'Catalog'!$B:$B,0)),IFERROR(INDEX('Catalog'!$A:$A,MATCH(TRIM(SUBSTITUTE($B1168,CHAR(160)," ")),'Catalog'!$C:$C,0)),""))))</f>
        <v>4413118</v>
      </c>
      <c r="H1168" s="7" t="str">
        <f aca="false">IFERROR(INDEX('TRANS'!$C:$C,MATCH($B1168,'TRANS'!$A:$A,0)),IFERROR(INDEX('Catalog'!$B:$B,MATCH($G1168,'Catalog'!$A:$A,0)),$B1168))</f>
        <v>50 M מתלה אשכים לאחר ניתוח</v>
      </c>
      <c r="I1168" s="7" t="str">
        <f aca="false">IF($G1168="","Unmatched","Matched")</f>
        <v>Matched</v>
      </c>
      <c r="J1168" s="7" t="n">
        <f aca="false">IF($G1168&lt;&gt;"",$G1168,$B1168)</f>
        <v>4413118</v>
      </c>
      <c r="K1168" s="7" t="str">
        <f aca="false">IF(COUNTIF($O$2:$O$16,$A1168)&gt;0,"Y","N")</f>
        <v>Y</v>
      </c>
    </row>
    <row r="1169" customFormat="false" ht="15" hidden="false" customHeight="false" outlineLevel="0" collapsed="false">
      <c r="A1169" s="7" t="s">
        <v>40</v>
      </c>
      <c r="B1169" s="7" t="s">
        <v>643</v>
      </c>
      <c r="C1169" s="8" t="n">
        <v>1</v>
      </c>
      <c r="D1169" s="8" t="n">
        <v>103.15</v>
      </c>
      <c r="E1169" s="8" t="n">
        <v>0</v>
      </c>
      <c r="F1169" s="8" t="n">
        <v>0</v>
      </c>
      <c r="G1169" s="7" t="n">
        <f aca="false">IFERROR(INDEX('TRANS'!$B:$B,MATCH($B1169,'TRANS'!$A:$A,0)),IFERROR(INDEX('TRANS'!$B:$B,MATCH(TRIM(SUBSTITUTE($B1169,CHAR(160)," ")),'TRANS'!$D:$D,0)),IFERROR(INDEX('Catalog'!$A:$A,MATCH($B1169,'Catalog'!$B:$B,0)),IFERROR(INDEX('Catalog'!$A:$A,MATCH(TRIM(SUBSTITUTE($B1169,CHAR(160)," ")),'Catalog'!$C:$C,0)),""))))</f>
        <v>4408070</v>
      </c>
      <c r="H1169" s="7" t="str">
        <f aca="false">IFERROR(INDEX('TRANS'!$C:$C,MATCH($B1169,'TRANS'!$A:$A,0)),IFERROR(INDEX('Catalog'!$B:$B,MATCH($G1169,'Catalog'!$A:$A,0)),$B1169))</f>
        <v>59D S חגורת שבר דו צדדי</v>
      </c>
      <c r="I1169" s="7" t="str">
        <f aca="false">IF($G1169="","Unmatched","Matched")</f>
        <v>Matched</v>
      </c>
      <c r="J1169" s="7" t="n">
        <f aca="false">IF($G1169&lt;&gt;"",$G1169,$B1169)</f>
        <v>4408070</v>
      </c>
      <c r="K1169" s="7" t="str">
        <f aca="false">IF(COUNTIF($O$2:$O$16,$A1169)&gt;0,"Y","N")</f>
        <v>Y</v>
      </c>
    </row>
    <row r="1170" customFormat="false" ht="15" hidden="false" customHeight="false" outlineLevel="0" collapsed="false">
      <c r="A1170" s="7" t="s">
        <v>40</v>
      </c>
      <c r="B1170" s="7" t="s">
        <v>346</v>
      </c>
      <c r="C1170" s="8" t="n">
        <v>75</v>
      </c>
      <c r="D1170" s="8" t="n">
        <v>827.52</v>
      </c>
      <c r="E1170" s="8" t="n">
        <v>0</v>
      </c>
      <c r="F1170" s="8" t="n">
        <v>0</v>
      </c>
      <c r="G1170" s="7" t="n">
        <f aca="false">IFERROR(INDEX('TRANS'!$B:$B,MATCH($B1170,'TRANS'!$A:$A,0)),IFERROR(INDEX('TRANS'!$B:$B,MATCH(TRIM(SUBSTITUTE($B1170,CHAR(160)," ")),'TRANS'!$D:$D,0)),IFERROR(INDEX('Catalog'!$A:$A,MATCH($B1170,'Catalog'!$B:$B,0)),IFERROR(INDEX('Catalog'!$A:$A,MATCH(TRIM(SUBSTITUTE($B1170,CHAR(160)," ")),'Catalog'!$C:$C,0)),""))))</f>
        <v>4422000</v>
      </c>
      <c r="H1170" s="7" t="str">
        <f aca="false">IFERROR(INDEX('TRANS'!$C:$C,MATCH($B1170,'TRANS'!$A:$A,0)),IFERROR(INDEX('Catalog'!$B:$B,MATCH($G1170,'Catalog'!$A:$A,0)),$B1170))</f>
        <v>801  תחבושת אלסטית מקררת</v>
      </c>
      <c r="I1170" s="7" t="str">
        <f aca="false">IF($G1170="","Unmatched","Matched")</f>
        <v>Matched</v>
      </c>
      <c r="J1170" s="7" t="n">
        <f aca="false">IF($G1170&lt;&gt;"",$G1170,$B1170)</f>
        <v>4422000</v>
      </c>
      <c r="K1170" s="7" t="str">
        <f aca="false">IF(COUNTIF($O$2:$O$16,$A1170)&gt;0,"Y","N")</f>
        <v>Y</v>
      </c>
    </row>
    <row r="1171" customFormat="false" ht="15" hidden="false" customHeight="false" outlineLevel="0" collapsed="false">
      <c r="A1171" s="7" t="s">
        <v>40</v>
      </c>
      <c r="B1171" s="7" t="s">
        <v>361</v>
      </c>
      <c r="C1171" s="8" t="n">
        <v>5</v>
      </c>
      <c r="D1171" s="8" t="n">
        <v>57.95</v>
      </c>
      <c r="E1171" s="8" t="n">
        <v>0</v>
      </c>
      <c r="F1171" s="8" t="n">
        <v>0</v>
      </c>
      <c r="G1171" s="7" t="n">
        <f aca="false">IFERROR(INDEX('TRANS'!$B:$B,MATCH($B1171,'TRANS'!$A:$A,0)),IFERROR(INDEX('TRANS'!$B:$B,MATCH(TRIM(SUBSTITUTE($B1171,CHAR(160)," ")),'TRANS'!$D:$D,0)),IFERROR(INDEX('Catalog'!$A:$A,MATCH($B1171,'Catalog'!$B:$B,0)),IFERROR(INDEX('Catalog'!$A:$A,MATCH(TRIM(SUBSTITUTE($B1171,CHAR(160)," ")),'Catalog'!$C:$C,0)),""))))</f>
        <v>4413140</v>
      </c>
      <c r="H1171" s="7" t="str">
        <f aca="false">IFERROR(INDEX('TRANS'!$C:$C,MATCH($B1171,'TRANS'!$A:$A,0)),IFERROR(INDEX('Catalog'!$B:$B,MATCH($G1171,'Catalog'!$A:$A,0)),$B1171))</f>
        <v>95 M מגן מרפק רגיל לבן</v>
      </c>
      <c r="I1171" s="7" t="str">
        <f aca="false">IF($G1171="","Unmatched","Matched")</f>
        <v>Matched</v>
      </c>
      <c r="J1171" s="7" t="n">
        <f aca="false">IF($G1171&lt;&gt;"",$G1171,$B1171)</f>
        <v>4413140</v>
      </c>
      <c r="K1171" s="7" t="str">
        <f aca="false">IF(COUNTIF($O$2:$O$16,$A1171)&gt;0,"Y","N")</f>
        <v>Y</v>
      </c>
    </row>
    <row r="1172" customFormat="false" ht="15" hidden="false" customHeight="false" outlineLevel="0" collapsed="false">
      <c r="A1172" s="7" t="s">
        <v>40</v>
      </c>
      <c r="B1172" s="7" t="s">
        <v>611</v>
      </c>
      <c r="C1172" s="8" t="n">
        <v>9</v>
      </c>
      <c r="D1172" s="8" t="n">
        <v>104.56</v>
      </c>
      <c r="E1172" s="8" t="n">
        <v>0</v>
      </c>
      <c r="F1172" s="8" t="n">
        <v>0</v>
      </c>
      <c r="G1172" s="7" t="n">
        <f aca="false">IFERROR(INDEX('TRANS'!$B:$B,MATCH($B1172,'TRANS'!$A:$A,0)),IFERROR(INDEX('TRANS'!$B:$B,MATCH(TRIM(SUBSTITUTE($B1172,CHAR(160)," ")),'TRANS'!$D:$D,0)),IFERROR(INDEX('Catalog'!$A:$A,MATCH($B1172,'Catalog'!$B:$B,0)),IFERROR(INDEX('Catalog'!$A:$A,MATCH(TRIM(SUBSTITUTE($B1172,CHAR(160)," ")),'Catalog'!$C:$C,0)),""))))</f>
        <v>4413142</v>
      </c>
      <c r="H1172" s="7" t="str">
        <f aca="false">IFERROR(INDEX('TRANS'!$C:$C,MATCH($B1172,'TRANS'!$A:$A,0)),IFERROR(INDEX('Catalog'!$B:$B,MATCH($G1172,'Catalog'!$A:$A,0)),$B1172))</f>
        <v>95 XL מגן מרפק רגיל לבן</v>
      </c>
      <c r="I1172" s="7" t="str">
        <f aca="false">IF($G1172="","Unmatched","Matched")</f>
        <v>Matched</v>
      </c>
      <c r="J1172" s="7" t="n">
        <f aca="false">IF($G1172&lt;&gt;"",$G1172,$B1172)</f>
        <v>4413142</v>
      </c>
      <c r="K1172" s="7" t="str">
        <f aca="false">IF(COUNTIF($O$2:$O$16,$A1172)&gt;0,"Y","N")</f>
        <v>Y</v>
      </c>
    </row>
    <row r="1173" customFormat="false" ht="15" hidden="false" customHeight="false" outlineLevel="0" collapsed="false">
      <c r="A1173" s="7" t="s">
        <v>40</v>
      </c>
      <c r="B1173" s="7" t="s">
        <v>376</v>
      </c>
      <c r="C1173" s="8" t="n">
        <v>420</v>
      </c>
      <c r="D1173" s="8" t="n">
        <v>20287.23</v>
      </c>
      <c r="E1173" s="8" t="n">
        <v>0</v>
      </c>
      <c r="F1173" s="8" t="n">
        <v>0</v>
      </c>
      <c r="G1173" s="7" t="n">
        <f aca="false">IFERROR(INDEX('TRANS'!$B:$B,MATCH($B1173,'TRANS'!$A:$A,0)),IFERROR(INDEX('TRANS'!$B:$B,MATCH(TRIM(SUBSTITUTE($B1173,CHAR(160)," ")),'TRANS'!$D:$D,0)),IFERROR(INDEX('Catalog'!$A:$A,MATCH($B1173,'Catalog'!$B:$B,0)),IFERROR(INDEX('Catalog'!$A:$A,MATCH(TRIM(SUBSTITUTE($B1173,CHAR(160)," ")),'Catalog'!$C:$C,0)),""))))</f>
        <v>4413328</v>
      </c>
      <c r="H1173" s="7" t="str">
        <f aca="false">IFERROR(INDEX('TRANS'!$C:$C,MATCH($B1173,'TRANS'!$A:$A,0)),IFERROR(INDEX('Catalog'!$B:$B,MATCH($G1173,'Catalog'!$A:$A,0)),$B1173))</f>
        <v>AC43D מגן ברך + צירים</v>
      </c>
      <c r="I1173" s="7" t="str">
        <f aca="false">IF($G1173="","Unmatched","Matched")</f>
        <v>Matched</v>
      </c>
      <c r="J1173" s="7" t="n">
        <f aca="false">IF($G1173&lt;&gt;"",$G1173,$B1173)</f>
        <v>4413328</v>
      </c>
      <c r="K1173" s="7" t="str">
        <f aca="false">IF(COUNTIF($O$2:$O$16,$A1173)&gt;0,"Y","N")</f>
        <v>Y</v>
      </c>
    </row>
    <row r="1174" customFormat="false" ht="15" hidden="false" customHeight="false" outlineLevel="0" collapsed="false">
      <c r="A1174" s="7" t="s">
        <v>40</v>
      </c>
      <c r="B1174" s="7" t="s">
        <v>377</v>
      </c>
      <c r="C1174" s="8" t="n">
        <v>340</v>
      </c>
      <c r="D1174" s="8" t="n">
        <v>12753.93</v>
      </c>
      <c r="E1174" s="8" t="n">
        <v>0</v>
      </c>
      <c r="F1174" s="8" t="n">
        <v>0</v>
      </c>
      <c r="G1174" s="7" t="n">
        <f aca="false">IFERROR(INDEX('TRANS'!$B:$B,MATCH($B1174,'TRANS'!$A:$A,0)),IFERROR(INDEX('TRANS'!$B:$B,MATCH(TRIM(SUBSTITUTE($B1174,CHAR(160)," ")),'TRANS'!$D:$D,0)),IFERROR(INDEX('Catalog'!$A:$A,MATCH($B1174,'Catalog'!$B:$B,0)),IFERROR(INDEX('Catalog'!$A:$A,MATCH(TRIM(SUBSTITUTE($B1174,CHAR(160)," ")),'Catalog'!$C:$C,0)),""))))</f>
        <v>4413329</v>
      </c>
      <c r="H1174" s="7" t="str">
        <f aca="false">IFERROR(INDEX('TRANS'!$C:$C,MATCH($B1174,'TRANS'!$A:$A,0)),IFERROR(INDEX('Catalog'!$B:$B,MATCH($G1174,'Catalog'!$A:$A,0)),$B1174))</f>
        <v>AC45X מגן ברך עם תמיכות</v>
      </c>
      <c r="I1174" s="7" t="str">
        <f aca="false">IF($G1174="","Unmatched","Matched")</f>
        <v>Matched</v>
      </c>
      <c r="J1174" s="7" t="n">
        <f aca="false">IF($G1174&lt;&gt;"",$G1174,$B1174)</f>
        <v>4413329</v>
      </c>
      <c r="K1174" s="7" t="str">
        <f aca="false">IF(COUNTIF($O$2:$O$16,$A1174)&gt;0,"Y","N")</f>
        <v>Y</v>
      </c>
    </row>
    <row r="1175" customFormat="false" ht="15" hidden="false" customHeight="false" outlineLevel="0" collapsed="false">
      <c r="A1175" s="7" t="s">
        <v>40</v>
      </c>
      <c r="B1175" s="7" t="s">
        <v>513</v>
      </c>
      <c r="C1175" s="8" t="n">
        <v>11</v>
      </c>
      <c r="D1175" s="8" t="n">
        <v>308.86</v>
      </c>
      <c r="E1175" s="8" t="n">
        <v>0</v>
      </c>
      <c r="F1175" s="8" t="n">
        <v>0</v>
      </c>
      <c r="G1175" s="7" t="n">
        <f aca="false">IFERROR(INDEX('TRANS'!$B:$B,MATCH($B1175,'TRANS'!$A:$A,0)),IFERROR(INDEX('TRANS'!$B:$B,MATCH(TRIM(SUBSTITUTE($B1175,CHAR(160)," ")),'TRANS'!$D:$D,0)),IFERROR(INDEX('Catalog'!$A:$A,MATCH($B1175,'Catalog'!$B:$B,0)),IFERROR(INDEX('Catalog'!$A:$A,MATCH(TRIM(SUBSTITUTE($B1175,CHAR(160)," ")),'Catalog'!$C:$C,0)),""))))</f>
        <v>4408270</v>
      </c>
      <c r="H1175" s="7" t="str">
        <f aca="false">IFERROR(INDEX('TRANS'!$C:$C,MATCH($B1175,'TRANS'!$A:$A,0)),IFERROR(INDEX('Catalog'!$B:$B,MATCH($G1175,'Catalog'!$A:$A,0)),$B1175))</f>
        <v>ST11  חגורת בטן</v>
      </c>
      <c r="I1175" s="7" t="str">
        <f aca="false">IF($G1175="","Unmatched","Matched")</f>
        <v>Matched</v>
      </c>
      <c r="J1175" s="7" t="n">
        <f aca="false">IF($G1175&lt;&gt;"",$G1175,$B1175)</f>
        <v>4408270</v>
      </c>
      <c r="K1175" s="7" t="str">
        <f aca="false">IF(COUNTIF($O$2:$O$16,$A1175)&gt;0,"Y","N")</f>
        <v>Y</v>
      </c>
    </row>
    <row r="1176" customFormat="false" ht="15" hidden="false" customHeight="false" outlineLevel="0" collapsed="false">
      <c r="A1176" s="7" t="s">
        <v>40</v>
      </c>
      <c r="B1176" s="7" t="s">
        <v>514</v>
      </c>
      <c r="C1176" s="8" t="n">
        <v>315</v>
      </c>
      <c r="D1176" s="8" t="n">
        <v>4650.86</v>
      </c>
      <c r="E1176" s="8" t="n">
        <v>300</v>
      </c>
      <c r="F1176" s="8" t="n">
        <v>3902.06</v>
      </c>
      <c r="G1176" s="7" t="n">
        <f aca="false">IFERROR(INDEX('TRANS'!$B:$B,MATCH($B1176,'TRANS'!$A:$A,0)),IFERROR(INDEX('TRANS'!$B:$B,MATCH(TRIM(SUBSTITUTE($B1176,CHAR(160)," ")),'TRANS'!$D:$D,0)),IFERROR(INDEX('Catalog'!$A:$A,MATCH($B1176,'Catalog'!$B:$B,0)),IFERROR(INDEX('Catalog'!$A:$A,MATCH(TRIM(SUBSTITUTE($B1176,CHAR(160)," ")),'Catalog'!$C:$C,0)),""))))</f>
        <v>4408267</v>
      </c>
      <c r="H1176" s="7" t="str">
        <f aca="false">IFERROR(INDEX('TRANS'!$C:$C,MATCH($B1176,'TRANS'!$A:$A,0)),IFERROR(INDEX('Catalog'!$B:$B,MATCH($G1176,'Catalog'!$A:$A,0)),$B1176))</f>
        <v>ST25 חבק שורש לכף היד</v>
      </c>
      <c r="I1176" s="7" t="str">
        <f aca="false">IF($G1176="","Unmatched","Matched")</f>
        <v>Matched</v>
      </c>
      <c r="J1176" s="7" t="n">
        <f aca="false">IF($G1176&lt;&gt;"",$G1176,$B1176)</f>
        <v>4408267</v>
      </c>
      <c r="K1176" s="7" t="str">
        <f aca="false">IF(COUNTIF($O$2:$O$16,$A1176)&gt;0,"Y","N")</f>
        <v>Y</v>
      </c>
    </row>
    <row r="1177" customFormat="false" ht="15" hidden="false" customHeight="false" outlineLevel="0" collapsed="false">
      <c r="A1177" s="7" t="s">
        <v>40</v>
      </c>
      <c r="B1177" s="7" t="s">
        <v>77</v>
      </c>
      <c r="C1177" s="8" t="n">
        <v>120</v>
      </c>
      <c r="D1177" s="8" t="n">
        <v>2242.4</v>
      </c>
      <c r="E1177" s="8" t="n">
        <v>60</v>
      </c>
      <c r="F1177" s="8" t="n">
        <v>988.52</v>
      </c>
      <c r="G1177" s="7" t="str">
        <f aca="false">IFERROR(INDEX('TRANS'!$B:$B,MATCH($B1177,'TRANS'!$A:$A,0)),IFERROR(INDEX('TRANS'!$B:$B,MATCH(TRIM(SUBSTITUTE($B1177,CHAR(160)," ")),'TRANS'!$D:$D,0)),IFERROR(INDEX('Catalog'!$A:$A,MATCH($B1177,'Catalog'!$B:$B,0)),IFERROR(INDEX('Catalog'!$A:$A,MATCH(TRIM(SUBSTITUTE($B1177,CHAR(160)," ")),'Catalog'!$C:$C,0)),""))))</f>
        <v/>
      </c>
      <c r="H1177" s="7" t="str">
        <f aca="false">IFERROR(INDEX('TRANS'!$C:$C,MATCH($B1177,'TRANS'!$A:$A,0)),IFERROR(INDEX('Catalog'!$B:$B,MATCH($G1177,'Catalog'!$A:$A,0)),$B1177))</f>
        <v>ST27L 0</v>
      </c>
      <c r="I1177" s="7" t="str">
        <f aca="false">IF($G1177="","Unmatched","Matched")</f>
        <v>Unmatched</v>
      </c>
      <c r="J1177" s="7" t="str">
        <f aca="false">IF($G1177&lt;&gt;"",$G1177,$B1177)</f>
        <v>ST27L 0</v>
      </c>
      <c r="K1177" s="7" t="str">
        <f aca="false">IF(COUNTIF($O$2:$O$16,$A1177)&gt;0,"Y","N")</f>
        <v>Y</v>
      </c>
    </row>
    <row r="1178" customFormat="false" ht="15" hidden="false" customHeight="false" outlineLevel="0" collapsed="false">
      <c r="A1178" s="7" t="s">
        <v>40</v>
      </c>
      <c r="B1178" s="7" t="s">
        <v>75</v>
      </c>
      <c r="C1178" s="8" t="n">
        <v>155</v>
      </c>
      <c r="D1178" s="8" t="n">
        <v>2893</v>
      </c>
      <c r="E1178" s="8" t="n">
        <v>55</v>
      </c>
      <c r="F1178" s="8" t="n">
        <v>906.15</v>
      </c>
      <c r="G1178" s="7" t="str">
        <f aca="false">IFERROR(INDEX('TRANS'!$B:$B,MATCH($B1178,'TRANS'!$A:$A,0)),IFERROR(INDEX('TRANS'!$B:$B,MATCH(TRIM(SUBSTITUTE($B1178,CHAR(160)," ")),'TRANS'!$D:$D,0)),IFERROR(INDEX('Catalog'!$A:$A,MATCH($B1178,'Catalog'!$B:$B,0)),IFERROR(INDEX('Catalog'!$A:$A,MATCH(TRIM(SUBSTITUTE($B1178,CHAR(160)," ")),'Catalog'!$C:$C,0)),""))))</f>
        <v/>
      </c>
      <c r="H1178" s="7" t="str">
        <f aca="false">IFERROR(INDEX('TRANS'!$C:$C,MATCH($B1178,'TRANS'!$A:$A,0)),IFERROR(INDEX('Catalog'!$B:$B,MATCH($G1178,'Catalog'!$A:$A,0)),$B1178))</f>
        <v>ST27R 0</v>
      </c>
      <c r="I1178" s="7" t="str">
        <f aca="false">IF($G1178="","Unmatched","Matched")</f>
        <v>Unmatched</v>
      </c>
      <c r="J1178" s="7" t="str">
        <f aca="false">IF($G1178&lt;&gt;"",$G1178,$B1178)</f>
        <v>ST27R 0</v>
      </c>
      <c r="K1178" s="7" t="str">
        <f aca="false">IF(COUNTIF($O$2:$O$16,$A1178)&gt;0,"Y","N")</f>
        <v>Y</v>
      </c>
    </row>
    <row r="1179" customFormat="false" ht="15" hidden="false" customHeight="false" outlineLevel="0" collapsed="false">
      <c r="A1179" s="7" t="s">
        <v>40</v>
      </c>
      <c r="B1179" s="7" t="s">
        <v>515</v>
      </c>
      <c r="C1179" s="8" t="n">
        <v>85</v>
      </c>
      <c r="D1179" s="8" t="n">
        <v>1492.33</v>
      </c>
      <c r="E1179" s="8" t="n">
        <v>110</v>
      </c>
      <c r="F1179" s="8" t="n">
        <v>1697.83</v>
      </c>
      <c r="G1179" s="7" t="n">
        <f aca="false">IFERROR(INDEX('TRANS'!$B:$B,MATCH($B1179,'TRANS'!$A:$A,0)),IFERROR(INDEX('TRANS'!$B:$B,MATCH(TRIM(SUBSTITUTE($B1179,CHAR(160)," ")),'TRANS'!$D:$D,0)),IFERROR(INDEX('Catalog'!$A:$A,MATCH($B1179,'Catalog'!$B:$B,0)),IFERROR(INDEX('Catalog'!$A:$A,MATCH(TRIM(SUBSTITUTE($B1179,CHAR(160)," ")),'Catalog'!$C:$C,0)),""))))</f>
        <v>4415177</v>
      </c>
      <c r="H1179" s="7" t="str">
        <f aca="false">IFERROR(INDEX('TRANS'!$C:$C,MATCH($B1179,'TRANS'!$A:$A,0)),IFERROR(INDEX('Catalog'!$B:$B,MATCH($G1179,'Catalog'!$A:$A,0)),$B1179))</f>
        <v>ST28 סד אגודלי עם מוט תמיכה</v>
      </c>
      <c r="I1179" s="7" t="str">
        <f aca="false">IF($G1179="","Unmatched","Matched")</f>
        <v>Matched</v>
      </c>
      <c r="J1179" s="7" t="n">
        <f aca="false">IF($G1179&lt;&gt;"",$G1179,$B1179)</f>
        <v>4415177</v>
      </c>
      <c r="K1179" s="7" t="str">
        <f aca="false">IF(COUNTIF($O$2:$O$16,$A1179)&gt;0,"Y","N")</f>
        <v>Y</v>
      </c>
    </row>
    <row r="1180" customFormat="false" ht="15" hidden="false" customHeight="false" outlineLevel="0" collapsed="false">
      <c r="A1180" s="7" t="s">
        <v>40</v>
      </c>
      <c r="B1180" s="7" t="s">
        <v>516</v>
      </c>
      <c r="C1180" s="8" t="n">
        <v>220</v>
      </c>
      <c r="D1180" s="8" t="n">
        <v>3805.52</v>
      </c>
      <c r="E1180" s="8" t="n">
        <v>70</v>
      </c>
      <c r="F1180" s="8" t="n">
        <v>1068.3</v>
      </c>
      <c r="G1180" s="7" t="n">
        <f aca="false">IFERROR(INDEX('TRANS'!$B:$B,MATCH($B1180,'TRANS'!$A:$A,0)),IFERROR(INDEX('TRANS'!$B:$B,MATCH(TRIM(SUBSTITUTE($B1180,CHAR(160)," ")),'TRANS'!$D:$D,0)),IFERROR(INDEX('Catalog'!$A:$A,MATCH($B1180,'Catalog'!$B:$B,0)),IFERROR(INDEX('Catalog'!$A:$A,MATCH(TRIM(SUBSTITUTE($B1180,CHAR(160)," ")),'Catalog'!$C:$C,0)),""))))</f>
        <v>4408269</v>
      </c>
      <c r="H1180" s="7" t="str">
        <f aca="false">IFERROR(INDEX('TRANS'!$C:$C,MATCH($B1180,'TRANS'!$A:$A,0)),IFERROR(INDEX('Catalog'!$B:$B,MATCH($G1180,'Catalog'!$A:$A,0)),$B1180))</f>
        <v>ST37 חבק לקרסול</v>
      </c>
      <c r="I1180" s="7" t="str">
        <f aca="false">IF($G1180="","Unmatched","Matched")</f>
        <v>Matched</v>
      </c>
      <c r="J1180" s="7" t="n">
        <f aca="false">IF($G1180&lt;&gt;"",$G1180,$B1180)</f>
        <v>4408269</v>
      </c>
      <c r="K1180" s="7" t="str">
        <f aca="false">IF(COUNTIF($O$2:$O$16,$A1180)&gt;0,"Y","N")</f>
        <v>Y</v>
      </c>
    </row>
    <row r="1181" customFormat="false" ht="15" hidden="false" customHeight="false" outlineLevel="0" collapsed="false">
      <c r="A1181" s="7" t="s">
        <v>40</v>
      </c>
      <c r="B1181" s="7" t="s">
        <v>59</v>
      </c>
      <c r="C1181" s="8" t="n">
        <v>470</v>
      </c>
      <c r="D1181" s="8" t="n">
        <v>9072.09</v>
      </c>
      <c r="E1181" s="8" t="n">
        <v>50</v>
      </c>
      <c r="F1181" s="8" t="n">
        <v>849.78</v>
      </c>
      <c r="G1181" s="7" t="str">
        <f aca="false">IFERROR(INDEX('TRANS'!$B:$B,MATCH($B1181,'TRANS'!$A:$A,0)),IFERROR(INDEX('TRANS'!$B:$B,MATCH(TRIM(SUBSTITUTE($B1181,CHAR(160)," ")),'TRANS'!$D:$D,0)),IFERROR(INDEX('Catalog'!$A:$A,MATCH($B1181,'Catalog'!$B:$B,0)),IFERROR(INDEX('Catalog'!$A:$A,MATCH(TRIM(SUBSTITUTE($B1181,CHAR(160)," ")),'Catalog'!$C:$C,0)),""))))</f>
        <v/>
      </c>
      <c r="H1181" s="7" t="str">
        <f aca="false">IFERROR(INDEX('TRANS'!$C:$C,MATCH($B1181,'TRANS'!$A:$A,0)),IFERROR(INDEX('Catalog'!$B:$B,MATCH($G1181,'Catalog'!$A:$A,0)),$B1181))</f>
        <v>ST45X 0</v>
      </c>
      <c r="I1181" s="7" t="str">
        <f aca="false">IF($G1181="","Unmatched","Matched")</f>
        <v>Unmatched</v>
      </c>
      <c r="J1181" s="7" t="str">
        <f aca="false">IF($G1181&lt;&gt;"",$G1181,$B1181)</f>
        <v>ST45X 0</v>
      </c>
      <c r="K1181" s="7" t="str">
        <f aca="false">IF(COUNTIF($O$2:$O$16,$A1181)&gt;0,"Y","N")</f>
        <v>Y</v>
      </c>
    </row>
    <row r="1182" customFormat="false" ht="15" hidden="false" customHeight="false" outlineLevel="0" collapsed="false">
      <c r="A1182" s="7" t="s">
        <v>40</v>
      </c>
      <c r="B1182" s="7" t="s">
        <v>517</v>
      </c>
      <c r="C1182" s="8" t="n">
        <v>0</v>
      </c>
      <c r="D1182" s="8" t="n">
        <v>0</v>
      </c>
      <c r="E1182" s="8" t="n">
        <v>5</v>
      </c>
      <c r="F1182" s="8" t="n">
        <v>86.54</v>
      </c>
      <c r="G1182" s="7" t="n">
        <f aca="false">IFERROR(INDEX('TRANS'!$B:$B,MATCH($B1182,'TRANS'!$A:$A,0)),IFERROR(INDEX('TRANS'!$B:$B,MATCH(TRIM(SUBSTITUTE($B1182,CHAR(160)," ")),'TRANS'!$D:$D,0)),IFERROR(INDEX('Catalog'!$A:$A,MATCH($B1182,'Catalog'!$B:$B,0)),IFERROR(INDEX('Catalog'!$A:$A,MATCH(TRIM(SUBSTITUTE($B1182,CHAR(160)," ")),'Catalog'!$C:$C,0)),""))))</f>
        <v>4413533</v>
      </c>
      <c r="H1182" s="7" t="str">
        <f aca="false">IFERROR(INDEX('TRANS'!$C:$C,MATCH($B1182,'TRANS'!$A:$A,0)),IFERROR(INDEX('Catalog'!$B:$B,MATCH($G1182,'Catalog'!$A:$A,0)),$B1182))</f>
        <v>ST49 מגן ירך</v>
      </c>
      <c r="I1182" s="7" t="str">
        <f aca="false">IF($G1182="","Unmatched","Matched")</f>
        <v>Matched</v>
      </c>
      <c r="J1182" s="7" t="n">
        <f aca="false">IF($G1182&lt;&gt;"",$G1182,$B1182)</f>
        <v>4413533</v>
      </c>
      <c r="K1182" s="7" t="str">
        <f aca="false">IF(COUNTIF($O$2:$O$16,$A1182)&gt;0,"Y","N")</f>
        <v>Y</v>
      </c>
    </row>
    <row r="1183" customFormat="false" ht="15" hidden="false" customHeight="false" outlineLevel="0" collapsed="false">
      <c r="A1183" s="7" t="s">
        <v>40</v>
      </c>
      <c r="B1183" s="7" t="s">
        <v>71</v>
      </c>
      <c r="C1183" s="8" t="n">
        <v>30</v>
      </c>
      <c r="D1183" s="8" t="n">
        <v>626.55</v>
      </c>
      <c r="E1183" s="8" t="n">
        <v>15</v>
      </c>
      <c r="F1183" s="8" t="n">
        <v>275.75</v>
      </c>
      <c r="G1183" s="7" t="str">
        <f aca="false">IFERROR(INDEX('TRANS'!$B:$B,MATCH($B1183,'TRANS'!$A:$A,0)),IFERROR(INDEX('TRANS'!$B:$B,MATCH(TRIM(SUBSTITUTE($B1183,CHAR(160)," ")),'TRANS'!$D:$D,0)),IFERROR(INDEX('Catalog'!$A:$A,MATCH($B1183,'Catalog'!$B:$B,0)),IFERROR(INDEX('Catalog'!$A:$A,MATCH(TRIM(SUBSTITUTE($B1183,CHAR(160)," ")),'Catalog'!$C:$C,0)),""))))</f>
        <v/>
      </c>
      <c r="H1183" s="7" t="str">
        <f aca="false">IFERROR(INDEX('TRANS'!$C:$C,MATCH($B1183,'TRANS'!$A:$A,0)),IFERROR(INDEX('Catalog'!$B:$B,MATCH($G1183,'Catalog'!$A:$A,0)),$B1183))</f>
        <v>ST95 0</v>
      </c>
      <c r="I1183" s="7" t="str">
        <f aca="false">IF($G1183="","Unmatched","Matched")</f>
        <v>Unmatched</v>
      </c>
      <c r="J1183" s="7" t="str">
        <f aca="false">IF($G1183&lt;&gt;"",$G1183,$B1183)</f>
        <v>ST95 0</v>
      </c>
      <c r="K1183" s="7" t="str">
        <f aca="false">IF(COUNTIF($O$2:$O$16,$A1183)&gt;0,"Y","N")</f>
        <v>Y</v>
      </c>
    </row>
    <row r="1184" customFormat="false" ht="15" hidden="false" customHeight="false" outlineLevel="0" collapsed="false">
      <c r="A1184" s="7" t="s">
        <v>40</v>
      </c>
      <c r="B1184" s="7" t="s">
        <v>659</v>
      </c>
      <c r="C1184" s="8" t="n">
        <v>55</v>
      </c>
      <c r="D1184" s="8" t="n">
        <v>2642.49</v>
      </c>
      <c r="E1184" s="8" t="n">
        <v>0</v>
      </c>
      <c r="F1184" s="8" t="n">
        <v>0</v>
      </c>
      <c r="G1184" s="7" t="n">
        <f aca="false">IFERROR(INDEX('TRANS'!$B:$B,MATCH($B1184,'TRANS'!$A:$A,0)),IFERROR(INDEX('TRANS'!$B:$B,MATCH(TRIM(SUBSTITUTE($B1184,CHAR(160)," ")),'TRANS'!$D:$D,0)),IFERROR(INDEX('Catalog'!$A:$A,MATCH($B1184,'Catalog'!$B:$B,0)),IFERROR(INDEX('Catalog'!$A:$A,MATCH(TRIM(SUBSTITUTE($B1184,CHAR(160)," ")),'Catalog'!$C:$C,0)),""))))</f>
        <v>4413184</v>
      </c>
      <c r="H1184" s="7" t="str">
        <f aca="false">IFERROR(INDEX('TRANS'!$C:$C,MATCH($B1184,'TRANS'!$A:$A,0)),IFERROR(INDEX('Catalog'!$B:$B,MATCH($G1184,'Catalog'!$A:$A,0)),$B1184))</f>
        <v>T 45 L מגן ברך רגיל</v>
      </c>
      <c r="I1184" s="7" t="str">
        <f aca="false">IF($G1184="","Unmatched","Matched")</f>
        <v>Matched</v>
      </c>
      <c r="J1184" s="7" t="n">
        <f aca="false">IF($G1184&lt;&gt;"",$G1184,$B1184)</f>
        <v>4413184</v>
      </c>
      <c r="K1184" s="7" t="str">
        <f aca="false">IF(COUNTIF($O$2:$O$16,$A1184)&gt;0,"Y","N")</f>
        <v>Y</v>
      </c>
    </row>
    <row r="1185" customFormat="false" ht="15" hidden="false" customHeight="false" outlineLevel="0" collapsed="false">
      <c r="A1185" s="7" t="s">
        <v>40</v>
      </c>
      <c r="B1185" s="7" t="s">
        <v>660</v>
      </c>
      <c r="C1185" s="8" t="n">
        <v>50</v>
      </c>
      <c r="D1185" s="8" t="n">
        <v>2404.15</v>
      </c>
      <c r="E1185" s="8" t="n">
        <v>0</v>
      </c>
      <c r="F1185" s="8" t="n">
        <v>0</v>
      </c>
      <c r="G1185" s="7" t="n">
        <f aca="false">IFERROR(INDEX('TRANS'!$B:$B,MATCH($B1185,'TRANS'!$A:$A,0)),IFERROR(INDEX('TRANS'!$B:$B,MATCH(TRIM(SUBSTITUTE($B1185,CHAR(160)," ")),'TRANS'!$D:$D,0)),IFERROR(INDEX('Catalog'!$A:$A,MATCH($B1185,'Catalog'!$B:$B,0)),IFERROR(INDEX('Catalog'!$A:$A,MATCH(TRIM(SUBSTITUTE($B1185,CHAR(160)," ")),'Catalog'!$C:$C,0)),""))))</f>
        <v>4413183</v>
      </c>
      <c r="H1185" s="7" t="str">
        <f aca="false">IFERROR(INDEX('TRANS'!$C:$C,MATCH($B1185,'TRANS'!$A:$A,0)),IFERROR(INDEX('Catalog'!$B:$B,MATCH($G1185,'Catalog'!$A:$A,0)),$B1185))</f>
        <v>T 45 M מגן ברך רגיל</v>
      </c>
      <c r="I1185" s="7" t="str">
        <f aca="false">IF($G1185="","Unmatched","Matched")</f>
        <v>Matched</v>
      </c>
      <c r="J1185" s="7" t="n">
        <f aca="false">IF($G1185&lt;&gt;"",$G1185,$B1185)</f>
        <v>4413183</v>
      </c>
      <c r="K1185" s="7" t="str">
        <f aca="false">IF(COUNTIF($O$2:$O$16,$A1185)&gt;0,"Y","N")</f>
        <v>Y</v>
      </c>
    </row>
    <row r="1186" customFormat="false" ht="15" hidden="false" customHeight="false" outlineLevel="0" collapsed="false">
      <c r="A1186" s="7" t="s">
        <v>40</v>
      </c>
      <c r="B1186" s="7" t="s">
        <v>661</v>
      </c>
      <c r="C1186" s="8" t="n">
        <v>20</v>
      </c>
      <c r="D1186" s="8" t="n">
        <v>960.28</v>
      </c>
      <c r="E1186" s="8" t="n">
        <v>0</v>
      </c>
      <c r="F1186" s="8" t="n">
        <v>0</v>
      </c>
      <c r="G1186" s="7" t="n">
        <f aca="false">IFERROR(INDEX('TRANS'!$B:$B,MATCH($B1186,'TRANS'!$A:$A,0)),IFERROR(INDEX('TRANS'!$B:$B,MATCH(TRIM(SUBSTITUTE($B1186,CHAR(160)," ")),'TRANS'!$D:$D,0)),IFERROR(INDEX('Catalog'!$A:$A,MATCH($B1186,'Catalog'!$B:$B,0)),IFERROR(INDEX('Catalog'!$A:$A,MATCH(TRIM(SUBSTITUTE($B1186,CHAR(160)," ")),'Catalog'!$C:$C,0)),""))))</f>
        <v>4413182</v>
      </c>
      <c r="H1186" s="7" t="str">
        <f aca="false">IFERROR(INDEX('TRANS'!$C:$C,MATCH($B1186,'TRANS'!$A:$A,0)),IFERROR(INDEX('Catalog'!$B:$B,MATCH($G1186,'Catalog'!$A:$A,0)),$B1186))</f>
        <v>T45 S מגן ברך רגיל</v>
      </c>
      <c r="I1186" s="7" t="str">
        <f aca="false">IF($G1186="","Unmatched","Matched")</f>
        <v>Matched</v>
      </c>
      <c r="J1186" s="7" t="n">
        <f aca="false">IF($G1186&lt;&gt;"",$G1186,$B1186)</f>
        <v>4413182</v>
      </c>
      <c r="K1186" s="7" t="str">
        <f aca="false">IF(COUNTIF($O$2:$O$16,$A1186)&gt;0,"Y","N")</f>
        <v>Y</v>
      </c>
    </row>
    <row r="1187" customFormat="false" ht="15" hidden="false" customHeight="false" outlineLevel="0" collapsed="false">
      <c r="A1187" s="7" t="s">
        <v>40</v>
      </c>
      <c r="B1187" s="7" t="s">
        <v>662</v>
      </c>
      <c r="C1187" s="8" t="n">
        <v>30</v>
      </c>
      <c r="D1187" s="8" t="n">
        <v>1436.96</v>
      </c>
      <c r="E1187" s="8" t="n">
        <v>0</v>
      </c>
      <c r="F1187" s="8" t="n">
        <v>0</v>
      </c>
      <c r="G1187" s="7" t="n">
        <f aca="false">IFERROR(INDEX('TRANS'!$B:$B,MATCH($B1187,'TRANS'!$A:$A,0)),IFERROR(INDEX('TRANS'!$B:$B,MATCH(TRIM(SUBSTITUTE($B1187,CHAR(160)," ")),'TRANS'!$D:$D,0)),IFERROR(INDEX('Catalog'!$A:$A,MATCH($B1187,'Catalog'!$B:$B,0)),IFERROR(INDEX('Catalog'!$A:$A,MATCH(TRIM(SUBSTITUTE($B1187,CHAR(160)," ")),'Catalog'!$C:$C,0)),""))))</f>
        <v>4413185</v>
      </c>
      <c r="H1187" s="7" t="str">
        <f aca="false">IFERROR(INDEX('TRANS'!$C:$C,MATCH($B1187,'TRANS'!$A:$A,0)),IFERROR(INDEX('Catalog'!$B:$B,MATCH($G1187,'Catalog'!$A:$A,0)),$B1187))</f>
        <v>T 45XL מגן ברך רגיל</v>
      </c>
      <c r="I1187" s="7" t="str">
        <f aca="false">IF($G1187="","Unmatched","Matched")</f>
        <v>Matched</v>
      </c>
      <c r="J1187" s="7" t="n">
        <f aca="false">IF($G1187&lt;&gt;"",$G1187,$B1187)</f>
        <v>4413185</v>
      </c>
      <c r="K1187" s="7" t="str">
        <f aca="false">IF(COUNTIF($O$2:$O$16,$A1187)&gt;0,"Y","N")</f>
        <v>Y</v>
      </c>
    </row>
    <row r="1188" customFormat="false" ht="15" hidden="false" customHeight="false" outlineLevel="0" collapsed="false">
      <c r="A1188" s="7" t="s">
        <v>40</v>
      </c>
      <c r="B1188" s="7" t="s">
        <v>225</v>
      </c>
      <c r="C1188" s="8" t="n">
        <v>60</v>
      </c>
      <c r="D1188" s="8" t="n">
        <v>2875.95</v>
      </c>
      <c r="E1188" s="8" t="n">
        <v>0</v>
      </c>
      <c r="F1188" s="8" t="n">
        <v>0</v>
      </c>
      <c r="G1188" s="7" t="str">
        <f aca="false">IFERROR(INDEX('TRANS'!$B:$B,MATCH($B1188,'TRANS'!$A:$A,0)),IFERROR(INDEX('TRANS'!$B:$B,MATCH(TRIM(SUBSTITUTE($B1188,CHAR(160)," ")),'TRANS'!$D:$D,0)),IFERROR(INDEX('Catalog'!$A:$A,MATCH($B1188,'Catalog'!$B:$B,0)),IFERROR(INDEX('Catalog'!$A:$A,MATCH(TRIM(SUBSTITUTE($B1188,CHAR(160)," ")),'Catalog'!$C:$C,0)),""))))</f>
        <v/>
      </c>
      <c r="H1188" s="7" t="str">
        <f aca="false">IFERROR(INDEX('TRANS'!$C:$C,MATCH($B1188,'TRANS'!$A:$A,0)),IFERROR(INDEX('Catalog'!$B:$B,MATCH($G1188,'Catalog'!$A:$A,0)),$B1188))</f>
        <v>T45C L</v>
      </c>
      <c r="I1188" s="7" t="str">
        <f aca="false">IF($G1188="","Unmatched","Matched")</f>
        <v>Unmatched</v>
      </c>
      <c r="J1188" s="7" t="str">
        <f aca="false">IF($G1188&lt;&gt;"",$G1188,$B1188)</f>
        <v>T45C L</v>
      </c>
      <c r="K1188" s="7" t="str">
        <f aca="false">IF(COUNTIF($O$2:$O$16,$A1188)&gt;0,"Y","N")</f>
        <v>Y</v>
      </c>
    </row>
    <row r="1189" customFormat="false" ht="15" hidden="false" customHeight="false" outlineLevel="0" collapsed="false">
      <c r="A1189" s="7" t="s">
        <v>40</v>
      </c>
      <c r="B1189" s="7" t="s">
        <v>226</v>
      </c>
      <c r="C1189" s="8" t="n">
        <v>60</v>
      </c>
      <c r="D1189" s="8" t="n">
        <v>2875.95</v>
      </c>
      <c r="E1189" s="8" t="n">
        <v>0</v>
      </c>
      <c r="F1189" s="8" t="n">
        <v>0</v>
      </c>
      <c r="G1189" s="7" t="str">
        <f aca="false">IFERROR(INDEX('TRANS'!$B:$B,MATCH($B1189,'TRANS'!$A:$A,0)),IFERROR(INDEX('TRANS'!$B:$B,MATCH(TRIM(SUBSTITUTE($B1189,CHAR(160)," ")),'TRANS'!$D:$D,0)),IFERROR(INDEX('Catalog'!$A:$A,MATCH($B1189,'Catalog'!$B:$B,0)),IFERROR(INDEX('Catalog'!$A:$A,MATCH(TRIM(SUBSTITUTE($B1189,CHAR(160)," ")),'Catalog'!$C:$C,0)),""))))</f>
        <v/>
      </c>
      <c r="H1189" s="7" t="str">
        <f aca="false">IFERROR(INDEX('TRANS'!$C:$C,MATCH($B1189,'TRANS'!$A:$A,0)),IFERROR(INDEX('Catalog'!$B:$B,MATCH($G1189,'Catalog'!$A:$A,0)),$B1189))</f>
        <v>T45C M</v>
      </c>
      <c r="I1189" s="7" t="str">
        <f aca="false">IF($G1189="","Unmatched","Matched")</f>
        <v>Unmatched</v>
      </c>
      <c r="J1189" s="7" t="str">
        <f aca="false">IF($G1189&lt;&gt;"",$G1189,$B1189)</f>
        <v>T45C M</v>
      </c>
      <c r="K1189" s="7" t="str">
        <f aca="false">IF(COUNTIF($O$2:$O$16,$A1189)&gt;0,"Y","N")</f>
        <v>Y</v>
      </c>
    </row>
    <row r="1190" customFormat="false" ht="15" hidden="false" customHeight="false" outlineLevel="0" collapsed="false">
      <c r="A1190" s="7" t="s">
        <v>40</v>
      </c>
      <c r="B1190" s="7" t="s">
        <v>227</v>
      </c>
      <c r="C1190" s="8" t="n">
        <v>35</v>
      </c>
      <c r="D1190" s="8" t="n">
        <v>1677.64</v>
      </c>
      <c r="E1190" s="8" t="n">
        <v>0</v>
      </c>
      <c r="F1190" s="8" t="n">
        <v>0</v>
      </c>
      <c r="G1190" s="7" t="str">
        <f aca="false">IFERROR(INDEX('TRANS'!$B:$B,MATCH($B1190,'TRANS'!$A:$A,0)),IFERROR(INDEX('TRANS'!$B:$B,MATCH(TRIM(SUBSTITUTE($B1190,CHAR(160)," ")),'TRANS'!$D:$D,0)),IFERROR(INDEX('Catalog'!$A:$A,MATCH($B1190,'Catalog'!$B:$B,0)),IFERROR(INDEX('Catalog'!$A:$A,MATCH(TRIM(SUBSTITUTE($B1190,CHAR(160)," ")),'Catalog'!$C:$C,0)),""))))</f>
        <v/>
      </c>
      <c r="H1190" s="7" t="str">
        <f aca="false">IFERROR(INDEX('TRANS'!$C:$C,MATCH($B1190,'TRANS'!$A:$A,0)),IFERROR(INDEX('Catalog'!$B:$B,MATCH($G1190,'Catalog'!$A:$A,0)),$B1190))</f>
        <v>T45C S</v>
      </c>
      <c r="I1190" s="7" t="str">
        <f aca="false">IF($G1190="","Unmatched","Matched")</f>
        <v>Unmatched</v>
      </c>
      <c r="J1190" s="7" t="str">
        <f aca="false">IF($G1190&lt;&gt;"",$G1190,$B1190)</f>
        <v>T45C S</v>
      </c>
      <c r="K1190" s="7" t="str">
        <f aca="false">IF(COUNTIF($O$2:$O$16,$A1190)&gt;0,"Y","N")</f>
        <v>Y</v>
      </c>
    </row>
    <row r="1191" customFormat="false" ht="15" hidden="false" customHeight="false" outlineLevel="0" collapsed="false">
      <c r="A1191" s="7" t="s">
        <v>40</v>
      </c>
      <c r="B1191" s="7" t="s">
        <v>228</v>
      </c>
      <c r="C1191" s="8" t="n">
        <v>45</v>
      </c>
      <c r="D1191" s="8" t="n">
        <v>2156.97</v>
      </c>
      <c r="E1191" s="8" t="n">
        <v>0</v>
      </c>
      <c r="F1191" s="8" t="n">
        <v>0</v>
      </c>
      <c r="G1191" s="7" t="str">
        <f aca="false">IFERROR(INDEX('TRANS'!$B:$B,MATCH($B1191,'TRANS'!$A:$A,0)),IFERROR(INDEX('TRANS'!$B:$B,MATCH(TRIM(SUBSTITUTE($B1191,CHAR(160)," ")),'TRANS'!$D:$D,0)),IFERROR(INDEX('Catalog'!$A:$A,MATCH($B1191,'Catalog'!$B:$B,0)),IFERROR(INDEX('Catalog'!$A:$A,MATCH(TRIM(SUBSTITUTE($B1191,CHAR(160)," ")),'Catalog'!$C:$C,0)),""))))</f>
        <v/>
      </c>
      <c r="H1191" s="7" t="str">
        <f aca="false">IFERROR(INDEX('TRANS'!$C:$C,MATCH($B1191,'TRANS'!$A:$A,0)),IFERROR(INDEX('Catalog'!$B:$B,MATCH($G1191,'Catalog'!$A:$A,0)),$B1191))</f>
        <v>T45C XL</v>
      </c>
      <c r="I1191" s="7" t="str">
        <f aca="false">IF($G1191="","Unmatched","Matched")</f>
        <v>Unmatched</v>
      </c>
      <c r="J1191" s="7" t="str">
        <f aca="false">IF($G1191&lt;&gt;"",$G1191,$B1191)</f>
        <v>T45C XL</v>
      </c>
      <c r="K1191" s="7" t="str">
        <f aca="false">IF(COUNTIF($O$2:$O$16,$A1191)&gt;0,"Y","N")</f>
        <v>Y</v>
      </c>
    </row>
    <row r="1192" customFormat="false" ht="15" hidden="false" customHeight="false" outlineLevel="0" collapsed="false">
      <c r="A1192" s="7" t="s">
        <v>41</v>
      </c>
      <c r="B1192" s="7" t="s">
        <v>98</v>
      </c>
      <c r="C1192" s="8" t="n">
        <v>0</v>
      </c>
      <c r="D1192" s="8" t="n">
        <v>0</v>
      </c>
      <c r="E1192" s="8" t="n">
        <v>1</v>
      </c>
      <c r="F1192" s="8" t="n">
        <v>53.33</v>
      </c>
      <c r="G1192" s="7" t="str">
        <f aca="false">IFERROR(INDEX('TRANS'!$B:$B,MATCH($B1192,'TRANS'!$A:$A,0)),IFERROR(INDEX('TRANS'!$B:$B,MATCH(TRIM(SUBSTITUTE($B1192,CHAR(160)," ")),'TRANS'!$D:$D,0)),IFERROR(INDEX('Catalog'!$A:$A,MATCH($B1192,'Catalog'!$B:$B,0)),IFERROR(INDEX('Catalog'!$A:$A,MATCH(TRIM(SUBSTITUTE($B1192,CHAR(160)," ")),'Catalog'!$C:$C,0)),""))))</f>
        <v/>
      </c>
      <c r="H1192" s="7" t="str">
        <f aca="false">IFERROR(INDEX('TRANS'!$C:$C,MATCH($B1192,'TRANS'!$A:$A,0)),IFERROR(INDEX('Catalog'!$B:$B,MATCH($G1192,'Catalog'!$A:$A,0)),$B1192))</f>
        <v>11PS M</v>
      </c>
      <c r="I1192" s="7" t="str">
        <f aca="false">IF($G1192="","Unmatched","Matched")</f>
        <v>Unmatched</v>
      </c>
      <c r="J1192" s="7" t="str">
        <f aca="false">IF($G1192&lt;&gt;"",$G1192,$B1192)</f>
        <v>11PS M</v>
      </c>
      <c r="K1192" s="7" t="str">
        <f aca="false">IF(COUNTIF($O$2:$O$16,$A1192)&gt;0,"Y","N")</f>
        <v>Y</v>
      </c>
    </row>
    <row r="1193" customFormat="false" ht="15" hidden="false" customHeight="false" outlineLevel="0" collapsed="false">
      <c r="A1193" s="7" t="s">
        <v>41</v>
      </c>
      <c r="B1193" s="7" t="s">
        <v>614</v>
      </c>
      <c r="C1193" s="8" t="n">
        <v>0</v>
      </c>
      <c r="D1193" s="8" t="n">
        <v>0</v>
      </c>
      <c r="E1193" s="8" t="n">
        <v>1</v>
      </c>
      <c r="F1193" s="8" t="n">
        <v>53.33</v>
      </c>
      <c r="G1193" s="7" t="n">
        <f aca="false">IFERROR(INDEX('TRANS'!$B:$B,MATCH($B1193,'TRANS'!$A:$A,0)),IFERROR(INDEX('TRANS'!$B:$B,MATCH(TRIM(SUBSTITUTE($B1193,CHAR(160)," ")),'TRANS'!$D:$D,0)),IFERROR(INDEX('Catalog'!$A:$A,MATCH($B1193,'Catalog'!$B:$B,0)),IFERROR(INDEX('Catalog'!$A:$A,MATCH(TRIM(SUBSTITUTE($B1193,CHAR(160)," ")),'Catalog'!$C:$C,0)),""))))</f>
        <v>4408148</v>
      </c>
      <c r="H1193" s="7" t="str">
        <f aca="false">IFERROR(INDEX('TRANS'!$C:$C,MATCH($B1193,'TRANS'!$A:$A,0)),IFERROR(INDEX('Catalog'!$B:$B,MATCH($G1193,'Catalog'!$A:$A,0)),$B1193))</f>
        <v>11PS XLחגורה למנותחי בטן</v>
      </c>
      <c r="I1193" s="7" t="str">
        <f aca="false">IF($G1193="","Unmatched","Matched")</f>
        <v>Matched</v>
      </c>
      <c r="J1193" s="7" t="n">
        <f aca="false">IF($G1193&lt;&gt;"",$G1193,$B1193)</f>
        <v>4408148</v>
      </c>
      <c r="K1193" s="7" t="str">
        <f aca="false">IF(COUNTIF($O$2:$O$16,$A1193)&gt;0,"Y","N")</f>
        <v>Y</v>
      </c>
    </row>
    <row r="1194" customFormat="false" ht="15" hidden="false" customHeight="false" outlineLevel="0" collapsed="false">
      <c r="A1194" s="7" t="s">
        <v>41</v>
      </c>
      <c r="B1194" s="7" t="s">
        <v>91</v>
      </c>
      <c r="C1194" s="8" t="n">
        <v>0</v>
      </c>
      <c r="D1194" s="8" t="n">
        <v>0</v>
      </c>
      <c r="E1194" s="8" t="n">
        <v>3</v>
      </c>
      <c r="F1194" s="8" t="n">
        <v>101.54</v>
      </c>
      <c r="G1194" s="7" t="str">
        <f aca="false">IFERROR(INDEX('TRANS'!$B:$B,MATCH($B1194,'TRANS'!$A:$A,0)),IFERROR(INDEX('TRANS'!$B:$B,MATCH(TRIM(SUBSTITUTE($B1194,CHAR(160)," ")),'TRANS'!$D:$D,0)),IFERROR(INDEX('Catalog'!$A:$A,MATCH($B1194,'Catalog'!$B:$B,0)),IFERROR(INDEX('Catalog'!$A:$A,MATCH(TRIM(SUBSTITUTE($B1194,CHAR(160)," ")),'Catalog'!$C:$C,0)),""))))</f>
        <v/>
      </c>
      <c r="H1194" s="7" t="str">
        <f aca="false">IFERROR(INDEX('TRANS'!$C:$C,MATCH($B1194,'TRANS'!$A:$A,0)),IFERROR(INDEX('Catalog'!$B:$B,MATCH($G1194,'Catalog'!$A:$A,0)),$B1194))</f>
        <v>305-35-36</v>
      </c>
      <c r="I1194" s="7" t="str">
        <f aca="false">IF($G1194="","Unmatched","Matched")</f>
        <v>Unmatched</v>
      </c>
      <c r="J1194" s="7" t="str">
        <f aca="false">IF($G1194&lt;&gt;"",$G1194,$B1194)</f>
        <v>305-35-36</v>
      </c>
      <c r="K1194" s="7" t="str">
        <f aca="false">IF(COUNTIF($O$2:$O$16,$A1194)&gt;0,"Y","N")</f>
        <v>Y</v>
      </c>
    </row>
    <row r="1195" customFormat="false" ht="15" hidden="false" customHeight="false" outlineLevel="0" collapsed="false">
      <c r="A1195" s="7" t="s">
        <v>41</v>
      </c>
      <c r="B1195" s="7" t="s">
        <v>74</v>
      </c>
      <c r="C1195" s="8" t="n">
        <v>55</v>
      </c>
      <c r="D1195" s="8" t="n">
        <v>2056.22</v>
      </c>
      <c r="E1195" s="8" t="n">
        <v>35</v>
      </c>
      <c r="F1195" s="8" t="n">
        <v>1158.52</v>
      </c>
      <c r="G1195" s="7" t="str">
        <f aca="false">IFERROR(INDEX('TRANS'!$B:$B,MATCH($B1195,'TRANS'!$A:$A,0)),IFERROR(INDEX('TRANS'!$B:$B,MATCH(TRIM(SUBSTITUTE($B1195,CHAR(160)," ")),'TRANS'!$D:$D,0)),IFERROR(INDEX('Catalog'!$A:$A,MATCH($B1195,'Catalog'!$B:$B,0)),IFERROR(INDEX('Catalog'!$A:$A,MATCH(TRIM(SUBSTITUTE($B1195,CHAR(160)," ")),'Catalog'!$C:$C,0)),""))))</f>
        <v/>
      </c>
      <c r="H1195" s="7" t="str">
        <f aca="false">IFERROR(INDEX('TRANS'!$C:$C,MATCH($B1195,'TRANS'!$A:$A,0)),IFERROR(INDEX('Catalog'!$B:$B,MATCH($G1195,'Catalog'!$A:$A,0)),$B1195))</f>
        <v>305-37-38</v>
      </c>
      <c r="I1195" s="7" t="str">
        <f aca="false">IF($G1195="","Unmatched","Matched")</f>
        <v>Unmatched</v>
      </c>
      <c r="J1195" s="7" t="str">
        <f aca="false">IF($G1195&lt;&gt;"",$G1195,$B1195)</f>
        <v>305-37-38</v>
      </c>
      <c r="K1195" s="7" t="str">
        <f aca="false">IF(COUNTIF($O$2:$O$16,$A1195)&gt;0,"Y","N")</f>
        <v>Y</v>
      </c>
    </row>
    <row r="1196" customFormat="false" ht="15" hidden="false" customHeight="false" outlineLevel="0" collapsed="false">
      <c r="A1196" s="7" t="s">
        <v>41</v>
      </c>
      <c r="B1196" s="7" t="s">
        <v>67</v>
      </c>
      <c r="C1196" s="8" t="n">
        <v>85</v>
      </c>
      <c r="D1196" s="8" t="n">
        <v>3115.64</v>
      </c>
      <c r="E1196" s="8" t="n">
        <v>80</v>
      </c>
      <c r="F1196" s="8" t="n">
        <v>2681.55</v>
      </c>
      <c r="G1196" s="7" t="str">
        <f aca="false">IFERROR(INDEX('TRANS'!$B:$B,MATCH($B1196,'TRANS'!$A:$A,0)),IFERROR(INDEX('TRANS'!$B:$B,MATCH(TRIM(SUBSTITUTE($B1196,CHAR(160)," ")),'TRANS'!$D:$D,0)),IFERROR(INDEX('Catalog'!$A:$A,MATCH($B1196,'Catalog'!$B:$B,0)),IFERROR(INDEX('Catalog'!$A:$A,MATCH(TRIM(SUBSTITUTE($B1196,CHAR(160)," ")),'Catalog'!$C:$C,0)),""))))</f>
        <v/>
      </c>
      <c r="H1196" s="7" t="str">
        <f aca="false">IFERROR(INDEX('TRANS'!$C:$C,MATCH($B1196,'TRANS'!$A:$A,0)),IFERROR(INDEX('Catalog'!$B:$B,MATCH($G1196,'Catalog'!$A:$A,0)),$B1196))</f>
        <v>305-39-40</v>
      </c>
      <c r="I1196" s="7" t="str">
        <f aca="false">IF($G1196="","Unmatched","Matched")</f>
        <v>Unmatched</v>
      </c>
      <c r="J1196" s="7" t="str">
        <f aca="false">IF($G1196&lt;&gt;"",$G1196,$B1196)</f>
        <v>305-39-40</v>
      </c>
      <c r="K1196" s="7" t="str">
        <f aca="false">IF(COUNTIF($O$2:$O$16,$A1196)&gt;0,"Y","N")</f>
        <v>Y</v>
      </c>
    </row>
    <row r="1197" customFormat="false" ht="15" hidden="false" customHeight="false" outlineLevel="0" collapsed="false">
      <c r="A1197" s="7" t="s">
        <v>41</v>
      </c>
      <c r="B1197" s="7" t="s">
        <v>68</v>
      </c>
      <c r="C1197" s="8" t="n">
        <v>85</v>
      </c>
      <c r="D1197" s="8" t="n">
        <v>3113.49</v>
      </c>
      <c r="E1197" s="8" t="n">
        <v>115</v>
      </c>
      <c r="F1197" s="8" t="n">
        <v>3862.4</v>
      </c>
      <c r="G1197" s="7" t="str">
        <f aca="false">IFERROR(INDEX('TRANS'!$B:$B,MATCH($B1197,'TRANS'!$A:$A,0)),IFERROR(INDEX('TRANS'!$B:$B,MATCH(TRIM(SUBSTITUTE($B1197,CHAR(160)," ")),'TRANS'!$D:$D,0)),IFERROR(INDEX('Catalog'!$A:$A,MATCH($B1197,'Catalog'!$B:$B,0)),IFERROR(INDEX('Catalog'!$A:$A,MATCH(TRIM(SUBSTITUTE($B1197,CHAR(160)," ")),'Catalog'!$C:$C,0)),""))))</f>
        <v/>
      </c>
      <c r="H1197" s="7" t="str">
        <f aca="false">IFERROR(INDEX('TRANS'!$C:$C,MATCH($B1197,'TRANS'!$A:$A,0)),IFERROR(INDEX('Catalog'!$B:$B,MATCH($G1197,'Catalog'!$A:$A,0)),$B1197))</f>
        <v>305-41-42</v>
      </c>
      <c r="I1197" s="7" t="str">
        <f aca="false">IF($G1197="","Unmatched","Matched")</f>
        <v>Unmatched</v>
      </c>
      <c r="J1197" s="7" t="str">
        <f aca="false">IF($G1197&lt;&gt;"",$G1197,$B1197)</f>
        <v>305-41-42</v>
      </c>
      <c r="K1197" s="7" t="str">
        <f aca="false">IF(COUNTIF($O$2:$O$16,$A1197)&gt;0,"Y","N")</f>
        <v>Y</v>
      </c>
    </row>
    <row r="1198" customFormat="false" ht="15" hidden="false" customHeight="false" outlineLevel="0" collapsed="false">
      <c r="A1198" s="7" t="s">
        <v>41</v>
      </c>
      <c r="B1198" s="7" t="s">
        <v>66</v>
      </c>
      <c r="C1198" s="8" t="n">
        <v>140</v>
      </c>
      <c r="D1198" s="8" t="n">
        <v>5108.21</v>
      </c>
      <c r="E1198" s="8" t="n">
        <v>180</v>
      </c>
      <c r="F1198" s="8" t="n">
        <v>6040.01</v>
      </c>
      <c r="G1198" s="7" t="str">
        <f aca="false">IFERROR(INDEX('TRANS'!$B:$B,MATCH($B1198,'TRANS'!$A:$A,0)),IFERROR(INDEX('TRANS'!$B:$B,MATCH(TRIM(SUBSTITUTE($B1198,CHAR(160)," ")),'TRANS'!$D:$D,0)),IFERROR(INDEX('Catalog'!$A:$A,MATCH($B1198,'Catalog'!$B:$B,0)),IFERROR(INDEX('Catalog'!$A:$A,MATCH(TRIM(SUBSTITUTE($B1198,CHAR(160)," ")),'Catalog'!$C:$C,0)),""))))</f>
        <v/>
      </c>
      <c r="H1198" s="7" t="str">
        <f aca="false">IFERROR(INDEX('TRANS'!$C:$C,MATCH($B1198,'TRANS'!$A:$A,0)),IFERROR(INDEX('Catalog'!$B:$B,MATCH($G1198,'Catalog'!$A:$A,0)),$B1198))</f>
        <v>305-43-44</v>
      </c>
      <c r="I1198" s="7" t="str">
        <f aca="false">IF($G1198="","Unmatched","Matched")</f>
        <v>Unmatched</v>
      </c>
      <c r="J1198" s="7" t="str">
        <f aca="false">IF($G1198&lt;&gt;"",$G1198,$B1198)</f>
        <v>305-43-44</v>
      </c>
      <c r="K1198" s="7" t="str">
        <f aca="false">IF(COUNTIF($O$2:$O$16,$A1198)&gt;0,"Y","N")</f>
        <v>Y</v>
      </c>
    </row>
    <row r="1199" customFormat="false" ht="15" hidden="false" customHeight="false" outlineLevel="0" collapsed="false">
      <c r="A1199" s="7" t="s">
        <v>41</v>
      </c>
      <c r="B1199" s="7" t="s">
        <v>76</v>
      </c>
      <c r="C1199" s="8" t="n">
        <v>4</v>
      </c>
      <c r="D1199" s="8" t="n">
        <v>146.07</v>
      </c>
      <c r="E1199" s="8" t="n">
        <v>3</v>
      </c>
      <c r="F1199" s="8" t="n">
        <v>99.31</v>
      </c>
      <c r="G1199" s="7" t="str">
        <f aca="false">IFERROR(INDEX('TRANS'!$B:$B,MATCH($B1199,'TRANS'!$A:$A,0)),IFERROR(INDEX('TRANS'!$B:$B,MATCH(TRIM(SUBSTITUTE($B1199,CHAR(160)," ")),'TRANS'!$D:$D,0)),IFERROR(INDEX('Catalog'!$A:$A,MATCH($B1199,'Catalog'!$B:$B,0)),IFERROR(INDEX('Catalog'!$A:$A,MATCH(TRIM(SUBSTITUTE($B1199,CHAR(160)," ")),'Catalog'!$C:$C,0)),""))))</f>
        <v/>
      </c>
      <c r="H1199" s="7" t="str">
        <f aca="false">IFERROR(INDEX('TRANS'!$C:$C,MATCH($B1199,'TRANS'!$A:$A,0)),IFERROR(INDEX('Catalog'!$B:$B,MATCH($G1199,'Catalog'!$A:$A,0)),$B1199))</f>
        <v>305-45-46</v>
      </c>
      <c r="I1199" s="7" t="str">
        <f aca="false">IF($G1199="","Unmatched","Matched")</f>
        <v>Unmatched</v>
      </c>
      <c r="J1199" s="7" t="str">
        <f aca="false">IF($G1199&lt;&gt;"",$G1199,$B1199)</f>
        <v>305-45-46</v>
      </c>
      <c r="K1199" s="7" t="str">
        <f aca="false">IF(COUNTIF($O$2:$O$16,$A1199)&gt;0,"Y","N")</f>
        <v>Y</v>
      </c>
    </row>
    <row r="1200" customFormat="false" ht="15" hidden="false" customHeight="false" outlineLevel="0" collapsed="false">
      <c r="A1200" s="7" t="s">
        <v>41</v>
      </c>
      <c r="B1200" s="7" t="s">
        <v>448</v>
      </c>
      <c r="C1200" s="8" t="n">
        <v>27</v>
      </c>
      <c r="D1200" s="8" t="n">
        <v>858.7</v>
      </c>
      <c r="E1200" s="8" t="n">
        <v>22</v>
      </c>
      <c r="F1200" s="8" t="n">
        <v>645.37</v>
      </c>
      <c r="G1200" s="7" t="n">
        <f aca="false">IFERROR(INDEX('TRANS'!$B:$B,MATCH($B1200,'TRANS'!$A:$A,0)),IFERROR(INDEX('TRANS'!$B:$B,MATCH(TRIM(SUBSTITUTE($B1200,CHAR(160)," ")),'TRANS'!$D:$D,0)),IFERROR(INDEX('Catalog'!$A:$A,MATCH($B1200,'Catalog'!$B:$B,0)),IFERROR(INDEX('Catalog'!$A:$A,MATCH(TRIM(SUBSTITUTE($B1200,CHAR(160)," ")),'Catalog'!$C:$C,0)),""))))</f>
        <v>4413161</v>
      </c>
      <c r="H1200" s="7" t="str">
        <f aca="false">IFERROR(INDEX('TRANS'!$C:$C,MATCH($B1200,'TRANS'!$A:$A,0)),IFERROR(INDEX('Catalog'!$B:$B,MATCH($G1200,'Catalog'!$A:$A,0)),$B1200))</f>
        <v>34+ L מגן קרסול עקב סגור+רצוע</v>
      </c>
      <c r="I1200" s="7" t="str">
        <f aca="false">IF($G1200="","Unmatched","Matched")</f>
        <v>Matched</v>
      </c>
      <c r="J1200" s="7" t="n">
        <f aca="false">IF($G1200&lt;&gt;"",$G1200,$B1200)</f>
        <v>4413161</v>
      </c>
      <c r="K1200" s="7" t="str">
        <f aca="false">IF(COUNTIF($O$2:$O$16,$A1200)&gt;0,"Y","N")</f>
        <v>Y</v>
      </c>
    </row>
    <row r="1201" customFormat="false" ht="15" hidden="false" customHeight="false" outlineLevel="0" collapsed="false">
      <c r="A1201" s="7" t="s">
        <v>41</v>
      </c>
      <c r="B1201" s="7" t="s">
        <v>449</v>
      </c>
      <c r="C1201" s="8" t="n">
        <v>29</v>
      </c>
      <c r="D1201" s="8" t="n">
        <v>928.08</v>
      </c>
      <c r="E1201" s="8" t="n">
        <v>20</v>
      </c>
      <c r="F1201" s="8" t="n">
        <v>586.23</v>
      </c>
      <c r="G1201" s="7" t="n">
        <f aca="false">IFERROR(INDEX('TRANS'!$B:$B,MATCH($B1201,'TRANS'!$A:$A,0)),IFERROR(INDEX('TRANS'!$B:$B,MATCH(TRIM(SUBSTITUTE($B1201,CHAR(160)," ")),'TRANS'!$D:$D,0)),IFERROR(INDEX('Catalog'!$A:$A,MATCH($B1201,'Catalog'!$B:$B,0)),IFERROR(INDEX('Catalog'!$A:$A,MATCH(TRIM(SUBSTITUTE($B1201,CHAR(160)," ")),'Catalog'!$C:$C,0)),""))))</f>
        <v>4413160</v>
      </c>
      <c r="H1201" s="7" t="str">
        <f aca="false">IFERROR(INDEX('TRANS'!$C:$C,MATCH($B1201,'TRANS'!$A:$A,0)),IFERROR(INDEX('Catalog'!$B:$B,MATCH($G1201,'Catalog'!$A:$A,0)),$B1201))</f>
        <v>34+ M מגן קרסול עקב סגור+רצוע</v>
      </c>
      <c r="I1201" s="7" t="str">
        <f aca="false">IF($G1201="","Unmatched","Matched")</f>
        <v>Matched</v>
      </c>
      <c r="J1201" s="7" t="n">
        <f aca="false">IF($G1201&lt;&gt;"",$G1201,$B1201)</f>
        <v>4413160</v>
      </c>
      <c r="K1201" s="7" t="str">
        <f aca="false">IF(COUNTIF($O$2:$O$16,$A1201)&gt;0,"Y","N")</f>
        <v>Y</v>
      </c>
    </row>
    <row r="1202" customFormat="false" ht="15" hidden="false" customHeight="false" outlineLevel="0" collapsed="false">
      <c r="A1202" s="7" t="s">
        <v>41</v>
      </c>
      <c r="B1202" s="7" t="s">
        <v>450</v>
      </c>
      <c r="C1202" s="8" t="n">
        <v>10</v>
      </c>
      <c r="D1202" s="8" t="n">
        <v>324.64</v>
      </c>
      <c r="E1202" s="8" t="n">
        <v>14</v>
      </c>
      <c r="F1202" s="8" t="n">
        <v>408.82</v>
      </c>
      <c r="G1202" s="7" t="n">
        <f aca="false">IFERROR(INDEX('TRANS'!$B:$B,MATCH($B1202,'TRANS'!$A:$A,0)),IFERROR(INDEX('TRANS'!$B:$B,MATCH(TRIM(SUBSTITUTE($B1202,CHAR(160)," ")),'TRANS'!$D:$D,0)),IFERROR(INDEX('Catalog'!$A:$A,MATCH($B1202,'Catalog'!$B:$B,0)),IFERROR(INDEX('Catalog'!$A:$A,MATCH(TRIM(SUBSTITUTE($B1202,CHAR(160)," ")),'Catalog'!$C:$C,0)),""))))</f>
        <v>4413159</v>
      </c>
      <c r="H1202" s="7" t="str">
        <f aca="false">IFERROR(INDEX('TRANS'!$C:$C,MATCH($B1202,'TRANS'!$A:$A,0)),IFERROR(INDEX('Catalog'!$B:$B,MATCH($G1202,'Catalog'!$A:$A,0)),$B1202))</f>
        <v>34+ S מגן קרסול עקב סגור+רצוע</v>
      </c>
      <c r="I1202" s="7" t="str">
        <f aca="false">IF($G1202="","Unmatched","Matched")</f>
        <v>Matched</v>
      </c>
      <c r="J1202" s="7" t="n">
        <f aca="false">IF($G1202&lt;&gt;"",$G1202,$B1202)</f>
        <v>4413159</v>
      </c>
      <c r="K1202" s="7" t="str">
        <f aca="false">IF(COUNTIF($O$2:$O$16,$A1202)&gt;0,"Y","N")</f>
        <v>Y</v>
      </c>
    </row>
    <row r="1203" customFormat="false" ht="15" hidden="false" customHeight="false" outlineLevel="0" collapsed="false">
      <c r="A1203" s="7" t="s">
        <v>41</v>
      </c>
      <c r="B1203" s="7" t="s">
        <v>451</v>
      </c>
      <c r="C1203" s="8" t="n">
        <v>14</v>
      </c>
      <c r="D1203" s="8" t="n">
        <v>428.16</v>
      </c>
      <c r="E1203" s="8" t="n">
        <v>17</v>
      </c>
      <c r="F1203" s="8" t="n">
        <v>499.46</v>
      </c>
      <c r="G1203" s="7" t="n">
        <f aca="false">IFERROR(INDEX('TRANS'!$B:$B,MATCH($B1203,'TRANS'!$A:$A,0)),IFERROR(INDEX('TRANS'!$B:$B,MATCH(TRIM(SUBSTITUTE($B1203,CHAR(160)," ")),'TRANS'!$D:$D,0)),IFERROR(INDEX('Catalog'!$A:$A,MATCH($B1203,'Catalog'!$B:$B,0)),IFERROR(INDEX('Catalog'!$A:$A,MATCH(TRIM(SUBSTITUTE($B1203,CHAR(160)," ")),'Catalog'!$C:$C,0)),""))))</f>
        <v>4413162</v>
      </c>
      <c r="H1203" s="7" t="str">
        <f aca="false">IFERROR(INDEX('TRANS'!$C:$C,MATCH($B1203,'TRANS'!$A:$A,0)),IFERROR(INDEX('Catalog'!$B:$B,MATCH($G1203,'Catalog'!$A:$A,0)),$B1203))</f>
        <v>34+XL מגן קרסול עקב סגור+רצוע</v>
      </c>
      <c r="I1203" s="7" t="str">
        <f aca="false">IF($G1203="","Unmatched","Matched")</f>
        <v>Matched</v>
      </c>
      <c r="J1203" s="7" t="n">
        <f aca="false">IF($G1203&lt;&gt;"",$G1203,$B1203)</f>
        <v>4413162</v>
      </c>
      <c r="K1203" s="7" t="str">
        <f aca="false">IF(COUNTIF($O$2:$O$16,$A1203)&gt;0,"Y","N")</f>
        <v>Y</v>
      </c>
    </row>
    <row r="1204" customFormat="false" ht="15" hidden="false" customHeight="false" outlineLevel="0" collapsed="false">
      <c r="A1204" s="7" t="s">
        <v>41</v>
      </c>
      <c r="B1204" s="7" t="s">
        <v>528</v>
      </c>
      <c r="C1204" s="8" t="n">
        <v>0</v>
      </c>
      <c r="D1204" s="8" t="n">
        <v>0</v>
      </c>
      <c r="E1204" s="8" t="n">
        <v>15</v>
      </c>
      <c r="F1204" s="8" t="n">
        <v>461.4</v>
      </c>
      <c r="G1204" s="7" t="n">
        <f aca="false">IFERROR(INDEX('TRANS'!$B:$B,MATCH($B1204,'TRANS'!$A:$A,0)),IFERROR(INDEX('TRANS'!$B:$B,MATCH(TRIM(SUBSTITUTE($B1204,CHAR(160)," ")),'TRANS'!$D:$D,0)),IFERROR(INDEX('Catalog'!$A:$A,MATCH($B1204,'Catalog'!$B:$B,0)),IFERROR(INDEX('Catalog'!$A:$A,MATCH(TRIM(SUBSTITUTE($B1204,CHAR(160)," ")),'Catalog'!$C:$C,0)),""))))</f>
        <v>4408069</v>
      </c>
      <c r="H1204" s="7" t="str">
        <f aca="false">IFERROR(INDEX('TRANS'!$C:$C,MATCH($B1204,'TRANS'!$A:$A,0)),IFERROR(INDEX('Catalog'!$B:$B,MATCH($G1204,'Catalog'!$A:$A,0)),$B1204))</f>
        <v>38 .חבישת""""הלוקס ולגוס""""לאחר נית</v>
      </c>
      <c r="I1204" s="7" t="str">
        <f aca="false">IF($G1204="","Unmatched","Matched")</f>
        <v>Matched</v>
      </c>
      <c r="J1204" s="7" t="n">
        <f aca="false">IF($G1204&lt;&gt;"",$G1204,$B1204)</f>
        <v>4408069</v>
      </c>
      <c r="K1204" s="7" t="str">
        <f aca="false">IF(COUNTIF($O$2:$O$16,$A1204)&gt;0,"Y","N")</f>
        <v>Y</v>
      </c>
    </row>
    <row r="1205" customFormat="false" ht="15" hidden="false" customHeight="false" outlineLevel="0" collapsed="false">
      <c r="A1205" s="7" t="s">
        <v>41</v>
      </c>
      <c r="B1205" s="7" t="s">
        <v>101</v>
      </c>
      <c r="C1205" s="8" t="n">
        <v>12</v>
      </c>
      <c r="D1205" s="8" t="n">
        <v>243.01</v>
      </c>
      <c r="E1205" s="8" t="n">
        <v>12</v>
      </c>
      <c r="F1205" s="8" t="n">
        <v>202.62</v>
      </c>
      <c r="G1205" s="7" t="str">
        <f aca="false">IFERROR(INDEX('TRANS'!$B:$B,MATCH($B1205,'TRANS'!$A:$A,0)),IFERROR(INDEX('TRANS'!$B:$B,MATCH(TRIM(SUBSTITUTE($B1205,CHAR(160)," ")),'TRANS'!$D:$D,0)),IFERROR(INDEX('Catalog'!$A:$A,MATCH($B1205,'Catalog'!$B:$B,0)),IFERROR(INDEX('Catalog'!$A:$A,MATCH(TRIM(SUBSTITUTE($B1205,CHAR(160)," ")),'Catalog'!$C:$C,0)),""))))</f>
        <v/>
      </c>
      <c r="H1205" s="7" t="str">
        <f aca="false">IFERROR(INDEX('TRANS'!$C:$C,MATCH($B1205,'TRANS'!$A:$A,0)),IFERROR(INDEX('Catalog'!$B:$B,MATCH($G1205,'Catalog'!$A:$A,0)),$B1205))</f>
        <v>61 L</v>
      </c>
      <c r="I1205" s="7" t="str">
        <f aca="false">IF($G1205="","Unmatched","Matched")</f>
        <v>Unmatched</v>
      </c>
      <c r="J1205" s="7" t="str">
        <f aca="false">IF($G1205&lt;&gt;"",$G1205,$B1205)</f>
        <v>61 L</v>
      </c>
      <c r="K1205" s="7" t="str">
        <f aca="false">IF(COUNTIF($O$2:$O$16,$A1205)&gt;0,"Y","N")</f>
        <v>Y</v>
      </c>
    </row>
    <row r="1206" customFormat="false" ht="15" hidden="false" customHeight="false" outlineLevel="0" collapsed="false">
      <c r="A1206" s="7" t="s">
        <v>41</v>
      </c>
      <c r="B1206" s="7" t="s">
        <v>79</v>
      </c>
      <c r="C1206" s="8" t="n">
        <v>35</v>
      </c>
      <c r="D1206" s="8" t="n">
        <v>675.22</v>
      </c>
      <c r="E1206" s="8" t="n">
        <v>51</v>
      </c>
      <c r="F1206" s="8" t="n">
        <v>851.86</v>
      </c>
      <c r="G1206" s="7" t="str">
        <f aca="false">IFERROR(INDEX('TRANS'!$B:$B,MATCH($B1206,'TRANS'!$A:$A,0)),IFERROR(INDEX('TRANS'!$B:$B,MATCH(TRIM(SUBSTITUTE($B1206,CHAR(160)," ")),'TRANS'!$D:$D,0)),IFERROR(INDEX('Catalog'!$A:$A,MATCH($B1206,'Catalog'!$B:$B,0)),IFERROR(INDEX('Catalog'!$A:$A,MATCH(TRIM(SUBSTITUTE($B1206,CHAR(160)," ")),'Catalog'!$C:$C,0)),""))))</f>
        <v/>
      </c>
      <c r="H1206" s="7" t="str">
        <f aca="false">IFERROR(INDEX('TRANS'!$C:$C,MATCH($B1206,'TRANS'!$A:$A,0)),IFERROR(INDEX('Catalog'!$B:$B,MATCH($G1206,'Catalog'!$A:$A,0)),$B1206))</f>
        <v>61 M</v>
      </c>
      <c r="I1206" s="7" t="str">
        <f aca="false">IF($G1206="","Unmatched","Matched")</f>
        <v>Unmatched</v>
      </c>
      <c r="J1206" s="7" t="str">
        <f aca="false">IF($G1206&lt;&gt;"",$G1206,$B1206)</f>
        <v>61 M</v>
      </c>
      <c r="K1206" s="7" t="str">
        <f aca="false">IF(COUNTIF($O$2:$O$16,$A1206)&gt;0,"Y","N")</f>
        <v>Y</v>
      </c>
    </row>
    <row r="1207" customFormat="false" ht="15" hidden="false" customHeight="false" outlineLevel="0" collapsed="false">
      <c r="A1207" s="7" t="s">
        <v>41</v>
      </c>
      <c r="B1207" s="7" t="s">
        <v>87</v>
      </c>
      <c r="C1207" s="8" t="n">
        <v>5</v>
      </c>
      <c r="D1207" s="8" t="n">
        <v>101.26</v>
      </c>
      <c r="E1207" s="8" t="n">
        <v>15</v>
      </c>
      <c r="F1207" s="8" t="n">
        <v>253.27</v>
      </c>
      <c r="G1207" s="7" t="str">
        <f aca="false">IFERROR(INDEX('TRANS'!$B:$B,MATCH($B1207,'TRANS'!$A:$A,0)),IFERROR(INDEX('TRANS'!$B:$B,MATCH(TRIM(SUBSTITUTE($B1207,CHAR(160)," ")),'TRANS'!$D:$D,0)),IFERROR(INDEX('Catalog'!$A:$A,MATCH($B1207,'Catalog'!$B:$B,0)),IFERROR(INDEX('Catalog'!$A:$A,MATCH(TRIM(SUBSTITUTE($B1207,CHAR(160)," ")),'Catalog'!$C:$C,0)),""))))</f>
        <v/>
      </c>
      <c r="H1207" s="7" t="str">
        <f aca="false">IFERROR(INDEX('TRANS'!$C:$C,MATCH($B1207,'TRANS'!$A:$A,0)),IFERROR(INDEX('Catalog'!$B:$B,MATCH($G1207,'Catalog'!$A:$A,0)),$B1207))</f>
        <v>61 S</v>
      </c>
      <c r="I1207" s="7" t="str">
        <f aca="false">IF($G1207="","Unmatched","Matched")</f>
        <v>Unmatched</v>
      </c>
      <c r="J1207" s="7" t="str">
        <f aca="false">IF($G1207&lt;&gt;"",$G1207,$B1207)</f>
        <v>61 S</v>
      </c>
      <c r="K1207" s="7" t="str">
        <f aca="false">IF(COUNTIF($O$2:$O$16,$A1207)&gt;0,"Y","N")</f>
        <v>Y</v>
      </c>
    </row>
    <row r="1208" customFormat="false" ht="15" hidden="false" customHeight="false" outlineLevel="0" collapsed="false">
      <c r="A1208" s="7" t="s">
        <v>41</v>
      </c>
      <c r="B1208" s="7" t="s">
        <v>220</v>
      </c>
      <c r="C1208" s="8" t="n">
        <v>6</v>
      </c>
      <c r="D1208" s="8" t="n">
        <v>102.02</v>
      </c>
      <c r="E1208" s="8" t="n">
        <v>0</v>
      </c>
      <c r="F1208" s="8" t="n">
        <v>0</v>
      </c>
      <c r="G1208" s="7" t="str">
        <f aca="false">IFERROR(INDEX('TRANS'!$B:$B,MATCH($B1208,'TRANS'!$A:$A,0)),IFERROR(INDEX('TRANS'!$B:$B,MATCH(TRIM(SUBSTITUTE($B1208,CHAR(160)," ")),'TRANS'!$D:$D,0)),IFERROR(INDEX('Catalog'!$A:$A,MATCH($B1208,'Catalog'!$B:$B,0)),IFERROR(INDEX('Catalog'!$A:$A,MATCH(TRIM(SUBSTITUTE($B1208,CHAR(160)," ")),'Catalog'!$C:$C,0)),""))))</f>
        <v/>
      </c>
      <c r="H1208" s="7" t="str">
        <f aca="false">IFERROR(INDEX('TRANS'!$C:$C,MATCH($B1208,'TRANS'!$A:$A,0)),IFERROR(INDEX('Catalog'!$B:$B,MATCH($G1208,'Catalog'!$A:$A,0)),$B1208))</f>
        <v>61 XL</v>
      </c>
      <c r="I1208" s="7" t="str">
        <f aca="false">IF($G1208="","Unmatched","Matched")</f>
        <v>Unmatched</v>
      </c>
      <c r="J1208" s="7" t="str">
        <f aca="false">IF($G1208&lt;&gt;"",$G1208,$B1208)</f>
        <v>61 XL</v>
      </c>
      <c r="K1208" s="7" t="str">
        <f aca="false">IF(COUNTIF($O$2:$O$16,$A1208)&gt;0,"Y","N")</f>
        <v>Y</v>
      </c>
    </row>
    <row r="1209" customFormat="false" ht="15" hidden="false" customHeight="false" outlineLevel="0" collapsed="false">
      <c r="A1209" s="7" t="s">
        <v>41</v>
      </c>
      <c r="B1209" s="7" t="s">
        <v>172</v>
      </c>
      <c r="C1209" s="8" t="n">
        <v>0</v>
      </c>
      <c r="D1209" s="8" t="n">
        <v>0</v>
      </c>
      <c r="E1209" s="8" t="n">
        <v>1</v>
      </c>
      <c r="F1209" s="8" t="n">
        <v>0.03</v>
      </c>
      <c r="G1209" s="7" t="str">
        <f aca="false">IFERROR(INDEX('TRANS'!$B:$B,MATCH($B1209,'TRANS'!$A:$A,0)),IFERROR(INDEX('TRANS'!$B:$B,MATCH(TRIM(SUBSTITUTE($B1209,CHAR(160)," ")),'TRANS'!$D:$D,0)),IFERROR(INDEX('Catalog'!$A:$A,MATCH($B1209,'Catalog'!$B:$B,0)),IFERROR(INDEX('Catalog'!$A:$A,MATCH(TRIM(SUBSTITUTE($B1209,CHAR(160)," ")),'Catalog'!$C:$C,0)),""))))</f>
        <v/>
      </c>
      <c r="H1209" s="7" t="str">
        <f aca="false">IFERROR(INDEX('TRANS'!$C:$C,MATCH($B1209,'TRANS'!$A:$A,0)),IFERROR(INDEX('Catalog'!$B:$B,MATCH($G1209,'Catalog'!$A:$A,0)),$B1209))</f>
        <v>61BL-M</v>
      </c>
      <c r="I1209" s="7" t="str">
        <f aca="false">IF($G1209="","Unmatched","Matched")</f>
        <v>Unmatched</v>
      </c>
      <c r="J1209" s="7" t="str">
        <f aca="false">IF($G1209&lt;&gt;"",$G1209,$B1209)</f>
        <v>61BL-M</v>
      </c>
      <c r="K1209" s="7" t="str">
        <f aca="false">IF(COUNTIF($O$2:$O$16,$A1209)&gt;0,"Y","N")</f>
        <v>Y</v>
      </c>
    </row>
    <row r="1210" customFormat="false" ht="15" hidden="false" customHeight="false" outlineLevel="0" collapsed="false">
      <c r="A1210" s="7" t="s">
        <v>41</v>
      </c>
      <c r="B1210" s="7" t="s">
        <v>663</v>
      </c>
      <c r="C1210" s="8" t="n">
        <v>2</v>
      </c>
      <c r="D1210" s="8" t="n">
        <v>296.32</v>
      </c>
      <c r="E1210" s="8" t="n">
        <v>0</v>
      </c>
      <c r="F1210" s="8" t="n">
        <v>0</v>
      </c>
      <c r="G1210" s="7" t="n">
        <f aca="false">IFERROR(INDEX('TRANS'!$B:$B,MATCH($B1210,'TRANS'!$A:$A,0)),IFERROR(INDEX('TRANS'!$B:$B,MATCH(TRIM(SUBSTITUTE($B1210,CHAR(160)," ")),'TRANS'!$D:$D,0)),IFERROR(INDEX('Catalog'!$A:$A,MATCH($B1210,'Catalog'!$B:$B,0)),IFERROR(INDEX('Catalog'!$A:$A,MATCH(TRIM(SUBSTITUTE($B1210,CHAR(160)," ")),'Catalog'!$C:$C,0)),""))))</f>
        <v>4408272</v>
      </c>
      <c r="H1210" s="7" t="str">
        <f aca="false">IFERROR(INDEX('TRANS'!$C:$C,MATCH($B1210,'TRANS'!$A:$A,0)),IFERROR(INDEX('Catalog'!$B:$B,MATCH($G1210,'Catalog'!$A:$A,0)),$B1210))</f>
        <v>70N S חגורת פאבליק</v>
      </c>
      <c r="I1210" s="7" t="str">
        <f aca="false">IF($G1210="","Unmatched","Matched")</f>
        <v>Matched</v>
      </c>
      <c r="J1210" s="7" t="n">
        <f aca="false">IF($G1210&lt;&gt;"",$G1210,$B1210)</f>
        <v>4408272</v>
      </c>
      <c r="K1210" s="7" t="str">
        <f aca="false">IF(COUNTIF($O$2:$O$16,$A1210)&gt;0,"Y","N")</f>
        <v>Y</v>
      </c>
    </row>
    <row r="1211" customFormat="false" ht="15" hidden="false" customHeight="false" outlineLevel="0" collapsed="false">
      <c r="A1211" s="7" t="s">
        <v>41</v>
      </c>
      <c r="B1211" s="7" t="s">
        <v>664</v>
      </c>
      <c r="C1211" s="8" t="n">
        <v>22</v>
      </c>
      <c r="D1211" s="8" t="n">
        <v>3429.22</v>
      </c>
      <c r="E1211" s="8" t="n">
        <v>0</v>
      </c>
      <c r="F1211" s="8" t="n">
        <v>0</v>
      </c>
      <c r="G1211" s="7" t="n">
        <f aca="false">IFERROR(INDEX('TRANS'!$B:$B,MATCH($B1211,'TRANS'!$A:$A,0)),IFERROR(INDEX('TRANS'!$B:$B,MATCH(TRIM(SUBSTITUTE($B1211,CHAR(160)," ")),'TRANS'!$D:$D,0)),IFERROR(INDEX('Catalog'!$A:$A,MATCH($B1211,'Catalog'!$B:$B,0)),IFERROR(INDEX('Catalog'!$A:$A,MATCH(TRIM(SUBSTITUTE($B1211,CHAR(160)," ")),'Catalog'!$C:$C,0)),""))))</f>
        <v>4408271</v>
      </c>
      <c r="H1211" s="7" t="str">
        <f aca="false">IFERROR(INDEX('TRANS'!$C:$C,MATCH($B1211,'TRANS'!$A:$A,0)),IFERROR(INDEX('Catalog'!$B:$B,MATCH($G1211,'Catalog'!$A:$A,0)),$B1211))</f>
        <v>70N XS חגורת פאבליק</v>
      </c>
      <c r="I1211" s="7" t="str">
        <f aca="false">IF($G1211="","Unmatched","Matched")</f>
        <v>Matched</v>
      </c>
      <c r="J1211" s="7" t="n">
        <f aca="false">IF($G1211&lt;&gt;"",$G1211,$B1211)</f>
        <v>4408271</v>
      </c>
      <c r="K1211" s="7" t="str">
        <f aca="false">IF(COUNTIF($O$2:$O$16,$A1211)&gt;0,"Y","N")</f>
        <v>Y</v>
      </c>
    </row>
    <row r="1212" customFormat="false" ht="15" hidden="false" customHeight="false" outlineLevel="0" collapsed="false">
      <c r="A1212" s="7" t="s">
        <v>41</v>
      </c>
      <c r="B1212" s="7" t="s">
        <v>404</v>
      </c>
      <c r="C1212" s="8" t="n">
        <v>0</v>
      </c>
      <c r="D1212" s="8" t="n">
        <v>0</v>
      </c>
      <c r="E1212" s="8" t="n">
        <v>10</v>
      </c>
      <c r="F1212" s="8" t="n">
        <v>384.6</v>
      </c>
      <c r="G1212" s="7" t="n">
        <f aca="false">IFERROR(INDEX('TRANS'!$B:$B,MATCH($B1212,'TRANS'!$A:$A,0)),IFERROR(INDEX('TRANS'!$B:$B,MATCH(TRIM(SUBSTITUTE($B1212,CHAR(160)," ")),'TRANS'!$D:$D,0)),IFERROR(INDEX('Catalog'!$A:$A,MATCH($B1212,'Catalog'!$B:$B,0)),IFERROR(INDEX('Catalog'!$A:$A,MATCH(TRIM(SUBSTITUTE($B1212,CHAR(160)," ")),'Catalog'!$C:$C,0)),""))))</f>
        <v>4408205</v>
      </c>
      <c r="H1212" s="7" t="str">
        <f aca="false">IFERROR(INDEX('TRANS'!$C:$C,MATCH($B1212,'TRANS'!$A:$A,0)),IFERROR(INDEX('Catalog'!$B:$B,MATCH($G1212,'Catalog'!$A:$A,0)),$B1212))</f>
        <v>AC-07 חגורת גב עם תמיכות</v>
      </c>
      <c r="I1212" s="7" t="str">
        <f aca="false">IF($G1212="","Unmatched","Matched")</f>
        <v>Matched</v>
      </c>
      <c r="J1212" s="7" t="n">
        <f aca="false">IF($G1212&lt;&gt;"",$G1212,$B1212)</f>
        <v>4408205</v>
      </c>
      <c r="K1212" s="7" t="str">
        <f aca="false">IF(COUNTIF($O$2:$O$16,$A1212)&gt;0,"Y","N")</f>
        <v>Y</v>
      </c>
    </row>
    <row r="1213" customFormat="false" ht="15" hidden="false" customHeight="false" outlineLevel="0" collapsed="false">
      <c r="A1213" s="7" t="s">
        <v>41</v>
      </c>
      <c r="B1213" s="7" t="s">
        <v>371</v>
      </c>
      <c r="C1213" s="8" t="n">
        <v>45</v>
      </c>
      <c r="D1213" s="8" t="n">
        <v>725.03</v>
      </c>
      <c r="E1213" s="8" t="n">
        <v>35</v>
      </c>
      <c r="F1213" s="8" t="n">
        <v>505.34</v>
      </c>
      <c r="G1213" s="7" t="n">
        <f aca="false">IFERROR(INDEX('TRANS'!$B:$B,MATCH($B1213,'TRANS'!$A:$A,0)),IFERROR(INDEX('TRANS'!$B:$B,MATCH(TRIM(SUBSTITUTE($B1213,CHAR(160)," ")),'TRANS'!$D:$D,0)),IFERROR(INDEX('Catalog'!$A:$A,MATCH($B1213,'Catalog'!$B:$B,0)),IFERROR(INDEX('Catalog'!$A:$A,MATCH(TRIM(SUBSTITUTE($B1213,CHAR(160)," ")),'Catalog'!$C:$C,0)),""))))</f>
        <v>4408207</v>
      </c>
      <c r="H1213" s="7" t="str">
        <f aca="false">IFERROR(INDEX('TRANS'!$C:$C,MATCH($B1213,'TRANS'!$A:$A,0)),IFERROR(INDEX('Catalog'!$B:$B,MATCH($G1213,'Catalog'!$A:$A,0)),$B1213))</f>
        <v>AC-25 חבק לשורש כף היד</v>
      </c>
      <c r="I1213" s="7" t="str">
        <f aca="false">IF($G1213="","Unmatched","Matched")</f>
        <v>Matched</v>
      </c>
      <c r="J1213" s="7" t="n">
        <f aca="false">IF($G1213&lt;&gt;"",$G1213,$B1213)</f>
        <v>4408207</v>
      </c>
      <c r="K1213" s="7" t="str">
        <f aca="false">IF(COUNTIF($O$2:$O$16,$A1213)&gt;0,"Y","N")</f>
        <v>Y</v>
      </c>
    </row>
    <row r="1214" customFormat="false" ht="15" hidden="false" customHeight="false" outlineLevel="0" collapsed="false">
      <c r="A1214" s="7" t="s">
        <v>41</v>
      </c>
      <c r="B1214" s="7" t="s">
        <v>374</v>
      </c>
      <c r="C1214" s="8" t="n">
        <v>35</v>
      </c>
      <c r="D1214" s="8" t="n">
        <v>525.71</v>
      </c>
      <c r="E1214" s="8" t="n">
        <v>60</v>
      </c>
      <c r="F1214" s="8" t="n">
        <v>854.94</v>
      </c>
      <c r="G1214" s="7" t="n">
        <f aca="false">IFERROR(INDEX('TRANS'!$B:$B,MATCH($B1214,'TRANS'!$A:$A,0)),IFERROR(INDEX('TRANS'!$B:$B,MATCH(TRIM(SUBSTITUTE($B1214,CHAR(160)," ")),'TRANS'!$D:$D,0)),IFERROR(INDEX('Catalog'!$A:$A,MATCH($B1214,'Catalog'!$B:$B,0)),IFERROR(INDEX('Catalog'!$A:$A,MATCH(TRIM(SUBSTITUTE($B1214,CHAR(160)," ")),'Catalog'!$C:$C,0)),""))))</f>
        <v>4415028</v>
      </c>
      <c r="H1214" s="7" t="str">
        <f aca="false">IFERROR(INDEX('TRANS'!$C:$C,MATCH($B1214,'TRANS'!$A:$A,0)),IFERROR(INDEX('Catalog'!$B:$B,MATCH($G1214,'Catalog'!$A:$A,0)),$B1214))</f>
        <v>AC-28 סד לאגודל</v>
      </c>
      <c r="I1214" s="7" t="str">
        <f aca="false">IF($G1214="","Unmatched","Matched")</f>
        <v>Matched</v>
      </c>
      <c r="J1214" s="7" t="n">
        <f aca="false">IF($G1214&lt;&gt;"",$G1214,$B1214)</f>
        <v>4415028</v>
      </c>
      <c r="K1214" s="7" t="str">
        <f aca="false">IF(COUNTIF($O$2:$O$16,$A1214)&gt;0,"Y","N")</f>
        <v>Y</v>
      </c>
    </row>
    <row r="1215" customFormat="false" ht="15" hidden="false" customHeight="false" outlineLevel="0" collapsed="false">
      <c r="A1215" s="7" t="s">
        <v>41</v>
      </c>
      <c r="B1215" s="7" t="s">
        <v>376</v>
      </c>
      <c r="C1215" s="8" t="n">
        <v>80</v>
      </c>
      <c r="D1215" s="8" t="n">
        <v>3629.66</v>
      </c>
      <c r="E1215" s="8" t="n">
        <v>90</v>
      </c>
      <c r="F1215" s="8" t="n">
        <v>3724.37</v>
      </c>
      <c r="G1215" s="7" t="n">
        <f aca="false">IFERROR(INDEX('TRANS'!$B:$B,MATCH($B1215,'TRANS'!$A:$A,0)),IFERROR(INDEX('TRANS'!$B:$B,MATCH(TRIM(SUBSTITUTE($B1215,CHAR(160)," ")),'TRANS'!$D:$D,0)),IFERROR(INDEX('Catalog'!$A:$A,MATCH($B1215,'Catalog'!$B:$B,0)),IFERROR(INDEX('Catalog'!$A:$A,MATCH(TRIM(SUBSTITUTE($B1215,CHAR(160)," ")),'Catalog'!$C:$C,0)),""))))</f>
        <v>4413328</v>
      </c>
      <c r="H1215" s="7" t="str">
        <f aca="false">IFERROR(INDEX('TRANS'!$C:$C,MATCH($B1215,'TRANS'!$A:$A,0)),IFERROR(INDEX('Catalog'!$B:$B,MATCH($G1215,'Catalog'!$A:$A,0)),$B1215))</f>
        <v>AC43D מגן ברך + צירים</v>
      </c>
      <c r="I1215" s="7" t="str">
        <f aca="false">IF($G1215="","Unmatched","Matched")</f>
        <v>Matched</v>
      </c>
      <c r="J1215" s="7" t="n">
        <f aca="false">IF($G1215&lt;&gt;"",$G1215,$B1215)</f>
        <v>4413328</v>
      </c>
      <c r="K1215" s="7" t="str">
        <f aca="false">IF(COUNTIF($O$2:$O$16,$A1215)&gt;0,"Y","N")</f>
        <v>Y</v>
      </c>
    </row>
    <row r="1216" customFormat="false" ht="15" hidden="false" customHeight="false" outlineLevel="0" collapsed="false">
      <c r="A1216" s="7" t="s">
        <v>41</v>
      </c>
      <c r="B1216" s="7" t="s">
        <v>377</v>
      </c>
      <c r="C1216" s="8" t="n">
        <v>60</v>
      </c>
      <c r="D1216" s="8" t="n">
        <v>2052.22</v>
      </c>
      <c r="E1216" s="8" t="n">
        <v>75</v>
      </c>
      <c r="F1216" s="8" t="n">
        <v>2416.33</v>
      </c>
      <c r="G1216" s="7" t="n">
        <f aca="false">IFERROR(INDEX('TRANS'!$B:$B,MATCH($B1216,'TRANS'!$A:$A,0)),IFERROR(INDEX('TRANS'!$B:$B,MATCH(TRIM(SUBSTITUTE($B1216,CHAR(160)," ")),'TRANS'!$D:$D,0)),IFERROR(INDEX('Catalog'!$A:$A,MATCH($B1216,'Catalog'!$B:$B,0)),IFERROR(INDEX('Catalog'!$A:$A,MATCH(TRIM(SUBSTITUTE($B1216,CHAR(160)," ")),'Catalog'!$C:$C,0)),""))))</f>
        <v>4413329</v>
      </c>
      <c r="H1216" s="7" t="str">
        <f aca="false">IFERROR(INDEX('TRANS'!$C:$C,MATCH($B1216,'TRANS'!$A:$A,0)),IFERROR(INDEX('Catalog'!$B:$B,MATCH($G1216,'Catalog'!$A:$A,0)),$B1216))</f>
        <v>AC45X מגן ברך עם תמיכות</v>
      </c>
      <c r="I1216" s="7" t="str">
        <f aca="false">IF($G1216="","Unmatched","Matched")</f>
        <v>Matched</v>
      </c>
      <c r="J1216" s="7" t="n">
        <f aca="false">IF($G1216&lt;&gt;"",$G1216,$B1216)</f>
        <v>4413329</v>
      </c>
      <c r="K1216" s="7" t="str">
        <f aca="false">IF(COUNTIF($O$2:$O$16,$A1216)&gt;0,"Y","N")</f>
        <v>Y</v>
      </c>
    </row>
    <row r="1217" customFormat="false" ht="15" hidden="false" customHeight="false" outlineLevel="0" collapsed="false">
      <c r="A1217" s="7" t="s">
        <v>41</v>
      </c>
      <c r="B1217" s="7" t="s">
        <v>380</v>
      </c>
      <c r="C1217" s="8" t="n">
        <v>45</v>
      </c>
      <c r="D1217" s="8" t="n">
        <v>745.8</v>
      </c>
      <c r="E1217" s="8" t="n">
        <v>15</v>
      </c>
      <c r="F1217" s="8" t="n">
        <v>223.18</v>
      </c>
      <c r="G1217" s="7" t="n">
        <f aca="false">IFERROR(INDEX('TRANS'!$B:$B,MATCH($B1217,'TRANS'!$A:$A,0)),IFERROR(INDEX('TRANS'!$B:$B,MATCH(TRIM(SUBSTITUTE($B1217,CHAR(160)," ")),'TRANS'!$D:$D,0)),IFERROR(INDEX('Catalog'!$A:$A,MATCH($B1217,'Catalog'!$B:$B,0)),IFERROR(INDEX('Catalog'!$A:$A,MATCH(TRIM(SUBSTITUTE($B1217,CHAR(160)," ")),'Catalog'!$C:$C,0)),""))))</f>
        <v>4408208</v>
      </c>
      <c r="H1217" s="7" t="str">
        <f aca="false">IFERROR(INDEX('TRANS'!$C:$C,MATCH($B1217,'TRANS'!$A:$A,0)),IFERROR(INDEX('Catalog'!$B:$B,MATCH($G1217,'Catalog'!$A:$A,0)),$B1217))</f>
        <v>AC91 חבק טניס</v>
      </c>
      <c r="I1217" s="7" t="str">
        <f aca="false">IF($G1217="","Unmatched","Matched")</f>
        <v>Matched</v>
      </c>
      <c r="J1217" s="7" t="n">
        <f aca="false">IF($G1217&lt;&gt;"",$G1217,$B1217)</f>
        <v>4408208</v>
      </c>
      <c r="K1217" s="7" t="str">
        <f aca="false">IF(COUNTIF($O$2:$O$16,$A1217)&gt;0,"Y","N")</f>
        <v>Y</v>
      </c>
    </row>
    <row r="1218" customFormat="false" ht="15" hidden="false" customHeight="false" outlineLevel="0" collapsed="false">
      <c r="A1218" s="7" t="s">
        <v>41</v>
      </c>
      <c r="B1218" s="7" t="s">
        <v>405</v>
      </c>
      <c r="C1218" s="8" t="n">
        <v>12</v>
      </c>
      <c r="D1218" s="8" t="n">
        <v>223.76</v>
      </c>
      <c r="E1218" s="8" t="n">
        <v>5</v>
      </c>
      <c r="F1218" s="8" t="n">
        <v>79.48</v>
      </c>
      <c r="G1218" s="7" t="n">
        <f aca="false">IFERROR(INDEX('TRANS'!$B:$B,MATCH($B1218,'TRANS'!$A:$A,0)),IFERROR(INDEX('TRANS'!$B:$B,MATCH(TRIM(SUBSTITUTE($B1218,CHAR(160)," ")),'TRANS'!$D:$D,0)),IFERROR(INDEX('Catalog'!$A:$A,MATCH($B1218,'Catalog'!$B:$B,0)),IFERROR(INDEX('Catalog'!$A:$A,MATCH(TRIM(SUBSTITUTE($B1218,CHAR(160)," ")),'Catalog'!$C:$C,0)),""))))</f>
        <v>4413331</v>
      </c>
      <c r="H1218" s="7" t="str">
        <f aca="false">IFERROR(INDEX('TRANS'!$C:$C,MATCH($B1218,'TRANS'!$A:$A,0)),IFERROR(INDEX('Catalog'!$B:$B,MATCH($G1218,'Catalog'!$A:$A,0)),$B1218))</f>
        <v>AC95 מגן מרפק</v>
      </c>
      <c r="I1218" s="7" t="str">
        <f aca="false">IF($G1218="","Unmatched","Matched")</f>
        <v>Matched</v>
      </c>
      <c r="J1218" s="7" t="n">
        <f aca="false">IF($G1218&lt;&gt;"",$G1218,$B1218)</f>
        <v>4413331</v>
      </c>
      <c r="K1218" s="7" t="str">
        <f aca="false">IF(COUNTIF($O$2:$O$16,$A1218)&gt;0,"Y","N")</f>
        <v>Y</v>
      </c>
    </row>
    <row r="1219" customFormat="false" ht="15" hidden="false" customHeight="false" outlineLevel="0" collapsed="false">
      <c r="A1219" s="7" t="s">
        <v>41</v>
      </c>
      <c r="B1219" s="7" t="s">
        <v>513</v>
      </c>
      <c r="C1219" s="8" t="n">
        <v>100</v>
      </c>
      <c r="D1219" s="8" t="n">
        <v>2591.44</v>
      </c>
      <c r="E1219" s="8" t="n">
        <v>105</v>
      </c>
      <c r="F1219" s="8" t="n">
        <v>2526.26</v>
      </c>
      <c r="G1219" s="7" t="n">
        <f aca="false">IFERROR(INDEX('TRANS'!$B:$B,MATCH($B1219,'TRANS'!$A:$A,0)),IFERROR(INDEX('TRANS'!$B:$B,MATCH(TRIM(SUBSTITUTE($B1219,CHAR(160)," ")),'TRANS'!$D:$D,0)),IFERROR(INDEX('Catalog'!$A:$A,MATCH($B1219,'Catalog'!$B:$B,0)),IFERROR(INDEX('Catalog'!$A:$A,MATCH(TRIM(SUBSTITUTE($B1219,CHAR(160)," ")),'Catalog'!$C:$C,0)),""))))</f>
        <v>4408270</v>
      </c>
      <c r="H1219" s="7" t="str">
        <f aca="false">IFERROR(INDEX('TRANS'!$C:$C,MATCH($B1219,'TRANS'!$A:$A,0)),IFERROR(INDEX('Catalog'!$B:$B,MATCH($G1219,'Catalog'!$A:$A,0)),$B1219))</f>
        <v>ST11  חגורת בטן</v>
      </c>
      <c r="I1219" s="7" t="str">
        <f aca="false">IF($G1219="","Unmatched","Matched")</f>
        <v>Matched</v>
      </c>
      <c r="J1219" s="7" t="n">
        <f aca="false">IF($G1219&lt;&gt;"",$G1219,$B1219)</f>
        <v>4408270</v>
      </c>
      <c r="K1219" s="7" t="str">
        <f aca="false">IF(COUNTIF($O$2:$O$16,$A1219)&gt;0,"Y","N")</f>
        <v>Y</v>
      </c>
    </row>
    <row r="1220" customFormat="false" ht="15" hidden="false" customHeight="false" outlineLevel="0" collapsed="false">
      <c r="A1220" s="7" t="s">
        <v>41</v>
      </c>
      <c r="B1220" s="7" t="s">
        <v>514</v>
      </c>
      <c r="C1220" s="8" t="n">
        <v>170</v>
      </c>
      <c r="D1220" s="8" t="n">
        <v>2243.06</v>
      </c>
      <c r="E1220" s="8" t="n">
        <v>240</v>
      </c>
      <c r="F1220" s="8" t="n">
        <v>3037.35</v>
      </c>
      <c r="G1220" s="7" t="n">
        <f aca="false">IFERROR(INDEX('TRANS'!$B:$B,MATCH($B1220,'TRANS'!$A:$A,0)),IFERROR(INDEX('TRANS'!$B:$B,MATCH(TRIM(SUBSTITUTE($B1220,CHAR(160)," ")),'TRANS'!$D:$D,0)),IFERROR(INDEX('Catalog'!$A:$A,MATCH($B1220,'Catalog'!$B:$B,0)),IFERROR(INDEX('Catalog'!$A:$A,MATCH(TRIM(SUBSTITUTE($B1220,CHAR(160)," ")),'Catalog'!$C:$C,0)),""))))</f>
        <v>4408267</v>
      </c>
      <c r="H1220" s="7" t="str">
        <f aca="false">IFERROR(INDEX('TRANS'!$C:$C,MATCH($B1220,'TRANS'!$A:$A,0)),IFERROR(INDEX('Catalog'!$B:$B,MATCH($G1220,'Catalog'!$A:$A,0)),$B1220))</f>
        <v>ST25 חבק שורש לכף היד</v>
      </c>
      <c r="I1220" s="7" t="str">
        <f aca="false">IF($G1220="","Unmatched","Matched")</f>
        <v>Matched</v>
      </c>
      <c r="J1220" s="7" t="n">
        <f aca="false">IF($G1220&lt;&gt;"",$G1220,$B1220)</f>
        <v>4408267</v>
      </c>
      <c r="K1220" s="7" t="str">
        <f aca="false">IF(COUNTIF($O$2:$O$16,$A1220)&gt;0,"Y","N")</f>
        <v>Y</v>
      </c>
    </row>
    <row r="1221" customFormat="false" ht="15" hidden="false" customHeight="false" outlineLevel="0" collapsed="false">
      <c r="A1221" s="7" t="s">
        <v>41</v>
      </c>
      <c r="B1221" s="7" t="s">
        <v>516</v>
      </c>
      <c r="C1221" s="8" t="n">
        <v>0</v>
      </c>
      <c r="D1221" s="8" t="n">
        <v>0</v>
      </c>
      <c r="E1221" s="8" t="n">
        <v>25</v>
      </c>
      <c r="F1221" s="8" t="n">
        <v>376.06</v>
      </c>
      <c r="G1221" s="7" t="n">
        <f aca="false">IFERROR(INDEX('TRANS'!$B:$B,MATCH($B1221,'TRANS'!$A:$A,0)),IFERROR(INDEX('TRANS'!$B:$B,MATCH(TRIM(SUBSTITUTE($B1221,CHAR(160)," ")),'TRANS'!$D:$D,0)),IFERROR(INDEX('Catalog'!$A:$A,MATCH($B1221,'Catalog'!$B:$B,0)),IFERROR(INDEX('Catalog'!$A:$A,MATCH(TRIM(SUBSTITUTE($B1221,CHAR(160)," ")),'Catalog'!$C:$C,0)),""))))</f>
        <v>4408269</v>
      </c>
      <c r="H1221" s="7" t="str">
        <f aca="false">IFERROR(INDEX('TRANS'!$C:$C,MATCH($B1221,'TRANS'!$A:$A,0)),IFERROR(INDEX('Catalog'!$B:$B,MATCH($G1221,'Catalog'!$A:$A,0)),$B1221))</f>
        <v>ST37 חבק לקרסול</v>
      </c>
      <c r="I1221" s="7" t="str">
        <f aca="false">IF($G1221="","Unmatched","Matched")</f>
        <v>Matched</v>
      </c>
      <c r="J1221" s="7" t="n">
        <f aca="false">IF($G1221&lt;&gt;"",$G1221,$B1221)</f>
        <v>4408269</v>
      </c>
      <c r="K1221" s="7" t="str">
        <f aca="false">IF(COUNTIF($O$2:$O$16,$A1221)&gt;0,"Y","N")</f>
        <v>Y</v>
      </c>
    </row>
    <row r="1222" customFormat="false" ht="15" hidden="false" customHeight="false" outlineLevel="0" collapsed="false">
      <c r="A1222" s="7" t="s">
        <v>41</v>
      </c>
      <c r="B1222" s="7" t="s">
        <v>59</v>
      </c>
      <c r="C1222" s="8" t="n">
        <v>135</v>
      </c>
      <c r="D1222" s="8" t="n">
        <v>2227.44</v>
      </c>
      <c r="E1222" s="8" t="n">
        <v>155</v>
      </c>
      <c r="F1222" s="8" t="n">
        <v>2579.92</v>
      </c>
      <c r="G1222" s="7" t="str">
        <f aca="false">IFERROR(INDEX('TRANS'!$B:$B,MATCH($B1222,'TRANS'!$A:$A,0)),IFERROR(INDEX('TRANS'!$B:$B,MATCH(TRIM(SUBSTITUTE($B1222,CHAR(160)," ")),'TRANS'!$D:$D,0)),IFERROR(INDEX('Catalog'!$A:$A,MATCH($B1222,'Catalog'!$B:$B,0)),IFERROR(INDEX('Catalog'!$A:$A,MATCH(TRIM(SUBSTITUTE($B1222,CHAR(160)," ")),'Catalog'!$C:$C,0)),""))))</f>
        <v/>
      </c>
      <c r="H1222" s="7" t="str">
        <f aca="false">IFERROR(INDEX('TRANS'!$C:$C,MATCH($B1222,'TRANS'!$A:$A,0)),IFERROR(INDEX('Catalog'!$B:$B,MATCH($G1222,'Catalog'!$A:$A,0)),$B1222))</f>
        <v>ST45X 0</v>
      </c>
      <c r="I1222" s="7" t="str">
        <f aca="false">IF($G1222="","Unmatched","Matched")</f>
        <v>Unmatched</v>
      </c>
      <c r="J1222" s="7" t="str">
        <f aca="false">IF($G1222&lt;&gt;"",$G1222,$B1222)</f>
        <v>ST45X 0</v>
      </c>
      <c r="K1222" s="7" t="str">
        <f aca="false">IF(COUNTIF($O$2:$O$16,$A1222)&gt;0,"Y","N")</f>
        <v>Y</v>
      </c>
    </row>
    <row r="1223" customFormat="false" ht="15" hidden="false" customHeight="false" outlineLevel="0" collapsed="false">
      <c r="A1223" s="7" t="s">
        <v>41</v>
      </c>
      <c r="B1223" s="7" t="s">
        <v>517</v>
      </c>
      <c r="C1223" s="8" t="n">
        <v>30</v>
      </c>
      <c r="D1223" s="8" t="n">
        <v>520.1</v>
      </c>
      <c r="E1223" s="8" t="n">
        <v>30</v>
      </c>
      <c r="F1223" s="8" t="n">
        <v>476.74</v>
      </c>
      <c r="G1223" s="7" t="n">
        <f aca="false">IFERROR(INDEX('TRANS'!$B:$B,MATCH($B1223,'TRANS'!$A:$A,0)),IFERROR(INDEX('TRANS'!$B:$B,MATCH(TRIM(SUBSTITUTE($B1223,CHAR(160)," ")),'TRANS'!$D:$D,0)),IFERROR(INDEX('Catalog'!$A:$A,MATCH($B1223,'Catalog'!$B:$B,0)),IFERROR(INDEX('Catalog'!$A:$A,MATCH(TRIM(SUBSTITUTE($B1223,CHAR(160)," ")),'Catalog'!$C:$C,0)),""))))</f>
        <v>4413533</v>
      </c>
      <c r="H1223" s="7" t="str">
        <f aca="false">IFERROR(INDEX('TRANS'!$C:$C,MATCH($B1223,'TRANS'!$A:$A,0)),IFERROR(INDEX('Catalog'!$B:$B,MATCH($G1223,'Catalog'!$A:$A,0)),$B1223))</f>
        <v>ST49 מגן ירך</v>
      </c>
      <c r="I1223" s="7" t="str">
        <f aca="false">IF($G1223="","Unmatched","Matched")</f>
        <v>Matched</v>
      </c>
      <c r="J1223" s="7" t="n">
        <f aca="false">IF($G1223&lt;&gt;"",$G1223,$B1223)</f>
        <v>4413533</v>
      </c>
      <c r="K1223" s="7" t="str">
        <f aca="false">IF(COUNTIF($O$2:$O$16,$A1223)&gt;0,"Y","N")</f>
        <v>Y</v>
      </c>
    </row>
    <row r="1224" customFormat="false" ht="15" hidden="false" customHeight="false" outlineLevel="0" collapsed="false">
      <c r="A1224" s="7" t="s">
        <v>41</v>
      </c>
      <c r="B1224" s="7" t="s">
        <v>518</v>
      </c>
      <c r="C1224" s="8" t="n">
        <v>25</v>
      </c>
      <c r="D1224" s="8" t="n">
        <v>426.07</v>
      </c>
      <c r="E1224" s="8" t="n">
        <v>45</v>
      </c>
      <c r="F1224" s="8" t="n">
        <v>650.63</v>
      </c>
      <c r="G1224" s="7" t="n">
        <f aca="false">IFERROR(INDEX('TRANS'!$B:$B,MATCH($B1224,'TRANS'!$A:$A,0)),IFERROR(INDEX('TRANS'!$B:$B,MATCH(TRIM(SUBSTITUTE($B1224,CHAR(160)," ")),'TRANS'!$D:$D,0)),IFERROR(INDEX('Catalog'!$A:$A,MATCH($B1224,'Catalog'!$B:$B,0)),IFERROR(INDEX('Catalog'!$A:$A,MATCH(TRIM(SUBSTITUTE($B1224,CHAR(160)," ")),'Catalog'!$C:$C,0)),""))))</f>
        <v>4413531</v>
      </c>
      <c r="H1224" s="7" t="str">
        <f aca="false">IFERROR(INDEX('TRANS'!$C:$C,MATCH($B1224,'TRANS'!$A:$A,0)),IFERROR(INDEX('Catalog'!$B:$B,MATCH($G1224,'Catalog'!$A:$A,0)),$B1224))</f>
        <v>ST91 מגן מרפק לטניס</v>
      </c>
      <c r="I1224" s="7" t="str">
        <f aca="false">IF($G1224="","Unmatched","Matched")</f>
        <v>Matched</v>
      </c>
      <c r="J1224" s="7" t="n">
        <f aca="false">IF($G1224&lt;&gt;"",$G1224,$B1224)</f>
        <v>4413531</v>
      </c>
      <c r="K1224" s="7" t="str">
        <f aca="false">IF(COUNTIF($O$2:$O$16,$A1224)&gt;0,"Y","N")</f>
        <v>Y</v>
      </c>
    </row>
    <row r="1225" customFormat="false" ht="15" hidden="false" customHeight="false" outlineLevel="0" collapsed="false">
      <c r="A1225" s="7" t="s">
        <v>41</v>
      </c>
      <c r="B1225" s="7" t="s">
        <v>71</v>
      </c>
      <c r="C1225" s="8" t="n">
        <v>25</v>
      </c>
      <c r="D1225" s="8" t="n">
        <v>446.17</v>
      </c>
      <c r="E1225" s="8" t="n">
        <v>15</v>
      </c>
      <c r="F1225" s="8" t="n">
        <v>269.79</v>
      </c>
      <c r="G1225" s="7" t="str">
        <f aca="false">IFERROR(INDEX('TRANS'!$B:$B,MATCH($B1225,'TRANS'!$A:$A,0)),IFERROR(INDEX('TRANS'!$B:$B,MATCH(TRIM(SUBSTITUTE($B1225,CHAR(160)," ")),'TRANS'!$D:$D,0)),IFERROR(INDEX('Catalog'!$A:$A,MATCH($B1225,'Catalog'!$B:$B,0)),IFERROR(INDEX('Catalog'!$A:$A,MATCH(TRIM(SUBSTITUTE($B1225,CHAR(160)," ")),'Catalog'!$C:$C,0)),""))))</f>
        <v/>
      </c>
      <c r="H1225" s="7" t="str">
        <f aca="false">IFERROR(INDEX('TRANS'!$C:$C,MATCH($B1225,'TRANS'!$A:$A,0)),IFERROR(INDEX('Catalog'!$B:$B,MATCH($G1225,'Catalog'!$A:$A,0)),$B1225))</f>
        <v>ST95 0</v>
      </c>
      <c r="I1225" s="7" t="str">
        <f aca="false">IF($G1225="","Unmatched","Matched")</f>
        <v>Unmatched</v>
      </c>
      <c r="J1225" s="7" t="str">
        <f aca="false">IF($G1225&lt;&gt;"",$G1225,$B1225)</f>
        <v>ST95 0</v>
      </c>
      <c r="K1225" s="7" t="str">
        <f aca="false">IF(COUNTIF($O$2:$O$16,$A1225)&gt;0,"Y","N")</f>
        <v>Y</v>
      </c>
    </row>
    <row r="1226" customFormat="false" ht="15" hidden="false" customHeight="false" outlineLevel="0" collapsed="false">
      <c r="A1226" s="7" t="s">
        <v>41</v>
      </c>
      <c r="B1226" s="7" t="s">
        <v>390</v>
      </c>
      <c r="C1226" s="8" t="n">
        <v>40</v>
      </c>
      <c r="D1226" s="8" t="n">
        <v>691.48</v>
      </c>
      <c r="E1226" s="8" t="n">
        <v>33</v>
      </c>
      <c r="F1226" s="8" t="n">
        <v>543.59</v>
      </c>
      <c r="G1226" s="7" t="n">
        <f aca="false">IFERROR(INDEX('TRANS'!$B:$B,MATCH($B1226,'TRANS'!$A:$A,0)),IFERROR(INDEX('TRANS'!$B:$B,MATCH(TRIM(SUBSTITUTE($B1226,CHAR(160)," ")),'TRANS'!$D:$D,0)),IFERROR(INDEX('Catalog'!$A:$A,MATCH($B1226,'Catalog'!$B:$B,0)),IFERROR(INDEX('Catalog'!$A:$A,MATCH(TRIM(SUBSTITUTE($B1226,CHAR(160)," ")),'Catalog'!$C:$C,0)),""))))</f>
        <v>4408098</v>
      </c>
      <c r="H1226" s="7" t="str">
        <f aca="false">IFERROR(INDEX('TRANS'!$C:$C,MATCH($B1226,'TRANS'!$A:$A,0)),IFERROR(INDEX('Catalog'!$B:$B,MATCH($G1226,'Catalog'!$A:$A,0)),$B1226))</f>
        <v>T25-חבק יד אגודלי</v>
      </c>
      <c r="I1226" s="7" t="str">
        <f aca="false">IF($G1226="","Unmatched","Matched")</f>
        <v>Matched</v>
      </c>
      <c r="J1226" s="7" t="n">
        <f aca="false">IF($G1226&lt;&gt;"",$G1226,$B1226)</f>
        <v>4408098</v>
      </c>
      <c r="K1226" s="7" t="str">
        <f aca="false">IF(COUNTIF($O$2:$O$16,$A1226)&gt;0,"Y","N")</f>
        <v>Y</v>
      </c>
    </row>
    <row r="1227" customFormat="false" ht="15" hidden="false" customHeight="false" outlineLevel="0" collapsed="false">
      <c r="A1227" s="7" t="s">
        <v>41</v>
      </c>
      <c r="B1227" s="7" t="s">
        <v>165</v>
      </c>
      <c r="C1227" s="8" t="n">
        <v>2</v>
      </c>
      <c r="D1227" s="8" t="n">
        <v>124.31</v>
      </c>
      <c r="E1227" s="8" t="n">
        <v>2</v>
      </c>
      <c r="F1227" s="8" t="n">
        <v>105.98</v>
      </c>
      <c r="G1227" s="7" t="str">
        <f aca="false">IFERROR(INDEX('TRANS'!$B:$B,MATCH($B1227,'TRANS'!$A:$A,0)),IFERROR(INDEX('TRANS'!$B:$B,MATCH(TRIM(SUBSTITUTE($B1227,CHAR(160)," ")),'TRANS'!$D:$D,0)),IFERROR(INDEX('Catalog'!$A:$A,MATCH($B1227,'Catalog'!$B:$B,0)),IFERROR(INDEX('Catalog'!$A:$A,MATCH(TRIM(SUBSTITUTE($B1227,CHAR(160)," ")),'Catalog'!$C:$C,0)),""))))</f>
        <v/>
      </c>
      <c r="H1227" s="7" t="str">
        <f aca="false">IFERROR(INDEX('TRANS'!$C:$C,MATCH($B1227,'TRANS'!$A:$A,0)),IFERROR(INDEX('Catalog'!$B:$B,MATCH($G1227,'Catalog'!$A:$A,0)),$B1227))</f>
        <v>T33 L</v>
      </c>
      <c r="I1227" s="7" t="str">
        <f aca="false">IF($G1227="","Unmatched","Matched")</f>
        <v>Unmatched</v>
      </c>
      <c r="J1227" s="7" t="str">
        <f aca="false">IF($G1227&lt;&gt;"",$G1227,$B1227)</f>
        <v>T33 L</v>
      </c>
      <c r="K1227" s="7" t="str">
        <f aca="false">IF(COUNTIF($O$2:$O$16,$A1227)&gt;0,"Y","N")</f>
        <v>Y</v>
      </c>
    </row>
    <row r="1228" customFormat="false" ht="15" hidden="false" customHeight="false" outlineLevel="0" collapsed="false">
      <c r="A1228" s="7" t="s">
        <v>41</v>
      </c>
      <c r="B1228" s="7" t="s">
        <v>192</v>
      </c>
      <c r="C1228" s="8" t="n">
        <v>2</v>
      </c>
      <c r="D1228" s="8" t="n">
        <v>124.31</v>
      </c>
      <c r="E1228" s="8" t="n">
        <v>0</v>
      </c>
      <c r="F1228" s="8" t="n">
        <v>0</v>
      </c>
      <c r="G1228" s="7" t="str">
        <f aca="false">IFERROR(INDEX('TRANS'!$B:$B,MATCH($B1228,'TRANS'!$A:$A,0)),IFERROR(INDEX('TRANS'!$B:$B,MATCH(TRIM(SUBSTITUTE($B1228,CHAR(160)," ")),'TRANS'!$D:$D,0)),IFERROR(INDEX('Catalog'!$A:$A,MATCH($B1228,'Catalog'!$B:$B,0)),IFERROR(INDEX('Catalog'!$A:$A,MATCH(TRIM(SUBSTITUTE($B1228,CHAR(160)," ")),'Catalog'!$C:$C,0)),""))))</f>
        <v/>
      </c>
      <c r="H1228" s="7" t="str">
        <f aca="false">IFERROR(INDEX('TRANS'!$C:$C,MATCH($B1228,'TRANS'!$A:$A,0)),IFERROR(INDEX('Catalog'!$B:$B,MATCH($G1228,'Catalog'!$A:$A,0)),$B1228))</f>
        <v>T33 M</v>
      </c>
      <c r="I1228" s="7" t="str">
        <f aca="false">IF($G1228="","Unmatched","Matched")</f>
        <v>Unmatched</v>
      </c>
      <c r="J1228" s="7" t="str">
        <f aca="false">IF($G1228&lt;&gt;"",$G1228,$B1228)</f>
        <v>T33 M</v>
      </c>
      <c r="K1228" s="7" t="str">
        <f aca="false">IF(COUNTIF($O$2:$O$16,$A1228)&gt;0,"Y","N")</f>
        <v>Y</v>
      </c>
    </row>
    <row r="1229" customFormat="false" ht="15" hidden="false" customHeight="false" outlineLevel="0" collapsed="false">
      <c r="A1229" s="7" t="s">
        <v>41</v>
      </c>
      <c r="B1229" s="7" t="s">
        <v>152</v>
      </c>
      <c r="C1229" s="8" t="n">
        <v>2</v>
      </c>
      <c r="D1229" s="8" t="n">
        <v>124.31</v>
      </c>
      <c r="E1229" s="8" t="n">
        <v>3</v>
      </c>
      <c r="F1229" s="8" t="n">
        <v>158.97</v>
      </c>
      <c r="G1229" s="7" t="str">
        <f aca="false">IFERROR(INDEX('TRANS'!$B:$B,MATCH($B1229,'TRANS'!$A:$A,0)),IFERROR(INDEX('TRANS'!$B:$B,MATCH(TRIM(SUBSTITUTE($B1229,CHAR(160)," ")),'TRANS'!$D:$D,0)),IFERROR(INDEX('Catalog'!$A:$A,MATCH($B1229,'Catalog'!$B:$B,0)),IFERROR(INDEX('Catalog'!$A:$A,MATCH(TRIM(SUBSTITUTE($B1229,CHAR(160)," ")),'Catalog'!$C:$C,0)),""))))</f>
        <v/>
      </c>
      <c r="H1229" s="7" t="str">
        <f aca="false">IFERROR(INDEX('TRANS'!$C:$C,MATCH($B1229,'TRANS'!$A:$A,0)),IFERROR(INDEX('Catalog'!$B:$B,MATCH($G1229,'Catalog'!$A:$A,0)),$B1229))</f>
        <v>T33 XL</v>
      </c>
      <c r="I1229" s="7" t="str">
        <f aca="false">IF($G1229="","Unmatched","Matched")</f>
        <v>Unmatched</v>
      </c>
      <c r="J1229" s="7" t="str">
        <f aca="false">IF($G1229&lt;&gt;"",$G1229,$B1229)</f>
        <v>T33 XL</v>
      </c>
      <c r="K1229" s="7" t="str">
        <f aca="false">IF(COUNTIF($O$2:$O$16,$A1229)&gt;0,"Y","N")</f>
        <v>Y</v>
      </c>
    </row>
    <row r="1230" customFormat="false" ht="15" hidden="false" customHeight="false" outlineLevel="0" collapsed="false">
      <c r="A1230" s="7" t="s">
        <v>41</v>
      </c>
      <c r="B1230" s="7" t="s">
        <v>194</v>
      </c>
      <c r="C1230" s="8" t="n">
        <v>4</v>
      </c>
      <c r="D1230" s="8" t="n">
        <v>228.69</v>
      </c>
      <c r="E1230" s="8" t="n">
        <v>0</v>
      </c>
      <c r="F1230" s="8" t="n">
        <v>0</v>
      </c>
      <c r="G1230" s="7" t="str">
        <f aca="false">IFERROR(INDEX('TRANS'!$B:$B,MATCH($B1230,'TRANS'!$A:$A,0)),IFERROR(INDEX('TRANS'!$B:$B,MATCH(TRIM(SUBSTITUTE($B1230,CHAR(160)," ")),'TRANS'!$D:$D,0)),IFERROR(INDEX('Catalog'!$A:$A,MATCH($B1230,'Catalog'!$B:$B,0)),IFERROR(INDEX('Catalog'!$A:$A,MATCH(TRIM(SUBSTITUTE($B1230,CHAR(160)," ")),'Catalog'!$C:$C,0)),""))))</f>
        <v/>
      </c>
      <c r="H1230" s="7" t="str">
        <f aca="false">IFERROR(INDEX('TRANS'!$C:$C,MATCH($B1230,'TRANS'!$A:$A,0)),IFERROR(INDEX('Catalog'!$B:$B,MATCH($G1230,'Catalog'!$A:$A,0)),$B1230))</f>
        <v>T33 XXL</v>
      </c>
      <c r="I1230" s="7" t="str">
        <f aca="false">IF($G1230="","Unmatched","Matched")</f>
        <v>Unmatched</v>
      </c>
      <c r="J1230" s="7" t="str">
        <f aca="false">IF($G1230&lt;&gt;"",$G1230,$B1230)</f>
        <v>T33 XXL</v>
      </c>
      <c r="K1230" s="7" t="str">
        <f aca="false">IF(COUNTIF($O$2:$O$16,$A1230)&gt;0,"Y","N")</f>
        <v>Y</v>
      </c>
    </row>
    <row r="1231" customFormat="false" ht="15" hidden="false" customHeight="false" outlineLevel="0" collapsed="false">
      <c r="A1231" s="7" t="s">
        <v>41</v>
      </c>
      <c r="B1231" s="7" t="s">
        <v>229</v>
      </c>
      <c r="C1231" s="8" t="n">
        <v>2</v>
      </c>
      <c r="D1231" s="8" t="n">
        <v>92.26</v>
      </c>
      <c r="E1231" s="8" t="n">
        <v>0</v>
      </c>
      <c r="F1231" s="8" t="n">
        <v>0</v>
      </c>
      <c r="G1231" s="7" t="str">
        <f aca="false">IFERROR(INDEX('TRANS'!$B:$B,MATCH($B1231,'TRANS'!$A:$A,0)),IFERROR(INDEX('TRANS'!$B:$B,MATCH(TRIM(SUBSTITUTE($B1231,CHAR(160)," ")),'TRANS'!$D:$D,0)),IFERROR(INDEX('Catalog'!$A:$A,MATCH($B1231,'Catalog'!$B:$B,0)),IFERROR(INDEX('Catalog'!$A:$A,MATCH(TRIM(SUBSTITUTE($B1231,CHAR(160)," ")),'Catalog'!$C:$C,0)),""))))</f>
        <v/>
      </c>
      <c r="H1231" s="7" t="str">
        <f aca="false">IFERROR(INDEX('TRANS'!$C:$C,MATCH($B1231,'TRANS'!$A:$A,0)),IFERROR(INDEX('Catalog'!$B:$B,MATCH($G1231,'Catalog'!$A:$A,0)),$B1231))</f>
        <v>T45X L</v>
      </c>
      <c r="I1231" s="7" t="str">
        <f aca="false">IF($G1231="","Unmatched","Matched")</f>
        <v>Unmatched</v>
      </c>
      <c r="J1231" s="7" t="str">
        <f aca="false">IF($G1231&lt;&gt;"",$G1231,$B1231)</f>
        <v>T45X L</v>
      </c>
      <c r="K1231" s="7" t="str">
        <f aca="false">IF(COUNTIF($O$2:$O$16,$A1231)&gt;0,"Y","N")</f>
        <v>Y</v>
      </c>
    </row>
    <row r="1232" customFormat="false" ht="15" hidden="false" customHeight="false" outlineLevel="0" collapsed="false">
      <c r="A1232" s="7" t="s">
        <v>41</v>
      </c>
      <c r="B1232" s="7" t="s">
        <v>665</v>
      </c>
      <c r="C1232" s="8" t="n">
        <v>1</v>
      </c>
      <c r="D1232" s="8" t="n">
        <v>46.13</v>
      </c>
      <c r="E1232" s="8" t="n">
        <v>0</v>
      </c>
      <c r="F1232" s="8" t="n">
        <v>0</v>
      </c>
      <c r="G1232" s="7" t="n">
        <f aca="false">IFERROR(INDEX('TRANS'!$B:$B,MATCH($B1232,'TRANS'!$A:$A,0)),IFERROR(INDEX('TRANS'!$B:$B,MATCH(TRIM(SUBSTITUTE($B1232,CHAR(160)," ")),'TRANS'!$D:$D,0)),IFERROR(INDEX('Catalog'!$A:$A,MATCH($B1232,'Catalog'!$B:$B,0)),IFERROR(INDEX('Catalog'!$A:$A,MATCH(TRIM(SUBSTITUTE($B1232,CHAR(160)," ")),'Catalog'!$C:$C,0)),""))))</f>
        <v>4413224</v>
      </c>
      <c r="H1232" s="7" t="str">
        <f aca="false">IFERROR(INDEX('TRANS'!$C:$C,MATCH($B1232,'TRANS'!$A:$A,0)),IFERROR(INDEX('Catalog'!$B:$B,MATCH($G1232,'Catalog'!$A:$A,0)),$B1232))</f>
        <v>T45X XL מגן ברך רגיל</v>
      </c>
      <c r="I1232" s="7" t="str">
        <f aca="false">IF($G1232="","Unmatched","Matched")</f>
        <v>Matched</v>
      </c>
      <c r="J1232" s="7" t="n">
        <f aca="false">IF($G1232&lt;&gt;"",$G1232,$B1232)</f>
        <v>4413224</v>
      </c>
      <c r="K1232" s="7" t="str">
        <f aca="false">IF(COUNTIF($O$2:$O$16,$A1232)&gt;0,"Y","N")</f>
        <v>Y</v>
      </c>
    </row>
    <row r="1233" customFormat="false" ht="15" hidden="false" customHeight="false" outlineLevel="0" collapsed="false">
      <c r="A1233" s="7" t="s">
        <v>41</v>
      </c>
      <c r="B1233" s="7" t="s">
        <v>520</v>
      </c>
      <c r="C1233" s="8" t="n">
        <v>3</v>
      </c>
      <c r="D1233" s="8" t="n">
        <v>230.03</v>
      </c>
      <c r="E1233" s="8" t="n">
        <v>1</v>
      </c>
      <c r="F1233" s="8" t="n">
        <v>67.54</v>
      </c>
      <c r="G1233" s="7" t="n">
        <f aca="false">IFERROR(INDEX('TRANS'!$B:$B,MATCH($B1233,'TRANS'!$A:$A,0)),IFERROR(INDEX('TRANS'!$B:$B,MATCH(TRIM(SUBSTITUTE($B1233,CHAR(160)," ")),'TRANS'!$D:$D,0)),IFERROR(INDEX('Catalog'!$A:$A,MATCH($B1233,'Catalog'!$B:$B,0)),IFERROR(INDEX('Catalog'!$A:$A,MATCH(TRIM(SUBSTITUTE($B1233,CHAR(160)," ")),'Catalog'!$C:$C,0)),""))))</f>
        <v>4422006</v>
      </c>
      <c r="H1233" s="7" t="str">
        <f aca="false">IFERROR(INDEX('TRANS'!$C:$C,MATCH($B1233,'TRANS'!$A:$A,0)),IFERROR(INDEX('Catalog'!$B:$B,MATCH($G1233,'Catalog'!$A:$A,0)),$B1233))</f>
        <v>T78 L תומך זרוע וכתף</v>
      </c>
      <c r="I1233" s="7" t="str">
        <f aca="false">IF($G1233="","Unmatched","Matched")</f>
        <v>Matched</v>
      </c>
      <c r="J1233" s="7" t="n">
        <f aca="false">IF($G1233&lt;&gt;"",$G1233,$B1233)</f>
        <v>4422006</v>
      </c>
      <c r="K1233" s="7" t="str">
        <f aca="false">IF(COUNTIF($O$2:$O$16,$A1233)&gt;0,"Y","N")</f>
        <v>Y</v>
      </c>
    </row>
    <row r="1234" customFormat="false" ht="15" hidden="false" customHeight="false" outlineLevel="0" collapsed="false">
      <c r="A1234" s="7" t="s">
        <v>41</v>
      </c>
      <c r="B1234" s="7" t="s">
        <v>521</v>
      </c>
      <c r="C1234" s="8" t="n">
        <v>4</v>
      </c>
      <c r="D1234" s="8" t="n">
        <v>311.03</v>
      </c>
      <c r="E1234" s="8" t="n">
        <v>3</v>
      </c>
      <c r="F1234" s="8" t="n">
        <v>202.62</v>
      </c>
      <c r="G1234" s="7" t="n">
        <f aca="false">IFERROR(INDEX('TRANS'!$B:$B,MATCH($B1234,'TRANS'!$A:$A,0)),IFERROR(INDEX('TRANS'!$B:$B,MATCH(TRIM(SUBSTITUTE($B1234,CHAR(160)," ")),'TRANS'!$D:$D,0)),IFERROR(INDEX('Catalog'!$A:$A,MATCH($B1234,'Catalog'!$B:$B,0)),IFERROR(INDEX('Catalog'!$A:$A,MATCH(TRIM(SUBSTITUTE($B1234,CHAR(160)," ")),'Catalog'!$C:$C,0)),""))))</f>
        <v>4422005</v>
      </c>
      <c r="H1234" s="7" t="str">
        <f aca="false">IFERROR(INDEX('TRANS'!$C:$C,MATCH($B1234,'TRANS'!$A:$A,0)),IFERROR(INDEX('Catalog'!$B:$B,MATCH($G1234,'Catalog'!$A:$A,0)),$B1234))</f>
        <v>T78 M תומך זרוע וכתף</v>
      </c>
      <c r="I1234" s="7" t="str">
        <f aca="false">IF($G1234="","Unmatched","Matched")</f>
        <v>Matched</v>
      </c>
      <c r="J1234" s="7" t="n">
        <f aca="false">IF($G1234&lt;&gt;"",$G1234,$B1234)</f>
        <v>4422005</v>
      </c>
      <c r="K1234" s="7" t="str">
        <f aca="false">IF(COUNTIF($O$2:$O$16,$A1234)&gt;0,"Y","N")</f>
        <v>Y</v>
      </c>
    </row>
    <row r="1235" customFormat="false" ht="15" hidden="false" customHeight="false" outlineLevel="0" collapsed="false">
      <c r="A1235" s="7" t="s">
        <v>41</v>
      </c>
      <c r="B1235" s="7" t="s">
        <v>652</v>
      </c>
      <c r="C1235" s="8" t="n">
        <v>5</v>
      </c>
      <c r="D1235" s="8" t="n">
        <v>377.3</v>
      </c>
      <c r="E1235" s="8" t="n">
        <v>0</v>
      </c>
      <c r="F1235" s="8" t="n">
        <v>0</v>
      </c>
      <c r="G1235" s="7" t="n">
        <f aca="false">IFERROR(INDEX('TRANS'!$B:$B,MATCH($B1235,'TRANS'!$A:$A,0)),IFERROR(INDEX('TRANS'!$B:$B,MATCH(TRIM(SUBSTITUTE($B1235,CHAR(160)," ")),'TRANS'!$D:$D,0)),IFERROR(INDEX('Catalog'!$A:$A,MATCH($B1235,'Catalog'!$B:$B,0)),IFERROR(INDEX('Catalog'!$A:$A,MATCH(TRIM(SUBSTITUTE($B1235,CHAR(160)," ")),'Catalog'!$C:$C,0)),""))))</f>
        <v>4422004</v>
      </c>
      <c r="H1235" s="7" t="str">
        <f aca="false">IFERROR(INDEX('TRANS'!$C:$C,MATCH($B1235,'TRANS'!$A:$A,0)),IFERROR(INDEX('Catalog'!$B:$B,MATCH($G1235,'Catalog'!$A:$A,0)),$B1235))</f>
        <v>T78 S תומך זרוע וכתף</v>
      </c>
      <c r="I1235" s="7" t="str">
        <f aca="false">IF($G1235="","Unmatched","Matched")</f>
        <v>Matched</v>
      </c>
      <c r="J1235" s="7" t="n">
        <f aca="false">IF($G1235&lt;&gt;"",$G1235,$B1235)</f>
        <v>4422004</v>
      </c>
      <c r="K1235" s="7" t="str">
        <f aca="false">IF(COUNTIF($O$2:$O$16,$A1235)&gt;0,"Y","N")</f>
        <v>Y</v>
      </c>
    </row>
    <row r="1236" customFormat="false" ht="15" hidden="false" customHeight="false" outlineLevel="0" collapsed="false">
      <c r="A1236" s="7" t="s">
        <v>41</v>
      </c>
      <c r="B1236" s="7" t="s">
        <v>522</v>
      </c>
      <c r="C1236" s="8" t="n">
        <v>1</v>
      </c>
      <c r="D1236" s="8" t="n">
        <v>81</v>
      </c>
      <c r="E1236" s="8" t="n">
        <v>0</v>
      </c>
      <c r="F1236" s="8" t="n">
        <v>0</v>
      </c>
      <c r="G1236" s="7" t="n">
        <f aca="false">IFERROR(INDEX('TRANS'!$B:$B,MATCH($B1236,'TRANS'!$A:$A,0)),IFERROR(INDEX('TRANS'!$B:$B,MATCH(TRIM(SUBSTITUTE($B1236,CHAR(160)," ")),'TRANS'!$D:$D,0)),IFERROR(INDEX('Catalog'!$A:$A,MATCH($B1236,'Catalog'!$B:$B,0)),IFERROR(INDEX('Catalog'!$A:$A,MATCH(TRIM(SUBSTITUTE($B1236,CHAR(160)," ")),'Catalog'!$C:$C,0)),""))))</f>
        <v>4422007</v>
      </c>
      <c r="H1236" s="7" t="str">
        <f aca="false">IFERROR(INDEX('TRANS'!$C:$C,MATCH($B1236,'TRANS'!$A:$A,0)),IFERROR(INDEX('Catalog'!$B:$B,MATCH($G1236,'Catalog'!$A:$A,0)),$B1236))</f>
        <v>T78 XLתומך זרוע וכתף</v>
      </c>
      <c r="I1236" s="7" t="str">
        <f aca="false">IF($G1236="","Unmatched","Matched")</f>
        <v>Matched</v>
      </c>
      <c r="J1236" s="7" t="n">
        <f aca="false">IF($G1236&lt;&gt;"",$G1236,$B1236)</f>
        <v>4422007</v>
      </c>
      <c r="K1236" s="7" t="str">
        <f aca="false">IF(COUNTIF($O$2:$O$16,$A1236)&gt;0,"Y","N")</f>
        <v>Y</v>
      </c>
    </row>
    <row r="1237" customFormat="false" ht="15" hidden="false" customHeight="false" outlineLevel="0" collapsed="false">
      <c r="A1237" s="7" t="s">
        <v>42</v>
      </c>
      <c r="B1237" s="7" t="s">
        <v>272</v>
      </c>
      <c r="C1237" s="8" t="n">
        <v>5</v>
      </c>
      <c r="D1237" s="8" t="n">
        <v>262.52</v>
      </c>
      <c r="E1237" s="8" t="n">
        <v>5</v>
      </c>
      <c r="F1237" s="8" t="n">
        <v>251.63</v>
      </c>
      <c r="G1237" s="7" t="n">
        <f aca="false">IFERROR(INDEX('TRANS'!$B:$B,MATCH($B1237,'TRANS'!$A:$A,0)),IFERROR(INDEX('TRANS'!$B:$B,MATCH(TRIM(SUBSTITUTE($B1237,CHAR(160)," ")),'TRANS'!$D:$D,0)),IFERROR(INDEX('Catalog'!$A:$A,MATCH($B1237,'Catalog'!$B:$B,0)),IFERROR(INDEX('Catalog'!$A:$A,MATCH(TRIM(SUBSTITUTE($B1237,CHAR(160)," ")),'Catalog'!$C:$C,0)),""))))</f>
        <v>4408192</v>
      </c>
      <c r="H1237" s="7" t="str">
        <f aca="false">IFERROR(INDEX('TRANS'!$C:$C,MATCH($B1237,'TRANS'!$A:$A,0)),IFERROR(INDEX('Catalog'!$B:$B,MATCH($G1237,'Catalog'!$A:$A,0)),$B1237))</f>
        <v>078 L חגורת גב +סגירה</v>
      </c>
      <c r="I1237" s="7" t="str">
        <f aca="false">IF($G1237="","Unmatched","Matched")</f>
        <v>Matched</v>
      </c>
      <c r="J1237" s="7" t="n">
        <f aca="false">IF($G1237&lt;&gt;"",$G1237,$B1237)</f>
        <v>4408192</v>
      </c>
      <c r="K1237" s="7" t="str">
        <f aca="false">IF(COUNTIF($O$2:$O$16,$A1237)&gt;0,"Y","N")</f>
        <v>Y</v>
      </c>
    </row>
    <row r="1238" customFormat="false" ht="15" hidden="false" customHeight="false" outlineLevel="0" collapsed="false">
      <c r="A1238" s="7" t="s">
        <v>42</v>
      </c>
      <c r="B1238" s="7" t="s">
        <v>273</v>
      </c>
      <c r="C1238" s="8" t="n">
        <v>5</v>
      </c>
      <c r="D1238" s="8" t="n">
        <v>262.52</v>
      </c>
      <c r="E1238" s="8" t="n">
        <v>0</v>
      </c>
      <c r="F1238" s="8" t="n">
        <v>0</v>
      </c>
      <c r="G1238" s="7" t="n">
        <f aca="false">IFERROR(INDEX('TRANS'!$B:$B,MATCH($B1238,'TRANS'!$A:$A,0)),IFERROR(INDEX('TRANS'!$B:$B,MATCH(TRIM(SUBSTITUTE($B1238,CHAR(160)," ")),'TRANS'!$D:$D,0)),IFERROR(INDEX('Catalog'!$A:$A,MATCH($B1238,'Catalog'!$B:$B,0)),IFERROR(INDEX('Catalog'!$A:$A,MATCH(TRIM(SUBSTITUTE($B1238,CHAR(160)," ")),'Catalog'!$C:$C,0)),""))))</f>
        <v>4408190</v>
      </c>
      <c r="H1238" s="7" t="str">
        <f aca="false">IFERROR(INDEX('TRANS'!$C:$C,MATCH($B1238,'TRANS'!$A:$A,0)),IFERROR(INDEX('Catalog'!$B:$B,MATCH($G1238,'Catalog'!$A:$A,0)),$B1238))</f>
        <v>M078 חגורת גב +סגירה כפולה</v>
      </c>
      <c r="I1238" s="7" t="str">
        <f aca="false">IF($G1238="","Unmatched","Matched")</f>
        <v>Matched</v>
      </c>
      <c r="J1238" s="7" t="n">
        <f aca="false">IF($G1238&lt;&gt;"",$G1238,$B1238)</f>
        <v>4408190</v>
      </c>
      <c r="K1238" s="7" t="str">
        <f aca="false">IF(COUNTIF($O$2:$O$16,$A1238)&gt;0,"Y","N")</f>
        <v>Y</v>
      </c>
    </row>
    <row r="1239" customFormat="false" ht="15" hidden="false" customHeight="false" outlineLevel="0" collapsed="false">
      <c r="A1239" s="7" t="s">
        <v>42</v>
      </c>
      <c r="B1239" s="7" t="s">
        <v>275</v>
      </c>
      <c r="C1239" s="8" t="n">
        <v>5</v>
      </c>
      <c r="D1239" s="8" t="n">
        <v>262.52</v>
      </c>
      <c r="E1239" s="8" t="n">
        <v>0</v>
      </c>
      <c r="F1239" s="8" t="n">
        <v>0</v>
      </c>
      <c r="G1239" s="7" t="n">
        <f aca="false">IFERROR(INDEX('TRANS'!$B:$B,MATCH($B1239,'TRANS'!$A:$A,0)),IFERROR(INDEX('TRANS'!$B:$B,MATCH(TRIM(SUBSTITUTE($B1239,CHAR(160)," ")),'TRANS'!$D:$D,0)),IFERROR(INDEX('Catalog'!$A:$A,MATCH($B1239,'Catalog'!$B:$B,0)),IFERROR(INDEX('Catalog'!$A:$A,MATCH(TRIM(SUBSTITUTE($B1239,CHAR(160)," ")),'Catalog'!$C:$C,0)),""))))</f>
        <v>4408218</v>
      </c>
      <c r="H1239" s="7" t="str">
        <f aca="false">IFERROR(INDEX('TRANS'!$C:$C,MATCH($B1239,'TRANS'!$A:$A,0)),IFERROR(INDEX('Catalog'!$B:$B,MATCH($G1239,'Catalog'!$A:$A,0)),$B1239))</f>
        <v>078XL חגורת גב +סגירה כפולה</v>
      </c>
      <c r="I1239" s="7" t="str">
        <f aca="false">IF($G1239="","Unmatched","Matched")</f>
        <v>Matched</v>
      </c>
      <c r="J1239" s="7" t="n">
        <f aca="false">IF($G1239&lt;&gt;"",$G1239,$B1239)</f>
        <v>4408218</v>
      </c>
      <c r="K1239" s="7" t="str">
        <f aca="false">IF(COUNTIF($O$2:$O$16,$A1239)&gt;0,"Y","N")</f>
        <v>Y</v>
      </c>
    </row>
    <row r="1240" customFormat="false" ht="15" hidden="false" customHeight="false" outlineLevel="0" collapsed="false">
      <c r="A1240" s="7" t="s">
        <v>42</v>
      </c>
      <c r="B1240" s="7" t="s">
        <v>406</v>
      </c>
      <c r="C1240" s="8" t="n">
        <v>5</v>
      </c>
      <c r="D1240" s="8" t="n">
        <v>262.52</v>
      </c>
      <c r="E1240" s="8" t="n">
        <v>0</v>
      </c>
      <c r="F1240" s="8" t="n">
        <v>0</v>
      </c>
      <c r="G1240" s="7" t="n">
        <f aca="false">IFERROR(INDEX('TRANS'!$B:$B,MATCH($B1240,'TRANS'!$A:$A,0)),IFERROR(INDEX('TRANS'!$B:$B,MATCH(TRIM(SUBSTITUTE($B1240,CHAR(160)," ")),'TRANS'!$D:$D,0)),IFERROR(INDEX('Catalog'!$A:$A,MATCH($B1240,'Catalog'!$B:$B,0)),IFERROR(INDEX('Catalog'!$A:$A,MATCH(TRIM(SUBSTITUTE($B1240,CHAR(160)," ")),'Catalog'!$C:$C,0)),""))))</f>
        <v>4408265</v>
      </c>
      <c r="H1240" s="7" t="str">
        <f aca="false">IFERROR(INDEX('TRANS'!$C:$C,MATCH($B1240,'TRANS'!$A:$A,0)),IFERROR(INDEX('Catalog'!$B:$B,MATCH($G1240,'Catalog'!$A:$A,0)),$B1240))</f>
        <v>078XXL חגורת גב +סגירה כפולה</v>
      </c>
      <c r="I1240" s="7" t="str">
        <f aca="false">IF($G1240="","Unmatched","Matched")</f>
        <v>Matched</v>
      </c>
      <c r="J1240" s="7" t="n">
        <f aca="false">IF($G1240&lt;&gt;"",$G1240,$B1240)</f>
        <v>4408265</v>
      </c>
      <c r="K1240" s="7" t="str">
        <f aca="false">IF(COUNTIF($O$2:$O$16,$A1240)&gt;0,"Y","N")</f>
        <v>Y</v>
      </c>
    </row>
    <row r="1241" customFormat="false" ht="15" hidden="false" customHeight="false" outlineLevel="0" collapsed="false">
      <c r="A1241" s="7" t="s">
        <v>42</v>
      </c>
      <c r="B1241" s="7" t="s">
        <v>414</v>
      </c>
      <c r="C1241" s="8" t="n">
        <v>10</v>
      </c>
      <c r="D1241" s="8" t="n">
        <v>494.8</v>
      </c>
      <c r="E1241" s="8" t="n">
        <v>0</v>
      </c>
      <c r="F1241" s="8" t="n">
        <v>0</v>
      </c>
      <c r="G1241" s="7" t="n">
        <f aca="false">IFERROR(INDEX('TRANS'!$B:$B,MATCH($B1241,'TRANS'!$A:$A,0)),IFERROR(INDEX('TRANS'!$B:$B,MATCH(TRIM(SUBSTITUTE($B1241,CHAR(160)," ")),'TRANS'!$D:$D,0)),IFERROR(INDEX('Catalog'!$A:$A,MATCH($B1241,'Catalog'!$B:$B,0)),IFERROR(INDEX('Catalog'!$A:$A,MATCH(TRIM(SUBSTITUTE($B1241,CHAR(160)," ")),'Catalog'!$C:$C,0)),""))))</f>
        <v>4408115</v>
      </c>
      <c r="H1241" s="7" t="str">
        <f aca="false">IFERROR(INDEX('TRANS'!$C:$C,MATCH($B1241,'TRANS'!$A:$A,0)),IFERROR(INDEX('Catalog'!$B:$B,MATCH($G1241,'Catalog'!$A:$A,0)),$B1241))</f>
        <v>11EU L ח.בטן לאחר ניתוח</v>
      </c>
      <c r="I1241" s="7" t="str">
        <f aca="false">IF($G1241="","Unmatched","Matched")</f>
        <v>Matched</v>
      </c>
      <c r="J1241" s="7" t="n">
        <f aca="false">IF($G1241&lt;&gt;"",$G1241,$B1241)</f>
        <v>4408115</v>
      </c>
      <c r="K1241" s="7" t="str">
        <f aca="false">IF(COUNTIF($O$2:$O$16,$A1241)&gt;0,"Y","N")</f>
        <v>Y</v>
      </c>
    </row>
    <row r="1242" customFormat="false" ht="15" hidden="false" customHeight="false" outlineLevel="0" collapsed="false">
      <c r="A1242" s="7" t="s">
        <v>42</v>
      </c>
      <c r="B1242" s="7" t="s">
        <v>415</v>
      </c>
      <c r="C1242" s="8" t="n">
        <v>10</v>
      </c>
      <c r="D1242" s="8" t="n">
        <v>494.8</v>
      </c>
      <c r="E1242" s="8" t="n">
        <v>0</v>
      </c>
      <c r="F1242" s="8" t="n">
        <v>0</v>
      </c>
      <c r="G1242" s="7" t="n">
        <f aca="false">IFERROR(INDEX('TRANS'!$B:$B,MATCH($B1242,'TRANS'!$A:$A,0)),IFERROR(INDEX('TRANS'!$B:$B,MATCH(TRIM(SUBSTITUTE($B1242,CHAR(160)," ")),'TRANS'!$D:$D,0)),IFERROR(INDEX('Catalog'!$A:$A,MATCH($B1242,'Catalog'!$B:$B,0)),IFERROR(INDEX('Catalog'!$A:$A,MATCH(TRIM(SUBSTITUTE($B1242,CHAR(160)," ")),'Catalog'!$C:$C,0)),""))))</f>
        <v>4408114</v>
      </c>
      <c r="H1242" s="7" t="str">
        <f aca="false">IFERROR(INDEX('TRANS'!$C:$C,MATCH($B1242,'TRANS'!$A:$A,0)),IFERROR(INDEX('Catalog'!$B:$B,MATCH($G1242,'Catalog'!$A:$A,0)),$B1242))</f>
        <v>11EU M ח.בטן לאחר ניתוח</v>
      </c>
      <c r="I1242" s="7" t="str">
        <f aca="false">IF($G1242="","Unmatched","Matched")</f>
        <v>Matched</v>
      </c>
      <c r="J1242" s="7" t="n">
        <f aca="false">IF($G1242&lt;&gt;"",$G1242,$B1242)</f>
        <v>4408114</v>
      </c>
      <c r="K1242" s="7" t="str">
        <f aca="false">IF(COUNTIF($O$2:$O$16,$A1242)&gt;0,"Y","N")</f>
        <v>Y</v>
      </c>
    </row>
    <row r="1243" customFormat="false" ht="15" hidden="false" customHeight="false" outlineLevel="0" collapsed="false">
      <c r="A1243" s="7" t="s">
        <v>42</v>
      </c>
      <c r="B1243" s="7" t="s">
        <v>130</v>
      </c>
      <c r="C1243" s="8" t="n">
        <v>5</v>
      </c>
      <c r="D1243" s="8" t="n">
        <v>247.4</v>
      </c>
      <c r="E1243" s="8" t="n">
        <v>0</v>
      </c>
      <c r="F1243" s="8" t="n">
        <v>0</v>
      </c>
      <c r="G1243" s="7" t="str">
        <f aca="false">IFERROR(INDEX('TRANS'!$B:$B,MATCH($B1243,'TRANS'!$A:$A,0)),IFERROR(INDEX('TRANS'!$B:$B,MATCH(TRIM(SUBSTITUTE($B1243,CHAR(160)," ")),'TRANS'!$D:$D,0)),IFERROR(INDEX('Catalog'!$A:$A,MATCH($B1243,'Catalog'!$B:$B,0)),IFERROR(INDEX('Catalog'!$A:$A,MATCH(TRIM(SUBSTITUTE($B1243,CHAR(160)," ")),'Catalog'!$C:$C,0)),""))))</f>
        <v/>
      </c>
      <c r="H1243" s="7" t="str">
        <f aca="false">IFERROR(INDEX('TRANS'!$C:$C,MATCH($B1243,'TRANS'!$A:$A,0)),IFERROR(INDEX('Catalog'!$B:$B,MATCH($G1243,'Catalog'!$A:$A,0)),$B1243))</f>
        <v>11EU S</v>
      </c>
      <c r="I1243" s="7" t="str">
        <f aca="false">IF($G1243="","Unmatched","Matched")</f>
        <v>Unmatched</v>
      </c>
      <c r="J1243" s="7" t="str">
        <f aca="false">IF($G1243&lt;&gt;"",$G1243,$B1243)</f>
        <v>11EU S</v>
      </c>
      <c r="K1243" s="7" t="str">
        <f aca="false">IF(COUNTIF($O$2:$O$16,$A1243)&gt;0,"Y","N")</f>
        <v>Y</v>
      </c>
    </row>
    <row r="1244" customFormat="false" ht="15" hidden="false" customHeight="false" outlineLevel="0" collapsed="false">
      <c r="A1244" s="7" t="s">
        <v>42</v>
      </c>
      <c r="B1244" s="7" t="s">
        <v>416</v>
      </c>
      <c r="C1244" s="8" t="n">
        <v>10</v>
      </c>
      <c r="D1244" s="8" t="n">
        <v>494.8</v>
      </c>
      <c r="E1244" s="8" t="n">
        <v>0</v>
      </c>
      <c r="F1244" s="8" t="n">
        <v>0</v>
      </c>
      <c r="G1244" s="7" t="n">
        <f aca="false">IFERROR(INDEX('TRANS'!$B:$B,MATCH($B1244,'TRANS'!$A:$A,0)),IFERROR(INDEX('TRANS'!$B:$B,MATCH(TRIM(SUBSTITUTE($B1244,CHAR(160)," ")),'TRANS'!$D:$D,0)),IFERROR(INDEX('Catalog'!$A:$A,MATCH($B1244,'Catalog'!$B:$B,0)),IFERROR(INDEX('Catalog'!$A:$A,MATCH(TRIM(SUBSTITUTE($B1244,CHAR(160)," ")),'Catalog'!$C:$C,0)),""))))</f>
        <v>4408116</v>
      </c>
      <c r="H1244" s="7" t="str">
        <f aca="false">IFERROR(INDEX('TRANS'!$C:$C,MATCH($B1244,'TRANS'!$A:$A,0)),IFERROR(INDEX('Catalog'!$B:$B,MATCH($G1244,'Catalog'!$A:$A,0)),$B1244))</f>
        <v>11EU XLח.בטן לאחר ניתוח</v>
      </c>
      <c r="I1244" s="7" t="str">
        <f aca="false">IF($G1244="","Unmatched","Matched")</f>
        <v>Matched</v>
      </c>
      <c r="J1244" s="7" t="n">
        <f aca="false">IF($G1244&lt;&gt;"",$G1244,$B1244)</f>
        <v>4408116</v>
      </c>
      <c r="K1244" s="7" t="str">
        <f aca="false">IF(COUNTIF($O$2:$O$16,$A1244)&gt;0,"Y","N")</f>
        <v>Y</v>
      </c>
    </row>
    <row r="1245" customFormat="false" ht="15" hidden="false" customHeight="false" outlineLevel="0" collapsed="false">
      <c r="A1245" s="7" t="s">
        <v>42</v>
      </c>
      <c r="B1245" s="7" t="s">
        <v>417</v>
      </c>
      <c r="C1245" s="8" t="n">
        <v>10</v>
      </c>
      <c r="D1245" s="8" t="n">
        <v>494.8</v>
      </c>
      <c r="E1245" s="8" t="n">
        <v>0</v>
      </c>
      <c r="F1245" s="8" t="n">
        <v>0</v>
      </c>
      <c r="G1245" s="7" t="n">
        <f aca="false">IFERROR(INDEX('TRANS'!$B:$B,MATCH($B1245,'TRANS'!$A:$A,0)),IFERROR(INDEX('TRANS'!$B:$B,MATCH(TRIM(SUBSTITUTE($B1245,CHAR(160)," ")),'TRANS'!$D:$D,0)),IFERROR(INDEX('Catalog'!$A:$A,MATCH($B1245,'Catalog'!$B:$B,0)),IFERROR(INDEX('Catalog'!$A:$A,MATCH(TRIM(SUBSTITUTE($B1245,CHAR(160)," ")),'Catalog'!$C:$C,0)),""))))</f>
        <v>4408132</v>
      </c>
      <c r="H1245" s="7" t="str">
        <f aca="false">IFERROR(INDEX('TRANS'!$C:$C,MATCH($B1245,'TRANS'!$A:$A,0)),IFERROR(INDEX('Catalog'!$B:$B,MATCH($G1245,'Catalog'!$A:$A,0)),$B1245))</f>
        <v>11EU XXL חגורת בטןלאחר ניתוח</v>
      </c>
      <c r="I1245" s="7" t="str">
        <f aca="false">IF($G1245="","Unmatched","Matched")</f>
        <v>Matched</v>
      </c>
      <c r="J1245" s="7" t="n">
        <f aca="false">IF($G1245&lt;&gt;"",$G1245,$B1245)</f>
        <v>4408132</v>
      </c>
      <c r="K1245" s="7" t="str">
        <f aca="false">IF(COUNTIF($O$2:$O$16,$A1245)&gt;0,"Y","N")</f>
        <v>Y</v>
      </c>
    </row>
    <row r="1246" customFormat="false" ht="15" hidden="false" customHeight="false" outlineLevel="0" collapsed="false">
      <c r="A1246" s="7" t="s">
        <v>42</v>
      </c>
      <c r="B1246" s="7" t="s">
        <v>666</v>
      </c>
      <c r="C1246" s="8" t="n">
        <v>185</v>
      </c>
      <c r="D1246" s="8" t="n">
        <v>14791.19</v>
      </c>
      <c r="E1246" s="8" t="n">
        <v>280</v>
      </c>
      <c r="F1246" s="8" t="n">
        <v>21022.31</v>
      </c>
      <c r="G1246" s="7" t="n">
        <f aca="false">IFERROR(INDEX('TRANS'!$B:$B,MATCH($B1246,'TRANS'!$A:$A,0)),IFERROR(INDEX('TRANS'!$B:$B,MATCH(TRIM(SUBSTITUTE($B1246,CHAR(160)," ")),'TRANS'!$D:$D,0)),IFERROR(INDEX('Catalog'!$A:$A,MATCH($B1246,'Catalog'!$B:$B,0)),IFERROR(INDEX('Catalog'!$A:$A,MATCH(TRIM(SUBSTITUTE($B1246,CHAR(160)," ")),'Catalog'!$C:$C,0)),""))))</f>
        <v>4408203</v>
      </c>
      <c r="H1246" s="7" t="str">
        <f aca="false">IFERROR(INDEX('TRANS'!$C:$C,MATCH($B1246,'TRANS'!$A:$A,0)),IFERROR(INDEX('Catalog'!$B:$B,MATCH($G1246,'Catalog'!$A:$A,0)),$B1246))</f>
        <v>14 0 חגורה למנותחי בית חזה</v>
      </c>
      <c r="I1246" s="7" t="str">
        <f aca="false">IF($G1246="","Unmatched","Matched")</f>
        <v>Matched</v>
      </c>
      <c r="J1246" s="7" t="n">
        <f aca="false">IF($G1246&lt;&gt;"",$G1246,$B1246)</f>
        <v>4408203</v>
      </c>
      <c r="K1246" s="7" t="str">
        <f aca="false">IF(COUNTIF($O$2:$O$16,$A1246)&gt;0,"Y","N")</f>
        <v>Y</v>
      </c>
    </row>
    <row r="1247" customFormat="false" ht="15" hidden="false" customHeight="false" outlineLevel="0" collapsed="false">
      <c r="A1247" s="7" t="s">
        <v>42</v>
      </c>
      <c r="B1247" s="7" t="s">
        <v>287</v>
      </c>
      <c r="C1247" s="8" t="n">
        <v>5</v>
      </c>
      <c r="D1247" s="8" t="n">
        <v>71.67</v>
      </c>
      <c r="E1247" s="8" t="n">
        <v>25</v>
      </c>
      <c r="F1247" s="8" t="n">
        <v>368.13</v>
      </c>
      <c r="G1247" s="7" t="n">
        <f aca="false">IFERROR(INDEX('TRANS'!$B:$B,MATCH($B1247,'TRANS'!$A:$A,0)),IFERROR(INDEX('TRANS'!$B:$B,MATCH(TRIM(SUBSTITUTE($B1247,CHAR(160)," ")),'TRANS'!$D:$D,0)),IFERROR(INDEX('Catalog'!$A:$A,MATCH($B1247,'Catalog'!$B:$B,0)),IFERROR(INDEX('Catalog'!$A:$A,MATCH(TRIM(SUBSTITUTE($B1247,CHAR(160)," ")),'Catalog'!$C:$C,0)),""))))</f>
        <v>4408046</v>
      </c>
      <c r="H1247" s="7" t="str">
        <f aca="false">IFERROR(INDEX('TRANS'!$C:$C,MATCH($B1247,'TRANS'!$A:$A,0)),IFERROR(INDEX('Catalog'!$B:$B,MATCH($G1247,'Catalog'!$A:$A,0)),$B1247))</f>
        <v>20 L חבק יד מתכוון עם צמדן</v>
      </c>
      <c r="I1247" s="7" t="str">
        <f aca="false">IF($G1247="","Unmatched","Matched")</f>
        <v>Matched</v>
      </c>
      <c r="J1247" s="7" t="n">
        <f aca="false">IF($G1247&lt;&gt;"",$G1247,$B1247)</f>
        <v>4408046</v>
      </c>
      <c r="K1247" s="7" t="str">
        <f aca="false">IF(COUNTIF($O$2:$O$16,$A1247)&gt;0,"Y","N")</f>
        <v>Y</v>
      </c>
    </row>
    <row r="1248" customFormat="false" ht="15" hidden="false" customHeight="false" outlineLevel="0" collapsed="false">
      <c r="A1248" s="7" t="s">
        <v>42</v>
      </c>
      <c r="B1248" s="7" t="s">
        <v>288</v>
      </c>
      <c r="C1248" s="8" t="n">
        <v>15</v>
      </c>
      <c r="D1248" s="8" t="n">
        <v>215.02</v>
      </c>
      <c r="E1248" s="8" t="n">
        <v>35</v>
      </c>
      <c r="F1248" s="8" t="n">
        <v>493.22</v>
      </c>
      <c r="G1248" s="7" t="n">
        <f aca="false">IFERROR(INDEX('TRANS'!$B:$B,MATCH($B1248,'TRANS'!$A:$A,0)),IFERROR(INDEX('TRANS'!$B:$B,MATCH(TRIM(SUBSTITUTE($B1248,CHAR(160)," ")),'TRANS'!$D:$D,0)),IFERROR(INDEX('Catalog'!$A:$A,MATCH($B1248,'Catalog'!$B:$B,0)),IFERROR(INDEX('Catalog'!$A:$A,MATCH(TRIM(SUBSTITUTE($B1248,CHAR(160)," ")),'Catalog'!$C:$C,0)),""))))</f>
        <v>4408047</v>
      </c>
      <c r="H1248" s="7" t="str">
        <f aca="false">IFERROR(INDEX('TRANS'!$C:$C,MATCH($B1248,'TRANS'!$A:$A,0)),IFERROR(INDEX('Catalog'!$B:$B,MATCH($G1248,'Catalog'!$A:$A,0)),$B1248))</f>
        <v>20 M חבק יד מתכוון עם צמדן</v>
      </c>
      <c r="I1248" s="7" t="str">
        <f aca="false">IF($G1248="","Unmatched","Matched")</f>
        <v>Matched</v>
      </c>
      <c r="J1248" s="7" t="n">
        <f aca="false">IF($G1248&lt;&gt;"",$G1248,$B1248)</f>
        <v>4408047</v>
      </c>
      <c r="K1248" s="7" t="str">
        <f aca="false">IF(COUNTIF($O$2:$O$16,$A1248)&gt;0,"Y","N")</f>
        <v>Y</v>
      </c>
    </row>
    <row r="1249" customFormat="false" ht="15" hidden="false" customHeight="false" outlineLevel="0" collapsed="false">
      <c r="A1249" s="7" t="s">
        <v>42</v>
      </c>
      <c r="B1249" s="7" t="s">
        <v>289</v>
      </c>
      <c r="C1249" s="8" t="n">
        <v>12</v>
      </c>
      <c r="D1249" s="8" t="n">
        <v>191.37</v>
      </c>
      <c r="E1249" s="8" t="n">
        <v>15</v>
      </c>
      <c r="F1249" s="8" t="n">
        <v>206.11</v>
      </c>
      <c r="G1249" s="7" t="n">
        <f aca="false">IFERROR(INDEX('TRANS'!$B:$B,MATCH($B1249,'TRANS'!$A:$A,0)),IFERROR(INDEX('TRANS'!$B:$B,MATCH(TRIM(SUBSTITUTE($B1249,CHAR(160)," ")),'TRANS'!$D:$D,0)),IFERROR(INDEX('Catalog'!$A:$A,MATCH($B1249,'Catalog'!$B:$B,0)),IFERROR(INDEX('Catalog'!$A:$A,MATCH(TRIM(SUBSTITUTE($B1249,CHAR(160)," ")),'Catalog'!$C:$C,0)),""))))</f>
        <v>4408048</v>
      </c>
      <c r="H1249" s="7" t="str">
        <f aca="false">IFERROR(INDEX('TRANS'!$C:$C,MATCH($B1249,'TRANS'!$A:$A,0)),IFERROR(INDEX('Catalog'!$B:$B,MATCH($G1249,'Catalog'!$A:$A,0)),$B1249))</f>
        <v>20 S חבק יד מתכוון עם צמדן</v>
      </c>
      <c r="I1249" s="7" t="str">
        <f aca="false">IF($G1249="","Unmatched","Matched")</f>
        <v>Matched</v>
      </c>
      <c r="J1249" s="7" t="n">
        <f aca="false">IF($G1249&lt;&gt;"",$G1249,$B1249)</f>
        <v>4408048</v>
      </c>
      <c r="K1249" s="7" t="str">
        <f aca="false">IF(COUNTIF($O$2:$O$16,$A1249)&gt;0,"Y","N")</f>
        <v>Y</v>
      </c>
    </row>
    <row r="1250" customFormat="false" ht="15" hidden="false" customHeight="false" outlineLevel="0" collapsed="false">
      <c r="A1250" s="7" t="s">
        <v>42</v>
      </c>
      <c r="B1250" s="7" t="s">
        <v>290</v>
      </c>
      <c r="C1250" s="8" t="n">
        <v>5</v>
      </c>
      <c r="D1250" s="8" t="n">
        <v>71.67</v>
      </c>
      <c r="E1250" s="8" t="n">
        <v>5</v>
      </c>
      <c r="F1250" s="8" t="n">
        <v>81.01</v>
      </c>
      <c r="G1250" s="7" t="n">
        <f aca="false">IFERROR(INDEX('TRANS'!$B:$B,MATCH($B1250,'TRANS'!$A:$A,0)),IFERROR(INDEX('TRANS'!$B:$B,MATCH(TRIM(SUBSTITUTE($B1250,CHAR(160)," ")),'TRANS'!$D:$D,0)),IFERROR(INDEX('Catalog'!$A:$A,MATCH($B1250,'Catalog'!$B:$B,0)),IFERROR(INDEX('Catalog'!$A:$A,MATCH(TRIM(SUBSTITUTE($B1250,CHAR(160)," ")),'Catalog'!$C:$C,0)),""))))</f>
        <v>4408049</v>
      </c>
      <c r="H1250" s="7" t="str">
        <f aca="false">IFERROR(INDEX('TRANS'!$C:$C,MATCH($B1250,'TRANS'!$A:$A,0)),IFERROR(INDEX('Catalog'!$B:$B,MATCH($G1250,'Catalog'!$A:$A,0)),$B1250))</f>
        <v>20 XL חבק יד מתכוון עם צמדן</v>
      </c>
      <c r="I1250" s="7" t="str">
        <f aca="false">IF($G1250="","Unmatched","Matched")</f>
        <v>Matched</v>
      </c>
      <c r="J1250" s="7" t="n">
        <f aca="false">IF($G1250&lt;&gt;"",$G1250,$B1250)</f>
        <v>4408049</v>
      </c>
      <c r="K1250" s="7" t="str">
        <f aca="false">IF(COUNTIF($O$2:$O$16,$A1250)&gt;0,"Y","N")</f>
        <v>Y</v>
      </c>
    </row>
    <row r="1251" customFormat="false" ht="15" hidden="false" customHeight="false" outlineLevel="0" collapsed="false">
      <c r="A1251" s="7" t="s">
        <v>42</v>
      </c>
      <c r="B1251" s="7" t="s">
        <v>653</v>
      </c>
      <c r="C1251" s="8" t="n">
        <v>0</v>
      </c>
      <c r="D1251" s="8" t="n">
        <v>0</v>
      </c>
      <c r="E1251" s="8" t="n">
        <v>1</v>
      </c>
      <c r="F1251" s="8" t="n">
        <v>0.03</v>
      </c>
      <c r="G1251" s="7" t="n">
        <f aca="false">IFERROR(INDEX('TRANS'!$B:$B,MATCH($B1251,'TRANS'!$A:$A,0)),IFERROR(INDEX('TRANS'!$B:$B,MATCH(TRIM(SUBSTITUTE($B1251,CHAR(160)," ")),'TRANS'!$D:$D,0)),IFERROR(INDEX('Catalog'!$A:$A,MATCH($B1251,'Catalog'!$B:$B,0)),IFERROR(INDEX('Catalog'!$A:$A,MATCH(TRIM(SUBSTITUTE($B1251,CHAR(160)," ")),'Catalog'!$C:$C,0)),""))))</f>
        <v>4408275</v>
      </c>
      <c r="H1251" s="7" t="str">
        <f aca="false">IFERROR(INDEX('TRANS'!$C:$C,MATCH($B1251,'TRANS'!$A:$A,0)),IFERROR(INDEX('Catalog'!$B:$B,MATCH($G1251,'Catalog'!$A:$A,0)),$B1251))</f>
        <v>202  ONE SIZE חבק יד</v>
      </c>
      <c r="I1251" s="7" t="str">
        <f aca="false">IF($G1251="","Unmatched","Matched")</f>
        <v>Matched</v>
      </c>
      <c r="J1251" s="7" t="n">
        <f aca="false">IF($G1251&lt;&gt;"",$G1251,$B1251)</f>
        <v>4408275</v>
      </c>
      <c r="K1251" s="7" t="str">
        <f aca="false">IF(COUNTIF($O$2:$O$16,$A1251)&gt;0,"Y","N")</f>
        <v>Y</v>
      </c>
    </row>
    <row r="1252" customFormat="false" ht="15" hidden="false" customHeight="false" outlineLevel="0" collapsed="false">
      <c r="A1252" s="7" t="s">
        <v>42</v>
      </c>
      <c r="B1252" s="7" t="s">
        <v>421</v>
      </c>
      <c r="C1252" s="8" t="n">
        <v>5</v>
      </c>
      <c r="D1252" s="8" t="n">
        <v>186.94</v>
      </c>
      <c r="E1252" s="8" t="n">
        <v>0</v>
      </c>
      <c r="F1252" s="8" t="n">
        <v>0</v>
      </c>
      <c r="G1252" s="7" t="n">
        <f aca="false">IFERROR(INDEX('TRANS'!$B:$B,MATCH($B1252,'TRANS'!$A:$A,0)),IFERROR(INDEX('TRANS'!$B:$B,MATCH(TRIM(SUBSTITUTE($B1252,CHAR(160)," ")),'TRANS'!$D:$D,0)),IFERROR(INDEX('Catalog'!$A:$A,MATCH($B1252,'Catalog'!$B:$B,0)),IFERROR(INDEX('Catalog'!$A:$A,MATCH(TRIM(SUBSTITUTE($B1252,CHAR(160)," ")),'Catalog'!$C:$C,0)),""))))</f>
        <v>4411026</v>
      </c>
      <c r="H1252" s="7" t="str">
        <f aca="false">IFERROR(INDEX('TRANS'!$C:$C,MATCH($B1252,'TRANS'!$A:$A,0)),IFERROR(INDEX('Catalog'!$B:$B,MATCH($G1252,'Catalog'!$A:$A,0)),$B1252))</f>
        <v>213CTSL L שמאל CTS כפפות</v>
      </c>
      <c r="I1252" s="7" t="str">
        <f aca="false">IF($G1252="","Unmatched","Matched")</f>
        <v>Matched</v>
      </c>
      <c r="J1252" s="7" t="n">
        <f aca="false">IF($G1252&lt;&gt;"",$G1252,$B1252)</f>
        <v>4411026</v>
      </c>
      <c r="K1252" s="7" t="str">
        <f aca="false">IF(COUNTIF($O$2:$O$16,$A1252)&gt;0,"Y","N")</f>
        <v>Y</v>
      </c>
    </row>
    <row r="1253" customFormat="false" ht="15" hidden="false" customHeight="false" outlineLevel="0" collapsed="false">
      <c r="A1253" s="7" t="s">
        <v>42</v>
      </c>
      <c r="B1253" s="7" t="s">
        <v>422</v>
      </c>
      <c r="C1253" s="8" t="n">
        <v>10</v>
      </c>
      <c r="D1253" s="8" t="n">
        <v>373.89</v>
      </c>
      <c r="E1253" s="8" t="n">
        <v>0</v>
      </c>
      <c r="F1253" s="8" t="n">
        <v>0</v>
      </c>
      <c r="G1253" s="7" t="n">
        <f aca="false">IFERROR(INDEX('TRANS'!$B:$B,MATCH($B1253,'TRANS'!$A:$A,0)),IFERROR(INDEX('TRANS'!$B:$B,MATCH(TRIM(SUBSTITUTE($B1253,CHAR(160)," ")),'TRANS'!$D:$D,0)),IFERROR(INDEX('Catalog'!$A:$A,MATCH($B1253,'Catalog'!$B:$B,0)),IFERROR(INDEX('Catalog'!$A:$A,MATCH(TRIM(SUBSTITUTE($B1253,CHAR(160)," ")),'Catalog'!$C:$C,0)),""))))</f>
        <v>4411027</v>
      </c>
      <c r="H1253" s="7" t="str">
        <f aca="false">IFERROR(INDEX('TRANS'!$C:$C,MATCH($B1253,'TRANS'!$A:$A,0)),IFERROR(INDEX('Catalog'!$B:$B,MATCH($G1253,'Catalog'!$A:$A,0)),$B1253))</f>
        <v>213CTSL M שמאל CTS כפפות</v>
      </c>
      <c r="I1253" s="7" t="str">
        <f aca="false">IF($G1253="","Unmatched","Matched")</f>
        <v>Matched</v>
      </c>
      <c r="J1253" s="7" t="n">
        <f aca="false">IF($G1253&lt;&gt;"",$G1253,$B1253)</f>
        <v>4411027</v>
      </c>
      <c r="K1253" s="7" t="str">
        <f aca="false">IF(COUNTIF($O$2:$O$16,$A1253)&gt;0,"Y","N")</f>
        <v>Y</v>
      </c>
    </row>
    <row r="1254" customFormat="false" ht="15" hidden="false" customHeight="false" outlineLevel="0" collapsed="false">
      <c r="A1254" s="7" t="s">
        <v>42</v>
      </c>
      <c r="B1254" s="7" t="s">
        <v>423</v>
      </c>
      <c r="C1254" s="8" t="n">
        <v>10</v>
      </c>
      <c r="D1254" s="8" t="n">
        <v>373.89</v>
      </c>
      <c r="E1254" s="8" t="n">
        <v>0</v>
      </c>
      <c r="F1254" s="8" t="n">
        <v>0</v>
      </c>
      <c r="G1254" s="7" t="n">
        <f aca="false">IFERROR(INDEX('TRANS'!$B:$B,MATCH($B1254,'TRANS'!$A:$A,0)),IFERROR(INDEX('TRANS'!$B:$B,MATCH(TRIM(SUBSTITUTE($B1254,CHAR(160)," ")),'TRANS'!$D:$D,0)),IFERROR(INDEX('Catalog'!$A:$A,MATCH($B1254,'Catalog'!$B:$B,0)),IFERROR(INDEX('Catalog'!$A:$A,MATCH(TRIM(SUBSTITUTE($B1254,CHAR(160)," ")),'Catalog'!$C:$C,0)),""))))</f>
        <v>4411028</v>
      </c>
      <c r="H1254" s="7" t="str">
        <f aca="false">IFERROR(INDEX('TRANS'!$C:$C,MATCH($B1254,'TRANS'!$A:$A,0)),IFERROR(INDEX('Catalog'!$B:$B,MATCH($G1254,'Catalog'!$A:$A,0)),$B1254))</f>
        <v>213CTSL S שמאל CTS כפפות</v>
      </c>
      <c r="I1254" s="7" t="str">
        <f aca="false">IF($G1254="","Unmatched","Matched")</f>
        <v>Matched</v>
      </c>
      <c r="J1254" s="7" t="n">
        <f aca="false">IF($G1254&lt;&gt;"",$G1254,$B1254)</f>
        <v>4411028</v>
      </c>
      <c r="K1254" s="7" t="str">
        <f aca="false">IF(COUNTIF($O$2:$O$16,$A1254)&gt;0,"Y","N")</f>
        <v>Y</v>
      </c>
    </row>
    <row r="1255" customFormat="false" ht="15" hidden="false" customHeight="false" outlineLevel="0" collapsed="false">
      <c r="A1255" s="7" t="s">
        <v>42</v>
      </c>
      <c r="B1255" s="7" t="s">
        <v>424</v>
      </c>
      <c r="C1255" s="8" t="n">
        <v>5</v>
      </c>
      <c r="D1255" s="8" t="n">
        <v>186.94</v>
      </c>
      <c r="E1255" s="8" t="n">
        <v>0</v>
      </c>
      <c r="F1255" s="8" t="n">
        <v>0</v>
      </c>
      <c r="G1255" s="7" t="n">
        <f aca="false">IFERROR(INDEX('TRANS'!$B:$B,MATCH($B1255,'TRANS'!$A:$A,0)),IFERROR(INDEX('TRANS'!$B:$B,MATCH(TRIM(SUBSTITUTE($B1255,CHAR(160)," ")),'TRANS'!$D:$D,0)),IFERROR(INDEX('Catalog'!$A:$A,MATCH($B1255,'Catalog'!$B:$B,0)),IFERROR(INDEX('Catalog'!$A:$A,MATCH(TRIM(SUBSTITUTE($B1255,CHAR(160)," ")),'Catalog'!$C:$C,0)),""))))</f>
        <v>4411029</v>
      </c>
      <c r="H1255" s="7" t="str">
        <f aca="false">IFERROR(INDEX('TRANS'!$C:$C,MATCH($B1255,'TRANS'!$A:$A,0)),IFERROR(INDEX('Catalog'!$B:$B,MATCH($G1255,'Catalog'!$A:$A,0)),$B1255))</f>
        <v>213CTSR L ימין CTS כפפות</v>
      </c>
      <c r="I1255" s="7" t="str">
        <f aca="false">IF($G1255="","Unmatched","Matched")</f>
        <v>Matched</v>
      </c>
      <c r="J1255" s="7" t="n">
        <f aca="false">IF($G1255&lt;&gt;"",$G1255,$B1255)</f>
        <v>4411029</v>
      </c>
      <c r="K1255" s="7" t="str">
        <f aca="false">IF(COUNTIF($O$2:$O$16,$A1255)&gt;0,"Y","N")</f>
        <v>Y</v>
      </c>
    </row>
    <row r="1256" customFormat="false" ht="15" hidden="false" customHeight="false" outlineLevel="0" collapsed="false">
      <c r="A1256" s="7" t="s">
        <v>42</v>
      </c>
      <c r="B1256" s="7" t="s">
        <v>425</v>
      </c>
      <c r="C1256" s="8" t="n">
        <v>10</v>
      </c>
      <c r="D1256" s="8" t="n">
        <v>373.89</v>
      </c>
      <c r="E1256" s="8" t="n">
        <v>0</v>
      </c>
      <c r="F1256" s="8" t="n">
        <v>0</v>
      </c>
      <c r="G1256" s="7" t="n">
        <f aca="false">IFERROR(INDEX('TRANS'!$B:$B,MATCH($B1256,'TRANS'!$A:$A,0)),IFERROR(INDEX('TRANS'!$B:$B,MATCH(TRIM(SUBSTITUTE($B1256,CHAR(160)," ")),'TRANS'!$D:$D,0)),IFERROR(INDEX('Catalog'!$A:$A,MATCH($B1256,'Catalog'!$B:$B,0)),IFERROR(INDEX('Catalog'!$A:$A,MATCH(TRIM(SUBSTITUTE($B1256,CHAR(160)," ")),'Catalog'!$C:$C,0)),""))))</f>
        <v>4411030</v>
      </c>
      <c r="H1256" s="7" t="str">
        <f aca="false">IFERROR(INDEX('TRANS'!$C:$C,MATCH($B1256,'TRANS'!$A:$A,0)),IFERROR(INDEX('Catalog'!$B:$B,MATCH($G1256,'Catalog'!$A:$A,0)),$B1256))</f>
        <v>213CTSR M ימין CTS כפפות</v>
      </c>
      <c r="I1256" s="7" t="str">
        <f aca="false">IF($G1256="","Unmatched","Matched")</f>
        <v>Matched</v>
      </c>
      <c r="J1256" s="7" t="n">
        <f aca="false">IF($G1256&lt;&gt;"",$G1256,$B1256)</f>
        <v>4411030</v>
      </c>
      <c r="K1256" s="7" t="str">
        <f aca="false">IF(COUNTIF($O$2:$O$16,$A1256)&gt;0,"Y","N")</f>
        <v>Y</v>
      </c>
    </row>
    <row r="1257" customFormat="false" ht="15" hidden="false" customHeight="false" outlineLevel="0" collapsed="false">
      <c r="A1257" s="7" t="s">
        <v>42</v>
      </c>
      <c r="B1257" s="7" t="s">
        <v>426</v>
      </c>
      <c r="C1257" s="8" t="n">
        <v>10</v>
      </c>
      <c r="D1257" s="8" t="n">
        <v>373.89</v>
      </c>
      <c r="E1257" s="8" t="n">
        <v>0</v>
      </c>
      <c r="F1257" s="8" t="n">
        <v>0</v>
      </c>
      <c r="G1257" s="7" t="n">
        <f aca="false">IFERROR(INDEX('TRANS'!$B:$B,MATCH($B1257,'TRANS'!$A:$A,0)),IFERROR(INDEX('TRANS'!$B:$B,MATCH(TRIM(SUBSTITUTE($B1257,CHAR(160)," ")),'TRANS'!$D:$D,0)),IFERROR(INDEX('Catalog'!$A:$A,MATCH($B1257,'Catalog'!$B:$B,0)),IFERROR(INDEX('Catalog'!$A:$A,MATCH(TRIM(SUBSTITUTE($B1257,CHAR(160)," ")),'Catalog'!$C:$C,0)),""))))</f>
        <v>4411031</v>
      </c>
      <c r="H1257" s="7" t="str">
        <f aca="false">IFERROR(INDEX('TRANS'!$C:$C,MATCH($B1257,'TRANS'!$A:$A,0)),IFERROR(INDEX('Catalog'!$B:$B,MATCH($G1257,'Catalog'!$A:$A,0)),$B1257))</f>
        <v>213CTS  S ימין CTS כפפות</v>
      </c>
      <c r="I1257" s="7" t="str">
        <f aca="false">IF($G1257="","Unmatched","Matched")</f>
        <v>Matched</v>
      </c>
      <c r="J1257" s="7" t="n">
        <f aca="false">IF($G1257&lt;&gt;"",$G1257,$B1257)</f>
        <v>4411031</v>
      </c>
      <c r="K1257" s="7" t="str">
        <f aca="false">IF(COUNTIF($O$2:$O$16,$A1257)&gt;0,"Y","N")</f>
        <v>Y</v>
      </c>
    </row>
    <row r="1258" customFormat="false" ht="15" hidden="false" customHeight="false" outlineLevel="0" collapsed="false">
      <c r="A1258" s="7" t="s">
        <v>42</v>
      </c>
      <c r="B1258" s="7" t="s">
        <v>427</v>
      </c>
      <c r="C1258" s="8" t="n">
        <v>10</v>
      </c>
      <c r="D1258" s="8" t="n">
        <v>147.96</v>
      </c>
      <c r="E1258" s="8" t="n">
        <v>50</v>
      </c>
      <c r="F1258" s="8" t="n">
        <v>709.13</v>
      </c>
      <c r="G1258" s="7" t="n">
        <f aca="false">IFERROR(INDEX('TRANS'!$B:$B,MATCH($B1258,'TRANS'!$A:$A,0)),IFERROR(INDEX('TRANS'!$B:$B,MATCH(TRIM(SUBSTITUTE($B1258,CHAR(160)," ")),'TRANS'!$D:$D,0)),IFERROR(INDEX('Catalog'!$A:$A,MATCH($B1258,'Catalog'!$B:$B,0)),IFERROR(INDEX('Catalog'!$A:$A,MATCH(TRIM(SUBSTITUTE($B1258,CHAR(160)," ")),'Catalog'!$C:$C,0)),""))))</f>
        <v>4415029</v>
      </c>
      <c r="H1258" s="7" t="str">
        <f aca="false">IFERROR(INDEX('TRANS'!$C:$C,MATCH($B1258,'TRANS'!$A:$A,0)),IFERROR(INDEX('Catalog'!$B:$B,MATCH($G1258,'Catalog'!$A:$A,0)),$B1258))</f>
        <v>סד קיבוע לאצבע הדק</v>
      </c>
      <c r="I1258" s="7" t="str">
        <f aca="false">IF($G1258="","Unmatched","Matched")</f>
        <v>Matched</v>
      </c>
      <c r="J1258" s="7" t="n">
        <f aca="false">IF($G1258&lt;&gt;"",$G1258,$B1258)</f>
        <v>4415029</v>
      </c>
      <c r="K1258" s="7" t="str">
        <f aca="false">IF(COUNTIF($O$2:$O$16,$A1258)&gt;0,"Y","N")</f>
        <v>Y</v>
      </c>
    </row>
    <row r="1259" customFormat="false" ht="15" hidden="false" customHeight="false" outlineLevel="0" collapsed="false">
      <c r="A1259" s="7" t="s">
        <v>42</v>
      </c>
      <c r="B1259" s="7" t="s">
        <v>428</v>
      </c>
      <c r="C1259" s="8" t="n">
        <v>320</v>
      </c>
      <c r="D1259" s="8" t="n">
        <v>2768.68</v>
      </c>
      <c r="E1259" s="8" t="n">
        <v>320</v>
      </c>
      <c r="F1259" s="8" t="n">
        <v>2652.86</v>
      </c>
      <c r="G1259" s="7" t="n">
        <f aca="false">IFERROR(INDEX('TRANS'!$B:$B,MATCH($B1259,'TRANS'!$A:$A,0)),IFERROR(INDEX('TRANS'!$B:$B,MATCH(TRIM(SUBSTITUTE($B1259,CHAR(160)," ")),'TRANS'!$D:$D,0)),IFERROR(INDEX('Catalog'!$A:$A,MATCH($B1259,'Catalog'!$B:$B,0)),IFERROR(INDEX('Catalog'!$A:$A,MATCH(TRIM(SUBSTITUTE($B1259,CHAR(160)," ")),'Catalog'!$C:$C,0)),""))))</f>
        <v>4415162</v>
      </c>
      <c r="H1259" s="7" t="str">
        <f aca="false">IFERROR(INDEX('TRANS'!$C:$C,MATCH($B1259,'TRANS'!$A:$A,0)),IFERROR(INDEX('Catalog'!$B:$B,MATCH($G1259,'Catalog'!$A:$A,0)),$B1259))</f>
        <v>238L סד ליישור אצבע</v>
      </c>
      <c r="I1259" s="7" t="str">
        <f aca="false">IF($G1259="","Unmatched","Matched")</f>
        <v>Matched</v>
      </c>
      <c r="J1259" s="7" t="n">
        <f aca="false">IF($G1259&lt;&gt;"",$G1259,$B1259)</f>
        <v>4415162</v>
      </c>
      <c r="K1259" s="7" t="str">
        <f aca="false">IF(COUNTIF($O$2:$O$16,$A1259)&gt;0,"Y","N")</f>
        <v>Y</v>
      </c>
    </row>
    <row r="1260" customFormat="false" ht="15" hidden="false" customHeight="false" outlineLevel="0" collapsed="false">
      <c r="A1260" s="7" t="s">
        <v>42</v>
      </c>
      <c r="B1260" s="7" t="s">
        <v>429</v>
      </c>
      <c r="C1260" s="8" t="n">
        <v>390</v>
      </c>
      <c r="D1260" s="8" t="n">
        <v>3327.2</v>
      </c>
      <c r="E1260" s="8" t="n">
        <v>400</v>
      </c>
      <c r="F1260" s="8" t="n">
        <v>3305.8</v>
      </c>
      <c r="G1260" s="7" t="n">
        <f aca="false">IFERROR(INDEX('TRANS'!$B:$B,MATCH($B1260,'TRANS'!$A:$A,0)),IFERROR(INDEX('TRANS'!$B:$B,MATCH(TRIM(SUBSTITUTE($B1260,CHAR(160)," ")),'TRANS'!$D:$D,0)),IFERROR(INDEX('Catalog'!$A:$A,MATCH($B1260,'Catalog'!$B:$B,0)),IFERROR(INDEX('Catalog'!$A:$A,MATCH(TRIM(SUBSTITUTE($B1260,CHAR(160)," ")),'Catalog'!$C:$C,0)),""))))</f>
        <v>4415161</v>
      </c>
      <c r="H1260" s="7" t="str">
        <f aca="false">IFERROR(INDEX('TRANS'!$C:$C,MATCH($B1260,'TRANS'!$A:$A,0)),IFERROR(INDEX('Catalog'!$B:$B,MATCH($G1260,'Catalog'!$A:$A,0)),$B1260))</f>
        <v>238M סד ליישור אצבע</v>
      </c>
      <c r="I1260" s="7" t="str">
        <f aca="false">IF($G1260="","Unmatched","Matched")</f>
        <v>Matched</v>
      </c>
      <c r="J1260" s="7" t="n">
        <f aca="false">IF($G1260&lt;&gt;"",$G1260,$B1260)</f>
        <v>4415161</v>
      </c>
      <c r="K1260" s="7" t="str">
        <f aca="false">IF(COUNTIF($O$2:$O$16,$A1260)&gt;0,"Y","N")</f>
        <v>Y</v>
      </c>
    </row>
    <row r="1261" customFormat="false" ht="15" hidden="false" customHeight="false" outlineLevel="0" collapsed="false">
      <c r="A1261" s="7" t="s">
        <v>42</v>
      </c>
      <c r="B1261" s="7" t="s">
        <v>430</v>
      </c>
      <c r="C1261" s="8" t="n">
        <v>220</v>
      </c>
      <c r="D1261" s="8" t="n">
        <v>1863.08</v>
      </c>
      <c r="E1261" s="8" t="n">
        <v>280</v>
      </c>
      <c r="F1261" s="8" t="n">
        <v>2305.84</v>
      </c>
      <c r="G1261" s="7" t="n">
        <f aca="false">IFERROR(INDEX('TRANS'!$B:$B,MATCH($B1261,'TRANS'!$A:$A,0)),IFERROR(INDEX('TRANS'!$B:$B,MATCH(TRIM(SUBSTITUTE($B1261,CHAR(160)," ")),'TRANS'!$D:$D,0)),IFERROR(INDEX('Catalog'!$A:$A,MATCH($B1261,'Catalog'!$B:$B,0)),IFERROR(INDEX('Catalog'!$A:$A,MATCH(TRIM(SUBSTITUTE($B1261,CHAR(160)," ")),'Catalog'!$C:$C,0)),""))))</f>
        <v>4415160</v>
      </c>
      <c r="H1261" s="7" t="str">
        <f aca="false">IFERROR(INDEX('TRANS'!$C:$C,MATCH($B1261,'TRANS'!$A:$A,0)),IFERROR(INDEX('Catalog'!$B:$B,MATCH($G1261,'Catalog'!$A:$A,0)),$B1261))</f>
        <v>238S סד ליישור אצבע</v>
      </c>
      <c r="I1261" s="7" t="str">
        <f aca="false">IF($G1261="","Unmatched","Matched")</f>
        <v>Matched</v>
      </c>
      <c r="J1261" s="7" t="n">
        <f aca="false">IF($G1261&lt;&gt;"",$G1261,$B1261)</f>
        <v>4415160</v>
      </c>
      <c r="K1261" s="7" t="str">
        <f aca="false">IF(COUNTIF($O$2:$O$16,$A1261)&gt;0,"Y","N")</f>
        <v>Y</v>
      </c>
    </row>
    <row r="1262" customFormat="false" ht="15" hidden="false" customHeight="false" outlineLevel="0" collapsed="false">
      <c r="A1262" s="7" t="s">
        <v>42</v>
      </c>
      <c r="B1262" s="7" t="s">
        <v>431</v>
      </c>
      <c r="C1262" s="8" t="n">
        <v>200</v>
      </c>
      <c r="D1262" s="8" t="n">
        <v>1703.5</v>
      </c>
      <c r="E1262" s="8" t="n">
        <v>210</v>
      </c>
      <c r="F1262" s="8" t="n">
        <v>1729.38</v>
      </c>
      <c r="G1262" s="7" t="n">
        <f aca="false">IFERROR(INDEX('TRANS'!$B:$B,MATCH($B1262,'TRANS'!$A:$A,0)),IFERROR(INDEX('TRANS'!$B:$B,MATCH(TRIM(SUBSTITUTE($B1262,CHAR(160)," ")),'TRANS'!$D:$D,0)),IFERROR(INDEX('Catalog'!$A:$A,MATCH($B1262,'Catalog'!$B:$B,0)),IFERROR(INDEX('Catalog'!$A:$A,MATCH(TRIM(SUBSTITUTE($B1262,CHAR(160)," ")),'Catalog'!$C:$C,0)),""))))</f>
        <v>4415163</v>
      </c>
      <c r="H1262" s="7" t="str">
        <f aca="false">IFERROR(INDEX('TRANS'!$C:$C,MATCH($B1262,'TRANS'!$A:$A,0)),IFERROR(INDEX('Catalog'!$B:$B,MATCH($G1262,'Catalog'!$A:$A,0)),$B1262))</f>
        <v>238XL סד ליישור אצבע</v>
      </c>
      <c r="I1262" s="7" t="str">
        <f aca="false">IF($G1262="","Unmatched","Matched")</f>
        <v>Matched</v>
      </c>
      <c r="J1262" s="7" t="n">
        <f aca="false">IF($G1262&lt;&gt;"",$G1262,$B1262)</f>
        <v>4415163</v>
      </c>
      <c r="K1262" s="7" t="str">
        <f aca="false">IF(COUNTIF($O$2:$O$16,$A1262)&gt;0,"Y","N")</f>
        <v>Y</v>
      </c>
    </row>
    <row r="1263" customFormat="false" ht="15" hidden="false" customHeight="false" outlineLevel="0" collapsed="false">
      <c r="A1263" s="7" t="s">
        <v>42</v>
      </c>
      <c r="B1263" s="7" t="s">
        <v>94</v>
      </c>
      <c r="C1263" s="8" t="n">
        <v>0</v>
      </c>
      <c r="D1263" s="8" t="n">
        <v>0</v>
      </c>
      <c r="E1263" s="8" t="n">
        <v>70</v>
      </c>
      <c r="F1263" s="8" t="n">
        <v>734.98</v>
      </c>
      <c r="G1263" s="7" t="str">
        <f aca="false">IFERROR(INDEX('TRANS'!$B:$B,MATCH($B1263,'TRANS'!$A:$A,0)),IFERROR(INDEX('TRANS'!$B:$B,MATCH(TRIM(SUBSTITUTE($B1263,CHAR(160)," ")),'TRANS'!$D:$D,0)),IFERROR(INDEX('Catalog'!$A:$A,MATCH($B1263,'Catalog'!$B:$B,0)),IFERROR(INDEX('Catalog'!$A:$A,MATCH(TRIM(SUBSTITUTE($B1263,CHAR(160)," ")),'Catalog'!$C:$C,0)),""))))</f>
        <v/>
      </c>
      <c r="H1263" s="7" t="str">
        <f aca="false">IFERROR(INDEX('TRANS'!$C:$C,MATCH($B1263,'TRANS'!$A:$A,0)),IFERROR(INDEX('Catalog'!$B:$B,MATCH($G1263,'Catalog'!$A:$A,0)),$B1263))</f>
        <v>239P-S-M</v>
      </c>
      <c r="I1263" s="7" t="str">
        <f aca="false">IF($G1263="","Unmatched","Matched")</f>
        <v>Unmatched</v>
      </c>
      <c r="J1263" s="7" t="str">
        <f aca="false">IF($G1263&lt;&gt;"",$G1263,$B1263)</f>
        <v>239P-S-M</v>
      </c>
      <c r="K1263" s="7" t="str">
        <f aca="false">IF(COUNTIF($O$2:$O$16,$A1263)&gt;0,"Y","N")</f>
        <v>Y</v>
      </c>
    </row>
    <row r="1264" customFormat="false" ht="15" hidden="false" customHeight="false" outlineLevel="0" collapsed="false">
      <c r="A1264" s="7" t="s">
        <v>42</v>
      </c>
      <c r="B1264" s="7" t="s">
        <v>432</v>
      </c>
      <c r="C1264" s="8" t="n">
        <v>10</v>
      </c>
      <c r="D1264" s="8" t="n">
        <v>210.01</v>
      </c>
      <c r="E1264" s="8" t="n">
        <v>10</v>
      </c>
      <c r="F1264" s="8" t="n">
        <v>201.3</v>
      </c>
      <c r="G1264" s="7" t="n">
        <f aca="false">IFERROR(INDEX('TRANS'!$B:$B,MATCH($B1264,'TRANS'!$A:$A,0)),IFERROR(INDEX('TRANS'!$B:$B,MATCH(TRIM(SUBSTITUTE($B1264,CHAR(160)," ")),'TRANS'!$D:$D,0)),IFERROR(INDEX('Catalog'!$A:$A,MATCH($B1264,'Catalog'!$B:$B,0)),IFERROR(INDEX('Catalog'!$A:$A,MATCH(TRIM(SUBSTITUTE($B1264,CHAR(160)," ")),'Catalog'!$C:$C,0)),""))))</f>
        <v>4421005</v>
      </c>
      <c r="H1264" s="7" t="str">
        <f aca="false">IFERROR(INDEX('TRANS'!$C:$C,MATCH($B1264,'TRANS'!$A:$A,0)),IFERROR(INDEX('Catalog'!$B:$B,MATCH($G1264,'Catalog'!$A:$A,0)),$B1264))</f>
        <v>שרוול לגבס קצר יד</v>
      </c>
      <c r="I1264" s="7" t="str">
        <f aca="false">IF($G1264="","Unmatched","Matched")</f>
        <v>Matched</v>
      </c>
      <c r="J1264" s="7" t="n">
        <f aca="false">IF($G1264&lt;&gt;"",$G1264,$B1264)</f>
        <v>4421005</v>
      </c>
      <c r="K1264" s="7" t="str">
        <f aca="false">IF(COUNTIF($O$2:$O$16,$A1264)&gt;0,"Y","N")</f>
        <v>Y</v>
      </c>
    </row>
    <row r="1265" customFormat="false" ht="15" hidden="false" customHeight="false" outlineLevel="0" collapsed="false">
      <c r="A1265" s="7" t="s">
        <v>42</v>
      </c>
      <c r="B1265" s="7" t="s">
        <v>433</v>
      </c>
      <c r="C1265" s="8" t="n">
        <v>10</v>
      </c>
      <c r="D1265" s="8" t="n">
        <v>238.65</v>
      </c>
      <c r="E1265" s="8" t="n">
        <v>10</v>
      </c>
      <c r="F1265" s="8" t="n">
        <v>228.75</v>
      </c>
      <c r="G1265" s="7" t="n">
        <f aca="false">IFERROR(INDEX('TRANS'!$B:$B,MATCH($B1265,'TRANS'!$A:$A,0)),IFERROR(INDEX('TRANS'!$B:$B,MATCH(TRIM(SUBSTITUTE($B1265,CHAR(160)," ")),'TRANS'!$D:$D,0)),IFERROR(INDEX('Catalog'!$A:$A,MATCH($B1265,'Catalog'!$B:$B,0)),IFERROR(INDEX('Catalog'!$A:$A,MATCH(TRIM(SUBSTITUTE($B1265,CHAR(160)," ")),'Catalog'!$C:$C,0)),""))))</f>
        <v>4421006</v>
      </c>
      <c r="H1265" s="7" t="str">
        <f aca="false">IFERROR(INDEX('TRANS'!$C:$C,MATCH($B1265,'TRANS'!$A:$A,0)),IFERROR(INDEX('Catalog'!$B:$B,MATCH($G1265,'Catalog'!$A:$A,0)),$B1265))</f>
        <v>שרוול לגבס ארוך יד</v>
      </c>
      <c r="I1265" s="7" t="str">
        <f aca="false">IF($G1265="","Unmatched","Matched")</f>
        <v>Matched</v>
      </c>
      <c r="J1265" s="7" t="n">
        <f aca="false">IF($G1265&lt;&gt;"",$G1265,$B1265)</f>
        <v>4421006</v>
      </c>
      <c r="K1265" s="7" t="str">
        <f aca="false">IF(COUNTIF($O$2:$O$16,$A1265)&gt;0,"Y","N")</f>
        <v>Y</v>
      </c>
    </row>
    <row r="1266" customFormat="false" ht="15" hidden="false" customHeight="false" outlineLevel="0" collapsed="false">
      <c r="A1266" s="7" t="s">
        <v>42</v>
      </c>
      <c r="B1266" s="7" t="s">
        <v>393</v>
      </c>
      <c r="C1266" s="8" t="n">
        <v>310</v>
      </c>
      <c r="D1266" s="8" t="n">
        <v>6833.21</v>
      </c>
      <c r="E1266" s="8" t="n">
        <v>250</v>
      </c>
      <c r="F1266" s="8" t="n">
        <v>5491.17</v>
      </c>
      <c r="G1266" s="7" t="n">
        <f aca="false">IFERROR(INDEX('TRANS'!$B:$B,MATCH($B1266,'TRANS'!$A:$A,0)),IFERROR(INDEX('TRANS'!$B:$B,MATCH(TRIM(SUBSTITUTE($B1266,CHAR(160)," ")),'TRANS'!$D:$D,0)),IFERROR(INDEX('Catalog'!$A:$A,MATCH($B1266,'Catalog'!$B:$B,0)),IFERROR(INDEX('Catalog'!$A:$A,MATCH(TRIM(SUBSTITUTE($B1266,CHAR(160)," ")),'Catalog'!$C:$C,0)),""))))</f>
        <v>4415158</v>
      </c>
      <c r="H1266" s="7" t="str">
        <f aca="false">IFERROR(INDEX('TRANS'!$C:$C,MATCH($B1266,'TRANS'!$A:$A,0)),IFERROR(INDEX('Catalog'!$B:$B,MATCH($G1266,'Catalog'!$A:$A,0)),$B1266))</f>
        <v>266 סד ליד דו צדדי</v>
      </c>
      <c r="I1266" s="7" t="str">
        <f aca="false">IF($G1266="","Unmatched","Matched")</f>
        <v>Matched</v>
      </c>
      <c r="J1266" s="7" t="n">
        <f aca="false">IF($G1266&lt;&gt;"",$G1266,$B1266)</f>
        <v>4415158</v>
      </c>
      <c r="K1266" s="7" t="str">
        <f aca="false">IF(COUNTIF($O$2:$O$16,$A1266)&gt;0,"Y","N")</f>
        <v>Y</v>
      </c>
    </row>
    <row r="1267" customFormat="false" ht="15" hidden="false" customHeight="false" outlineLevel="0" collapsed="false">
      <c r="A1267" s="7" t="s">
        <v>42</v>
      </c>
      <c r="B1267" s="7" t="s">
        <v>435</v>
      </c>
      <c r="C1267" s="8" t="n">
        <v>6</v>
      </c>
      <c r="D1267" s="8" t="n">
        <v>225.67</v>
      </c>
      <c r="E1267" s="8" t="n">
        <v>0</v>
      </c>
      <c r="F1267" s="8" t="n">
        <v>0</v>
      </c>
      <c r="G1267" s="7" t="n">
        <f aca="false">IFERROR(INDEX('TRANS'!$B:$B,MATCH($B1267,'TRANS'!$A:$A,0)),IFERROR(INDEX('TRANS'!$B:$B,MATCH(TRIM(SUBSTITUTE($B1267,CHAR(160)," ")),'TRANS'!$D:$D,0)),IFERROR(INDEX('Catalog'!$A:$A,MATCH($B1267,'Catalog'!$B:$B,0)),IFERROR(INDEX('Catalog'!$A:$A,MATCH(TRIM(SUBSTITUTE($B1267,CHAR(160)," ")),'Catalog'!$C:$C,0)),""))))</f>
        <v>4415005</v>
      </c>
      <c r="H1267" s="7" t="str">
        <f aca="false">IFERROR(INDEX('TRANS'!$C:$C,MATCH($B1267,'TRANS'!$A:$A,0)),IFERROR(INDEX('Catalog'!$B:$B,MATCH($G1267,'Catalog'!$A:$A,0)),$B1267))</f>
        <v>28 L סד לאגודל לאחר שבר</v>
      </c>
      <c r="I1267" s="7" t="str">
        <f aca="false">IF($G1267="","Unmatched","Matched")</f>
        <v>Matched</v>
      </c>
      <c r="J1267" s="7" t="n">
        <f aca="false">IF($G1267&lt;&gt;"",$G1267,$B1267)</f>
        <v>4415005</v>
      </c>
      <c r="K1267" s="7" t="str">
        <f aca="false">IF(COUNTIF($O$2:$O$16,$A1267)&gt;0,"Y","N")</f>
        <v>Y</v>
      </c>
    </row>
    <row r="1268" customFormat="false" ht="15" hidden="false" customHeight="false" outlineLevel="0" collapsed="false">
      <c r="A1268" s="7" t="s">
        <v>42</v>
      </c>
      <c r="B1268" s="7" t="s">
        <v>436</v>
      </c>
      <c r="C1268" s="8" t="n">
        <v>11</v>
      </c>
      <c r="D1268" s="8" t="n">
        <v>394.72</v>
      </c>
      <c r="E1268" s="8" t="n">
        <v>5</v>
      </c>
      <c r="F1268" s="8" t="n">
        <v>191.06</v>
      </c>
      <c r="G1268" s="7" t="n">
        <f aca="false">IFERROR(INDEX('TRANS'!$B:$B,MATCH($B1268,'TRANS'!$A:$A,0)),IFERROR(INDEX('TRANS'!$B:$B,MATCH(TRIM(SUBSTITUTE($B1268,CHAR(160)," ")),'TRANS'!$D:$D,0)),IFERROR(INDEX('Catalog'!$A:$A,MATCH($B1268,'Catalog'!$B:$B,0)),IFERROR(INDEX('Catalog'!$A:$A,MATCH(TRIM(SUBSTITUTE($B1268,CHAR(160)," ")),'Catalog'!$C:$C,0)),""))))</f>
        <v>4415006</v>
      </c>
      <c r="H1268" s="7" t="str">
        <f aca="false">IFERROR(INDEX('TRANS'!$C:$C,MATCH($B1268,'TRANS'!$A:$A,0)),IFERROR(INDEX('Catalog'!$B:$B,MATCH($G1268,'Catalog'!$A:$A,0)),$B1268))</f>
        <v>28 M סד לאגודל לאחר שבר</v>
      </c>
      <c r="I1268" s="7" t="str">
        <f aca="false">IF($G1268="","Unmatched","Matched")</f>
        <v>Matched</v>
      </c>
      <c r="J1268" s="7" t="n">
        <f aca="false">IF($G1268&lt;&gt;"",$G1268,$B1268)</f>
        <v>4415006</v>
      </c>
      <c r="K1268" s="7" t="str">
        <f aca="false">IF(COUNTIF($O$2:$O$16,$A1268)&gt;0,"Y","N")</f>
        <v>Y</v>
      </c>
    </row>
    <row r="1269" customFormat="false" ht="15" hidden="false" customHeight="false" outlineLevel="0" collapsed="false">
      <c r="A1269" s="7" t="s">
        <v>42</v>
      </c>
      <c r="B1269" s="7" t="s">
        <v>437</v>
      </c>
      <c r="C1269" s="8" t="n">
        <v>10</v>
      </c>
      <c r="D1269" s="8" t="n">
        <v>357.11</v>
      </c>
      <c r="E1269" s="8" t="n">
        <v>0</v>
      </c>
      <c r="F1269" s="8" t="n">
        <v>0</v>
      </c>
      <c r="G1269" s="7" t="n">
        <f aca="false">IFERROR(INDEX('TRANS'!$B:$B,MATCH($B1269,'TRANS'!$A:$A,0)),IFERROR(INDEX('TRANS'!$B:$B,MATCH(TRIM(SUBSTITUTE($B1269,CHAR(160)," ")),'TRANS'!$D:$D,0)),IFERROR(INDEX('Catalog'!$A:$A,MATCH($B1269,'Catalog'!$B:$B,0)),IFERROR(INDEX('Catalog'!$A:$A,MATCH(TRIM(SUBSTITUTE($B1269,CHAR(160)," ")),'Catalog'!$C:$C,0)),""))))</f>
        <v>4415007</v>
      </c>
      <c r="H1269" s="7" t="str">
        <f aca="false">IFERROR(INDEX('TRANS'!$C:$C,MATCH($B1269,'TRANS'!$A:$A,0)),IFERROR(INDEX('Catalog'!$B:$B,MATCH($G1269,'Catalog'!$A:$A,0)),$B1269))</f>
        <v>28 S סד לאגודל לאחר שבר</v>
      </c>
      <c r="I1269" s="7" t="str">
        <f aca="false">IF($G1269="","Unmatched","Matched")</f>
        <v>Matched</v>
      </c>
      <c r="J1269" s="7" t="n">
        <f aca="false">IF($G1269&lt;&gt;"",$G1269,$B1269)</f>
        <v>4415007</v>
      </c>
      <c r="K1269" s="7" t="str">
        <f aca="false">IF(COUNTIF($O$2:$O$16,$A1269)&gt;0,"Y","N")</f>
        <v>Y</v>
      </c>
    </row>
    <row r="1270" customFormat="false" ht="15" hidden="false" customHeight="false" outlineLevel="0" collapsed="false">
      <c r="A1270" s="7" t="s">
        <v>42</v>
      </c>
      <c r="B1270" s="7" t="s">
        <v>632</v>
      </c>
      <c r="C1270" s="8" t="n">
        <v>36</v>
      </c>
      <c r="D1270" s="8" t="n">
        <v>1061.57</v>
      </c>
      <c r="E1270" s="8" t="n">
        <v>0</v>
      </c>
      <c r="F1270" s="8" t="n">
        <v>0</v>
      </c>
      <c r="G1270" s="7" t="n">
        <f aca="false">IFERROR(INDEX('TRANS'!$B:$B,MATCH($B1270,'TRANS'!$A:$A,0)),IFERROR(INDEX('TRANS'!$B:$B,MATCH(TRIM(SUBSTITUTE($B1270,CHAR(160)," ")),'TRANS'!$D:$D,0)),IFERROR(INDEX('Catalog'!$A:$A,MATCH($B1270,'Catalog'!$B:$B,0)),IFERROR(INDEX('Catalog'!$A:$A,MATCH(TRIM(SUBSTITUTE($B1270,CHAR(160)," ")),'Catalog'!$C:$C,0)),""))))</f>
        <v>4420036</v>
      </c>
      <c r="H1270" s="7" t="str">
        <f aca="false">IFERROR(INDEX('TRANS'!$C:$C,MATCH($B1270,'TRANS'!$A:$A,0)),IFERROR(INDEX('Catalog'!$B:$B,MATCH($G1270,'Catalog'!$A:$A,0)),$B1270))</f>
        <v>301CM 41-45 'רפידת ג'ל בז</v>
      </c>
      <c r="I1270" s="7" t="str">
        <f aca="false">IF($G1270="","Unmatched","Matched")</f>
        <v>Matched</v>
      </c>
      <c r="J1270" s="7" t="n">
        <f aca="false">IF($G1270&lt;&gt;"",$G1270,$B1270)</f>
        <v>4420036</v>
      </c>
      <c r="K1270" s="7" t="str">
        <f aca="false">IF(COUNTIF($O$2:$O$16,$A1270)&gt;0,"Y","N")</f>
        <v>Y</v>
      </c>
    </row>
    <row r="1271" customFormat="false" ht="15" hidden="false" customHeight="false" outlineLevel="0" collapsed="false">
      <c r="A1271" s="7" t="s">
        <v>42</v>
      </c>
      <c r="B1271" s="7" t="s">
        <v>294</v>
      </c>
      <c r="C1271" s="8" t="n">
        <v>24</v>
      </c>
      <c r="D1271" s="8" t="n">
        <v>689.66</v>
      </c>
      <c r="E1271" s="8" t="n">
        <v>73</v>
      </c>
      <c r="F1271" s="8" t="n">
        <v>1953.75</v>
      </c>
      <c r="G1271" s="7" t="n">
        <f aca="false">IFERROR(INDEX('TRANS'!$B:$B,MATCH($B1271,'TRANS'!$A:$A,0)),IFERROR(INDEX('TRANS'!$B:$B,MATCH(TRIM(SUBSTITUTE($B1271,CHAR(160)," ")),'TRANS'!$D:$D,0)),IFERROR(INDEX('Catalog'!$A:$A,MATCH($B1271,'Catalog'!$B:$B,0)),IFERROR(INDEX('Catalog'!$A:$A,MATCH(TRIM(SUBSTITUTE($B1271,CHAR(160)," ")),'Catalog'!$C:$C,0)),""))))</f>
        <v>4413348</v>
      </c>
      <c r="H1271" s="7" t="str">
        <f aca="false">IFERROR(INDEX('TRANS'!$C:$C,MATCH($B1271,'TRANS'!$A:$A,0)),IFERROR(INDEX('Catalog'!$B:$B,MATCH($G1271,'Catalog'!$A:$A,0)),$B1271))</f>
        <v>302 מדרס ג'ל לגבר</v>
      </c>
      <c r="I1271" s="7" t="str">
        <f aca="false">IF($G1271="","Unmatched","Matched")</f>
        <v>Matched</v>
      </c>
      <c r="J1271" s="7" t="n">
        <f aca="false">IF($G1271&lt;&gt;"",$G1271,$B1271)</f>
        <v>4413348</v>
      </c>
      <c r="K1271" s="7" t="str">
        <f aca="false">IF(COUNTIF($O$2:$O$16,$A1271)&gt;0,"Y","N")</f>
        <v>Y</v>
      </c>
    </row>
    <row r="1272" customFormat="false" ht="15" hidden="false" customHeight="false" outlineLevel="0" collapsed="false">
      <c r="A1272" s="7" t="s">
        <v>42</v>
      </c>
      <c r="B1272" s="7" t="s">
        <v>295</v>
      </c>
      <c r="C1272" s="8" t="n">
        <v>10</v>
      </c>
      <c r="D1272" s="8" t="n">
        <v>242.07</v>
      </c>
      <c r="E1272" s="8" t="n">
        <v>29</v>
      </c>
      <c r="F1272" s="8" t="n">
        <v>710.3</v>
      </c>
      <c r="G1272" s="7" t="n">
        <f aca="false">IFERROR(INDEX('TRANS'!$B:$B,MATCH($B1272,'TRANS'!$A:$A,0)),IFERROR(INDEX('TRANS'!$B:$B,MATCH(TRIM(SUBSTITUTE($B1272,CHAR(160)," ")),'TRANS'!$D:$D,0)),IFERROR(INDEX('Catalog'!$A:$A,MATCH($B1272,'Catalog'!$B:$B,0)),IFERROR(INDEX('Catalog'!$A:$A,MATCH(TRIM(SUBSTITUTE($B1272,CHAR(160)," ")),'Catalog'!$C:$C,0)),""))))</f>
        <v>4413372</v>
      </c>
      <c r="H1272" s="7" t="str">
        <f aca="false">IFERROR(INDEX('TRANS'!$C:$C,MATCH($B1272,'TRANS'!$A:$A,0)),IFERROR(INDEX('Catalog'!$B:$B,MATCH($G1272,'Catalog'!$A:$A,0)),$B1272))</f>
        <v>302 W מדרס לאישה</v>
      </c>
      <c r="I1272" s="7" t="str">
        <f aca="false">IF($G1272="","Unmatched","Matched")</f>
        <v>Matched</v>
      </c>
      <c r="J1272" s="7" t="n">
        <f aca="false">IF($G1272&lt;&gt;"",$G1272,$B1272)</f>
        <v>4413372</v>
      </c>
      <c r="K1272" s="7" t="str">
        <f aca="false">IF(COUNTIF($O$2:$O$16,$A1272)&gt;0,"Y","N")</f>
        <v>Y</v>
      </c>
    </row>
    <row r="1273" customFormat="false" ht="15" hidden="false" customHeight="false" outlineLevel="0" collapsed="false">
      <c r="A1273" s="7" t="s">
        <v>42</v>
      </c>
      <c r="B1273" s="7" t="s">
        <v>68</v>
      </c>
      <c r="C1273" s="8" t="n">
        <v>10</v>
      </c>
      <c r="D1273" s="8" t="n">
        <v>325.92</v>
      </c>
      <c r="E1273" s="8" t="n">
        <v>15</v>
      </c>
      <c r="F1273" s="8" t="n">
        <v>496.58</v>
      </c>
      <c r="G1273" s="7" t="str">
        <f aca="false">IFERROR(INDEX('TRANS'!$B:$B,MATCH($B1273,'TRANS'!$A:$A,0)),IFERROR(INDEX('TRANS'!$B:$B,MATCH(TRIM(SUBSTITUTE($B1273,CHAR(160)," ")),'TRANS'!$D:$D,0)),IFERROR(INDEX('Catalog'!$A:$A,MATCH($B1273,'Catalog'!$B:$B,0)),IFERROR(INDEX('Catalog'!$A:$A,MATCH(TRIM(SUBSTITUTE($B1273,CHAR(160)," ")),'Catalog'!$C:$C,0)),""))))</f>
        <v/>
      </c>
      <c r="H1273" s="7" t="str">
        <f aca="false">IFERROR(INDEX('TRANS'!$C:$C,MATCH($B1273,'TRANS'!$A:$A,0)),IFERROR(INDEX('Catalog'!$B:$B,MATCH($G1273,'Catalog'!$A:$A,0)),$B1273))</f>
        <v>305-41-42</v>
      </c>
      <c r="I1273" s="7" t="str">
        <f aca="false">IF($G1273="","Unmatched","Matched")</f>
        <v>Unmatched</v>
      </c>
      <c r="J1273" s="7" t="str">
        <f aca="false">IF($G1273&lt;&gt;"",$G1273,$B1273)</f>
        <v>305-41-42</v>
      </c>
      <c r="K1273" s="7" t="str">
        <f aca="false">IF(COUNTIF($O$2:$O$16,$A1273)&gt;0,"Y","N")</f>
        <v>Y</v>
      </c>
    </row>
    <row r="1274" customFormat="false" ht="15" hidden="false" customHeight="false" outlineLevel="0" collapsed="false">
      <c r="A1274" s="7" t="s">
        <v>42</v>
      </c>
      <c r="B1274" s="7" t="s">
        <v>66</v>
      </c>
      <c r="C1274" s="8" t="n">
        <v>0</v>
      </c>
      <c r="D1274" s="8" t="n">
        <v>0</v>
      </c>
      <c r="E1274" s="8" t="n">
        <v>24</v>
      </c>
      <c r="F1274" s="8" t="n">
        <v>828.12</v>
      </c>
      <c r="G1274" s="7" t="str">
        <f aca="false">IFERROR(INDEX('TRANS'!$B:$B,MATCH($B1274,'TRANS'!$A:$A,0)),IFERROR(INDEX('TRANS'!$B:$B,MATCH(TRIM(SUBSTITUTE($B1274,CHAR(160)," ")),'TRANS'!$D:$D,0)),IFERROR(INDEX('Catalog'!$A:$A,MATCH($B1274,'Catalog'!$B:$B,0)),IFERROR(INDEX('Catalog'!$A:$A,MATCH(TRIM(SUBSTITUTE($B1274,CHAR(160)," ")),'Catalog'!$C:$C,0)),""))))</f>
        <v/>
      </c>
      <c r="H1274" s="7" t="str">
        <f aca="false">IFERROR(INDEX('TRANS'!$C:$C,MATCH($B1274,'TRANS'!$A:$A,0)),IFERROR(INDEX('Catalog'!$B:$B,MATCH($G1274,'Catalog'!$A:$A,0)),$B1274))</f>
        <v>305-43-44</v>
      </c>
      <c r="I1274" s="7" t="str">
        <f aca="false">IF($G1274="","Unmatched","Matched")</f>
        <v>Unmatched</v>
      </c>
      <c r="J1274" s="7" t="str">
        <f aca="false">IF($G1274&lt;&gt;"",$G1274,$B1274)</f>
        <v>305-43-44</v>
      </c>
      <c r="K1274" s="7" t="str">
        <f aca="false">IF(COUNTIF($O$2:$O$16,$A1274)&gt;0,"Y","N")</f>
        <v>Y</v>
      </c>
    </row>
    <row r="1275" customFormat="false" ht="15" hidden="false" customHeight="false" outlineLevel="0" collapsed="false">
      <c r="A1275" s="7" t="s">
        <v>42</v>
      </c>
      <c r="B1275" s="7" t="s">
        <v>76</v>
      </c>
      <c r="C1275" s="8" t="n">
        <v>5</v>
      </c>
      <c r="D1275" s="8" t="n">
        <v>162.96</v>
      </c>
      <c r="E1275" s="8" t="n">
        <v>9</v>
      </c>
      <c r="F1275" s="8" t="n">
        <v>303.55</v>
      </c>
      <c r="G1275" s="7" t="str">
        <f aca="false">IFERROR(INDEX('TRANS'!$B:$B,MATCH($B1275,'TRANS'!$A:$A,0)),IFERROR(INDEX('TRANS'!$B:$B,MATCH(TRIM(SUBSTITUTE($B1275,CHAR(160)," ")),'TRANS'!$D:$D,0)),IFERROR(INDEX('Catalog'!$A:$A,MATCH($B1275,'Catalog'!$B:$B,0)),IFERROR(INDEX('Catalog'!$A:$A,MATCH(TRIM(SUBSTITUTE($B1275,CHAR(160)," ")),'Catalog'!$C:$C,0)),""))))</f>
        <v/>
      </c>
      <c r="H1275" s="7" t="str">
        <f aca="false">IFERROR(INDEX('TRANS'!$C:$C,MATCH($B1275,'TRANS'!$A:$A,0)),IFERROR(INDEX('Catalog'!$B:$B,MATCH($G1275,'Catalog'!$A:$A,0)),$B1275))</f>
        <v>305-45-46</v>
      </c>
      <c r="I1275" s="7" t="str">
        <f aca="false">IF($G1275="","Unmatched","Matched")</f>
        <v>Unmatched</v>
      </c>
      <c r="J1275" s="7" t="str">
        <f aca="false">IF($G1275&lt;&gt;"",$G1275,$B1275)</f>
        <v>305-45-46</v>
      </c>
      <c r="K1275" s="7" t="str">
        <f aca="false">IF(COUNTIF($O$2:$O$16,$A1275)&gt;0,"Y","N")</f>
        <v>Y</v>
      </c>
    </row>
    <row r="1276" customFormat="false" ht="15" hidden="false" customHeight="false" outlineLevel="0" collapsed="false">
      <c r="A1276" s="7" t="s">
        <v>42</v>
      </c>
      <c r="B1276" s="7" t="s">
        <v>296</v>
      </c>
      <c r="C1276" s="8" t="n">
        <v>55</v>
      </c>
      <c r="D1276" s="8" t="n">
        <v>1420.65</v>
      </c>
      <c r="E1276" s="8" t="n">
        <v>138</v>
      </c>
      <c r="F1276" s="8" t="n">
        <v>3807.02</v>
      </c>
      <c r="G1276" s="7" t="n">
        <f aca="false">IFERROR(INDEX('TRANS'!$B:$B,MATCH($B1276,'TRANS'!$A:$A,0)),IFERROR(INDEX('TRANS'!$B:$B,MATCH(TRIM(SUBSTITUTE($B1276,CHAR(160)," ")),'TRANS'!$D:$D,0)),IFERROR(INDEX('Catalog'!$A:$A,MATCH($B1276,'Catalog'!$B:$B,0)),IFERROR(INDEX('Catalog'!$A:$A,MATCH(TRIM(SUBSTITUTE($B1276,CHAR(160)," ")),'Catalog'!$C:$C,0)),""))))</f>
        <v>4416000</v>
      </c>
      <c r="H1276" s="7" t="str">
        <f aca="false">IFERROR(INDEX('TRANS'!$C:$C,MATCH($B1276,'TRANS'!$A:$A,0)),IFERROR(INDEX('Catalog'!$B:$B,MATCH($G1276,'Catalog'!$A:$A,0)),$B1276))</f>
        <v>307 L עקבים לדורבן-זוג כריות</v>
      </c>
      <c r="I1276" s="7" t="str">
        <f aca="false">IF($G1276="","Unmatched","Matched")</f>
        <v>Matched</v>
      </c>
      <c r="J1276" s="7" t="n">
        <f aca="false">IF($G1276&lt;&gt;"",$G1276,$B1276)</f>
        <v>4416000</v>
      </c>
      <c r="K1276" s="7" t="str">
        <f aca="false">IF(COUNTIF($O$2:$O$16,$A1276)&gt;0,"Y","N")</f>
        <v>Y</v>
      </c>
    </row>
    <row r="1277" customFormat="false" ht="15" hidden="false" customHeight="false" outlineLevel="0" collapsed="false">
      <c r="A1277" s="7" t="s">
        <v>42</v>
      </c>
      <c r="B1277" s="7" t="s">
        <v>297</v>
      </c>
      <c r="C1277" s="8" t="n">
        <v>105</v>
      </c>
      <c r="D1277" s="8" t="n">
        <v>2712.14</v>
      </c>
      <c r="E1277" s="8" t="n">
        <v>100</v>
      </c>
      <c r="F1277" s="8" t="n">
        <v>2830.72</v>
      </c>
      <c r="G1277" s="7" t="n">
        <f aca="false">IFERROR(INDEX('TRANS'!$B:$B,MATCH($B1277,'TRANS'!$A:$A,0)),IFERROR(INDEX('TRANS'!$B:$B,MATCH(TRIM(SUBSTITUTE($B1277,CHAR(160)," ")),'TRANS'!$D:$D,0)),IFERROR(INDEX('Catalog'!$A:$A,MATCH($B1277,'Catalog'!$B:$B,0)),IFERROR(INDEX('Catalog'!$A:$A,MATCH(TRIM(SUBSTITUTE($B1277,CHAR(160)," ")),'Catalog'!$C:$C,0)),""))))</f>
        <v>4416001</v>
      </c>
      <c r="H1277" s="7" t="str">
        <f aca="false">IFERROR(INDEX('TRANS'!$C:$C,MATCH($B1277,'TRANS'!$A:$A,0)),IFERROR(INDEX('Catalog'!$B:$B,MATCH($G1277,'Catalog'!$A:$A,0)),$B1277))</f>
        <v>307 M עקבים לדורבן-זוג כריות</v>
      </c>
      <c r="I1277" s="7" t="str">
        <f aca="false">IF($G1277="","Unmatched","Matched")</f>
        <v>Matched</v>
      </c>
      <c r="J1277" s="7" t="n">
        <f aca="false">IF($G1277&lt;&gt;"",$G1277,$B1277)</f>
        <v>4416001</v>
      </c>
      <c r="K1277" s="7" t="str">
        <f aca="false">IF(COUNTIF($O$2:$O$16,$A1277)&gt;0,"Y","N")</f>
        <v>Y</v>
      </c>
    </row>
    <row r="1278" customFormat="false" ht="15" hidden="false" customHeight="false" outlineLevel="0" collapsed="false">
      <c r="A1278" s="7" t="s">
        <v>42</v>
      </c>
      <c r="B1278" s="7" t="s">
        <v>298</v>
      </c>
      <c r="C1278" s="8" t="n">
        <v>25</v>
      </c>
      <c r="D1278" s="8" t="n">
        <v>645.74</v>
      </c>
      <c r="E1278" s="8" t="n">
        <v>20</v>
      </c>
      <c r="F1278" s="8" t="n">
        <v>583.89</v>
      </c>
      <c r="G1278" s="7" t="n">
        <f aca="false">IFERROR(INDEX('TRANS'!$B:$B,MATCH($B1278,'TRANS'!$A:$A,0)),IFERROR(INDEX('TRANS'!$B:$B,MATCH(TRIM(SUBSTITUTE($B1278,CHAR(160)," ")),'TRANS'!$D:$D,0)),IFERROR(INDEX('Catalog'!$A:$A,MATCH($B1278,'Catalog'!$B:$B,0)),IFERROR(INDEX('Catalog'!$A:$A,MATCH(TRIM(SUBSTITUTE($B1278,CHAR(160)," ")),'Catalog'!$C:$C,0)),""))))</f>
        <v>4416002</v>
      </c>
      <c r="H1278" s="7" t="str">
        <f aca="false">IFERROR(INDEX('TRANS'!$C:$C,MATCH($B1278,'TRANS'!$A:$A,0)),IFERROR(INDEX('Catalog'!$B:$B,MATCH($G1278,'Catalog'!$A:$A,0)),$B1278))</f>
        <v>307 S עקבים לדורבן-זוג כריות</v>
      </c>
      <c r="I1278" s="7" t="str">
        <f aca="false">IF($G1278="","Unmatched","Matched")</f>
        <v>Matched</v>
      </c>
      <c r="J1278" s="7" t="n">
        <f aca="false">IF($G1278&lt;&gt;"",$G1278,$B1278)</f>
        <v>4416002</v>
      </c>
      <c r="K1278" s="7" t="str">
        <f aca="false">IF(COUNTIF($O$2:$O$16,$A1278)&gt;0,"Y","N")</f>
        <v>Y</v>
      </c>
    </row>
    <row r="1279" customFormat="false" ht="15" hidden="false" customHeight="false" outlineLevel="0" collapsed="false">
      <c r="A1279" s="7" t="s">
        <v>42</v>
      </c>
      <c r="B1279" s="7" t="s">
        <v>394</v>
      </c>
      <c r="C1279" s="8" t="n">
        <v>25</v>
      </c>
      <c r="D1279" s="8" t="n">
        <v>645.74</v>
      </c>
      <c r="E1279" s="8" t="n">
        <v>59</v>
      </c>
      <c r="F1279" s="8" t="n">
        <v>1611.57</v>
      </c>
      <c r="G1279" s="7" t="n">
        <f aca="false">IFERROR(INDEX('TRANS'!$B:$B,MATCH($B1279,'TRANS'!$A:$A,0)),IFERROR(INDEX('TRANS'!$B:$B,MATCH(TRIM(SUBSTITUTE($B1279,CHAR(160)," ")),'TRANS'!$D:$D,0)),IFERROR(INDEX('Catalog'!$A:$A,MATCH($B1279,'Catalog'!$B:$B,0)),IFERROR(INDEX('Catalog'!$A:$A,MATCH(TRIM(SUBSTITUTE($B1279,CHAR(160)," ")),'Catalog'!$C:$C,0)),""))))</f>
        <v>4411016</v>
      </c>
      <c r="H1279" s="7" t="str">
        <f aca="false">IFERROR(INDEX('TRANS'!$C:$C,MATCH($B1279,'TRANS'!$A:$A,0)),IFERROR(INDEX('Catalog'!$B:$B,MATCH($G1279,'Catalog'!$A:$A,0)),$B1279))</f>
        <v>307 XL כרית סיליקון לעקב</v>
      </c>
      <c r="I1279" s="7" t="str">
        <f aca="false">IF($G1279="","Unmatched","Matched")</f>
        <v>Matched</v>
      </c>
      <c r="J1279" s="7" t="n">
        <f aca="false">IF($G1279&lt;&gt;"",$G1279,$B1279)</f>
        <v>4411016</v>
      </c>
      <c r="K1279" s="7" t="str">
        <f aca="false">IF(COUNTIF($O$2:$O$16,$A1279)&gt;0,"Y","N")</f>
        <v>Y</v>
      </c>
    </row>
    <row r="1280" customFormat="false" ht="15" hidden="false" customHeight="false" outlineLevel="0" collapsed="false">
      <c r="A1280" s="7" t="s">
        <v>42</v>
      </c>
      <c r="B1280" s="7" t="s">
        <v>524</v>
      </c>
      <c r="C1280" s="8" t="n">
        <v>12</v>
      </c>
      <c r="D1280" s="8" t="n">
        <v>288.86</v>
      </c>
      <c r="E1280" s="8" t="n">
        <v>20</v>
      </c>
      <c r="F1280" s="8" t="n">
        <v>414.8</v>
      </c>
      <c r="G1280" s="7" t="n">
        <f aca="false">IFERROR(INDEX('TRANS'!$B:$B,MATCH($B1280,'TRANS'!$A:$A,0)),IFERROR(INDEX('TRANS'!$B:$B,MATCH(TRIM(SUBSTITUTE($B1280,CHAR(160)," ")),'TRANS'!$D:$D,0)),IFERROR(INDEX('Catalog'!$A:$A,MATCH($B1280,'Catalog'!$B:$B,0)),IFERROR(INDEX('Catalog'!$A:$A,MATCH(TRIM(SUBSTITUTE($B1280,CHAR(160)," ")),'Catalog'!$C:$C,0)),""))))</f>
        <v>4416003</v>
      </c>
      <c r="H1280" s="7" t="str">
        <f aca="false">IFERROR(INDEX('TRANS'!$C:$C,MATCH($B1280,'TRANS'!$A:$A,0)),IFERROR(INDEX('Catalog'!$B:$B,MATCH($G1280,'Catalog'!$A:$A,0)),$B1280))</f>
        <v>308 Lעקבים סיליקון כחול לדורבן</v>
      </c>
      <c r="I1280" s="7" t="str">
        <f aca="false">IF($G1280="","Unmatched","Matched")</f>
        <v>Matched</v>
      </c>
      <c r="J1280" s="7" t="n">
        <f aca="false">IF($G1280&lt;&gt;"",$G1280,$B1280)</f>
        <v>4416003</v>
      </c>
      <c r="K1280" s="7" t="str">
        <f aca="false">IF(COUNTIF($O$2:$O$16,$A1280)&gt;0,"Y","N")</f>
        <v>Y</v>
      </c>
    </row>
    <row r="1281" customFormat="false" ht="15" hidden="false" customHeight="false" outlineLevel="0" collapsed="false">
      <c r="A1281" s="7" t="s">
        <v>42</v>
      </c>
      <c r="B1281" s="7" t="s">
        <v>525</v>
      </c>
      <c r="C1281" s="8" t="n">
        <v>39</v>
      </c>
      <c r="D1281" s="8" t="n">
        <v>902.29</v>
      </c>
      <c r="E1281" s="8" t="n">
        <v>20</v>
      </c>
      <c r="F1281" s="8" t="n">
        <v>414.8</v>
      </c>
      <c r="G1281" s="7" t="n">
        <f aca="false">IFERROR(INDEX('TRANS'!$B:$B,MATCH($B1281,'TRANS'!$A:$A,0)),IFERROR(INDEX('TRANS'!$B:$B,MATCH(TRIM(SUBSTITUTE($B1281,CHAR(160)," ")),'TRANS'!$D:$D,0)),IFERROR(INDEX('Catalog'!$A:$A,MATCH($B1281,'Catalog'!$B:$B,0)),IFERROR(INDEX('Catalog'!$A:$A,MATCH(TRIM(SUBSTITUTE($B1281,CHAR(160)," ")),'Catalog'!$C:$C,0)),""))))</f>
        <v>4416005</v>
      </c>
      <c r="H1281" s="7" t="str">
        <f aca="false">IFERROR(INDEX('TRANS'!$C:$C,MATCH($B1281,'TRANS'!$A:$A,0)),IFERROR(INDEX('Catalog'!$B:$B,MATCH($G1281,'Catalog'!$A:$A,0)),$B1281))</f>
        <v>308 Mעקבים סיליק.כחול לדורבן</v>
      </c>
      <c r="I1281" s="7" t="str">
        <f aca="false">IF($G1281="","Unmatched","Matched")</f>
        <v>Matched</v>
      </c>
      <c r="J1281" s="7" t="n">
        <f aca="false">IF($G1281&lt;&gt;"",$G1281,$B1281)</f>
        <v>4416005</v>
      </c>
      <c r="K1281" s="7" t="str">
        <f aca="false">IF(COUNTIF($O$2:$O$16,$A1281)&gt;0,"Y","N")</f>
        <v>Y</v>
      </c>
    </row>
    <row r="1282" customFormat="false" ht="15" hidden="false" customHeight="false" outlineLevel="0" collapsed="false">
      <c r="A1282" s="7" t="s">
        <v>42</v>
      </c>
      <c r="B1282" s="7" t="s">
        <v>441</v>
      </c>
      <c r="C1282" s="8" t="n">
        <v>10</v>
      </c>
      <c r="D1282" s="8" t="n">
        <v>135.24</v>
      </c>
      <c r="E1282" s="8" t="n">
        <v>0</v>
      </c>
      <c r="F1282" s="8" t="n">
        <v>0</v>
      </c>
      <c r="G1282" s="7" t="n">
        <f aca="false">IFERROR(INDEX('TRANS'!$B:$B,MATCH($B1282,'TRANS'!$A:$A,0)),IFERROR(INDEX('TRANS'!$B:$B,MATCH(TRIM(SUBSTITUTE($B1282,CHAR(160)," ")),'TRANS'!$D:$D,0)),IFERROR(INDEX('Catalog'!$A:$A,MATCH($B1282,'Catalog'!$B:$B,0)),IFERROR(INDEX('Catalog'!$A:$A,MATCH(TRIM(SUBSTITUTE($B1282,CHAR(160)," ")),'Catalog'!$C:$C,0)),""))))</f>
        <v>4415297</v>
      </c>
      <c r="H1282" s="7" t="str">
        <f aca="false">IFERROR(INDEX('TRANS'!$C:$C,MATCH($B1282,'TRANS'!$A:$A,0)),IFERROR(INDEX('Catalog'!$B:$B,MATCH($G1282,'Catalog'!$A:$A,0)),$B1282))</f>
        <v>313 סט פלסטרים נגד שפשופים</v>
      </c>
      <c r="I1282" s="7" t="str">
        <f aca="false">IF($G1282="","Unmatched","Matched")</f>
        <v>Matched</v>
      </c>
      <c r="J1282" s="7" t="n">
        <f aca="false">IF($G1282&lt;&gt;"",$G1282,$B1282)</f>
        <v>4415297</v>
      </c>
      <c r="K1282" s="7" t="str">
        <f aca="false">IF(COUNTIF($O$2:$O$16,$A1282)&gt;0,"Y","N")</f>
        <v>Y</v>
      </c>
    </row>
    <row r="1283" customFormat="false" ht="15" hidden="false" customHeight="false" outlineLevel="0" collapsed="false">
      <c r="A1283" s="7" t="s">
        <v>42</v>
      </c>
      <c r="B1283" s="7" t="s">
        <v>144</v>
      </c>
      <c r="C1283" s="8" t="n">
        <v>10</v>
      </c>
      <c r="D1283" s="8" t="n">
        <v>720.8</v>
      </c>
      <c r="E1283" s="8" t="n">
        <v>5</v>
      </c>
      <c r="F1283" s="8" t="n">
        <v>345.45</v>
      </c>
      <c r="G1283" s="7" t="str">
        <f aca="false">IFERROR(INDEX('TRANS'!$B:$B,MATCH($B1283,'TRANS'!$A:$A,0)),IFERROR(INDEX('TRANS'!$B:$B,MATCH(TRIM(SUBSTITUTE($B1283,CHAR(160)," ")),'TRANS'!$D:$D,0)),IFERROR(INDEX('Catalog'!$A:$A,MATCH($B1283,'Catalog'!$B:$B,0)),IFERROR(INDEX('Catalog'!$A:$A,MATCH(TRIM(SUBSTITUTE($B1283,CHAR(160)," ")),'Catalog'!$C:$C,0)),""))))</f>
        <v/>
      </c>
      <c r="H1283" s="7" t="str">
        <f aca="false">IFERROR(INDEX('TRANS'!$C:$C,MATCH($B1283,'TRANS'!$A:$A,0)),IFERROR(INDEX('Catalog'!$B:$B,MATCH($G1283,'Catalog'!$A:$A,0)),$B1283))</f>
        <v>32 L</v>
      </c>
      <c r="I1283" s="7" t="str">
        <f aca="false">IF($G1283="","Unmatched","Matched")</f>
        <v>Unmatched</v>
      </c>
      <c r="J1283" s="7" t="str">
        <f aca="false">IF($G1283&lt;&gt;"",$G1283,$B1283)</f>
        <v>32 L</v>
      </c>
      <c r="K1283" s="7" t="str">
        <f aca="false">IF(COUNTIF($O$2:$O$16,$A1283)&gt;0,"Y","N")</f>
        <v>Y</v>
      </c>
    </row>
    <row r="1284" customFormat="false" ht="15" hidden="false" customHeight="false" outlineLevel="0" collapsed="false">
      <c r="A1284" s="7" t="s">
        <v>42</v>
      </c>
      <c r="B1284" s="7" t="s">
        <v>112</v>
      </c>
      <c r="C1284" s="8" t="n">
        <v>20</v>
      </c>
      <c r="D1284" s="8" t="n">
        <v>1441.61</v>
      </c>
      <c r="E1284" s="8" t="n">
        <v>15</v>
      </c>
      <c r="F1284" s="8" t="n">
        <v>1160.14</v>
      </c>
      <c r="G1284" s="7" t="str">
        <f aca="false">IFERROR(INDEX('TRANS'!$B:$B,MATCH($B1284,'TRANS'!$A:$A,0)),IFERROR(INDEX('TRANS'!$B:$B,MATCH(TRIM(SUBSTITUTE($B1284,CHAR(160)," ")),'TRANS'!$D:$D,0)),IFERROR(INDEX('Catalog'!$A:$A,MATCH($B1284,'Catalog'!$B:$B,0)),IFERROR(INDEX('Catalog'!$A:$A,MATCH(TRIM(SUBSTITUTE($B1284,CHAR(160)," ")),'Catalog'!$C:$C,0)),""))))</f>
        <v/>
      </c>
      <c r="H1284" s="7" t="str">
        <f aca="false">IFERROR(INDEX('TRANS'!$C:$C,MATCH($B1284,'TRANS'!$A:$A,0)),IFERROR(INDEX('Catalog'!$B:$B,MATCH($G1284,'Catalog'!$A:$A,0)),$B1284))</f>
        <v>32 M</v>
      </c>
      <c r="I1284" s="7" t="str">
        <f aca="false">IF($G1284="","Unmatched","Matched")</f>
        <v>Unmatched</v>
      </c>
      <c r="J1284" s="7" t="str">
        <f aca="false">IF($G1284&lt;&gt;"",$G1284,$B1284)</f>
        <v>32 M</v>
      </c>
      <c r="K1284" s="7" t="str">
        <f aca="false">IF(COUNTIF($O$2:$O$16,$A1284)&gt;0,"Y","N")</f>
        <v>Y</v>
      </c>
    </row>
    <row r="1285" customFormat="false" ht="15" hidden="false" customHeight="false" outlineLevel="0" collapsed="false">
      <c r="A1285" s="7" t="s">
        <v>42</v>
      </c>
      <c r="B1285" s="7" t="s">
        <v>667</v>
      </c>
      <c r="C1285" s="8" t="n">
        <v>25</v>
      </c>
      <c r="D1285" s="8" t="n">
        <v>1802.01</v>
      </c>
      <c r="E1285" s="8" t="n">
        <v>0</v>
      </c>
      <c r="F1285" s="8" t="n">
        <v>0</v>
      </c>
      <c r="G1285" s="7" t="n">
        <f aca="false">IFERROR(INDEX('TRANS'!$B:$B,MATCH($B1285,'TRANS'!$A:$A,0)),IFERROR(INDEX('TRANS'!$B:$B,MATCH(TRIM(SUBSTITUTE($B1285,CHAR(160)," ")),'TRANS'!$D:$D,0)),IFERROR(INDEX('Catalog'!$A:$A,MATCH($B1285,'Catalog'!$B:$B,0)),IFERROR(INDEX('Catalog'!$A:$A,MATCH(TRIM(SUBSTITUTE($B1285,CHAR(160)," ")),'Catalog'!$C:$C,0)),""))))</f>
        <v>4415013</v>
      </c>
      <c r="H1285" s="7" t="str">
        <f aca="false">IFERROR(INDEX('TRANS'!$C:$C,MATCH($B1285,'TRANS'!$A:$A,0)),IFERROR(INDEX('Catalog'!$B:$B,MATCH($G1285,'Catalog'!$A:$A,0)),$B1285))</f>
        <v>32 XL סד קרסול+מוטות אלומיניום</v>
      </c>
      <c r="I1285" s="7" t="str">
        <f aca="false">IF($G1285="","Unmatched","Matched")</f>
        <v>Matched</v>
      </c>
      <c r="J1285" s="7" t="n">
        <f aca="false">IF($G1285&lt;&gt;"",$G1285,$B1285)</f>
        <v>4415013</v>
      </c>
      <c r="K1285" s="7" t="str">
        <f aca="false">IF(COUNTIF($O$2:$O$16,$A1285)&gt;0,"Y","N")</f>
        <v>Y</v>
      </c>
    </row>
    <row r="1286" customFormat="false" ht="15" hidden="false" customHeight="false" outlineLevel="0" collapsed="false">
      <c r="A1286" s="7" t="s">
        <v>42</v>
      </c>
      <c r="B1286" s="7" t="s">
        <v>230</v>
      </c>
      <c r="C1286" s="8" t="n">
        <v>22</v>
      </c>
      <c r="D1286" s="8" t="n">
        <v>1683.08</v>
      </c>
      <c r="E1286" s="8" t="n">
        <v>0</v>
      </c>
      <c r="F1286" s="8" t="n">
        <v>0</v>
      </c>
      <c r="G1286" s="7" t="str">
        <f aca="false">IFERROR(INDEX('TRANS'!$B:$B,MATCH($B1286,'TRANS'!$A:$A,0)),IFERROR(INDEX('TRANS'!$B:$B,MATCH(TRIM(SUBSTITUTE($B1286,CHAR(160)," ")),'TRANS'!$D:$D,0)),IFERROR(INDEX('Catalog'!$A:$A,MATCH($B1286,'Catalog'!$B:$B,0)),IFERROR(INDEX('Catalog'!$A:$A,MATCH(TRIM(SUBSTITUTE($B1286,CHAR(160)," ")),'Catalog'!$C:$C,0)),""))))</f>
        <v/>
      </c>
      <c r="H1286" s="7" t="str">
        <f aca="false">IFERROR(INDEX('TRANS'!$C:$C,MATCH($B1286,'TRANS'!$A:$A,0)),IFERROR(INDEX('Catalog'!$B:$B,MATCH($G1286,'Catalog'!$A:$A,0)),$B1286))</f>
        <v>32 XXL</v>
      </c>
      <c r="I1286" s="7" t="str">
        <f aca="false">IF($G1286="","Unmatched","Matched")</f>
        <v>Unmatched</v>
      </c>
      <c r="J1286" s="7" t="str">
        <f aca="false">IF($G1286&lt;&gt;"",$G1286,$B1286)</f>
        <v>32 XXL</v>
      </c>
      <c r="K1286" s="7" t="str">
        <f aca="false">IF(COUNTIF($O$2:$O$16,$A1286)&gt;0,"Y","N")</f>
        <v>Y</v>
      </c>
    </row>
    <row r="1287" customFormat="false" ht="15" hidden="false" customHeight="false" outlineLevel="0" collapsed="false">
      <c r="A1287" s="7" t="s">
        <v>42</v>
      </c>
      <c r="B1287" s="7" t="s">
        <v>442</v>
      </c>
      <c r="C1287" s="8" t="n">
        <v>24</v>
      </c>
      <c r="D1287" s="8" t="n">
        <v>155.32</v>
      </c>
      <c r="E1287" s="8" t="n">
        <v>0</v>
      </c>
      <c r="F1287" s="8" t="n">
        <v>0</v>
      </c>
      <c r="G1287" s="7" t="n">
        <f aca="false">IFERROR(INDEX('TRANS'!$B:$B,MATCH($B1287,'TRANS'!$A:$A,0)),IFERROR(INDEX('TRANS'!$B:$B,MATCH(TRIM(SUBSTITUTE($B1287,CHAR(160)," ")),'TRANS'!$D:$D,0)),IFERROR(INDEX('Catalog'!$A:$A,MATCH($B1287,'Catalog'!$B:$B,0)),IFERROR(INDEX('Catalog'!$A:$A,MATCH(TRIM(SUBSTITUTE($B1287,CHAR(160)," ")),'Catalog'!$C:$C,0)),""))))</f>
        <v>4402007</v>
      </c>
      <c r="H1287" s="7" t="str">
        <f aca="false">IFERROR(INDEX('TRANS'!$C:$C,MATCH($B1287,'TRANS'!$A:$A,0)),IFERROR(INDEX('Catalog'!$B:$B,MATCH($G1287,'Catalog'!$A:$A,0)),$B1287))</f>
        <v>320 בליסטר פלסטר</v>
      </c>
      <c r="I1287" s="7" t="str">
        <f aca="false">IF($G1287="","Unmatched","Matched")</f>
        <v>Matched</v>
      </c>
      <c r="J1287" s="7" t="n">
        <f aca="false">IF($G1287&lt;&gt;"",$G1287,$B1287)</f>
        <v>4402007</v>
      </c>
      <c r="K1287" s="7" t="str">
        <f aca="false">IF(COUNTIF($O$2:$O$16,$A1287)&gt;0,"Y","N")</f>
        <v>Y</v>
      </c>
    </row>
    <row r="1288" customFormat="false" ht="15" hidden="false" customHeight="false" outlineLevel="0" collapsed="false">
      <c r="A1288" s="7" t="s">
        <v>42</v>
      </c>
      <c r="B1288" s="7" t="s">
        <v>138</v>
      </c>
      <c r="C1288" s="8" t="n">
        <v>1</v>
      </c>
      <c r="D1288" s="8" t="n">
        <v>60.86</v>
      </c>
      <c r="E1288" s="8" t="n">
        <v>0</v>
      </c>
      <c r="F1288" s="8" t="n">
        <v>0</v>
      </c>
      <c r="G1288" s="7" t="str">
        <f aca="false">IFERROR(INDEX('TRANS'!$B:$B,MATCH($B1288,'TRANS'!$A:$A,0)),IFERROR(INDEX('TRANS'!$B:$B,MATCH(TRIM(SUBSTITUTE($B1288,CHAR(160)," ")),'TRANS'!$D:$D,0)),IFERROR(INDEX('Catalog'!$A:$A,MATCH($B1288,'Catalog'!$B:$B,0)),IFERROR(INDEX('Catalog'!$A:$A,MATCH(TRIM(SUBSTITUTE($B1288,CHAR(160)," ")),'Catalog'!$C:$C,0)),""))))</f>
        <v/>
      </c>
      <c r="H1288" s="7" t="str">
        <f aca="false">IFERROR(INDEX('TRANS'!$C:$C,MATCH($B1288,'TRANS'!$A:$A,0)),IFERROR(INDEX('Catalog'!$B:$B,MATCH($G1288,'Catalog'!$A:$A,0)),$B1288))</f>
        <v>332B XL</v>
      </c>
      <c r="I1288" s="7" t="str">
        <f aca="false">IF($G1288="","Unmatched","Matched")</f>
        <v>Unmatched</v>
      </c>
      <c r="J1288" s="7" t="str">
        <f aca="false">IF($G1288&lt;&gt;"",$G1288,$B1288)</f>
        <v>332B XL</v>
      </c>
      <c r="K1288" s="7" t="str">
        <f aca="false">IF(COUNTIF($O$2:$O$16,$A1288)&gt;0,"Y","N")</f>
        <v>Y</v>
      </c>
    </row>
    <row r="1289" customFormat="false" ht="15" hidden="false" customHeight="false" outlineLevel="0" collapsed="false">
      <c r="A1289" s="7" t="s">
        <v>42</v>
      </c>
      <c r="B1289" s="7" t="s">
        <v>443</v>
      </c>
      <c r="C1289" s="8" t="n">
        <v>34</v>
      </c>
      <c r="D1289" s="8" t="n">
        <v>719.66</v>
      </c>
      <c r="E1289" s="8" t="n">
        <v>26</v>
      </c>
      <c r="F1289" s="8" t="n">
        <v>542.57</v>
      </c>
      <c r="G1289" s="7" t="n">
        <f aca="false">IFERROR(INDEX('TRANS'!$B:$B,MATCH($B1289,'TRANS'!$A:$A,0)),IFERROR(INDEX('TRANS'!$B:$B,MATCH(TRIM(SUBSTITUTE($B1289,CHAR(160)," ")),'TRANS'!$D:$D,0)),IFERROR(INDEX('Catalog'!$A:$A,MATCH($B1289,'Catalog'!$B:$B,0)),IFERROR(INDEX('Catalog'!$A:$A,MATCH(TRIM(SUBSTITUTE($B1289,CHAR(160)," ")),'Catalog'!$C:$C,0)),""))))</f>
        <v>4413043</v>
      </c>
      <c r="H1289" s="7" t="str">
        <f aca="false">IFERROR(INDEX('TRANS'!$C:$C,MATCH($B1289,'TRANS'!$A:$A,0)),IFERROR(INDEX('Catalog'!$B:$B,MATCH($G1289,'Catalog'!$A:$A,0)),$B1289))</f>
        <v>34  L מגן קרסול עקב סגור</v>
      </c>
      <c r="I1289" s="7" t="str">
        <f aca="false">IF($G1289="","Unmatched","Matched")</f>
        <v>Matched</v>
      </c>
      <c r="J1289" s="7" t="n">
        <f aca="false">IF($G1289&lt;&gt;"",$G1289,$B1289)</f>
        <v>4413043</v>
      </c>
      <c r="K1289" s="7" t="str">
        <f aca="false">IF(COUNTIF($O$2:$O$16,$A1289)&gt;0,"Y","N")</f>
        <v>Y</v>
      </c>
    </row>
    <row r="1290" customFormat="false" ht="15" hidden="false" customHeight="false" outlineLevel="0" collapsed="false">
      <c r="A1290" s="7" t="s">
        <v>42</v>
      </c>
      <c r="B1290" s="7" t="s">
        <v>444</v>
      </c>
      <c r="C1290" s="8" t="n">
        <v>44</v>
      </c>
      <c r="D1290" s="8" t="n">
        <v>915.75</v>
      </c>
      <c r="E1290" s="8" t="n">
        <v>25</v>
      </c>
      <c r="F1290" s="8" t="n">
        <v>503.57</v>
      </c>
      <c r="G1290" s="7" t="n">
        <f aca="false">IFERROR(INDEX('TRANS'!$B:$B,MATCH($B1290,'TRANS'!$A:$A,0)),IFERROR(INDEX('TRANS'!$B:$B,MATCH(TRIM(SUBSTITUTE($B1290,CHAR(160)," ")),'TRANS'!$D:$D,0)),IFERROR(INDEX('Catalog'!$A:$A,MATCH($B1290,'Catalog'!$B:$B,0)),IFERROR(INDEX('Catalog'!$A:$A,MATCH(TRIM(SUBSTITUTE($B1290,CHAR(160)," ")),'Catalog'!$C:$C,0)),""))))</f>
        <v>4413041</v>
      </c>
      <c r="H1290" s="7" t="str">
        <f aca="false">IFERROR(INDEX('TRANS'!$C:$C,MATCH($B1290,'TRANS'!$A:$A,0)),IFERROR(INDEX('Catalog'!$B:$B,MATCH($G1290,'Catalog'!$A:$A,0)),$B1290))</f>
        <v>34  M מגן קרסול עקב סגור</v>
      </c>
      <c r="I1290" s="7" t="str">
        <f aca="false">IF($G1290="","Unmatched","Matched")</f>
        <v>Matched</v>
      </c>
      <c r="J1290" s="7" t="n">
        <f aca="false">IF($G1290&lt;&gt;"",$G1290,$B1290)</f>
        <v>4413041</v>
      </c>
      <c r="K1290" s="7" t="str">
        <f aca="false">IF(COUNTIF($O$2:$O$16,$A1290)&gt;0,"Y","N")</f>
        <v>Y</v>
      </c>
    </row>
    <row r="1291" customFormat="false" ht="15" hidden="false" customHeight="false" outlineLevel="0" collapsed="false">
      <c r="A1291" s="7" t="s">
        <v>42</v>
      </c>
      <c r="B1291" s="7" t="s">
        <v>445</v>
      </c>
      <c r="C1291" s="8" t="n">
        <v>15</v>
      </c>
      <c r="D1291" s="8" t="n">
        <v>294.13</v>
      </c>
      <c r="E1291" s="8" t="n">
        <v>5</v>
      </c>
      <c r="F1291" s="8" t="n">
        <v>93.98</v>
      </c>
      <c r="G1291" s="7" t="n">
        <f aca="false">IFERROR(INDEX('TRANS'!$B:$B,MATCH($B1291,'TRANS'!$A:$A,0)),IFERROR(INDEX('TRANS'!$B:$B,MATCH(TRIM(SUBSTITUTE($B1291,CHAR(160)," ")),'TRANS'!$D:$D,0)),IFERROR(INDEX('Catalog'!$A:$A,MATCH($B1291,'Catalog'!$B:$B,0)),IFERROR(INDEX('Catalog'!$A:$A,MATCH(TRIM(SUBSTITUTE($B1291,CHAR(160)," ")),'Catalog'!$C:$C,0)),""))))</f>
        <v>4413042</v>
      </c>
      <c r="H1291" s="7" t="str">
        <f aca="false">IFERROR(INDEX('TRANS'!$C:$C,MATCH($B1291,'TRANS'!$A:$A,0)),IFERROR(INDEX('Catalog'!$B:$B,MATCH($G1291,'Catalog'!$A:$A,0)),$B1291))</f>
        <v>34  S מגן קרסול עקב סגור</v>
      </c>
      <c r="I1291" s="7" t="str">
        <f aca="false">IF($G1291="","Unmatched","Matched")</f>
        <v>Matched</v>
      </c>
      <c r="J1291" s="7" t="n">
        <f aca="false">IF($G1291&lt;&gt;"",$G1291,$B1291)</f>
        <v>4413042</v>
      </c>
      <c r="K1291" s="7" t="str">
        <f aca="false">IF(COUNTIF($O$2:$O$16,$A1291)&gt;0,"Y","N")</f>
        <v>Y</v>
      </c>
    </row>
    <row r="1292" customFormat="false" ht="15" hidden="false" customHeight="false" outlineLevel="0" collapsed="false">
      <c r="A1292" s="7" t="s">
        <v>42</v>
      </c>
      <c r="B1292" s="7" t="s">
        <v>446</v>
      </c>
      <c r="C1292" s="8" t="n">
        <v>60</v>
      </c>
      <c r="D1292" s="8" t="n">
        <v>1308.91</v>
      </c>
      <c r="E1292" s="8" t="n">
        <v>0</v>
      </c>
      <c r="F1292" s="8" t="n">
        <v>0</v>
      </c>
      <c r="G1292" s="7" t="n">
        <f aca="false">IFERROR(INDEX('TRANS'!$B:$B,MATCH($B1292,'TRANS'!$A:$A,0)),IFERROR(INDEX('TRANS'!$B:$B,MATCH(TRIM(SUBSTITUTE($B1292,CHAR(160)," ")),'TRANS'!$D:$D,0)),IFERROR(INDEX('Catalog'!$A:$A,MATCH($B1292,'Catalog'!$B:$B,0)),IFERROR(INDEX('Catalog'!$A:$A,MATCH(TRIM(SUBSTITUTE($B1292,CHAR(160)," ")),'Catalog'!$C:$C,0)),""))))</f>
        <v>4413044</v>
      </c>
      <c r="H1292" s="7" t="str">
        <f aca="false">IFERROR(INDEX('TRANS'!$C:$C,MATCH($B1292,'TRANS'!$A:$A,0)),IFERROR(INDEX('Catalog'!$B:$B,MATCH($G1292,'Catalog'!$A:$A,0)),$B1292))</f>
        <v>34 XL מגן קרסול עקב סגור</v>
      </c>
      <c r="I1292" s="7" t="str">
        <f aca="false">IF($G1292="","Unmatched","Matched")</f>
        <v>Matched</v>
      </c>
      <c r="J1292" s="7" t="n">
        <f aca="false">IF($G1292&lt;&gt;"",$G1292,$B1292)</f>
        <v>4413044</v>
      </c>
      <c r="K1292" s="7" t="str">
        <f aca="false">IF(COUNTIF($O$2:$O$16,$A1292)&gt;0,"Y","N")</f>
        <v>Y</v>
      </c>
    </row>
    <row r="1293" customFormat="false" ht="15" hidden="false" customHeight="false" outlineLevel="0" collapsed="false">
      <c r="A1293" s="7" t="s">
        <v>42</v>
      </c>
      <c r="B1293" s="7" t="s">
        <v>134</v>
      </c>
      <c r="C1293" s="8" t="n">
        <v>6</v>
      </c>
      <c r="D1293" s="8" t="n">
        <v>117.66</v>
      </c>
      <c r="E1293" s="8" t="n">
        <v>5</v>
      </c>
      <c r="F1293" s="8" t="n">
        <v>110.82</v>
      </c>
      <c r="G1293" s="7" t="str">
        <f aca="false">IFERROR(INDEX('TRANS'!$B:$B,MATCH($B1293,'TRANS'!$A:$A,0)),IFERROR(INDEX('TRANS'!$B:$B,MATCH(TRIM(SUBSTITUTE($B1293,CHAR(160)," ")),'TRANS'!$D:$D,0)),IFERROR(INDEX('Catalog'!$A:$A,MATCH($B1293,'Catalog'!$B:$B,0)),IFERROR(INDEX('Catalog'!$A:$A,MATCH(TRIM(SUBSTITUTE($B1293,CHAR(160)," ")),'Catalog'!$C:$C,0)),""))))</f>
        <v/>
      </c>
      <c r="H1293" s="7" t="str">
        <f aca="false">IFERROR(INDEX('TRANS'!$C:$C,MATCH($B1293,'TRANS'!$A:$A,0)),IFERROR(INDEX('Catalog'!$B:$B,MATCH($G1293,'Catalog'!$A:$A,0)),$B1293))</f>
        <v>34 XS</v>
      </c>
      <c r="I1293" s="7" t="str">
        <f aca="false">IF($G1293="","Unmatched","Matched")</f>
        <v>Unmatched</v>
      </c>
      <c r="J1293" s="7" t="str">
        <f aca="false">IF($G1293&lt;&gt;"",$G1293,$B1293)</f>
        <v>34 XS</v>
      </c>
      <c r="K1293" s="7" t="str">
        <f aca="false">IF(COUNTIF($O$2:$O$16,$A1293)&gt;0,"Y","N")</f>
        <v>Y</v>
      </c>
    </row>
    <row r="1294" customFormat="false" ht="15" hidden="false" customHeight="false" outlineLevel="0" collapsed="false">
      <c r="A1294" s="7" t="s">
        <v>42</v>
      </c>
      <c r="B1294" s="7" t="s">
        <v>448</v>
      </c>
      <c r="C1294" s="8" t="n">
        <v>25</v>
      </c>
      <c r="D1294" s="8" t="n">
        <v>709.99</v>
      </c>
      <c r="E1294" s="8" t="n">
        <v>20</v>
      </c>
      <c r="F1294" s="8" t="n">
        <v>544.43</v>
      </c>
      <c r="G1294" s="7" t="n">
        <f aca="false">IFERROR(INDEX('TRANS'!$B:$B,MATCH($B1294,'TRANS'!$A:$A,0)),IFERROR(INDEX('TRANS'!$B:$B,MATCH(TRIM(SUBSTITUTE($B1294,CHAR(160)," ")),'TRANS'!$D:$D,0)),IFERROR(INDEX('Catalog'!$A:$A,MATCH($B1294,'Catalog'!$B:$B,0)),IFERROR(INDEX('Catalog'!$A:$A,MATCH(TRIM(SUBSTITUTE($B1294,CHAR(160)," ")),'Catalog'!$C:$C,0)),""))))</f>
        <v>4413161</v>
      </c>
      <c r="H1294" s="7" t="str">
        <f aca="false">IFERROR(INDEX('TRANS'!$C:$C,MATCH($B1294,'TRANS'!$A:$A,0)),IFERROR(INDEX('Catalog'!$B:$B,MATCH($G1294,'Catalog'!$A:$A,0)),$B1294))</f>
        <v>34+ L מגן קרסול עקב סגור+רצוע</v>
      </c>
      <c r="I1294" s="7" t="str">
        <f aca="false">IF($G1294="","Unmatched","Matched")</f>
        <v>Matched</v>
      </c>
      <c r="J1294" s="7" t="n">
        <f aca="false">IF($G1294&lt;&gt;"",$G1294,$B1294)</f>
        <v>4413161</v>
      </c>
      <c r="K1294" s="7" t="str">
        <f aca="false">IF(COUNTIF($O$2:$O$16,$A1294)&gt;0,"Y","N")</f>
        <v>Y</v>
      </c>
    </row>
    <row r="1295" customFormat="false" ht="15" hidden="false" customHeight="false" outlineLevel="0" collapsed="false">
      <c r="A1295" s="7" t="s">
        <v>42</v>
      </c>
      <c r="B1295" s="7" t="s">
        <v>449</v>
      </c>
      <c r="C1295" s="8" t="n">
        <v>39</v>
      </c>
      <c r="D1295" s="8" t="n">
        <v>1184.26</v>
      </c>
      <c r="E1295" s="8" t="n">
        <v>40</v>
      </c>
      <c r="F1295" s="8" t="n">
        <v>1088.85</v>
      </c>
      <c r="G1295" s="7" t="n">
        <f aca="false">IFERROR(INDEX('TRANS'!$B:$B,MATCH($B1295,'TRANS'!$A:$A,0)),IFERROR(INDEX('TRANS'!$B:$B,MATCH(TRIM(SUBSTITUTE($B1295,CHAR(160)," ")),'TRANS'!$D:$D,0)),IFERROR(INDEX('Catalog'!$A:$A,MATCH($B1295,'Catalog'!$B:$B,0)),IFERROR(INDEX('Catalog'!$A:$A,MATCH(TRIM(SUBSTITUTE($B1295,CHAR(160)," ")),'Catalog'!$C:$C,0)),""))))</f>
        <v>4413160</v>
      </c>
      <c r="H1295" s="7" t="str">
        <f aca="false">IFERROR(INDEX('TRANS'!$C:$C,MATCH($B1295,'TRANS'!$A:$A,0)),IFERROR(INDEX('Catalog'!$B:$B,MATCH($G1295,'Catalog'!$A:$A,0)),$B1295))</f>
        <v>34+ M מגן קרסול עקב סגור+רצוע</v>
      </c>
      <c r="I1295" s="7" t="str">
        <f aca="false">IF($G1295="","Unmatched","Matched")</f>
        <v>Matched</v>
      </c>
      <c r="J1295" s="7" t="n">
        <f aca="false">IF($G1295&lt;&gt;"",$G1295,$B1295)</f>
        <v>4413160</v>
      </c>
      <c r="K1295" s="7" t="str">
        <f aca="false">IF(COUNTIF($O$2:$O$16,$A1295)&gt;0,"Y","N")</f>
        <v>Y</v>
      </c>
    </row>
    <row r="1296" customFormat="false" ht="15" hidden="false" customHeight="false" outlineLevel="0" collapsed="false">
      <c r="A1296" s="7" t="s">
        <v>42</v>
      </c>
      <c r="B1296" s="7" t="s">
        <v>450</v>
      </c>
      <c r="C1296" s="8" t="n">
        <v>8</v>
      </c>
      <c r="D1296" s="8" t="n">
        <v>227.2</v>
      </c>
      <c r="E1296" s="8" t="n">
        <v>20</v>
      </c>
      <c r="F1296" s="8" t="n">
        <v>593.2</v>
      </c>
      <c r="G1296" s="7" t="n">
        <f aca="false">IFERROR(INDEX('TRANS'!$B:$B,MATCH($B1296,'TRANS'!$A:$A,0)),IFERROR(INDEX('TRANS'!$B:$B,MATCH(TRIM(SUBSTITUTE($B1296,CHAR(160)," ")),'TRANS'!$D:$D,0)),IFERROR(INDEX('Catalog'!$A:$A,MATCH($B1296,'Catalog'!$B:$B,0)),IFERROR(INDEX('Catalog'!$A:$A,MATCH(TRIM(SUBSTITUTE($B1296,CHAR(160)," ")),'Catalog'!$C:$C,0)),""))))</f>
        <v>4413159</v>
      </c>
      <c r="H1296" s="7" t="str">
        <f aca="false">IFERROR(INDEX('TRANS'!$C:$C,MATCH($B1296,'TRANS'!$A:$A,0)),IFERROR(INDEX('Catalog'!$B:$B,MATCH($G1296,'Catalog'!$A:$A,0)),$B1296))</f>
        <v>34+ S מגן קרסול עקב סגור+רצוע</v>
      </c>
      <c r="I1296" s="7" t="str">
        <f aca="false">IF($G1296="","Unmatched","Matched")</f>
        <v>Matched</v>
      </c>
      <c r="J1296" s="7" t="n">
        <f aca="false">IF($G1296&lt;&gt;"",$G1296,$B1296)</f>
        <v>4413159</v>
      </c>
      <c r="K1296" s="7" t="str">
        <f aca="false">IF(COUNTIF($O$2:$O$16,$A1296)&gt;0,"Y","N")</f>
        <v>Y</v>
      </c>
    </row>
    <row r="1297" customFormat="false" ht="15" hidden="false" customHeight="false" outlineLevel="0" collapsed="false">
      <c r="A1297" s="7" t="s">
        <v>42</v>
      </c>
      <c r="B1297" s="7" t="s">
        <v>451</v>
      </c>
      <c r="C1297" s="8" t="n">
        <v>5</v>
      </c>
      <c r="D1297" s="8" t="n">
        <v>142</v>
      </c>
      <c r="E1297" s="8" t="n">
        <v>10</v>
      </c>
      <c r="F1297" s="8" t="n">
        <v>272.21</v>
      </c>
      <c r="G1297" s="7" t="n">
        <f aca="false">IFERROR(INDEX('TRANS'!$B:$B,MATCH($B1297,'TRANS'!$A:$A,0)),IFERROR(INDEX('TRANS'!$B:$B,MATCH(TRIM(SUBSTITUTE($B1297,CHAR(160)," ")),'TRANS'!$D:$D,0)),IFERROR(INDEX('Catalog'!$A:$A,MATCH($B1297,'Catalog'!$B:$B,0)),IFERROR(INDEX('Catalog'!$A:$A,MATCH(TRIM(SUBSTITUTE($B1297,CHAR(160)," ")),'Catalog'!$C:$C,0)),""))))</f>
        <v>4413162</v>
      </c>
      <c r="H1297" s="7" t="str">
        <f aca="false">IFERROR(INDEX('TRANS'!$C:$C,MATCH($B1297,'TRANS'!$A:$A,0)),IFERROR(INDEX('Catalog'!$B:$B,MATCH($G1297,'Catalog'!$A:$A,0)),$B1297))</f>
        <v>34+XL מגן קרסול עקב סגור+רצוע</v>
      </c>
      <c r="I1297" s="7" t="str">
        <f aca="false">IF($G1297="","Unmatched","Matched")</f>
        <v>Matched</v>
      </c>
      <c r="J1297" s="7" t="n">
        <f aca="false">IF($G1297&lt;&gt;"",$G1297,$B1297)</f>
        <v>4413162</v>
      </c>
      <c r="K1297" s="7" t="str">
        <f aca="false">IF(COUNTIF($O$2:$O$16,$A1297)&gt;0,"Y","N")</f>
        <v>Y</v>
      </c>
    </row>
    <row r="1298" customFormat="false" ht="15" hidden="false" customHeight="false" outlineLevel="0" collapsed="false">
      <c r="A1298" s="7" t="s">
        <v>42</v>
      </c>
      <c r="B1298" s="7" t="s">
        <v>122</v>
      </c>
      <c r="C1298" s="8" t="n">
        <v>5</v>
      </c>
      <c r="D1298" s="8" t="n">
        <v>142</v>
      </c>
      <c r="E1298" s="8" t="n">
        <v>10</v>
      </c>
      <c r="F1298" s="8" t="n">
        <v>272.21</v>
      </c>
      <c r="G1298" s="7" t="str">
        <f aca="false">IFERROR(INDEX('TRANS'!$B:$B,MATCH($B1298,'TRANS'!$A:$A,0)),IFERROR(INDEX('TRANS'!$B:$B,MATCH(TRIM(SUBSTITUTE($B1298,CHAR(160)," ")),'TRANS'!$D:$D,0)),IFERROR(INDEX('Catalog'!$A:$A,MATCH($B1298,'Catalog'!$B:$B,0)),IFERROR(INDEX('Catalog'!$A:$A,MATCH(TRIM(SUBSTITUTE($B1298,CHAR(160)," ")),'Catalog'!$C:$C,0)),""))))</f>
        <v/>
      </c>
      <c r="H1298" s="7" t="str">
        <f aca="false">IFERROR(INDEX('TRANS'!$C:$C,MATCH($B1298,'TRANS'!$A:$A,0)),IFERROR(INDEX('Catalog'!$B:$B,MATCH($G1298,'Catalog'!$A:$A,0)),$B1298))</f>
        <v>34+ XS</v>
      </c>
      <c r="I1298" s="7" t="str">
        <f aca="false">IF($G1298="","Unmatched","Matched")</f>
        <v>Unmatched</v>
      </c>
      <c r="J1298" s="7" t="str">
        <f aca="false">IF($G1298&lt;&gt;"",$G1298,$B1298)</f>
        <v>34+ XS</v>
      </c>
      <c r="K1298" s="7" t="str">
        <f aca="false">IF(COUNTIF($O$2:$O$16,$A1298)&gt;0,"Y","N")</f>
        <v>Y</v>
      </c>
    </row>
    <row r="1299" customFormat="false" ht="15" hidden="false" customHeight="false" outlineLevel="0" collapsed="false">
      <c r="A1299" s="7" t="s">
        <v>42</v>
      </c>
      <c r="B1299" s="7" t="s">
        <v>526</v>
      </c>
      <c r="C1299" s="8" t="n">
        <v>11</v>
      </c>
      <c r="D1299" s="8" t="n">
        <v>171.72</v>
      </c>
      <c r="E1299" s="8" t="n">
        <v>10</v>
      </c>
      <c r="F1299" s="8" t="n">
        <v>148.26</v>
      </c>
      <c r="G1299" s="7" t="n">
        <f aca="false">IFERROR(INDEX('TRANS'!$B:$B,MATCH($B1299,'TRANS'!$A:$A,0)),IFERROR(INDEX('TRANS'!$B:$B,MATCH(TRIM(SUBSTITUTE($B1299,CHAR(160)," ")),'TRANS'!$D:$D,0)),IFERROR(INDEX('Catalog'!$A:$A,MATCH($B1299,'Catalog'!$B:$B,0)),IFERROR(INDEX('Catalog'!$A:$A,MATCH(TRIM(SUBSTITUTE($B1299,CHAR(160)," ")),'Catalog'!$C:$C,0)),""))))</f>
        <v>4403040</v>
      </c>
      <c r="H1299" s="7" t="str">
        <f aca="false">IFERROR(INDEX('TRANS'!$C:$C,MATCH($B1299,'TRANS'!$A:$A,0)),IFERROR(INDEX('Catalog'!$B:$B,MATCH($G1299,'Catalog'!$A:$A,0)),$B1299))</f>
        <v>3444B גרבי ג'ל לריכוך עור העקב</v>
      </c>
      <c r="I1299" s="7" t="str">
        <f aca="false">IF($G1299="","Unmatched","Matched")</f>
        <v>Matched</v>
      </c>
      <c r="J1299" s="7" t="n">
        <f aca="false">IF($G1299&lt;&gt;"",$G1299,$B1299)</f>
        <v>4403040</v>
      </c>
      <c r="K1299" s="7" t="str">
        <f aca="false">IF(COUNTIF($O$2:$O$16,$A1299)&gt;0,"Y","N")</f>
        <v>Y</v>
      </c>
    </row>
    <row r="1300" customFormat="false" ht="15" hidden="false" customHeight="false" outlineLevel="0" collapsed="false">
      <c r="A1300" s="7" t="s">
        <v>42</v>
      </c>
      <c r="B1300" s="7" t="s">
        <v>300</v>
      </c>
      <c r="C1300" s="8" t="n">
        <v>180</v>
      </c>
      <c r="D1300" s="8" t="n">
        <v>1962.61</v>
      </c>
      <c r="E1300" s="8" t="n">
        <v>79</v>
      </c>
      <c r="F1300" s="8" t="n">
        <v>870.8</v>
      </c>
      <c r="G1300" s="7" t="n">
        <f aca="false">IFERROR(INDEX('TRANS'!$B:$B,MATCH($B1300,'TRANS'!$A:$A,0)),IFERROR(INDEX('TRANS'!$B:$B,MATCH(TRIM(SUBSTITUTE($B1300,CHAR(160)," ")),'TRANS'!$D:$D,0)),IFERROR(INDEX('Catalog'!$A:$A,MATCH($B1300,'Catalog'!$B:$B,0)),IFERROR(INDEX('Catalog'!$A:$A,MATCH(TRIM(SUBSTITUTE($B1300,CHAR(160)," ")),'Catalog'!$C:$C,0)),""))))</f>
        <v>4413048</v>
      </c>
      <c r="H1300" s="7" t="str">
        <f aca="false">IFERROR(INDEX('TRANS'!$C:$C,MATCH($B1300,'TRANS'!$A:$A,0)),IFERROR(INDEX('Catalog'!$B:$B,MATCH($G1300,'Catalog'!$A:$A,0)),$B1300))</f>
        <v>35 L מגן קרסול לבן</v>
      </c>
      <c r="I1300" s="7" t="str">
        <f aca="false">IF($G1300="","Unmatched","Matched")</f>
        <v>Matched</v>
      </c>
      <c r="J1300" s="7" t="n">
        <f aca="false">IF($G1300&lt;&gt;"",$G1300,$B1300)</f>
        <v>4413048</v>
      </c>
      <c r="K1300" s="7" t="str">
        <f aca="false">IF(COUNTIF($O$2:$O$16,$A1300)&gt;0,"Y","N")</f>
        <v>Y</v>
      </c>
    </row>
    <row r="1301" customFormat="false" ht="15" hidden="false" customHeight="false" outlineLevel="0" collapsed="false">
      <c r="A1301" s="7" t="s">
        <v>42</v>
      </c>
      <c r="B1301" s="7" t="s">
        <v>301</v>
      </c>
      <c r="C1301" s="8" t="n">
        <v>150</v>
      </c>
      <c r="D1301" s="8" t="n">
        <v>1589.86</v>
      </c>
      <c r="E1301" s="8" t="n">
        <v>107</v>
      </c>
      <c r="F1301" s="8" t="n">
        <v>1087.27</v>
      </c>
      <c r="G1301" s="7" t="n">
        <f aca="false">IFERROR(INDEX('TRANS'!$B:$B,MATCH($B1301,'TRANS'!$A:$A,0)),IFERROR(INDEX('TRANS'!$B:$B,MATCH(TRIM(SUBSTITUTE($B1301,CHAR(160)," ")),'TRANS'!$D:$D,0)),IFERROR(INDEX('Catalog'!$A:$A,MATCH($B1301,'Catalog'!$B:$B,0)),IFERROR(INDEX('Catalog'!$A:$A,MATCH(TRIM(SUBSTITUTE($B1301,CHAR(160)," ")),'Catalog'!$C:$C,0)),""))))</f>
        <v>4413049</v>
      </c>
      <c r="H1301" s="7" t="str">
        <f aca="false">IFERROR(INDEX('TRANS'!$C:$C,MATCH($B1301,'TRANS'!$A:$A,0)),IFERROR(INDEX('Catalog'!$B:$B,MATCH($G1301,'Catalog'!$A:$A,0)),$B1301))</f>
        <v>35 M מגן קרסול לבן</v>
      </c>
      <c r="I1301" s="7" t="str">
        <f aca="false">IF($G1301="","Unmatched","Matched")</f>
        <v>Matched</v>
      </c>
      <c r="J1301" s="7" t="n">
        <f aca="false">IF($G1301&lt;&gt;"",$G1301,$B1301)</f>
        <v>4413049</v>
      </c>
      <c r="K1301" s="7" t="str">
        <f aca="false">IF(COUNTIF($O$2:$O$16,$A1301)&gt;0,"Y","N")</f>
        <v>Y</v>
      </c>
    </row>
    <row r="1302" customFormat="false" ht="15" hidden="false" customHeight="false" outlineLevel="0" collapsed="false">
      <c r="A1302" s="7" t="s">
        <v>42</v>
      </c>
      <c r="B1302" s="7" t="s">
        <v>302</v>
      </c>
      <c r="C1302" s="8" t="n">
        <v>79</v>
      </c>
      <c r="D1302" s="8" t="n">
        <v>828.66</v>
      </c>
      <c r="E1302" s="8" t="n">
        <v>50</v>
      </c>
      <c r="F1302" s="8" t="n">
        <v>503.52</v>
      </c>
      <c r="G1302" s="7" t="n">
        <f aca="false">IFERROR(INDEX('TRANS'!$B:$B,MATCH($B1302,'TRANS'!$A:$A,0)),IFERROR(INDEX('TRANS'!$B:$B,MATCH(TRIM(SUBSTITUTE($B1302,CHAR(160)," ")),'TRANS'!$D:$D,0)),IFERROR(INDEX('Catalog'!$A:$A,MATCH($B1302,'Catalog'!$B:$B,0)),IFERROR(INDEX('Catalog'!$A:$A,MATCH(TRIM(SUBSTITUTE($B1302,CHAR(160)," ")),'Catalog'!$C:$C,0)),""))))</f>
        <v>4413047</v>
      </c>
      <c r="H1302" s="7" t="str">
        <f aca="false">IFERROR(INDEX('TRANS'!$C:$C,MATCH($B1302,'TRANS'!$A:$A,0)),IFERROR(INDEX('Catalog'!$B:$B,MATCH($G1302,'Catalog'!$A:$A,0)),$B1302))</f>
        <v>35 S מגן קרסול לבן</v>
      </c>
      <c r="I1302" s="7" t="str">
        <f aca="false">IF($G1302="","Unmatched","Matched")</f>
        <v>Matched</v>
      </c>
      <c r="J1302" s="7" t="n">
        <f aca="false">IF($G1302&lt;&gt;"",$G1302,$B1302)</f>
        <v>4413047</v>
      </c>
      <c r="K1302" s="7" t="str">
        <f aca="false">IF(COUNTIF($O$2:$O$16,$A1302)&gt;0,"Y","N")</f>
        <v>Y</v>
      </c>
    </row>
    <row r="1303" customFormat="false" ht="15" hidden="false" customHeight="false" outlineLevel="0" collapsed="false">
      <c r="A1303" s="7" t="s">
        <v>42</v>
      </c>
      <c r="B1303" s="7" t="s">
        <v>303</v>
      </c>
      <c r="C1303" s="8" t="n">
        <v>105</v>
      </c>
      <c r="D1303" s="8" t="n">
        <v>1133.44</v>
      </c>
      <c r="E1303" s="8" t="n">
        <v>85</v>
      </c>
      <c r="F1303" s="8" t="n">
        <v>869.9</v>
      </c>
      <c r="G1303" s="7" t="n">
        <f aca="false">IFERROR(INDEX('TRANS'!$B:$B,MATCH($B1303,'TRANS'!$A:$A,0)),IFERROR(INDEX('TRANS'!$B:$B,MATCH(TRIM(SUBSTITUTE($B1303,CHAR(160)," ")),'TRANS'!$D:$D,0)),IFERROR(INDEX('Catalog'!$A:$A,MATCH($B1303,'Catalog'!$B:$B,0)),IFERROR(INDEX('Catalog'!$A:$A,MATCH(TRIM(SUBSTITUTE($B1303,CHAR(160)," ")),'Catalog'!$C:$C,0)),""))))</f>
        <v>4413050</v>
      </c>
      <c r="H1303" s="7" t="str">
        <f aca="false">IFERROR(INDEX('TRANS'!$C:$C,MATCH($B1303,'TRANS'!$A:$A,0)),IFERROR(INDEX('Catalog'!$B:$B,MATCH($G1303,'Catalog'!$A:$A,0)),$B1303))</f>
        <v>35 XL מגן קרסול לבן</v>
      </c>
      <c r="I1303" s="7" t="str">
        <f aca="false">IF($G1303="","Unmatched","Matched")</f>
        <v>Matched</v>
      </c>
      <c r="J1303" s="7" t="n">
        <f aca="false">IF($G1303&lt;&gt;"",$G1303,$B1303)</f>
        <v>4413050</v>
      </c>
      <c r="K1303" s="7" t="str">
        <f aca="false">IF(COUNTIF($O$2:$O$16,$A1303)&gt;0,"Y","N")</f>
        <v>Y</v>
      </c>
    </row>
    <row r="1304" customFormat="false" ht="15" hidden="false" customHeight="false" outlineLevel="0" collapsed="false">
      <c r="A1304" s="7" t="s">
        <v>42</v>
      </c>
      <c r="B1304" s="7" t="s">
        <v>452</v>
      </c>
      <c r="C1304" s="8" t="n">
        <v>54</v>
      </c>
      <c r="D1304" s="8" t="n">
        <v>575.09</v>
      </c>
      <c r="E1304" s="8" t="n">
        <v>50</v>
      </c>
      <c r="F1304" s="8" t="n">
        <v>503.52</v>
      </c>
      <c r="G1304" s="7" t="n">
        <f aca="false">IFERROR(INDEX('TRANS'!$B:$B,MATCH($B1304,'TRANS'!$A:$A,0)),IFERROR(INDEX('TRANS'!$B:$B,MATCH(TRIM(SUBSTITUTE($B1304,CHAR(160)," ")),'TRANS'!$D:$D,0)),IFERROR(INDEX('Catalog'!$A:$A,MATCH($B1304,'Catalog'!$B:$B,0)),IFERROR(INDEX('Catalog'!$A:$A,MATCH(TRIM(SUBSTITUTE($B1304,CHAR(160)," ")),'Catalog'!$C:$C,0)),""))))</f>
        <v>4413051</v>
      </c>
      <c r="H1304" s="7" t="str">
        <f aca="false">IFERROR(INDEX('TRANS'!$C:$C,MATCH($B1304,'TRANS'!$A:$A,0)),IFERROR(INDEX('Catalog'!$B:$B,MATCH($G1304,'Catalog'!$A:$A,0)),$B1304))</f>
        <v>35 XXL מגן קרסול לבן</v>
      </c>
      <c r="I1304" s="7" t="str">
        <f aca="false">IF($G1304="","Unmatched","Matched")</f>
        <v>Matched</v>
      </c>
      <c r="J1304" s="7" t="n">
        <f aca="false">IF($G1304&lt;&gt;"",$G1304,$B1304)</f>
        <v>4413051</v>
      </c>
      <c r="K1304" s="7" t="str">
        <f aca="false">IF(COUNTIF($O$2:$O$16,$A1304)&gt;0,"Y","N")</f>
        <v>Y</v>
      </c>
    </row>
    <row r="1305" customFormat="false" ht="15" hidden="false" customHeight="false" outlineLevel="0" collapsed="false">
      <c r="A1305" s="7" t="s">
        <v>42</v>
      </c>
      <c r="B1305" s="7" t="s">
        <v>453</v>
      </c>
      <c r="C1305" s="8" t="n">
        <v>10</v>
      </c>
      <c r="D1305" s="8" t="n">
        <v>275.24</v>
      </c>
      <c r="E1305" s="8" t="n">
        <v>10</v>
      </c>
      <c r="F1305" s="8" t="n">
        <v>263.83</v>
      </c>
      <c r="G1305" s="7" t="n">
        <f aca="false">IFERROR(INDEX('TRANS'!$B:$B,MATCH($B1305,'TRANS'!$A:$A,0)),IFERROR(INDEX('TRANS'!$B:$B,MATCH(TRIM(SUBSTITUTE($B1305,CHAR(160)," ")),'TRANS'!$D:$D,0)),IFERROR(INDEX('Catalog'!$A:$A,MATCH($B1305,'Catalog'!$B:$B,0)),IFERROR(INDEX('Catalog'!$A:$A,MATCH(TRIM(SUBSTITUTE($B1305,CHAR(160)," ")),'Catalog'!$C:$C,0)),""))))</f>
        <v>4421007</v>
      </c>
      <c r="H1305" s="7" t="str">
        <f aca="false">IFERROR(INDEX('TRANS'!$C:$C,MATCH($B1305,'TRANS'!$A:$A,0)),IFERROR(INDEX('Catalog'!$B:$B,MATCH($G1305,'Catalog'!$A:$A,0)),$B1305))</f>
        <v>שרוול לגבס קצר רגל</v>
      </c>
      <c r="I1305" s="7" t="str">
        <f aca="false">IF($G1305="","Unmatched","Matched")</f>
        <v>Matched</v>
      </c>
      <c r="J1305" s="7" t="n">
        <f aca="false">IF($G1305&lt;&gt;"",$G1305,$B1305)</f>
        <v>4421007</v>
      </c>
      <c r="K1305" s="7" t="str">
        <f aca="false">IF(COUNTIF($O$2:$O$16,$A1305)&gt;0,"Y","N")</f>
        <v>Y</v>
      </c>
    </row>
    <row r="1306" customFormat="false" ht="15" hidden="false" customHeight="false" outlineLevel="0" collapsed="false">
      <c r="A1306" s="7" t="s">
        <v>42</v>
      </c>
      <c r="B1306" s="7" t="s">
        <v>454</v>
      </c>
      <c r="C1306" s="8" t="n">
        <v>10</v>
      </c>
      <c r="D1306" s="8" t="n">
        <v>291.15</v>
      </c>
      <c r="E1306" s="8" t="n">
        <v>10</v>
      </c>
      <c r="F1306" s="8" t="n">
        <v>279.08</v>
      </c>
      <c r="G1306" s="7" t="n">
        <f aca="false">IFERROR(INDEX('TRANS'!$B:$B,MATCH($B1306,'TRANS'!$A:$A,0)),IFERROR(INDEX('TRANS'!$B:$B,MATCH(TRIM(SUBSTITUTE($B1306,CHAR(160)," ")),'TRANS'!$D:$D,0)),IFERROR(INDEX('Catalog'!$A:$A,MATCH($B1306,'Catalog'!$B:$B,0)),IFERROR(INDEX('Catalog'!$A:$A,MATCH(TRIM(SUBSTITUTE($B1306,CHAR(160)," ")),'Catalog'!$C:$C,0)),""))))</f>
        <v>4421008</v>
      </c>
      <c r="H1306" s="7" t="str">
        <f aca="false">IFERROR(INDEX('TRANS'!$C:$C,MATCH($B1306,'TRANS'!$A:$A,0)),IFERROR(INDEX('Catalog'!$B:$B,MATCH($G1306,'Catalog'!$A:$A,0)),$B1306))</f>
        <v>שרוול לגבס ארוך רגל</v>
      </c>
      <c r="I1306" s="7" t="str">
        <f aca="false">IF($G1306="","Unmatched","Matched")</f>
        <v>Matched</v>
      </c>
      <c r="J1306" s="7" t="n">
        <f aca="false">IF($G1306&lt;&gt;"",$G1306,$B1306)</f>
        <v>4421008</v>
      </c>
      <c r="K1306" s="7" t="str">
        <f aca="false">IF(COUNTIF($O$2:$O$16,$A1306)&gt;0,"Y","N")</f>
        <v>Y</v>
      </c>
    </row>
    <row r="1307" customFormat="false" ht="15" hidden="false" customHeight="false" outlineLevel="0" collapsed="false">
      <c r="A1307" s="7" t="s">
        <v>42</v>
      </c>
      <c r="B1307" s="7" t="s">
        <v>455</v>
      </c>
      <c r="C1307" s="8" t="n">
        <v>10</v>
      </c>
      <c r="D1307" s="8" t="n">
        <v>297.52</v>
      </c>
      <c r="E1307" s="8" t="n">
        <v>0</v>
      </c>
      <c r="F1307" s="8" t="n">
        <v>0</v>
      </c>
      <c r="G1307" s="7" t="n">
        <f aca="false">IFERROR(INDEX('TRANS'!$B:$B,MATCH($B1307,'TRANS'!$A:$A,0)),IFERROR(INDEX('TRANS'!$B:$B,MATCH(TRIM(SUBSTITUTE($B1307,CHAR(160)," ")),'TRANS'!$D:$D,0)),IFERROR(INDEX('Catalog'!$A:$A,MATCH($B1307,'Catalog'!$B:$B,0)),IFERROR(INDEX('Catalog'!$A:$A,MATCH(TRIM(SUBSTITUTE($B1307,CHAR(160)," ")),'Catalog'!$C:$C,0)),""))))</f>
        <v>4421001</v>
      </c>
      <c r="H1307" s="7" t="str">
        <f aca="false">IFERROR(INDEX('TRANS'!$C:$C,MATCH($B1307,'TRANS'!$A:$A,0)),IFERROR(INDEX('Catalog'!$B:$B,MATCH($G1307,'Catalog'!$A:$A,0)),$B1307))</f>
        <v>3611 שרוול מטטרזלי מסיליקון</v>
      </c>
      <c r="I1307" s="7" t="str">
        <f aca="false">IF($G1307="","Unmatched","Matched")</f>
        <v>Matched</v>
      </c>
      <c r="J1307" s="7" t="n">
        <f aca="false">IF($G1307&lt;&gt;"",$G1307,$B1307)</f>
        <v>4421001</v>
      </c>
      <c r="K1307" s="7" t="str">
        <f aca="false">IF(COUNTIF($O$2:$O$16,$A1307)&gt;0,"Y","N")</f>
        <v>Y</v>
      </c>
    </row>
    <row r="1308" customFormat="false" ht="15" hidden="false" customHeight="false" outlineLevel="0" collapsed="false">
      <c r="A1308" s="7" t="s">
        <v>42</v>
      </c>
      <c r="B1308" s="7" t="s">
        <v>312</v>
      </c>
      <c r="C1308" s="8" t="n">
        <v>245</v>
      </c>
      <c r="D1308" s="8" t="n">
        <v>3935.91</v>
      </c>
      <c r="E1308" s="8" t="n">
        <v>120</v>
      </c>
      <c r="F1308" s="8" t="n">
        <v>1863.2</v>
      </c>
      <c r="G1308" s="7" t="n">
        <f aca="false">IFERROR(INDEX('TRANS'!$B:$B,MATCH($B1308,'TRANS'!$A:$A,0)),IFERROR(INDEX('TRANS'!$B:$B,MATCH(TRIM(SUBSTITUTE($B1308,CHAR(160)," ")),'TRANS'!$D:$D,0)),IFERROR(INDEX('Catalog'!$A:$A,MATCH($B1308,'Catalog'!$B:$B,0)),IFERROR(INDEX('Catalog'!$A:$A,MATCH(TRIM(SUBSTITUTE($B1308,CHAR(160)," ")),'Catalog'!$C:$C,0)),""))))</f>
        <v>4411001</v>
      </c>
      <c r="H1308" s="7" t="str">
        <f aca="false">IFERROR(INDEX('TRANS'!$C:$C,MATCH($B1308,'TRANS'!$A:$A,0)),IFERROR(INDEX('Catalog'!$B:$B,MATCH($G1308,'Catalog'!$A:$A,0)),$B1308))</f>
        <v>3623 כרית ליישור אצבע פטיש</v>
      </c>
      <c r="I1308" s="7" t="str">
        <f aca="false">IF($G1308="","Unmatched","Matched")</f>
        <v>Matched</v>
      </c>
      <c r="J1308" s="7" t="n">
        <f aca="false">IF($G1308&lt;&gt;"",$G1308,$B1308)</f>
        <v>4411001</v>
      </c>
      <c r="K1308" s="7" t="str">
        <f aca="false">IF(COUNTIF($O$2:$O$16,$A1308)&gt;0,"Y","N")</f>
        <v>Y</v>
      </c>
    </row>
    <row r="1309" customFormat="false" ht="15" hidden="false" customHeight="false" outlineLevel="0" collapsed="false">
      <c r="A1309" s="7" t="s">
        <v>42</v>
      </c>
      <c r="B1309" s="7" t="s">
        <v>80</v>
      </c>
      <c r="C1309" s="8" t="n">
        <v>70</v>
      </c>
      <c r="D1309" s="8" t="n">
        <v>830.35</v>
      </c>
      <c r="E1309" s="8" t="n">
        <v>70</v>
      </c>
      <c r="F1309" s="8" t="n">
        <v>763.06</v>
      </c>
      <c r="G1309" s="7" t="str">
        <f aca="false">IFERROR(INDEX('TRANS'!$B:$B,MATCH($B1309,'TRANS'!$A:$A,0)),IFERROR(INDEX('TRANS'!$B:$B,MATCH(TRIM(SUBSTITUTE($B1309,CHAR(160)," ")),'TRANS'!$D:$D,0)),IFERROR(INDEX('Catalog'!$A:$A,MATCH($B1309,'Catalog'!$B:$B,0)),IFERROR(INDEX('Catalog'!$A:$A,MATCH(TRIM(SUBSTITUTE($B1309,CHAR(160)," ")),'Catalog'!$C:$C,0)),""))))</f>
        <v/>
      </c>
      <c r="H1309" s="7" t="str">
        <f aca="false">IFERROR(INDEX('TRANS'!$C:$C,MATCH($B1309,'TRANS'!$A:$A,0)),IFERROR(INDEX('Catalog'!$B:$B,MATCH($G1309,'Catalog'!$A:$A,0)),$B1309))</f>
        <v>363 L/R</v>
      </c>
      <c r="I1309" s="7" t="str">
        <f aca="false">IF($G1309="","Unmatched","Matched")</f>
        <v>Unmatched</v>
      </c>
      <c r="J1309" s="7" t="str">
        <f aca="false">IF($G1309&lt;&gt;"",$G1309,$B1309)</f>
        <v>363 L/R</v>
      </c>
      <c r="K1309" s="7" t="str">
        <f aca="false">IF(COUNTIF($O$2:$O$16,$A1309)&gt;0,"Y","N")</f>
        <v>Y</v>
      </c>
    </row>
    <row r="1310" customFormat="false" ht="15" hidden="false" customHeight="false" outlineLevel="0" collapsed="false">
      <c r="A1310" s="7" t="s">
        <v>42</v>
      </c>
      <c r="B1310" s="7" t="s">
        <v>313</v>
      </c>
      <c r="C1310" s="8" t="n">
        <v>48</v>
      </c>
      <c r="D1310" s="8" t="n">
        <v>296.09</v>
      </c>
      <c r="E1310" s="8" t="n">
        <v>0</v>
      </c>
      <c r="F1310" s="8" t="n">
        <v>0</v>
      </c>
      <c r="G1310" s="7" t="n">
        <f aca="false">IFERROR(INDEX('TRANS'!$B:$B,MATCH($B1310,'TRANS'!$A:$A,0)),IFERROR(INDEX('TRANS'!$B:$B,MATCH(TRIM(SUBSTITUTE($B1310,CHAR(160)," ")),'TRANS'!$D:$D,0)),IFERROR(INDEX('Catalog'!$A:$A,MATCH($B1310,'Catalog'!$B:$B,0)),IFERROR(INDEX('Catalog'!$A:$A,MATCH(TRIM(SUBSTITUTE($B1310,CHAR(160)," ")),'Catalog'!$C:$C,0)),""))))</f>
        <v>4413059</v>
      </c>
      <c r="H1310" s="7" t="str">
        <f aca="false">IFERROR(INDEX('TRANS'!$C:$C,MATCH($B1310,'TRANS'!$A:$A,0)),IFERROR(INDEX('Catalog'!$B:$B,MATCH($G1310,'Catalog'!$A:$A,0)),$B1310))</f>
        <v>364S Lמפר.אצבע סיליק. ליבל.זוג</v>
      </c>
      <c r="I1310" s="7" t="str">
        <f aca="false">IF($G1310="","Unmatched","Matched")</f>
        <v>Matched</v>
      </c>
      <c r="J1310" s="7" t="n">
        <f aca="false">IF($G1310&lt;&gt;"",$G1310,$B1310)</f>
        <v>4413059</v>
      </c>
      <c r="K1310" s="7" t="str">
        <f aca="false">IF(COUNTIF($O$2:$O$16,$A1310)&gt;0,"Y","N")</f>
        <v>Y</v>
      </c>
    </row>
    <row r="1311" customFormat="false" ht="15" hidden="false" customHeight="false" outlineLevel="0" collapsed="false">
      <c r="A1311" s="7" t="s">
        <v>42</v>
      </c>
      <c r="B1311" s="7" t="s">
        <v>314</v>
      </c>
      <c r="C1311" s="8" t="n">
        <v>12</v>
      </c>
      <c r="D1311" s="8" t="n">
        <v>57.77</v>
      </c>
      <c r="E1311" s="8" t="n">
        <v>6</v>
      </c>
      <c r="F1311" s="8" t="n">
        <v>24.49</v>
      </c>
      <c r="G1311" s="7" t="n">
        <f aca="false">IFERROR(INDEX('TRANS'!$B:$B,MATCH($B1311,'TRANS'!$A:$A,0)),IFERROR(INDEX('TRANS'!$B:$B,MATCH(TRIM(SUBSTITUTE($B1311,CHAR(160)," ")),'TRANS'!$D:$D,0)),IFERROR(INDEX('Catalog'!$A:$A,MATCH($B1311,'Catalog'!$B:$B,0)),IFERROR(INDEX('Catalog'!$A:$A,MATCH(TRIM(SUBSTITUTE($B1311,CHAR(160)," ")),'Catalog'!$C:$C,0)),""))))</f>
        <v>4413060</v>
      </c>
      <c r="H1311" s="7" t="str">
        <f aca="false">IFERROR(INDEX('TRANS'!$C:$C,MATCH($B1311,'TRANS'!$A:$A,0)),IFERROR(INDEX('Catalog'!$B:$B,MATCH($G1311,'Catalog'!$A:$A,0)),$B1311))</f>
        <v>364 XLמפריד אצבע סיליקון ליבלת</v>
      </c>
      <c r="I1311" s="7" t="str">
        <f aca="false">IF($G1311="","Unmatched","Matched")</f>
        <v>Matched</v>
      </c>
      <c r="J1311" s="7" t="n">
        <f aca="false">IF($G1311&lt;&gt;"",$G1311,$B1311)</f>
        <v>4413060</v>
      </c>
      <c r="K1311" s="7" t="str">
        <f aca="false">IF(COUNTIF($O$2:$O$16,$A1311)&gt;0,"Y","N")</f>
        <v>Y</v>
      </c>
    </row>
    <row r="1312" customFormat="false" ht="15" hidden="false" customHeight="false" outlineLevel="0" collapsed="false">
      <c r="A1312" s="7" t="s">
        <v>42</v>
      </c>
      <c r="B1312" s="7" t="s">
        <v>397</v>
      </c>
      <c r="C1312" s="8" t="n">
        <v>15</v>
      </c>
      <c r="D1312" s="8" t="n">
        <v>119.33</v>
      </c>
      <c r="E1312" s="8" t="n">
        <v>0</v>
      </c>
      <c r="F1312" s="8" t="n">
        <v>0</v>
      </c>
      <c r="G1312" s="7" t="n">
        <f aca="false">IFERROR(INDEX('TRANS'!$B:$B,MATCH($B1312,'TRANS'!$A:$A,0)),IFERROR(INDEX('TRANS'!$B:$B,MATCH(TRIM(SUBSTITUTE($B1312,CHAR(160)," ")),'TRANS'!$D:$D,0)),IFERROR(INDEX('Catalog'!$A:$A,MATCH($B1312,'Catalog'!$B:$B,0)),IFERROR(INDEX('Catalog'!$A:$A,MATCH(TRIM(SUBSTITUTE($B1312,CHAR(160)," ")),'Catalog'!$C:$C,0)),""))))</f>
        <v>4413061</v>
      </c>
      <c r="H1312" s="7" t="str">
        <f aca="false">IFERROR(INDEX('TRANS'!$C:$C,MATCH($B1312,'TRANS'!$A:$A,0)),IFERROR(INDEX('Catalog'!$B:$B,MATCH($G1312,'Catalog'!$A:$A,0)),$B1312))</f>
        <v>3641-מיישר בוהן סיליקון קשיח</v>
      </c>
      <c r="I1312" s="7" t="str">
        <f aca="false">IF($G1312="","Unmatched","Matched")</f>
        <v>Matched</v>
      </c>
      <c r="J1312" s="7" t="n">
        <f aca="false">IF($G1312&lt;&gt;"",$G1312,$B1312)</f>
        <v>4413061</v>
      </c>
      <c r="K1312" s="7" t="str">
        <f aca="false">IF(COUNTIF($O$2:$O$16,$A1312)&gt;0,"Y","N")</f>
        <v>Y</v>
      </c>
    </row>
    <row r="1313" customFormat="false" ht="15" hidden="false" customHeight="false" outlineLevel="0" collapsed="false">
      <c r="A1313" s="7" t="s">
        <v>42</v>
      </c>
      <c r="B1313" s="7" t="s">
        <v>315</v>
      </c>
      <c r="C1313" s="8" t="n">
        <v>60</v>
      </c>
      <c r="D1313" s="8" t="n">
        <v>388.16</v>
      </c>
      <c r="E1313" s="8" t="n">
        <v>75</v>
      </c>
      <c r="F1313" s="8" t="n">
        <v>417.96</v>
      </c>
      <c r="G1313" s="7" t="n">
        <f aca="false">IFERROR(INDEX('TRANS'!$B:$B,MATCH($B1313,'TRANS'!$A:$A,0)),IFERROR(INDEX('TRANS'!$B:$B,MATCH(TRIM(SUBSTITUTE($B1313,CHAR(160)," ")),'TRANS'!$D:$D,0)),IFERROR(INDEX('Catalog'!$A:$A,MATCH($B1313,'Catalog'!$B:$B,0)),IFERROR(INDEX('Catalog'!$A:$A,MATCH(TRIM(SUBSTITUTE($B1313,CHAR(160)," ")),'Catalog'!$C:$C,0)),""))))</f>
        <v>4409000</v>
      </c>
      <c r="H1313" s="7" t="str">
        <f aca="false">IFERROR(INDEX('TRANS'!$C:$C,MATCH($B1313,'TRANS'!$A:$A,0)),IFERROR(INDEX('Catalog'!$B:$B,MATCH($G1313,'Catalog'!$A:$A,0)),$B1313))</f>
        <v>365 S-Lטבעת אלסטית מסיליקון</v>
      </c>
      <c r="I1313" s="7" t="str">
        <f aca="false">IF($G1313="","Unmatched","Matched")</f>
        <v>Matched</v>
      </c>
      <c r="J1313" s="7" t="n">
        <f aca="false">IF($G1313&lt;&gt;"",$G1313,$B1313)</f>
        <v>4409000</v>
      </c>
      <c r="K1313" s="7" t="str">
        <f aca="false">IF(COUNTIF($O$2:$O$16,$A1313)&gt;0,"Y","N")</f>
        <v>Y</v>
      </c>
    </row>
    <row r="1314" customFormat="false" ht="15" hidden="false" customHeight="false" outlineLevel="0" collapsed="false">
      <c r="A1314" s="7" t="s">
        <v>42</v>
      </c>
      <c r="B1314" s="7" t="s">
        <v>316</v>
      </c>
      <c r="C1314" s="8" t="n">
        <v>0</v>
      </c>
      <c r="D1314" s="8" t="n">
        <v>0</v>
      </c>
      <c r="E1314" s="8" t="n">
        <v>15</v>
      </c>
      <c r="F1314" s="8" t="n">
        <v>96.3</v>
      </c>
      <c r="G1314" s="7" t="n">
        <f aca="false">IFERROR(INDEX('TRANS'!$B:$B,MATCH($B1314,'TRANS'!$A:$A,0)),IFERROR(INDEX('TRANS'!$B:$B,MATCH(TRIM(SUBSTITUTE($B1314,CHAR(160)," ")),'TRANS'!$D:$D,0)),IFERROR(INDEX('Catalog'!$A:$A,MATCH($B1314,'Catalog'!$B:$B,0)),IFERROR(INDEX('Catalog'!$A:$A,MATCH(TRIM(SUBSTITUTE($B1314,CHAR(160)," ")),'Catalog'!$C:$C,0)),""))))</f>
        <v>4409001</v>
      </c>
      <c r="H1314" s="7" t="str">
        <f aca="false">IFERROR(INDEX('TRANS'!$C:$C,MATCH($B1314,'TRANS'!$A:$A,0)),IFERROR(INDEX('Catalog'!$B:$B,MATCH($G1314,'Catalog'!$A:$A,0)),$B1314))</f>
        <v>365  X-Lטבעת אלסטית מסיליקון</v>
      </c>
      <c r="I1314" s="7" t="str">
        <f aca="false">IF($G1314="","Unmatched","Matched")</f>
        <v>Matched</v>
      </c>
      <c r="J1314" s="7" t="n">
        <f aca="false">IF($G1314&lt;&gt;"",$G1314,$B1314)</f>
        <v>4409001</v>
      </c>
      <c r="K1314" s="7" t="str">
        <f aca="false">IF(COUNTIF($O$2:$O$16,$A1314)&gt;0,"Y","N")</f>
        <v>Y</v>
      </c>
    </row>
    <row r="1315" customFormat="false" ht="15" hidden="false" customHeight="false" outlineLevel="0" collapsed="false">
      <c r="A1315" s="7" t="s">
        <v>42</v>
      </c>
      <c r="B1315" s="7" t="s">
        <v>317</v>
      </c>
      <c r="C1315" s="8" t="n">
        <v>420</v>
      </c>
      <c r="D1315" s="8" t="n">
        <v>3674.31</v>
      </c>
      <c r="E1315" s="8" t="n">
        <v>410</v>
      </c>
      <c r="F1315" s="8" t="n">
        <v>3258.95</v>
      </c>
      <c r="G1315" s="7" t="n">
        <f aca="false">IFERROR(INDEX('TRANS'!$B:$B,MATCH($B1315,'TRANS'!$A:$A,0)),IFERROR(INDEX('TRANS'!$B:$B,MATCH(TRIM(SUBSTITUTE($B1315,CHAR(160)," ")),'TRANS'!$D:$D,0)),IFERROR(INDEX('Catalog'!$A:$A,MATCH($B1315,'Catalog'!$B:$B,0)),IFERROR(INDEX('Catalog'!$A:$A,MATCH(TRIM(SUBSTITUTE($B1315,CHAR(160)," ")),'Catalog'!$C:$C,0)),""))))</f>
        <v>4421000</v>
      </c>
      <c r="H1315" s="7" t="str">
        <f aca="false">IFERROR(INDEX('TRANS'!$C:$C,MATCH($B1315,'TRANS'!$A:$A,0)),IFERROR(INDEX('Catalog'!$B:$B,MATCH($G1315,'Catalog'!$A:$A,0)),$B1315))</f>
        <v>3655 שרוול מסיליקון לאצבע</v>
      </c>
      <c r="I1315" s="7" t="str">
        <f aca="false">IF($G1315="","Unmatched","Matched")</f>
        <v>Matched</v>
      </c>
      <c r="J1315" s="7" t="n">
        <f aca="false">IF($G1315&lt;&gt;"",$G1315,$B1315)</f>
        <v>4421000</v>
      </c>
      <c r="K1315" s="7" t="str">
        <f aca="false">IF(COUNTIF($O$2:$O$16,$A1315)&gt;0,"Y","N")</f>
        <v>Y</v>
      </c>
    </row>
    <row r="1316" customFormat="false" ht="15" hidden="false" customHeight="false" outlineLevel="0" collapsed="false">
      <c r="A1316" s="7" t="s">
        <v>42</v>
      </c>
      <c r="B1316" s="7" t="s">
        <v>318</v>
      </c>
      <c r="C1316" s="8" t="n">
        <v>10</v>
      </c>
      <c r="D1316" s="8" t="n">
        <v>68.97</v>
      </c>
      <c r="E1316" s="8" t="n">
        <v>15</v>
      </c>
      <c r="F1316" s="8" t="n">
        <v>99.16</v>
      </c>
      <c r="G1316" s="7" t="n">
        <f aca="false">IFERROR(INDEX('TRANS'!$B:$B,MATCH($B1316,'TRANS'!$A:$A,0)),IFERROR(INDEX('TRANS'!$B:$B,MATCH(TRIM(SUBSTITUTE($B1316,CHAR(160)," ")),'TRANS'!$D:$D,0)),IFERROR(INDEX('Catalog'!$A:$A,MATCH($B1316,'Catalog'!$B:$B,0)),IFERROR(INDEX('Catalog'!$A:$A,MATCH(TRIM(SUBSTITUTE($B1316,CHAR(160)," ")),'Catalog'!$C:$C,0)),""))))</f>
        <v>4413063</v>
      </c>
      <c r="H1316" s="7" t="str">
        <f aca="false">IFERROR(INDEX('TRANS'!$C:$C,MATCH($B1316,'TRANS'!$A:$A,0)),IFERROR(INDEX('Catalog'!$B:$B,MATCH($G1316,'Catalog'!$A:$A,0)),$B1316))</f>
        <v>366S-'מדבק.לשחרור לחץ מיבלת2יח</v>
      </c>
      <c r="I1316" s="7" t="str">
        <f aca="false">IF($G1316="","Unmatched","Matched")</f>
        <v>Matched</v>
      </c>
      <c r="J1316" s="7" t="n">
        <f aca="false">IF($G1316&lt;&gt;"",$G1316,$B1316)</f>
        <v>4413063</v>
      </c>
      <c r="K1316" s="7" t="str">
        <f aca="false">IF(COUNTIF($O$2:$O$16,$A1316)&gt;0,"Y","N")</f>
        <v>Y</v>
      </c>
    </row>
    <row r="1317" customFormat="false" ht="15" hidden="false" customHeight="false" outlineLevel="0" collapsed="false">
      <c r="A1317" s="7" t="s">
        <v>42</v>
      </c>
      <c r="B1317" s="7" t="s">
        <v>399</v>
      </c>
      <c r="C1317" s="8" t="n">
        <v>40</v>
      </c>
      <c r="D1317" s="8" t="n">
        <v>611.26</v>
      </c>
      <c r="E1317" s="8" t="n">
        <v>35</v>
      </c>
      <c r="F1317" s="8" t="n">
        <v>538.91</v>
      </c>
      <c r="G1317" s="7" t="n">
        <f aca="false">IFERROR(INDEX('TRANS'!$B:$B,MATCH($B1317,'TRANS'!$A:$A,0)),IFERROR(INDEX('TRANS'!$B:$B,MATCH(TRIM(SUBSTITUTE($B1317,CHAR(160)," ")),'TRANS'!$D:$D,0)),IFERROR(INDEX('Catalog'!$A:$A,MATCH($B1317,'Catalog'!$B:$B,0)),IFERROR(INDEX('Catalog'!$A:$A,MATCH(TRIM(SUBSTITUTE($B1317,CHAR(160)," ")),'Catalog'!$C:$C,0)),""))))</f>
        <v>4413370</v>
      </c>
      <c r="H1317" s="7" t="str">
        <f aca="false">IFERROR(INDEX('TRANS'!$C:$C,MATCH($B1317,'TRANS'!$A:$A,0)),IFERROR(INDEX('Catalog'!$B:$B,MATCH($G1317,'Catalog'!$A:$A,0)),$B1317))</f>
        <v>3674 0 מ.בוניון+מפריד אצבע</v>
      </c>
      <c r="I1317" s="7" t="str">
        <f aca="false">IF($G1317="","Unmatched","Matched")</f>
        <v>Matched</v>
      </c>
      <c r="J1317" s="7" t="n">
        <f aca="false">IF($G1317&lt;&gt;"",$G1317,$B1317)</f>
        <v>4413370</v>
      </c>
      <c r="K1317" s="7" t="str">
        <f aca="false">IF(COUNTIF($O$2:$O$16,$A1317)&gt;0,"Y","N")</f>
        <v>Y</v>
      </c>
    </row>
    <row r="1318" customFormat="false" ht="15" hidden="false" customHeight="false" outlineLevel="0" collapsed="false">
      <c r="A1318" s="7" t="s">
        <v>42</v>
      </c>
      <c r="B1318" s="7" t="s">
        <v>400</v>
      </c>
      <c r="C1318" s="8" t="n">
        <v>25</v>
      </c>
      <c r="D1318" s="8" t="n">
        <v>314.42</v>
      </c>
      <c r="E1318" s="8" t="n">
        <v>20</v>
      </c>
      <c r="F1318" s="8" t="n">
        <v>251.91</v>
      </c>
      <c r="G1318" s="7" t="n">
        <f aca="false">IFERROR(INDEX('TRANS'!$B:$B,MATCH($B1318,'TRANS'!$A:$A,0)),IFERROR(INDEX('TRANS'!$B:$B,MATCH(TRIM(SUBSTITUTE($B1318,CHAR(160)," ")),'TRANS'!$D:$D,0)),IFERROR(INDEX('Catalog'!$A:$A,MATCH($B1318,'Catalog'!$B:$B,0)),IFERROR(INDEX('Catalog'!$A:$A,MATCH(TRIM(SUBSTITUTE($B1318,CHAR(160)," ")),'Catalog'!$C:$C,0)),""))))</f>
        <v>4413371</v>
      </c>
      <c r="H1318" s="7" t="str">
        <f aca="false">IFERROR(INDEX('TRANS'!$C:$C,MATCH($B1318,'TRANS'!$A:$A,0)),IFERROR(INDEX('Catalog'!$B:$B,MATCH($G1318,'Catalog'!$A:$A,0)),$B1318))</f>
        <v>3675    מגן זרת מסיליקון</v>
      </c>
      <c r="I1318" s="7" t="str">
        <f aca="false">IF($G1318="","Unmatched","Matched")</f>
        <v>Matched</v>
      </c>
      <c r="J1318" s="7" t="n">
        <f aca="false">IF($G1318&lt;&gt;"",$G1318,$B1318)</f>
        <v>4413371</v>
      </c>
      <c r="K1318" s="7" t="str">
        <f aca="false">IF(COUNTIF($O$2:$O$16,$A1318)&gt;0,"Y","N")</f>
        <v>Y</v>
      </c>
    </row>
    <row r="1319" customFormat="false" ht="15" hidden="false" customHeight="false" outlineLevel="0" collapsed="false">
      <c r="A1319" s="7" t="s">
        <v>42</v>
      </c>
      <c r="B1319" s="7" t="s">
        <v>319</v>
      </c>
      <c r="C1319" s="8" t="n">
        <v>17</v>
      </c>
      <c r="D1319" s="8" t="n">
        <v>168.8</v>
      </c>
      <c r="E1319" s="8" t="n">
        <v>20</v>
      </c>
      <c r="F1319" s="8" t="n">
        <v>178.77</v>
      </c>
      <c r="G1319" s="7" t="n">
        <f aca="false">IFERROR(INDEX('TRANS'!$B:$B,MATCH($B1319,'TRANS'!$A:$A,0)),IFERROR(INDEX('TRANS'!$B:$B,MATCH(TRIM(SUBSTITUTE($B1319,CHAR(160)," ")),'TRANS'!$D:$D,0)),IFERROR(INDEX('Catalog'!$A:$A,MATCH($B1319,'Catalog'!$B:$B,0)),IFERROR(INDEX('Catalog'!$A:$A,MATCH(TRIM(SUBSTITUTE($B1319,CHAR(160)," ")),'Catalog'!$C:$C,0)),""))))</f>
        <v>4413066</v>
      </c>
      <c r="H1319" s="7" t="str">
        <f aca="false">IFERROR(INDEX('TRANS'!$C:$C,MATCH($B1319,'TRANS'!$A:$A,0)),IFERROR(INDEX('Catalog'!$B:$B,MATCH($G1319,'Catalog'!$A:$A,0)),$B1319))</f>
        <v>3677S-מד.לשחרור לחץ א.הבוניון</v>
      </c>
      <c r="I1319" s="7" t="str">
        <f aca="false">IF($G1319="","Unmatched","Matched")</f>
        <v>Matched</v>
      </c>
      <c r="J1319" s="7" t="n">
        <f aca="false">IF($G1319&lt;&gt;"",$G1319,$B1319)</f>
        <v>4413066</v>
      </c>
      <c r="K1319" s="7" t="str">
        <f aca="false">IF(COUNTIF($O$2:$O$16,$A1319)&gt;0,"Y","N")</f>
        <v>Y</v>
      </c>
    </row>
    <row r="1320" customFormat="false" ht="15" hidden="false" customHeight="false" outlineLevel="0" collapsed="false">
      <c r="A1320" s="7" t="s">
        <v>42</v>
      </c>
      <c r="B1320" s="7" t="s">
        <v>320</v>
      </c>
      <c r="C1320" s="8" t="n">
        <v>54</v>
      </c>
      <c r="D1320" s="8" t="n">
        <v>498.41</v>
      </c>
      <c r="E1320" s="8" t="n">
        <v>30</v>
      </c>
      <c r="F1320" s="8" t="n">
        <v>267.86</v>
      </c>
      <c r="G1320" s="7" t="n">
        <f aca="false">IFERROR(INDEX('TRANS'!$B:$B,MATCH($B1320,'TRANS'!$A:$A,0)),IFERROR(INDEX('TRANS'!$B:$B,MATCH(TRIM(SUBSTITUTE($B1320,CHAR(160)," ")),'TRANS'!$D:$D,0)),IFERROR(INDEX('Catalog'!$A:$A,MATCH($B1320,'Catalog'!$B:$B,0)),IFERROR(INDEX('Catalog'!$A:$A,MATCH(TRIM(SUBSTITUTE($B1320,CHAR(160)," ")),'Catalog'!$C:$C,0)),""))))</f>
        <v>4401000</v>
      </c>
      <c r="H1320" s="7" t="str">
        <f aca="false">IFERROR(INDEX('TRANS'!$C:$C,MATCH($B1320,'TRANS'!$A:$A,0)),IFERROR(INDEX('Catalog'!$B:$B,MATCH($G1320,'Catalog'!$A:$A,0)),$B1320))</f>
        <v>369  S-L אצבעון מסיליקון יחידה</v>
      </c>
      <c r="I1320" s="7" t="str">
        <f aca="false">IF($G1320="","Unmatched","Matched")</f>
        <v>Matched</v>
      </c>
      <c r="J1320" s="7" t="n">
        <f aca="false">IF($G1320&lt;&gt;"",$G1320,$B1320)</f>
        <v>4401000</v>
      </c>
      <c r="K1320" s="7" t="str">
        <f aca="false">IF(COUNTIF($O$2:$O$16,$A1320)&gt;0,"Y","N")</f>
        <v>Y</v>
      </c>
    </row>
    <row r="1321" customFormat="false" ht="15" hidden="false" customHeight="false" outlineLevel="0" collapsed="false">
      <c r="A1321" s="7" t="s">
        <v>42</v>
      </c>
      <c r="B1321" s="7" t="s">
        <v>321</v>
      </c>
      <c r="C1321" s="8" t="n">
        <v>36</v>
      </c>
      <c r="D1321" s="8" t="n">
        <v>395.39</v>
      </c>
      <c r="E1321" s="8" t="n">
        <v>35</v>
      </c>
      <c r="F1321" s="8" t="n">
        <v>373.58</v>
      </c>
      <c r="G1321" s="7" t="n">
        <f aca="false">IFERROR(INDEX('TRANS'!$B:$B,MATCH($B1321,'TRANS'!$A:$A,0)),IFERROR(INDEX('TRANS'!$B:$B,MATCH(TRIM(SUBSTITUTE($B1321,CHAR(160)," ")),'TRANS'!$D:$D,0)),IFERROR(INDEX('Catalog'!$A:$A,MATCH($B1321,'Catalog'!$B:$B,0)),IFERROR(INDEX('Catalog'!$A:$A,MATCH(TRIM(SUBSTITUTE($B1321,CHAR(160)," ")),'Catalog'!$C:$C,0)),""))))</f>
        <v>4401001</v>
      </c>
      <c r="H1321" s="7" t="str">
        <f aca="false">IFERROR(INDEX('TRANS'!$C:$C,MATCH($B1321,'TRANS'!$A:$A,0)),IFERROR(INDEX('Catalog'!$B:$B,MATCH($G1321,'Catalog'!$A:$A,0)),$B1321))</f>
        <v>369   XL אצבעון מסיליקון יחידה</v>
      </c>
      <c r="I1321" s="7" t="str">
        <f aca="false">IF($G1321="","Unmatched","Matched")</f>
        <v>Matched</v>
      </c>
      <c r="J1321" s="7" t="n">
        <f aca="false">IF($G1321&lt;&gt;"",$G1321,$B1321)</f>
        <v>4401001</v>
      </c>
      <c r="K1321" s="7" t="str">
        <f aca="false">IF(COUNTIF($O$2:$O$16,$A1321)&gt;0,"Y","N")</f>
        <v>Y</v>
      </c>
    </row>
    <row r="1322" customFormat="false" ht="15" hidden="false" customHeight="false" outlineLevel="0" collapsed="false">
      <c r="A1322" s="7" t="s">
        <v>42</v>
      </c>
      <c r="B1322" s="7" t="s">
        <v>322</v>
      </c>
      <c r="C1322" s="8" t="n">
        <v>10</v>
      </c>
      <c r="D1322" s="8" t="n">
        <v>82.73</v>
      </c>
      <c r="E1322" s="8" t="n">
        <v>0</v>
      </c>
      <c r="F1322" s="8" t="n">
        <v>0</v>
      </c>
      <c r="G1322" s="7" t="n">
        <f aca="false">IFERROR(INDEX('TRANS'!$B:$B,MATCH($B1322,'TRANS'!$A:$A,0)),IFERROR(INDEX('TRANS'!$B:$B,MATCH(TRIM(SUBSTITUTE($B1322,CHAR(160)," ")),'TRANS'!$D:$D,0)),IFERROR(INDEX('Catalog'!$A:$A,MATCH($B1322,'Catalog'!$B:$B,0)),IFERROR(INDEX('Catalog'!$A:$A,MATCH(TRIM(SUBSTITUTE($B1322,CHAR(160)," ")),'Catalog'!$C:$C,0)),""))))</f>
        <v>4420000</v>
      </c>
      <c r="H1322" s="7" t="str">
        <f aca="false">IFERROR(INDEX('TRANS'!$C:$C,MATCH($B1322,'TRANS'!$A:$A,0)),IFERROR(INDEX('Catalog'!$B:$B,MATCH($G1322,'Catalog'!$A:$A,0)),$B1322))</f>
        <v>370  רפידת נוחות-זוג</v>
      </c>
      <c r="I1322" s="7" t="str">
        <f aca="false">IF($G1322="","Unmatched","Matched")</f>
        <v>Matched</v>
      </c>
      <c r="J1322" s="7" t="n">
        <f aca="false">IF($G1322&lt;&gt;"",$G1322,$B1322)</f>
        <v>4420000</v>
      </c>
      <c r="K1322" s="7" t="str">
        <f aca="false">IF(COUNTIF($O$2:$O$16,$A1322)&gt;0,"Y","N")</f>
        <v>Y</v>
      </c>
    </row>
    <row r="1323" customFormat="false" ht="15" hidden="false" customHeight="false" outlineLevel="0" collapsed="false">
      <c r="A1323" s="7" t="s">
        <v>42</v>
      </c>
      <c r="B1323" s="7" t="s">
        <v>323</v>
      </c>
      <c r="C1323" s="8" t="n">
        <v>10</v>
      </c>
      <c r="D1323" s="8" t="n">
        <v>82.73</v>
      </c>
      <c r="E1323" s="8" t="n">
        <v>0</v>
      </c>
      <c r="F1323" s="8" t="n">
        <v>0</v>
      </c>
      <c r="G1323" s="7" t="n">
        <f aca="false">IFERROR(INDEX('TRANS'!$B:$B,MATCH($B1323,'TRANS'!$A:$A,0)),IFERROR(INDEX('TRANS'!$B:$B,MATCH(TRIM(SUBSTITUTE($B1323,CHAR(160)," ")),'TRANS'!$D:$D,0)),IFERROR(INDEX('Catalog'!$A:$A,MATCH($B1323,'Catalog'!$B:$B,0)),IFERROR(INDEX('Catalog'!$A:$A,MATCH(TRIM(SUBSTITUTE($B1323,CHAR(160)," ")),'Catalog'!$C:$C,0)),""))))</f>
        <v>4420001</v>
      </c>
      <c r="H1323" s="7" t="str">
        <f aca="false">IFERROR(INDEX('TRANS'!$C:$C,MATCH($B1323,'TRANS'!$A:$A,0)),IFERROR(INDEX('Catalog'!$B:$B,MATCH($G1323,'Catalog'!$A:$A,0)),$B1323))</f>
        <v>371 רפידת מגבת כותנה-זוג</v>
      </c>
      <c r="I1323" s="7" t="str">
        <f aca="false">IF($G1323="","Unmatched","Matched")</f>
        <v>Matched</v>
      </c>
      <c r="J1323" s="7" t="n">
        <f aca="false">IF($G1323&lt;&gt;"",$G1323,$B1323)</f>
        <v>4420001</v>
      </c>
      <c r="K1323" s="7" t="str">
        <f aca="false">IF(COUNTIF($O$2:$O$16,$A1323)&gt;0,"Y","N")</f>
        <v>Y</v>
      </c>
    </row>
    <row r="1324" customFormat="false" ht="15" hidden="false" customHeight="false" outlineLevel="0" collapsed="false">
      <c r="A1324" s="7" t="s">
        <v>42</v>
      </c>
      <c r="B1324" s="7" t="s">
        <v>324</v>
      </c>
      <c r="C1324" s="8" t="n">
        <v>10</v>
      </c>
      <c r="D1324" s="8" t="n">
        <v>98.64</v>
      </c>
      <c r="E1324" s="8" t="n">
        <v>0</v>
      </c>
      <c r="F1324" s="8" t="n">
        <v>0</v>
      </c>
      <c r="G1324" s="7" t="n">
        <f aca="false">IFERROR(INDEX('TRANS'!$B:$B,MATCH($B1324,'TRANS'!$A:$A,0)),IFERROR(INDEX('TRANS'!$B:$B,MATCH(TRIM(SUBSTITUTE($B1324,CHAR(160)," ")),'TRANS'!$D:$D,0)),IFERROR(INDEX('Catalog'!$A:$A,MATCH($B1324,'Catalog'!$B:$B,0)),IFERROR(INDEX('Catalog'!$A:$A,MATCH(TRIM(SUBSTITUTE($B1324,CHAR(160)," ")),'Catalog'!$C:$C,0)),""))))</f>
        <v>4420002</v>
      </c>
      <c r="H1324" s="7" t="str">
        <f aca="false">IFERROR(INDEX('TRANS'!$C:$C,MATCH($B1324,'TRANS'!$A:$A,0)),IFERROR(INDEX('Catalog'!$B:$B,MATCH($G1324,'Catalog'!$A:$A,0)),$B1324))</f>
        <v>372 רפידת אנטי ריח -זוג</v>
      </c>
      <c r="I1324" s="7" t="str">
        <f aca="false">IF($G1324="","Unmatched","Matched")</f>
        <v>Matched</v>
      </c>
      <c r="J1324" s="7" t="n">
        <f aca="false">IF($G1324&lt;&gt;"",$G1324,$B1324)</f>
        <v>4420002</v>
      </c>
      <c r="K1324" s="7" t="str">
        <f aca="false">IF(COUNTIF($O$2:$O$16,$A1324)&gt;0,"Y","N")</f>
        <v>Y</v>
      </c>
    </row>
    <row r="1325" customFormat="false" ht="15" hidden="false" customHeight="false" outlineLevel="0" collapsed="false">
      <c r="A1325" s="7" t="s">
        <v>42</v>
      </c>
      <c r="B1325" s="7" t="s">
        <v>325</v>
      </c>
      <c r="C1325" s="8" t="n">
        <v>10</v>
      </c>
      <c r="D1325" s="8" t="n">
        <v>98.64</v>
      </c>
      <c r="E1325" s="8" t="n">
        <v>0</v>
      </c>
      <c r="F1325" s="8" t="n">
        <v>0</v>
      </c>
      <c r="G1325" s="7" t="n">
        <f aca="false">IFERROR(INDEX('TRANS'!$B:$B,MATCH($B1325,'TRANS'!$A:$A,0)),IFERROR(INDEX('TRANS'!$B:$B,MATCH(TRIM(SUBSTITUTE($B1325,CHAR(160)," ")),'TRANS'!$D:$D,0)),IFERROR(INDEX('Catalog'!$A:$A,MATCH($B1325,'Catalog'!$B:$B,0)),IFERROR(INDEX('Catalog'!$A:$A,MATCH(TRIM(SUBSTITUTE($B1325,CHAR(160)," ")),'Catalog'!$C:$C,0)),""))))</f>
        <v>4420003</v>
      </c>
      <c r="H1325" s="7" t="str">
        <f aca="false">IFERROR(INDEX('TRANS'!$C:$C,MATCH($B1325,'TRANS'!$A:$A,0)),IFERROR(INDEX('Catalog'!$B:$B,MATCH($G1325,'Catalog'!$A:$A,0)),$B1325))</f>
        <v>374 רפידת בולמת זעזועים -זוג</v>
      </c>
      <c r="I1325" s="7" t="str">
        <f aca="false">IF($G1325="","Unmatched","Matched")</f>
        <v>Matched</v>
      </c>
      <c r="J1325" s="7" t="n">
        <f aca="false">IF($G1325&lt;&gt;"",$G1325,$B1325)</f>
        <v>4420003</v>
      </c>
      <c r="K1325" s="7" t="str">
        <f aca="false">IF(COUNTIF($O$2:$O$16,$A1325)&gt;0,"Y","N")</f>
        <v>Y</v>
      </c>
    </row>
    <row r="1326" customFormat="false" ht="15" hidden="false" customHeight="false" outlineLevel="0" collapsed="false">
      <c r="A1326" s="7" t="s">
        <v>42</v>
      </c>
      <c r="B1326" s="7" t="s">
        <v>78</v>
      </c>
      <c r="C1326" s="8" t="n">
        <v>0</v>
      </c>
      <c r="D1326" s="8" t="n">
        <v>0</v>
      </c>
      <c r="E1326" s="8" t="n">
        <v>20</v>
      </c>
      <c r="F1326" s="8" t="n">
        <v>264.44</v>
      </c>
      <c r="G1326" s="7" t="str">
        <f aca="false">IFERROR(INDEX('TRANS'!$B:$B,MATCH($B1326,'TRANS'!$A:$A,0)),IFERROR(INDEX('TRANS'!$B:$B,MATCH(TRIM(SUBSTITUTE($B1326,CHAR(160)," ")),'TRANS'!$D:$D,0)),IFERROR(INDEX('Catalog'!$A:$A,MATCH($B1326,'Catalog'!$B:$B,0)),IFERROR(INDEX('Catalog'!$A:$A,MATCH(TRIM(SUBSTITUTE($B1326,CHAR(160)," ")),'Catalog'!$C:$C,0)),""))))</f>
        <v/>
      </c>
      <c r="H1326" s="7" t="str">
        <f aca="false">IFERROR(INDEX('TRANS'!$C:$C,MATCH($B1326,'TRANS'!$A:$A,0)),IFERROR(INDEX('Catalog'!$B:$B,MATCH($G1326,'Catalog'!$A:$A,0)),$B1326))</f>
        <v>376-35-37</v>
      </c>
      <c r="I1326" s="7" t="str">
        <f aca="false">IF($G1326="","Unmatched","Matched")</f>
        <v>Unmatched</v>
      </c>
      <c r="J1326" s="7" t="str">
        <f aca="false">IF($G1326&lt;&gt;"",$G1326,$B1326)</f>
        <v>376-35-37</v>
      </c>
      <c r="K1326" s="7" t="str">
        <f aca="false">IF(COUNTIF($O$2:$O$16,$A1326)&gt;0,"Y","N")</f>
        <v>Y</v>
      </c>
    </row>
    <row r="1327" customFormat="false" ht="15" hidden="false" customHeight="false" outlineLevel="0" collapsed="false">
      <c r="A1327" s="7" t="s">
        <v>42</v>
      </c>
      <c r="B1327" s="7" t="s">
        <v>72</v>
      </c>
      <c r="C1327" s="8" t="n">
        <v>40</v>
      </c>
      <c r="D1327" s="8" t="n">
        <v>551.76</v>
      </c>
      <c r="E1327" s="8" t="n">
        <v>0</v>
      </c>
      <c r="F1327" s="8" t="n">
        <v>0</v>
      </c>
      <c r="G1327" s="7" t="str">
        <f aca="false">IFERROR(INDEX('TRANS'!$B:$B,MATCH($B1327,'TRANS'!$A:$A,0)),IFERROR(INDEX('TRANS'!$B:$B,MATCH(TRIM(SUBSTITUTE($B1327,CHAR(160)," ")),'TRANS'!$D:$D,0)),IFERROR(INDEX('Catalog'!$A:$A,MATCH($B1327,'Catalog'!$B:$B,0)),IFERROR(INDEX('Catalog'!$A:$A,MATCH(TRIM(SUBSTITUTE($B1327,CHAR(160)," ")),'Catalog'!$C:$C,0)),""))))</f>
        <v/>
      </c>
      <c r="H1327" s="7" t="str">
        <f aca="false">IFERROR(INDEX('TRANS'!$C:$C,MATCH($B1327,'TRANS'!$A:$A,0)),IFERROR(INDEX('Catalog'!$B:$B,MATCH($G1327,'Catalog'!$A:$A,0)),$B1327))</f>
        <v>376-38-40</v>
      </c>
      <c r="I1327" s="7" t="str">
        <f aca="false">IF($G1327="","Unmatched","Matched")</f>
        <v>Unmatched</v>
      </c>
      <c r="J1327" s="7" t="str">
        <f aca="false">IF($G1327&lt;&gt;"",$G1327,$B1327)</f>
        <v>376-38-40</v>
      </c>
      <c r="K1327" s="7" t="str">
        <f aca="false">IF(COUNTIF($O$2:$O$16,$A1327)&gt;0,"Y","N")</f>
        <v>Y</v>
      </c>
    </row>
    <row r="1328" customFormat="false" ht="15" hidden="false" customHeight="false" outlineLevel="0" collapsed="false">
      <c r="A1328" s="7" t="s">
        <v>42</v>
      </c>
      <c r="B1328" s="7" t="s">
        <v>69</v>
      </c>
      <c r="C1328" s="8" t="n">
        <v>50</v>
      </c>
      <c r="D1328" s="8" t="n">
        <v>689.7</v>
      </c>
      <c r="E1328" s="8" t="n">
        <v>30</v>
      </c>
      <c r="F1328" s="8" t="n">
        <v>398.45</v>
      </c>
      <c r="G1328" s="7" t="str">
        <f aca="false">IFERROR(INDEX('TRANS'!$B:$B,MATCH($B1328,'TRANS'!$A:$A,0)),IFERROR(INDEX('TRANS'!$B:$B,MATCH(TRIM(SUBSTITUTE($B1328,CHAR(160)," ")),'TRANS'!$D:$D,0)),IFERROR(INDEX('Catalog'!$A:$A,MATCH($B1328,'Catalog'!$B:$B,0)),IFERROR(INDEX('Catalog'!$A:$A,MATCH(TRIM(SUBSTITUTE($B1328,CHAR(160)," ")),'Catalog'!$C:$C,0)),""))))</f>
        <v/>
      </c>
      <c r="H1328" s="7" t="str">
        <f aca="false">IFERROR(INDEX('TRANS'!$C:$C,MATCH($B1328,'TRANS'!$A:$A,0)),IFERROR(INDEX('Catalog'!$B:$B,MATCH($G1328,'Catalog'!$A:$A,0)),$B1328))</f>
        <v>376-41-43</v>
      </c>
      <c r="I1328" s="7" t="str">
        <f aca="false">IF($G1328="","Unmatched","Matched")</f>
        <v>Unmatched</v>
      </c>
      <c r="J1328" s="7" t="str">
        <f aca="false">IF($G1328&lt;&gt;"",$G1328,$B1328)</f>
        <v>376-41-43</v>
      </c>
      <c r="K1328" s="7" t="str">
        <f aca="false">IF(COUNTIF($O$2:$O$16,$A1328)&gt;0,"Y","N")</f>
        <v>Y</v>
      </c>
    </row>
    <row r="1329" customFormat="false" ht="15" hidden="false" customHeight="false" outlineLevel="0" collapsed="false">
      <c r="A1329" s="7" t="s">
        <v>42</v>
      </c>
      <c r="B1329" s="7" t="s">
        <v>73</v>
      </c>
      <c r="C1329" s="8" t="n">
        <v>5</v>
      </c>
      <c r="D1329" s="8" t="n">
        <v>68.97</v>
      </c>
      <c r="E1329" s="8" t="n">
        <v>35</v>
      </c>
      <c r="F1329" s="8" t="n">
        <v>486.46</v>
      </c>
      <c r="G1329" s="7" t="str">
        <f aca="false">IFERROR(INDEX('TRANS'!$B:$B,MATCH($B1329,'TRANS'!$A:$A,0)),IFERROR(INDEX('TRANS'!$B:$B,MATCH(TRIM(SUBSTITUTE($B1329,CHAR(160)," ")),'TRANS'!$D:$D,0)),IFERROR(INDEX('Catalog'!$A:$A,MATCH($B1329,'Catalog'!$B:$B,0)),IFERROR(INDEX('Catalog'!$A:$A,MATCH(TRIM(SUBSTITUTE($B1329,CHAR(160)," ")),'Catalog'!$C:$C,0)),""))))</f>
        <v/>
      </c>
      <c r="H1329" s="7" t="str">
        <f aca="false">IFERROR(INDEX('TRANS'!$C:$C,MATCH($B1329,'TRANS'!$A:$A,0)),IFERROR(INDEX('Catalog'!$B:$B,MATCH($G1329,'Catalog'!$A:$A,0)),$B1329))</f>
        <v>376-44-45</v>
      </c>
      <c r="I1329" s="7" t="str">
        <f aca="false">IF($G1329="","Unmatched","Matched")</f>
        <v>Unmatched</v>
      </c>
      <c r="J1329" s="7" t="str">
        <f aca="false">IF($G1329&lt;&gt;"",$G1329,$B1329)</f>
        <v>376-44-45</v>
      </c>
      <c r="K1329" s="7" t="str">
        <f aca="false">IF(COUNTIF($O$2:$O$16,$A1329)&gt;0,"Y","N")</f>
        <v>Y</v>
      </c>
    </row>
    <row r="1330" customFormat="false" ht="15" hidden="false" customHeight="false" outlineLevel="0" collapsed="false">
      <c r="A1330" s="7" t="s">
        <v>42</v>
      </c>
      <c r="B1330" s="7" t="s">
        <v>457</v>
      </c>
      <c r="C1330" s="8" t="n">
        <v>6</v>
      </c>
      <c r="D1330" s="8" t="n">
        <v>249.57</v>
      </c>
      <c r="E1330" s="8" t="n">
        <v>0</v>
      </c>
      <c r="F1330" s="8" t="n">
        <v>0</v>
      </c>
      <c r="G1330" s="7" t="n">
        <f aca="false">IFERROR(INDEX('TRANS'!$B:$B,MATCH($B1330,'TRANS'!$A:$A,0)),IFERROR(INDEX('TRANS'!$B:$B,MATCH(TRIM(SUBSTITUTE($B1330,CHAR(160)," ")),'TRANS'!$D:$D,0)),IFERROR(INDEX('Catalog'!$A:$A,MATCH($B1330,'Catalog'!$B:$B,0)),IFERROR(INDEX('Catalog'!$A:$A,MATCH(TRIM(SUBSTITUTE($B1330,CHAR(160)," ")),'Catalog'!$C:$C,0)),""))))</f>
        <v>4413523</v>
      </c>
      <c r="H1330" s="7" t="str">
        <f aca="false">IFERROR(INDEX('TRANS'!$C:$C,MATCH($B1330,'TRANS'!$A:$A,0)),IFERROR(INDEX('Catalog'!$B:$B,MATCH($G1330,'Catalog'!$A:$A,0)),$B1330))</f>
        <v>35-38 מדרסי אפיק ג'ל נוחות</v>
      </c>
      <c r="I1330" s="7" t="str">
        <f aca="false">IF($G1330="","Unmatched","Matched")</f>
        <v>Matched</v>
      </c>
      <c r="J1330" s="7" t="n">
        <f aca="false">IF($G1330&lt;&gt;"",$G1330,$B1330)</f>
        <v>4413523</v>
      </c>
      <c r="K1330" s="7" t="str">
        <f aca="false">IF(COUNTIF($O$2:$O$16,$A1330)&gt;0,"Y","N")</f>
        <v>Y</v>
      </c>
    </row>
    <row r="1331" customFormat="false" ht="15" hidden="false" customHeight="false" outlineLevel="0" collapsed="false">
      <c r="A1331" s="7" t="s">
        <v>42</v>
      </c>
      <c r="B1331" s="7" t="s">
        <v>458</v>
      </c>
      <c r="C1331" s="8" t="n">
        <v>7</v>
      </c>
      <c r="D1331" s="8" t="n">
        <v>249.6</v>
      </c>
      <c r="E1331" s="8" t="n">
        <v>5</v>
      </c>
      <c r="F1331" s="8" t="n">
        <v>179.19</v>
      </c>
      <c r="G1331" s="7" t="n">
        <f aca="false">IFERROR(INDEX('TRANS'!$B:$B,MATCH($B1331,'TRANS'!$A:$A,0)),IFERROR(INDEX('TRANS'!$B:$B,MATCH(TRIM(SUBSTITUTE($B1331,CHAR(160)," ")),'TRANS'!$D:$D,0)),IFERROR(INDEX('Catalog'!$A:$A,MATCH($B1331,'Catalog'!$B:$B,0)),IFERROR(INDEX('Catalog'!$A:$A,MATCH(TRIM(SUBSTITUTE($B1331,CHAR(160)," ")),'Catalog'!$C:$C,0)),""))))</f>
        <v>4413524</v>
      </c>
      <c r="H1331" s="7" t="str">
        <f aca="false">IFERROR(INDEX('TRANS'!$C:$C,MATCH($B1331,'TRANS'!$A:$A,0)),IFERROR(INDEX('Catalog'!$B:$B,MATCH($G1331,'Catalog'!$A:$A,0)),$B1331))</f>
        <v>39-42 מדרסי אפיק ג'ל נוחות</v>
      </c>
      <c r="I1331" s="7" t="str">
        <f aca="false">IF($G1331="","Unmatched","Matched")</f>
        <v>Matched</v>
      </c>
      <c r="J1331" s="7" t="n">
        <f aca="false">IF($G1331&lt;&gt;"",$G1331,$B1331)</f>
        <v>4413524</v>
      </c>
      <c r="K1331" s="7" t="str">
        <f aca="false">IF(COUNTIF($O$2:$O$16,$A1331)&gt;0,"Y","N")</f>
        <v>Y</v>
      </c>
    </row>
    <row r="1332" customFormat="false" ht="15" hidden="false" customHeight="false" outlineLevel="0" collapsed="false">
      <c r="A1332" s="7" t="s">
        <v>42</v>
      </c>
      <c r="B1332" s="7" t="s">
        <v>459</v>
      </c>
      <c r="C1332" s="8" t="n">
        <v>3</v>
      </c>
      <c r="D1332" s="8" t="n">
        <v>124.79</v>
      </c>
      <c r="E1332" s="8" t="n">
        <v>10</v>
      </c>
      <c r="F1332" s="8" t="n">
        <v>358.38</v>
      </c>
      <c r="G1332" s="7" t="n">
        <f aca="false">IFERROR(INDEX('TRANS'!$B:$B,MATCH($B1332,'TRANS'!$A:$A,0)),IFERROR(INDEX('TRANS'!$B:$B,MATCH(TRIM(SUBSTITUTE($B1332,CHAR(160)," ")),'TRANS'!$D:$D,0)),IFERROR(INDEX('Catalog'!$A:$A,MATCH($B1332,'Catalog'!$B:$B,0)),IFERROR(INDEX('Catalog'!$A:$A,MATCH(TRIM(SUBSTITUTE($B1332,CHAR(160)," ")),'Catalog'!$C:$C,0)),""))))</f>
        <v>4413525</v>
      </c>
      <c r="H1332" s="7" t="str">
        <f aca="false">IFERROR(INDEX('TRANS'!$C:$C,MATCH($B1332,'TRANS'!$A:$A,0)),IFERROR(INDEX('Catalog'!$B:$B,MATCH($G1332,'Catalog'!$A:$A,0)),$B1332))</f>
        <v>43-47 מדרסי אפיק ג'ל נוחות</v>
      </c>
      <c r="I1332" s="7" t="str">
        <f aca="false">IF($G1332="","Unmatched","Matched")</f>
        <v>Matched</v>
      </c>
      <c r="J1332" s="7" t="n">
        <f aca="false">IF($G1332&lt;&gt;"",$G1332,$B1332)</f>
        <v>4413525</v>
      </c>
      <c r="K1332" s="7" t="str">
        <f aca="false">IF(COUNTIF($O$2:$O$16,$A1332)&gt;0,"Y","N")</f>
        <v>Y</v>
      </c>
    </row>
    <row r="1333" customFormat="false" ht="15" hidden="false" customHeight="false" outlineLevel="0" collapsed="false">
      <c r="A1333" s="7" t="s">
        <v>42</v>
      </c>
      <c r="B1333" s="7" t="s">
        <v>401</v>
      </c>
      <c r="C1333" s="8" t="n">
        <v>6</v>
      </c>
      <c r="D1333" s="8" t="n">
        <v>249.57</v>
      </c>
      <c r="E1333" s="8" t="n">
        <v>0</v>
      </c>
      <c r="F1333" s="8" t="n">
        <v>0</v>
      </c>
      <c r="G1333" s="7" t="n">
        <f aca="false">IFERROR(INDEX('TRANS'!$B:$B,MATCH($B1333,'TRANS'!$A:$A,0)),IFERROR(INDEX('TRANS'!$B:$B,MATCH(TRIM(SUBSTITUTE($B1333,CHAR(160)," ")),'TRANS'!$D:$D,0)),IFERROR(INDEX('Catalog'!$A:$A,MATCH($B1333,'Catalog'!$B:$B,0)),IFERROR(INDEX('Catalog'!$A:$A,MATCH(TRIM(SUBSTITUTE($B1333,CHAR(160)," ")),'Catalog'!$C:$C,0)),""))))</f>
        <v>4413520</v>
      </c>
      <c r="H1333" s="7" t="str">
        <f aca="false">IFERROR(INDEX('TRANS'!$C:$C,MATCH($B1333,'TRANS'!$A:$A,0)),IFERROR(INDEX('Catalog'!$B:$B,MATCH($G1333,'Catalog'!$A:$A,0)),$B1333))</f>
        <v>מדרסי אפיק ג'ל מולט.ספורט35-38</v>
      </c>
      <c r="I1333" s="7" t="str">
        <f aca="false">IF($G1333="","Unmatched","Matched")</f>
        <v>Matched</v>
      </c>
      <c r="J1333" s="7" t="n">
        <f aca="false">IF($G1333&lt;&gt;"",$G1333,$B1333)</f>
        <v>4413520</v>
      </c>
      <c r="K1333" s="7" t="str">
        <f aca="false">IF(COUNTIF($O$2:$O$16,$A1333)&gt;0,"Y","N")</f>
        <v>Y</v>
      </c>
    </row>
    <row r="1334" customFormat="false" ht="15" hidden="false" customHeight="false" outlineLevel="0" collapsed="false">
      <c r="A1334" s="7" t="s">
        <v>42</v>
      </c>
      <c r="B1334" s="7" t="s">
        <v>402</v>
      </c>
      <c r="C1334" s="8" t="n">
        <v>6</v>
      </c>
      <c r="D1334" s="8" t="n">
        <v>249.57</v>
      </c>
      <c r="E1334" s="8" t="n">
        <v>3</v>
      </c>
      <c r="F1334" s="8" t="n">
        <v>107.51</v>
      </c>
      <c r="G1334" s="7" t="n">
        <f aca="false">IFERROR(INDEX('TRANS'!$B:$B,MATCH($B1334,'TRANS'!$A:$A,0)),IFERROR(INDEX('TRANS'!$B:$B,MATCH(TRIM(SUBSTITUTE($B1334,CHAR(160)," ")),'TRANS'!$D:$D,0)),IFERROR(INDEX('Catalog'!$A:$A,MATCH($B1334,'Catalog'!$B:$B,0)),IFERROR(INDEX('Catalog'!$A:$A,MATCH(TRIM(SUBSTITUTE($B1334,CHAR(160)," ")),'Catalog'!$C:$C,0)),""))))</f>
        <v>4413521</v>
      </c>
      <c r="H1334" s="7" t="str">
        <f aca="false">IFERROR(INDEX('TRANS'!$C:$C,MATCH($B1334,'TRANS'!$A:$A,0)),IFERROR(INDEX('Catalog'!$B:$B,MATCH($G1334,'Catalog'!$A:$A,0)),$B1334))</f>
        <v>מדרסי אפיק ג'ל מולטי ספור39-42</v>
      </c>
      <c r="I1334" s="7" t="str">
        <f aca="false">IF($G1334="","Unmatched","Matched")</f>
        <v>Matched</v>
      </c>
      <c r="J1334" s="7" t="n">
        <f aca="false">IF($G1334&lt;&gt;"",$G1334,$B1334)</f>
        <v>4413521</v>
      </c>
      <c r="K1334" s="7" t="str">
        <f aca="false">IF(COUNTIF($O$2:$O$16,$A1334)&gt;0,"Y","N")</f>
        <v>Y</v>
      </c>
    </row>
    <row r="1335" customFormat="false" ht="15" hidden="false" customHeight="false" outlineLevel="0" collapsed="false">
      <c r="A1335" s="7" t="s">
        <v>42</v>
      </c>
      <c r="B1335" s="7" t="s">
        <v>460</v>
      </c>
      <c r="C1335" s="8" t="n">
        <v>4</v>
      </c>
      <c r="D1335" s="8" t="n">
        <v>124.82</v>
      </c>
      <c r="E1335" s="8" t="n">
        <v>3</v>
      </c>
      <c r="F1335" s="8" t="n">
        <v>107.51</v>
      </c>
      <c r="G1335" s="7" t="n">
        <f aca="false">IFERROR(INDEX('TRANS'!$B:$B,MATCH($B1335,'TRANS'!$A:$A,0)),IFERROR(INDEX('TRANS'!$B:$B,MATCH(TRIM(SUBSTITUTE($B1335,CHAR(160)," ")),'TRANS'!$D:$D,0)),IFERROR(INDEX('Catalog'!$A:$A,MATCH($B1335,'Catalog'!$B:$B,0)),IFERROR(INDEX('Catalog'!$A:$A,MATCH(TRIM(SUBSTITUTE($B1335,CHAR(160)," ")),'Catalog'!$C:$C,0)),""))))</f>
        <v>4413522</v>
      </c>
      <c r="H1335" s="7" t="str">
        <f aca="false">IFERROR(INDEX('TRANS'!$C:$C,MATCH($B1335,'TRANS'!$A:$A,0)),IFERROR(INDEX('Catalog'!$B:$B,MATCH($G1335,'Catalog'!$A:$A,0)),$B1335))</f>
        <v>מדרסי אפיק ג'ל מולט.ספורט43-47</v>
      </c>
      <c r="I1335" s="7" t="str">
        <f aca="false">IF($G1335="","Unmatched","Matched")</f>
        <v>Matched</v>
      </c>
      <c r="J1335" s="7" t="n">
        <f aca="false">IF($G1335&lt;&gt;"",$G1335,$B1335)</f>
        <v>4413522</v>
      </c>
      <c r="K1335" s="7" t="str">
        <f aca="false">IF(COUNTIF($O$2:$O$16,$A1335)&gt;0,"Y","N")</f>
        <v>Y</v>
      </c>
    </row>
    <row r="1336" customFormat="false" ht="15" hidden="false" customHeight="false" outlineLevel="0" collapsed="false">
      <c r="A1336" s="7" t="s">
        <v>42</v>
      </c>
      <c r="B1336" s="7" t="s">
        <v>461</v>
      </c>
      <c r="C1336" s="8" t="n">
        <v>6</v>
      </c>
      <c r="D1336" s="8" t="n">
        <v>249.57</v>
      </c>
      <c r="E1336" s="8" t="n">
        <v>5</v>
      </c>
      <c r="F1336" s="8" t="n">
        <v>179.19</v>
      </c>
      <c r="G1336" s="7" t="n">
        <f aca="false">IFERROR(INDEX('TRANS'!$B:$B,MATCH($B1336,'TRANS'!$A:$A,0)),IFERROR(INDEX('TRANS'!$B:$B,MATCH(TRIM(SUBSTITUTE($B1336,CHAR(160)," ")),'TRANS'!$D:$D,0)),IFERROR(INDEX('Catalog'!$A:$A,MATCH($B1336,'Catalog'!$B:$B,0)),IFERROR(INDEX('Catalog'!$A:$A,MATCH(TRIM(SUBSTITUTE($B1336,CHAR(160)," ")),'Catalog'!$C:$C,0)),""))))</f>
        <v>4413527</v>
      </c>
      <c r="H1336" s="7" t="str">
        <f aca="false">IFERROR(INDEX('TRANS'!$C:$C,MATCH($B1336,'TRANS'!$A:$A,0)),IFERROR(INDEX('Catalog'!$B:$B,MATCH($G1336,'Catalog'!$A:$A,0)),$B1336))</f>
        <v>35-38 מדרסי אפיק ג'ל עבודה</v>
      </c>
      <c r="I1336" s="7" t="str">
        <f aca="false">IF($G1336="","Unmatched","Matched")</f>
        <v>Matched</v>
      </c>
      <c r="J1336" s="7" t="n">
        <f aca="false">IF($G1336&lt;&gt;"",$G1336,$B1336)</f>
        <v>4413527</v>
      </c>
      <c r="K1336" s="7" t="str">
        <f aca="false">IF(COUNTIF($O$2:$O$16,$A1336)&gt;0,"Y","N")</f>
        <v>Y</v>
      </c>
    </row>
    <row r="1337" customFormat="false" ht="15" hidden="false" customHeight="false" outlineLevel="0" collapsed="false">
      <c r="A1337" s="7" t="s">
        <v>42</v>
      </c>
      <c r="B1337" s="7" t="s">
        <v>462</v>
      </c>
      <c r="C1337" s="8" t="n">
        <v>7</v>
      </c>
      <c r="D1337" s="8" t="n">
        <v>249.6</v>
      </c>
      <c r="E1337" s="8" t="n">
        <v>10</v>
      </c>
      <c r="F1337" s="8" t="n">
        <v>358.38</v>
      </c>
      <c r="G1337" s="7" t="n">
        <f aca="false">IFERROR(INDEX('TRANS'!$B:$B,MATCH($B1337,'TRANS'!$A:$A,0)),IFERROR(INDEX('TRANS'!$B:$B,MATCH(TRIM(SUBSTITUTE($B1337,CHAR(160)," ")),'TRANS'!$D:$D,0)),IFERROR(INDEX('Catalog'!$A:$A,MATCH($B1337,'Catalog'!$B:$B,0)),IFERROR(INDEX('Catalog'!$A:$A,MATCH(TRIM(SUBSTITUTE($B1337,CHAR(160)," ")),'Catalog'!$C:$C,0)),""))))</f>
        <v>4413528</v>
      </c>
      <c r="H1337" s="7" t="str">
        <f aca="false">IFERROR(INDEX('TRANS'!$C:$C,MATCH($B1337,'TRANS'!$A:$A,0)),IFERROR(INDEX('Catalog'!$B:$B,MATCH($G1337,'Catalog'!$A:$A,0)),$B1337))</f>
        <v>39-42 מדרסי אפיק ג'ל עבודה</v>
      </c>
      <c r="I1337" s="7" t="str">
        <f aca="false">IF($G1337="","Unmatched","Matched")</f>
        <v>Matched</v>
      </c>
      <c r="J1337" s="7" t="n">
        <f aca="false">IF($G1337&lt;&gt;"",$G1337,$B1337)</f>
        <v>4413528</v>
      </c>
      <c r="K1337" s="7" t="str">
        <f aca="false">IF(COUNTIF($O$2:$O$16,$A1337)&gt;0,"Y","N")</f>
        <v>Y</v>
      </c>
    </row>
    <row r="1338" customFormat="false" ht="15" hidden="false" customHeight="false" outlineLevel="0" collapsed="false">
      <c r="A1338" s="7" t="s">
        <v>42</v>
      </c>
      <c r="B1338" s="7" t="s">
        <v>463</v>
      </c>
      <c r="C1338" s="8" t="n">
        <v>3</v>
      </c>
      <c r="D1338" s="8" t="n">
        <v>124.79</v>
      </c>
      <c r="E1338" s="8" t="n">
        <v>10</v>
      </c>
      <c r="F1338" s="8" t="n">
        <v>358.38</v>
      </c>
      <c r="G1338" s="7" t="n">
        <f aca="false">IFERROR(INDEX('TRANS'!$B:$B,MATCH($B1338,'TRANS'!$A:$A,0)),IFERROR(INDEX('TRANS'!$B:$B,MATCH(TRIM(SUBSTITUTE($B1338,CHAR(160)," ")),'TRANS'!$D:$D,0)),IFERROR(INDEX('Catalog'!$A:$A,MATCH($B1338,'Catalog'!$B:$B,0)),IFERROR(INDEX('Catalog'!$A:$A,MATCH(TRIM(SUBSTITUTE($B1338,CHAR(160)," ")),'Catalog'!$C:$C,0)),""))))</f>
        <v>4413529</v>
      </c>
      <c r="H1338" s="7" t="str">
        <f aca="false">IFERROR(INDEX('TRANS'!$C:$C,MATCH($B1338,'TRANS'!$A:$A,0)),IFERROR(INDEX('Catalog'!$B:$B,MATCH($G1338,'Catalog'!$A:$A,0)),$B1338))</f>
        <v>43-47 מדרסי אפיק ג'ל עבודה</v>
      </c>
      <c r="I1338" s="7" t="str">
        <f aca="false">IF($G1338="","Unmatched","Matched")</f>
        <v>Matched</v>
      </c>
      <c r="J1338" s="7" t="n">
        <f aca="false">IF($G1338&lt;&gt;"",$G1338,$B1338)</f>
        <v>4413529</v>
      </c>
      <c r="K1338" s="7" t="str">
        <f aca="false">IF(COUNTIF($O$2:$O$16,$A1338)&gt;0,"Y","N")</f>
        <v>Y</v>
      </c>
    </row>
    <row r="1339" customFormat="false" ht="15" hidden="false" customHeight="false" outlineLevel="0" collapsed="false">
      <c r="A1339" s="7" t="s">
        <v>42</v>
      </c>
      <c r="B1339" s="7" t="s">
        <v>528</v>
      </c>
      <c r="C1339" s="8" t="n">
        <v>20</v>
      </c>
      <c r="D1339" s="8" t="n">
        <v>605.85</v>
      </c>
      <c r="E1339" s="8" t="n">
        <v>75</v>
      </c>
      <c r="F1339" s="8" t="n">
        <v>2281.75</v>
      </c>
      <c r="G1339" s="7" t="n">
        <f aca="false">IFERROR(INDEX('TRANS'!$B:$B,MATCH($B1339,'TRANS'!$A:$A,0)),IFERROR(INDEX('TRANS'!$B:$B,MATCH(TRIM(SUBSTITUTE($B1339,CHAR(160)," ")),'TRANS'!$D:$D,0)),IFERROR(INDEX('Catalog'!$A:$A,MATCH($B1339,'Catalog'!$B:$B,0)),IFERROR(INDEX('Catalog'!$A:$A,MATCH(TRIM(SUBSTITUTE($B1339,CHAR(160)," ")),'Catalog'!$C:$C,0)),""))))</f>
        <v>4408069</v>
      </c>
      <c r="H1339" s="7" t="str">
        <f aca="false">IFERROR(INDEX('TRANS'!$C:$C,MATCH($B1339,'TRANS'!$A:$A,0)),IFERROR(INDEX('Catalog'!$B:$B,MATCH($G1339,'Catalog'!$A:$A,0)),$B1339))</f>
        <v>38 .חבישת""""הלוקס ולגוס""""לאחר נית</v>
      </c>
      <c r="I1339" s="7" t="str">
        <f aca="false">IF($G1339="","Unmatched","Matched")</f>
        <v>Matched</v>
      </c>
      <c r="J1339" s="7" t="n">
        <f aca="false">IF($G1339&lt;&gt;"",$G1339,$B1339)</f>
        <v>4408069</v>
      </c>
      <c r="K1339" s="7" t="str">
        <f aca="false">IF(COUNTIF($O$2:$O$16,$A1339)&gt;0,"Y","N")</f>
        <v>Y</v>
      </c>
    </row>
    <row r="1340" customFormat="false" ht="15" hidden="false" customHeight="false" outlineLevel="0" collapsed="false">
      <c r="A1340" s="7" t="s">
        <v>42</v>
      </c>
      <c r="B1340" s="7" t="s">
        <v>327</v>
      </c>
      <c r="C1340" s="8" t="n">
        <v>54</v>
      </c>
      <c r="D1340" s="8" t="n">
        <v>874.13</v>
      </c>
      <c r="E1340" s="8" t="n">
        <v>46</v>
      </c>
      <c r="F1340" s="8" t="n">
        <v>722.12</v>
      </c>
      <c r="G1340" s="7" t="n">
        <f aca="false">IFERROR(INDEX('TRANS'!$B:$B,MATCH($B1340,'TRANS'!$A:$A,0)),IFERROR(INDEX('TRANS'!$B:$B,MATCH(TRIM(SUBSTITUTE($B1340,CHAR(160)," ")),'TRANS'!$D:$D,0)),IFERROR(INDEX('Catalog'!$A:$A,MATCH($B1340,'Catalog'!$B:$B,0)),IFERROR(INDEX('Catalog'!$A:$A,MATCH(TRIM(SUBSTITUTE($B1340,CHAR(160)," ")),'Catalog'!$C:$C,0)),""))))</f>
        <v>4413452</v>
      </c>
      <c r="H1340" s="7" t="str">
        <f aca="false">IFERROR(INDEX('TRANS'!$C:$C,MATCH($B1340,'TRANS'!$A:$A,0)),IFERROR(INDEX('Catalog'!$B:$B,MATCH($G1340,'Catalog'!$A:$A,0)),$B1340))</f>
        <v>386  מיישר בוניון-האלוקס ולגוס</v>
      </c>
      <c r="I1340" s="7" t="str">
        <f aca="false">IF($G1340="","Unmatched","Matched")</f>
        <v>Matched</v>
      </c>
      <c r="J1340" s="7" t="n">
        <f aca="false">IF($G1340&lt;&gt;"",$G1340,$B1340)</f>
        <v>4413452</v>
      </c>
      <c r="K1340" s="7" t="str">
        <f aca="false">IF(COUNTIF($O$2:$O$16,$A1340)&gt;0,"Y","N")</f>
        <v>Y</v>
      </c>
    </row>
    <row r="1341" customFormat="false" ht="15" hidden="false" customHeight="false" outlineLevel="0" collapsed="false">
      <c r="A1341" s="7" t="s">
        <v>42</v>
      </c>
      <c r="B1341" s="7" t="s">
        <v>464</v>
      </c>
      <c r="C1341" s="8" t="n">
        <v>1</v>
      </c>
      <c r="D1341" s="8" t="n">
        <v>0.03</v>
      </c>
      <c r="E1341" s="8" t="n">
        <v>0</v>
      </c>
      <c r="F1341" s="8" t="n">
        <v>0</v>
      </c>
      <c r="G1341" s="7" t="n">
        <f aca="false">IFERROR(INDEX('TRANS'!$B:$B,MATCH($B1341,'TRANS'!$A:$A,0)),IFERROR(INDEX('TRANS'!$B:$B,MATCH(TRIM(SUBSTITUTE($B1341,CHAR(160)," ")),'TRANS'!$D:$D,0)),IFERROR(INDEX('Catalog'!$A:$A,MATCH($B1341,'Catalog'!$B:$B,0)),IFERROR(INDEX('Catalog'!$A:$A,MATCH(TRIM(SUBSTITUTE($B1341,CHAR(160)," ")),'Catalog'!$C:$C,0)),""))))</f>
        <v>4415298</v>
      </c>
      <c r="H1341" s="7" t="str">
        <f aca="false">IFERROR(INDEX('TRANS'!$C:$C,MATCH($B1341,'TRANS'!$A:$A,0)),IFERROR(INDEX('Catalog'!$B:$B,MATCH($G1341,'Catalog'!$A:$A,0)),$B1341))</f>
        <v>388B L סד לילה שחור לבוהן שמאל</v>
      </c>
      <c r="I1341" s="7" t="str">
        <f aca="false">IF($G1341="","Unmatched","Matched")</f>
        <v>Matched</v>
      </c>
      <c r="J1341" s="7" t="n">
        <f aca="false">IF($G1341&lt;&gt;"",$G1341,$B1341)</f>
        <v>4415298</v>
      </c>
      <c r="K1341" s="7" t="str">
        <f aca="false">IF(COUNTIF($O$2:$O$16,$A1341)&gt;0,"Y","N")</f>
        <v>Y</v>
      </c>
    </row>
    <row r="1342" customFormat="false" ht="15" hidden="false" customHeight="false" outlineLevel="0" collapsed="false">
      <c r="A1342" s="7" t="s">
        <v>42</v>
      </c>
      <c r="B1342" s="7" t="s">
        <v>465</v>
      </c>
      <c r="C1342" s="8" t="n">
        <v>1</v>
      </c>
      <c r="D1342" s="8" t="n">
        <v>0.03</v>
      </c>
      <c r="E1342" s="8" t="n">
        <v>0</v>
      </c>
      <c r="F1342" s="8" t="n">
        <v>0</v>
      </c>
      <c r="G1342" s="7" t="n">
        <f aca="false">IFERROR(INDEX('TRANS'!$B:$B,MATCH($B1342,'TRANS'!$A:$A,0)),IFERROR(INDEX('TRANS'!$B:$B,MATCH(TRIM(SUBSTITUTE($B1342,CHAR(160)," ")),'TRANS'!$D:$D,0)),IFERROR(INDEX('Catalog'!$A:$A,MATCH($B1342,'Catalog'!$B:$B,0)),IFERROR(INDEX('Catalog'!$A:$A,MATCH(TRIM(SUBSTITUTE($B1342,CHAR(160)," ")),'Catalog'!$C:$C,0)),""))))</f>
        <v>4415299</v>
      </c>
      <c r="H1342" s="7" t="str">
        <f aca="false">IFERROR(INDEX('TRANS'!$C:$C,MATCH($B1342,'TRANS'!$A:$A,0)),IFERROR(INDEX('Catalog'!$B:$B,MATCH($G1342,'Catalog'!$A:$A,0)),$B1342))</f>
        <v>388B L סד לילה שחור לבוהן ימין</v>
      </c>
      <c r="I1342" s="7" t="str">
        <f aca="false">IF($G1342="","Unmatched","Matched")</f>
        <v>Matched</v>
      </c>
      <c r="J1342" s="7" t="n">
        <f aca="false">IF($G1342&lt;&gt;"",$G1342,$B1342)</f>
        <v>4415299</v>
      </c>
      <c r="K1342" s="7" t="str">
        <f aca="false">IF(COUNTIF($O$2:$O$16,$A1342)&gt;0,"Y","N")</f>
        <v>Y</v>
      </c>
    </row>
    <row r="1343" customFormat="false" ht="15" hidden="false" customHeight="false" outlineLevel="0" collapsed="false">
      <c r="A1343" s="7" t="s">
        <v>42</v>
      </c>
      <c r="B1343" s="7" t="s">
        <v>178</v>
      </c>
      <c r="C1343" s="8" t="n">
        <v>1</v>
      </c>
      <c r="D1343" s="8" t="n">
        <v>0.03</v>
      </c>
      <c r="E1343" s="8" t="n">
        <v>0</v>
      </c>
      <c r="F1343" s="8" t="n">
        <v>0</v>
      </c>
      <c r="G1343" s="7" t="str">
        <f aca="false">IFERROR(INDEX('TRANS'!$B:$B,MATCH($B1343,'TRANS'!$A:$A,0)),IFERROR(INDEX('TRANS'!$B:$B,MATCH(TRIM(SUBSTITUTE($B1343,CHAR(160)," ")),'TRANS'!$D:$D,0)),IFERROR(INDEX('Catalog'!$A:$A,MATCH($B1343,'Catalog'!$B:$B,0)),IFERROR(INDEX('Catalog'!$A:$A,MATCH(TRIM(SUBSTITUTE($B1343,CHAR(160)," ")),'Catalog'!$C:$C,0)),""))))</f>
        <v/>
      </c>
      <c r="H1343" s="7" t="str">
        <f aca="false">IFERROR(INDEX('TRANS'!$C:$C,MATCH($B1343,'TRANS'!$A:$A,0)),IFERROR(INDEX('Catalog'!$B:$B,MATCH($G1343,'Catalog'!$A:$A,0)),$B1343))</f>
        <v>391W-39-42</v>
      </c>
      <c r="I1343" s="7" t="str">
        <f aca="false">IF($G1343="","Unmatched","Matched")</f>
        <v>Unmatched</v>
      </c>
      <c r="J1343" s="7" t="str">
        <f aca="false">IF($G1343&lt;&gt;"",$G1343,$B1343)</f>
        <v>391W-39-42</v>
      </c>
      <c r="K1343" s="7" t="str">
        <f aca="false">IF(COUNTIF($O$2:$O$16,$A1343)&gt;0,"Y","N")</f>
        <v>Y</v>
      </c>
    </row>
    <row r="1344" customFormat="false" ht="15" hidden="false" customHeight="false" outlineLevel="0" collapsed="false">
      <c r="A1344" s="7" t="s">
        <v>42</v>
      </c>
      <c r="B1344" s="7" t="s">
        <v>472</v>
      </c>
      <c r="C1344" s="8" t="n">
        <v>1</v>
      </c>
      <c r="D1344" s="8" t="n">
        <v>0.03</v>
      </c>
      <c r="E1344" s="8" t="n">
        <v>0</v>
      </c>
      <c r="F1344" s="8" t="n">
        <v>0</v>
      </c>
      <c r="G1344" s="7" t="n">
        <f aca="false">IFERROR(INDEX('TRANS'!$B:$B,MATCH($B1344,'TRANS'!$A:$A,0)),IFERROR(INDEX('TRANS'!$B:$B,MATCH(TRIM(SUBSTITUTE($B1344,CHAR(160)," ")),'TRANS'!$D:$D,0)),IFERROR(INDEX('Catalog'!$A:$A,MATCH($B1344,'Catalog'!$B:$B,0)),IFERROR(INDEX('Catalog'!$A:$A,MATCH(TRIM(SUBSTITUTE($B1344,CHAR(160)," ")),'Catalog'!$C:$C,0)),""))))</f>
        <v>4403045</v>
      </c>
      <c r="H1344" s="7" t="str">
        <f aca="false">IFERROR(INDEX('TRANS'!$C:$C,MATCH($B1344,'TRANS'!$A:$A,0)),IFERROR(INDEX('Catalog'!$B:$B,MATCH($G1344,'Catalog'!$A:$A,0)),$B1344))</f>
        <v>395B גרבי קיץ אנטי בקטריא43-46</v>
      </c>
      <c r="I1344" s="7" t="str">
        <f aca="false">IF($G1344="","Unmatched","Matched")</f>
        <v>Matched</v>
      </c>
      <c r="J1344" s="7" t="n">
        <f aca="false">IF($G1344&lt;&gt;"",$G1344,$B1344)</f>
        <v>4403045</v>
      </c>
      <c r="K1344" s="7" t="str">
        <f aca="false">IF(COUNTIF($O$2:$O$16,$A1344)&gt;0,"Y","N")</f>
        <v>Y</v>
      </c>
    </row>
    <row r="1345" customFormat="false" ht="15" hidden="false" customHeight="false" outlineLevel="0" collapsed="false">
      <c r="A1345" s="7" t="s">
        <v>42</v>
      </c>
      <c r="B1345" s="7" t="s">
        <v>330</v>
      </c>
      <c r="C1345" s="8" t="n">
        <v>1</v>
      </c>
      <c r="D1345" s="8" t="n">
        <v>0.03</v>
      </c>
      <c r="E1345" s="8" t="n">
        <v>0</v>
      </c>
      <c r="F1345" s="8" t="n">
        <v>0</v>
      </c>
      <c r="G1345" s="7" t="n">
        <f aca="false">IFERROR(INDEX('TRANS'!$B:$B,MATCH($B1345,'TRANS'!$A:$A,0)),IFERROR(INDEX('TRANS'!$B:$B,MATCH(TRIM(SUBSTITUTE($B1345,CHAR(160)," ")),'TRANS'!$D:$D,0)),IFERROR(INDEX('Catalog'!$A:$A,MATCH($B1345,'Catalog'!$B:$B,0)),IFERROR(INDEX('Catalog'!$A:$A,MATCH(TRIM(SUBSTITUTE($B1345,CHAR(160)," ")),'Catalog'!$C:$C,0)),""))))</f>
        <v>4403041</v>
      </c>
      <c r="H1345" s="7" t="str">
        <f aca="false">IFERROR(INDEX('TRANS'!$C:$C,MATCH($B1345,'TRANS'!$A:$A,0)),IFERROR(INDEX('Catalog'!$B:$B,MATCH($G1345,'Catalog'!$A:$A,0)),$B1345))</f>
        <v>397A-גרבי טיסה אנטי בקטרי35-38</v>
      </c>
      <c r="I1345" s="7" t="str">
        <f aca="false">IF($G1345="","Unmatched","Matched")</f>
        <v>Matched</v>
      </c>
      <c r="J1345" s="7" t="n">
        <f aca="false">IF($G1345&lt;&gt;"",$G1345,$B1345)</f>
        <v>4403041</v>
      </c>
      <c r="K1345" s="7" t="str">
        <f aca="false">IF(COUNTIF($O$2:$O$16,$A1345)&gt;0,"Y","N")</f>
        <v>Y</v>
      </c>
    </row>
    <row r="1346" customFormat="false" ht="15" hidden="false" customHeight="false" outlineLevel="0" collapsed="false">
      <c r="A1346" s="7" t="s">
        <v>42</v>
      </c>
      <c r="B1346" s="7" t="s">
        <v>473</v>
      </c>
      <c r="C1346" s="8" t="n">
        <v>60</v>
      </c>
      <c r="D1346" s="8" t="n">
        <v>1363.08</v>
      </c>
      <c r="E1346" s="8" t="n">
        <v>40</v>
      </c>
      <c r="F1346" s="8" t="n">
        <v>818.01</v>
      </c>
      <c r="G1346" s="7" t="n">
        <f aca="false">IFERROR(INDEX('TRANS'!$B:$B,MATCH($B1346,'TRANS'!$A:$A,0)),IFERROR(INDEX('TRANS'!$B:$B,MATCH(TRIM(SUBSTITUTE($B1346,CHAR(160)," ")),'TRANS'!$D:$D,0)),IFERROR(INDEX('Catalog'!$A:$A,MATCH($B1346,'Catalog'!$B:$B,0)),IFERROR(INDEX('Catalog'!$A:$A,MATCH(TRIM(SUBSTITUTE($B1346,CHAR(160)," ")),'Catalog'!$C:$C,0)),""))))</f>
        <v>4420016</v>
      </c>
      <c r="H1346" s="7" t="str">
        <f aca="false">IFERROR(INDEX('TRANS'!$C:$C,MATCH($B1346,'TRANS'!$A:$A,0)),IFERROR(INDEX('Catalog'!$B:$B,MATCH($G1346,'Catalog'!$A:$A,0)),$B1346))</f>
        <v>40-רצועת פיקה לברך</v>
      </c>
      <c r="I1346" s="7" t="str">
        <f aca="false">IF($G1346="","Unmatched","Matched")</f>
        <v>Matched</v>
      </c>
      <c r="J1346" s="7" t="n">
        <f aca="false">IF($G1346&lt;&gt;"",$G1346,$B1346)</f>
        <v>4420016</v>
      </c>
      <c r="K1346" s="7" t="str">
        <f aca="false">IF(COUNTIF($O$2:$O$16,$A1346)&gt;0,"Y","N")</f>
        <v>Y</v>
      </c>
    </row>
    <row r="1347" customFormat="false" ht="15" hidden="false" customHeight="false" outlineLevel="0" collapsed="false">
      <c r="A1347" s="7" t="s">
        <v>42</v>
      </c>
      <c r="B1347" s="7" t="s">
        <v>635</v>
      </c>
      <c r="C1347" s="8" t="n">
        <v>6</v>
      </c>
      <c r="D1347" s="8" t="n">
        <v>305.12</v>
      </c>
      <c r="E1347" s="8" t="n">
        <v>0</v>
      </c>
      <c r="F1347" s="8" t="n">
        <v>0</v>
      </c>
      <c r="G1347" s="7" t="n">
        <f aca="false">IFERROR(INDEX('TRANS'!$B:$B,MATCH($B1347,'TRANS'!$A:$A,0)),IFERROR(INDEX('TRANS'!$B:$B,MATCH(TRIM(SUBSTITUTE($B1347,CHAR(160)," ")),'TRANS'!$D:$D,0)),IFERROR(INDEX('Catalog'!$A:$A,MATCH($B1347,'Catalog'!$B:$B,0)),IFERROR(INDEX('Catalog'!$A:$A,MATCH(TRIM(SUBSTITUTE($B1347,CHAR(160)," ")),'Catalog'!$C:$C,0)),""))))</f>
        <v>4413072</v>
      </c>
      <c r="H1347" s="7" t="str">
        <f aca="false">IFERROR(INDEX('TRANS'!$C:$C,MATCH($B1347,'TRANS'!$A:$A,0)),IFERROR(INDEX('Catalog'!$B:$B,MATCH($G1347,'Catalog'!$A:$A,0)),$B1347))</f>
        <v>41 Lמ.ברך מוצלב+ספירלות בצדדים</v>
      </c>
      <c r="I1347" s="7" t="str">
        <f aca="false">IF($G1347="","Unmatched","Matched")</f>
        <v>Matched</v>
      </c>
      <c r="J1347" s="7" t="n">
        <f aca="false">IF($G1347&lt;&gt;"",$G1347,$B1347)</f>
        <v>4413072</v>
      </c>
      <c r="K1347" s="7" t="str">
        <f aca="false">IF(COUNTIF($O$2:$O$16,$A1347)&gt;0,"Y","N")</f>
        <v>Y</v>
      </c>
    </row>
    <row r="1348" customFormat="false" ht="15" hidden="false" customHeight="false" outlineLevel="0" collapsed="false">
      <c r="A1348" s="7" t="s">
        <v>42</v>
      </c>
      <c r="B1348" s="7" t="s">
        <v>638</v>
      </c>
      <c r="C1348" s="8" t="n">
        <v>6</v>
      </c>
      <c r="D1348" s="8" t="n">
        <v>305.12</v>
      </c>
      <c r="E1348" s="8" t="n">
        <v>0</v>
      </c>
      <c r="F1348" s="8" t="n">
        <v>0</v>
      </c>
      <c r="G1348" s="7" t="n">
        <f aca="false">IFERROR(INDEX('TRANS'!$B:$B,MATCH($B1348,'TRANS'!$A:$A,0)),IFERROR(INDEX('TRANS'!$B:$B,MATCH(TRIM(SUBSTITUTE($B1348,CHAR(160)," ")),'TRANS'!$D:$D,0)),IFERROR(INDEX('Catalog'!$A:$A,MATCH($B1348,'Catalog'!$B:$B,0)),IFERROR(INDEX('Catalog'!$A:$A,MATCH(TRIM(SUBSTITUTE($B1348,CHAR(160)," ")),'Catalog'!$C:$C,0)),""))))</f>
        <v>4413074</v>
      </c>
      <c r="H1348" s="7" t="str">
        <f aca="false">IFERROR(INDEX('TRANS'!$C:$C,MATCH($B1348,'TRANS'!$A:$A,0)),IFERROR(INDEX('Catalog'!$B:$B,MATCH($G1348,'Catalog'!$A:$A,0)),$B1348))</f>
        <v>41  XL.מ.ברך מוצלב+ספירלות בצד</v>
      </c>
      <c r="I1348" s="7" t="str">
        <f aca="false">IF($G1348="","Unmatched","Matched")</f>
        <v>Matched</v>
      </c>
      <c r="J1348" s="7" t="n">
        <f aca="false">IF($G1348&lt;&gt;"",$G1348,$B1348)</f>
        <v>4413074</v>
      </c>
      <c r="K1348" s="7" t="str">
        <f aca="false">IF(COUNTIF($O$2:$O$16,$A1348)&gt;0,"Y","N")</f>
        <v>Y</v>
      </c>
    </row>
    <row r="1349" customFormat="false" ht="15" hidden="false" customHeight="false" outlineLevel="0" collapsed="false">
      <c r="A1349" s="7" t="s">
        <v>42</v>
      </c>
      <c r="B1349" s="7" t="s">
        <v>90</v>
      </c>
      <c r="C1349" s="8" t="n">
        <v>15</v>
      </c>
      <c r="D1349" s="8" t="n">
        <v>1269.86</v>
      </c>
      <c r="E1349" s="8" t="n">
        <v>90</v>
      </c>
      <c r="F1349" s="8" t="n">
        <v>8030.02</v>
      </c>
      <c r="G1349" s="7" t="str">
        <f aca="false">IFERROR(INDEX('TRANS'!$B:$B,MATCH($B1349,'TRANS'!$A:$A,0)),IFERROR(INDEX('TRANS'!$B:$B,MATCH(TRIM(SUBSTITUTE($B1349,CHAR(160)," ")),'TRANS'!$D:$D,0)),IFERROR(INDEX('Catalog'!$A:$A,MATCH($B1349,'Catalog'!$B:$B,0)),IFERROR(INDEX('Catalog'!$A:$A,MATCH(TRIM(SUBSTITUTE($B1349,CHAR(160)," ")),'Catalog'!$C:$C,0)),""))))</f>
        <v/>
      </c>
      <c r="H1349" s="7" t="str">
        <f aca="false">IFERROR(INDEX('TRANS'!$C:$C,MATCH($B1349,'TRANS'!$A:$A,0)),IFERROR(INDEX('Catalog'!$B:$B,MATCH($G1349,'Catalog'!$A:$A,0)),$B1349))</f>
        <v>43BD L</v>
      </c>
      <c r="I1349" s="7" t="str">
        <f aca="false">IF($G1349="","Unmatched","Matched")</f>
        <v>Unmatched</v>
      </c>
      <c r="J1349" s="7" t="str">
        <f aca="false">IF($G1349&lt;&gt;"",$G1349,$B1349)</f>
        <v>43BD L</v>
      </c>
      <c r="K1349" s="7" t="str">
        <f aca="false">IF(COUNTIF($O$2:$O$16,$A1349)&gt;0,"Y","N")</f>
        <v>Y</v>
      </c>
    </row>
    <row r="1350" customFormat="false" ht="15" hidden="false" customHeight="false" outlineLevel="0" collapsed="false">
      <c r="A1350" s="7" t="s">
        <v>42</v>
      </c>
      <c r="B1350" s="7" t="s">
        <v>93</v>
      </c>
      <c r="C1350" s="8" t="n">
        <v>20</v>
      </c>
      <c r="D1350" s="8" t="n">
        <v>1693.14</v>
      </c>
      <c r="E1350" s="8" t="n">
        <v>75</v>
      </c>
      <c r="F1350" s="8" t="n">
        <v>6740.14</v>
      </c>
      <c r="G1350" s="7" t="str">
        <f aca="false">IFERROR(INDEX('TRANS'!$B:$B,MATCH($B1350,'TRANS'!$A:$A,0)),IFERROR(INDEX('TRANS'!$B:$B,MATCH(TRIM(SUBSTITUTE($B1350,CHAR(160)," ")),'TRANS'!$D:$D,0)),IFERROR(INDEX('Catalog'!$A:$A,MATCH($B1350,'Catalog'!$B:$B,0)),IFERROR(INDEX('Catalog'!$A:$A,MATCH(TRIM(SUBSTITUTE($B1350,CHAR(160)," ")),'Catalog'!$C:$C,0)),""))))</f>
        <v/>
      </c>
      <c r="H1350" s="7" t="str">
        <f aca="false">IFERROR(INDEX('TRANS'!$C:$C,MATCH($B1350,'TRANS'!$A:$A,0)),IFERROR(INDEX('Catalog'!$B:$B,MATCH($G1350,'Catalog'!$A:$A,0)),$B1350))</f>
        <v>43BD M</v>
      </c>
      <c r="I1350" s="7" t="str">
        <f aca="false">IF($G1350="","Unmatched","Matched")</f>
        <v>Unmatched</v>
      </c>
      <c r="J1350" s="7" t="str">
        <f aca="false">IF($G1350&lt;&gt;"",$G1350,$B1350)</f>
        <v>43BD M</v>
      </c>
      <c r="K1350" s="7" t="str">
        <f aca="false">IF(COUNTIF($O$2:$O$16,$A1350)&gt;0,"Y","N")</f>
        <v>Y</v>
      </c>
    </row>
    <row r="1351" customFormat="false" ht="15" hidden="false" customHeight="false" outlineLevel="0" collapsed="false">
      <c r="A1351" s="7" t="s">
        <v>42</v>
      </c>
      <c r="B1351" s="7" t="s">
        <v>113</v>
      </c>
      <c r="C1351" s="8" t="n">
        <v>0</v>
      </c>
      <c r="D1351" s="8" t="n">
        <v>0</v>
      </c>
      <c r="E1351" s="8" t="n">
        <v>15</v>
      </c>
      <c r="F1351" s="8" t="n">
        <v>1289.87</v>
      </c>
      <c r="G1351" s="7" t="str">
        <f aca="false">IFERROR(INDEX('TRANS'!$B:$B,MATCH($B1351,'TRANS'!$A:$A,0)),IFERROR(INDEX('TRANS'!$B:$B,MATCH(TRIM(SUBSTITUTE($B1351,CHAR(160)," ")),'TRANS'!$D:$D,0)),IFERROR(INDEX('Catalog'!$A:$A,MATCH($B1351,'Catalog'!$B:$B,0)),IFERROR(INDEX('Catalog'!$A:$A,MATCH(TRIM(SUBSTITUTE($B1351,CHAR(160)," ")),'Catalog'!$C:$C,0)),""))))</f>
        <v/>
      </c>
      <c r="H1351" s="7" t="str">
        <f aca="false">IFERROR(INDEX('TRANS'!$C:$C,MATCH($B1351,'TRANS'!$A:$A,0)),IFERROR(INDEX('Catalog'!$B:$B,MATCH($G1351,'Catalog'!$A:$A,0)),$B1351))</f>
        <v>43BD S</v>
      </c>
      <c r="I1351" s="7" t="str">
        <f aca="false">IF($G1351="","Unmatched","Matched")</f>
        <v>Unmatched</v>
      </c>
      <c r="J1351" s="7" t="str">
        <f aca="false">IF($G1351&lt;&gt;"",$G1351,$B1351)</f>
        <v>43BD S</v>
      </c>
      <c r="K1351" s="7" t="str">
        <f aca="false">IF(COUNTIF($O$2:$O$16,$A1351)&gt;0,"Y","N")</f>
        <v>Y</v>
      </c>
    </row>
    <row r="1352" customFormat="false" ht="15" hidden="false" customHeight="false" outlineLevel="0" collapsed="false">
      <c r="A1352" s="7" t="s">
        <v>42</v>
      </c>
      <c r="B1352" s="7" t="s">
        <v>88</v>
      </c>
      <c r="C1352" s="8" t="n">
        <v>35</v>
      </c>
      <c r="D1352" s="8" t="n">
        <v>2963</v>
      </c>
      <c r="E1352" s="8" t="n">
        <v>100</v>
      </c>
      <c r="F1352" s="8" t="n">
        <v>8841.47</v>
      </c>
      <c r="G1352" s="7" t="str">
        <f aca="false">IFERROR(INDEX('TRANS'!$B:$B,MATCH($B1352,'TRANS'!$A:$A,0)),IFERROR(INDEX('TRANS'!$B:$B,MATCH(TRIM(SUBSTITUTE($B1352,CHAR(160)," ")),'TRANS'!$D:$D,0)),IFERROR(INDEX('Catalog'!$A:$A,MATCH($B1352,'Catalog'!$B:$B,0)),IFERROR(INDEX('Catalog'!$A:$A,MATCH(TRIM(SUBSTITUTE($B1352,CHAR(160)," ")),'Catalog'!$C:$C,0)),""))))</f>
        <v/>
      </c>
      <c r="H1352" s="7" t="str">
        <f aca="false">IFERROR(INDEX('TRANS'!$C:$C,MATCH($B1352,'TRANS'!$A:$A,0)),IFERROR(INDEX('Catalog'!$B:$B,MATCH($G1352,'Catalog'!$A:$A,0)),$B1352))</f>
        <v>43BD XL</v>
      </c>
      <c r="I1352" s="7" t="str">
        <f aca="false">IF($G1352="","Unmatched","Matched")</f>
        <v>Unmatched</v>
      </c>
      <c r="J1352" s="7" t="str">
        <f aca="false">IF($G1352&lt;&gt;"",$G1352,$B1352)</f>
        <v>43BD XL</v>
      </c>
      <c r="K1352" s="7" t="str">
        <f aca="false">IF(COUNTIF($O$2:$O$16,$A1352)&gt;0,"Y","N")</f>
        <v>Y</v>
      </c>
    </row>
    <row r="1353" customFormat="false" ht="15" hidden="false" customHeight="false" outlineLevel="0" collapsed="false">
      <c r="A1353" s="7" t="s">
        <v>42</v>
      </c>
      <c r="B1353" s="7" t="s">
        <v>103</v>
      </c>
      <c r="C1353" s="8" t="n">
        <v>25</v>
      </c>
      <c r="D1353" s="8" t="n">
        <v>2116.43</v>
      </c>
      <c r="E1353" s="8" t="n">
        <v>30</v>
      </c>
      <c r="F1353" s="8" t="n">
        <v>2725.13</v>
      </c>
      <c r="G1353" s="7" t="str">
        <f aca="false">IFERROR(INDEX('TRANS'!$B:$B,MATCH($B1353,'TRANS'!$A:$A,0)),IFERROR(INDEX('TRANS'!$B:$B,MATCH(TRIM(SUBSTITUTE($B1353,CHAR(160)," ")),'TRANS'!$D:$D,0)),IFERROR(INDEX('Catalog'!$A:$A,MATCH($B1353,'Catalog'!$B:$B,0)),IFERROR(INDEX('Catalog'!$A:$A,MATCH(TRIM(SUBSTITUTE($B1353,CHAR(160)," ")),'Catalog'!$C:$C,0)),""))))</f>
        <v/>
      </c>
      <c r="H1353" s="7" t="str">
        <f aca="false">IFERROR(INDEX('TRANS'!$C:$C,MATCH($B1353,'TRANS'!$A:$A,0)),IFERROR(INDEX('Catalog'!$B:$B,MATCH($G1353,'Catalog'!$A:$A,0)),$B1353))</f>
        <v>43BD XXL</v>
      </c>
      <c r="I1353" s="7" t="str">
        <f aca="false">IF($G1353="","Unmatched","Matched")</f>
        <v>Unmatched</v>
      </c>
      <c r="J1353" s="7" t="str">
        <f aca="false">IF($G1353&lt;&gt;"",$G1353,$B1353)</f>
        <v>43BD XXL</v>
      </c>
      <c r="K1353" s="7" t="str">
        <f aca="false">IF(COUNTIF($O$2:$O$16,$A1353)&gt;0,"Y","N")</f>
        <v>Y</v>
      </c>
    </row>
    <row r="1354" customFormat="false" ht="15" hidden="false" customHeight="false" outlineLevel="0" collapsed="false">
      <c r="A1354" s="7" t="s">
        <v>42</v>
      </c>
      <c r="B1354" s="7" t="s">
        <v>334</v>
      </c>
      <c r="C1354" s="8" t="n">
        <v>200</v>
      </c>
      <c r="D1354" s="8" t="n">
        <v>2096.99</v>
      </c>
      <c r="E1354" s="8" t="n">
        <v>160</v>
      </c>
      <c r="F1354" s="8" t="n">
        <v>1625.18</v>
      </c>
      <c r="G1354" s="7" t="n">
        <f aca="false">IFERROR(INDEX('TRANS'!$B:$B,MATCH($B1354,'TRANS'!$A:$A,0)),IFERROR(INDEX('TRANS'!$B:$B,MATCH(TRIM(SUBSTITUTE($B1354,CHAR(160)," ")),'TRANS'!$D:$D,0)),IFERROR(INDEX('Catalog'!$A:$A,MATCH($B1354,'Catalog'!$B:$B,0)),IFERROR(INDEX('Catalog'!$A:$A,MATCH(TRIM(SUBSTITUTE($B1354,CHAR(160)," ")),'Catalog'!$C:$C,0)),""))))</f>
        <v>4413092</v>
      </c>
      <c r="H1354" s="7" t="str">
        <f aca="false">IFERROR(INDEX('TRANS'!$C:$C,MATCH($B1354,'TRANS'!$A:$A,0)),IFERROR(INDEX('Catalog'!$B:$B,MATCH($G1354,'Catalog'!$A:$A,0)),$B1354))</f>
        <v>45 L מגן ברך לבן</v>
      </c>
      <c r="I1354" s="7" t="str">
        <f aca="false">IF($G1354="","Unmatched","Matched")</f>
        <v>Matched</v>
      </c>
      <c r="J1354" s="7" t="n">
        <f aca="false">IF($G1354&lt;&gt;"",$G1354,$B1354)</f>
        <v>4413092</v>
      </c>
      <c r="K1354" s="7" t="str">
        <f aca="false">IF(COUNTIF($O$2:$O$16,$A1354)&gt;0,"Y","N")</f>
        <v>Y</v>
      </c>
    </row>
    <row r="1355" customFormat="false" ht="15" hidden="false" customHeight="false" outlineLevel="0" collapsed="false">
      <c r="A1355" s="7" t="s">
        <v>42</v>
      </c>
      <c r="B1355" s="7" t="s">
        <v>335</v>
      </c>
      <c r="C1355" s="8" t="n">
        <v>126</v>
      </c>
      <c r="D1355" s="8" t="n">
        <v>1319.05</v>
      </c>
      <c r="E1355" s="8" t="n">
        <v>137</v>
      </c>
      <c r="F1355" s="8" t="n">
        <v>1413.77</v>
      </c>
      <c r="G1355" s="7" t="n">
        <f aca="false">IFERROR(INDEX('TRANS'!$B:$B,MATCH($B1355,'TRANS'!$A:$A,0)),IFERROR(INDEX('TRANS'!$B:$B,MATCH(TRIM(SUBSTITUTE($B1355,CHAR(160)," ")),'TRANS'!$D:$D,0)),IFERROR(INDEX('Catalog'!$A:$A,MATCH($B1355,'Catalog'!$B:$B,0)),IFERROR(INDEX('Catalog'!$A:$A,MATCH(TRIM(SUBSTITUTE($B1355,CHAR(160)," ")),'Catalog'!$C:$C,0)),""))))</f>
        <v>4413093</v>
      </c>
      <c r="H1355" s="7" t="str">
        <f aca="false">IFERROR(INDEX('TRANS'!$C:$C,MATCH($B1355,'TRANS'!$A:$A,0)),IFERROR(INDEX('Catalog'!$B:$B,MATCH($G1355,'Catalog'!$A:$A,0)),$B1355))</f>
        <v>45 M מגן ברך לבן</v>
      </c>
      <c r="I1355" s="7" t="str">
        <f aca="false">IF($G1355="","Unmatched","Matched")</f>
        <v>Matched</v>
      </c>
      <c r="J1355" s="7" t="n">
        <f aca="false">IF($G1355&lt;&gt;"",$G1355,$B1355)</f>
        <v>4413093</v>
      </c>
      <c r="K1355" s="7" t="str">
        <f aca="false">IF(COUNTIF($O$2:$O$16,$A1355)&gt;0,"Y","N")</f>
        <v>Y</v>
      </c>
    </row>
    <row r="1356" customFormat="false" ht="15" hidden="false" customHeight="false" outlineLevel="0" collapsed="false">
      <c r="A1356" s="7" t="s">
        <v>42</v>
      </c>
      <c r="B1356" s="7" t="s">
        <v>336</v>
      </c>
      <c r="C1356" s="8" t="n">
        <v>60</v>
      </c>
      <c r="D1356" s="8" t="n">
        <v>677.02</v>
      </c>
      <c r="E1356" s="8" t="n">
        <v>30</v>
      </c>
      <c r="F1356" s="8" t="n">
        <v>326.5</v>
      </c>
      <c r="G1356" s="7" t="n">
        <f aca="false">IFERROR(INDEX('TRANS'!$B:$B,MATCH($B1356,'TRANS'!$A:$A,0)),IFERROR(INDEX('TRANS'!$B:$B,MATCH(TRIM(SUBSTITUTE($B1356,CHAR(160)," ")),'TRANS'!$D:$D,0)),IFERROR(INDEX('Catalog'!$A:$A,MATCH($B1356,'Catalog'!$B:$B,0)),IFERROR(INDEX('Catalog'!$A:$A,MATCH(TRIM(SUBSTITUTE($B1356,CHAR(160)," ")),'Catalog'!$C:$C,0)),""))))</f>
        <v>4413094</v>
      </c>
      <c r="H1356" s="7" t="str">
        <f aca="false">IFERROR(INDEX('TRANS'!$C:$C,MATCH($B1356,'TRANS'!$A:$A,0)),IFERROR(INDEX('Catalog'!$B:$B,MATCH($G1356,'Catalog'!$A:$A,0)),$B1356))</f>
        <v>45 S מגן ברך לבן</v>
      </c>
      <c r="I1356" s="7" t="str">
        <f aca="false">IF($G1356="","Unmatched","Matched")</f>
        <v>Matched</v>
      </c>
      <c r="J1356" s="7" t="n">
        <f aca="false">IF($G1356&lt;&gt;"",$G1356,$B1356)</f>
        <v>4413094</v>
      </c>
      <c r="K1356" s="7" t="str">
        <f aca="false">IF(COUNTIF($O$2:$O$16,$A1356)&gt;0,"Y","N")</f>
        <v>Y</v>
      </c>
    </row>
    <row r="1357" customFormat="false" ht="15" hidden="false" customHeight="false" outlineLevel="0" collapsed="false">
      <c r="A1357" s="7" t="s">
        <v>42</v>
      </c>
      <c r="B1357" s="7" t="s">
        <v>337</v>
      </c>
      <c r="C1357" s="8" t="n">
        <v>110</v>
      </c>
      <c r="D1357" s="8" t="n">
        <v>1115.69</v>
      </c>
      <c r="E1357" s="8" t="n">
        <v>80</v>
      </c>
      <c r="F1357" s="8" t="n">
        <v>812.59</v>
      </c>
      <c r="G1357" s="7" t="n">
        <f aca="false">IFERROR(INDEX('TRANS'!$B:$B,MATCH($B1357,'TRANS'!$A:$A,0)),IFERROR(INDEX('TRANS'!$B:$B,MATCH(TRIM(SUBSTITUTE($B1357,CHAR(160)," ")),'TRANS'!$D:$D,0)),IFERROR(INDEX('Catalog'!$A:$A,MATCH($B1357,'Catalog'!$B:$B,0)),IFERROR(INDEX('Catalog'!$A:$A,MATCH(TRIM(SUBSTITUTE($B1357,CHAR(160)," ")),'Catalog'!$C:$C,0)),""))))</f>
        <v>4413095</v>
      </c>
      <c r="H1357" s="7" t="str">
        <f aca="false">IFERROR(INDEX('TRANS'!$C:$C,MATCH($B1357,'TRANS'!$A:$A,0)),IFERROR(INDEX('Catalog'!$B:$B,MATCH($G1357,'Catalog'!$A:$A,0)),$B1357))</f>
        <v>45 XL מגן ברך לבן</v>
      </c>
      <c r="I1357" s="7" t="str">
        <f aca="false">IF($G1357="","Unmatched","Matched")</f>
        <v>Matched</v>
      </c>
      <c r="J1357" s="7" t="n">
        <f aca="false">IF($G1357&lt;&gt;"",$G1357,$B1357)</f>
        <v>4413095</v>
      </c>
      <c r="K1357" s="7" t="str">
        <f aca="false">IF(COUNTIF($O$2:$O$16,$A1357)&gt;0,"Y","N")</f>
        <v>Y</v>
      </c>
    </row>
    <row r="1358" customFormat="false" ht="15" hidden="false" customHeight="false" outlineLevel="0" collapsed="false">
      <c r="A1358" s="7" t="s">
        <v>42</v>
      </c>
      <c r="B1358" s="7" t="s">
        <v>668</v>
      </c>
      <c r="C1358" s="8" t="n">
        <v>10</v>
      </c>
      <c r="D1358" s="8" t="n">
        <v>101.43</v>
      </c>
      <c r="E1358" s="8" t="n">
        <v>5</v>
      </c>
      <c r="F1358" s="8" t="n">
        <v>48.61</v>
      </c>
      <c r="G1358" s="7" t="n">
        <f aca="false">IFERROR(INDEX('TRANS'!$B:$B,MATCH($B1358,'TRANS'!$A:$A,0)),IFERROR(INDEX('TRANS'!$B:$B,MATCH(TRIM(SUBSTITUTE($B1358,CHAR(160)," ")),'TRANS'!$D:$D,0)),IFERROR(INDEX('Catalog'!$A:$A,MATCH($B1358,'Catalog'!$B:$B,0)),IFERROR(INDEX('Catalog'!$A:$A,MATCH(TRIM(SUBSTITUTE($B1358,CHAR(160)," ")),'Catalog'!$C:$C,0)),""))))</f>
        <v>4413332</v>
      </c>
      <c r="H1358" s="7" t="str">
        <f aca="false">IFERROR(INDEX('TRANS'!$C:$C,MATCH($B1358,'TRANS'!$A:$A,0)),IFERROR(INDEX('Catalog'!$B:$B,MATCH($G1358,'Catalog'!$A:$A,0)),$B1358))</f>
        <v>45  XS מגן ברך רגיל לבן</v>
      </c>
      <c r="I1358" s="7" t="str">
        <f aca="false">IF($G1358="","Unmatched","Matched")</f>
        <v>Matched</v>
      </c>
      <c r="J1358" s="7" t="n">
        <f aca="false">IF($G1358&lt;&gt;"",$G1358,$B1358)</f>
        <v>4413332</v>
      </c>
      <c r="K1358" s="7" t="str">
        <f aca="false">IF(COUNTIF($O$2:$O$16,$A1358)&gt;0,"Y","N")</f>
        <v>Y</v>
      </c>
    </row>
    <row r="1359" customFormat="false" ht="15" hidden="false" customHeight="false" outlineLevel="0" collapsed="false">
      <c r="A1359" s="7" t="s">
        <v>42</v>
      </c>
      <c r="B1359" s="7" t="s">
        <v>603</v>
      </c>
      <c r="C1359" s="8" t="n">
        <v>75</v>
      </c>
      <c r="D1359" s="8" t="n">
        <v>821.55</v>
      </c>
      <c r="E1359" s="8" t="n">
        <v>100</v>
      </c>
      <c r="F1359" s="8" t="n">
        <v>1106.41</v>
      </c>
      <c r="G1359" s="7" t="n">
        <f aca="false">IFERROR(INDEX('TRANS'!$B:$B,MATCH($B1359,'TRANS'!$A:$A,0)),IFERROR(INDEX('TRANS'!$B:$B,MATCH(TRIM(SUBSTITUTE($B1359,CHAR(160)," ")),'TRANS'!$D:$D,0)),IFERROR(INDEX('Catalog'!$A:$A,MATCH($B1359,'Catalog'!$B:$B,0)),IFERROR(INDEX('Catalog'!$A:$A,MATCH(TRIM(SUBSTITUTE($B1359,CHAR(160)," ")),'Catalog'!$C:$C,0)),""))))</f>
        <v>4413102</v>
      </c>
      <c r="H1359" s="7" t="str">
        <f aca="false">IFERROR(INDEX('TRANS'!$C:$C,MATCH($B1359,'TRANS'!$A:$A,0)),IFERROR(INDEX('Catalog'!$B:$B,MATCH($G1359,'Catalog'!$A:$A,0)),$B1359))</f>
        <v>45E  L        מגן ברך ארוך לבן</v>
      </c>
      <c r="I1359" s="7" t="str">
        <f aca="false">IF($G1359="","Unmatched","Matched")</f>
        <v>Matched</v>
      </c>
      <c r="J1359" s="7" t="n">
        <f aca="false">IF($G1359&lt;&gt;"",$G1359,$B1359)</f>
        <v>4413102</v>
      </c>
      <c r="K1359" s="7" t="str">
        <f aca="false">IF(COUNTIF($O$2:$O$16,$A1359)&gt;0,"Y","N")</f>
        <v>Y</v>
      </c>
    </row>
    <row r="1360" customFormat="false" ht="15" hidden="false" customHeight="false" outlineLevel="0" collapsed="false">
      <c r="A1360" s="7" t="s">
        <v>42</v>
      </c>
      <c r="B1360" s="7" t="s">
        <v>474</v>
      </c>
      <c r="C1360" s="8" t="n">
        <v>50</v>
      </c>
      <c r="D1360" s="8" t="n">
        <v>547.71</v>
      </c>
      <c r="E1360" s="8" t="n">
        <v>65</v>
      </c>
      <c r="F1360" s="8" t="n">
        <v>729.51</v>
      </c>
      <c r="G1360" s="7" t="n">
        <f aca="false">IFERROR(INDEX('TRANS'!$B:$B,MATCH($B1360,'TRANS'!$A:$A,0)),IFERROR(INDEX('TRANS'!$B:$B,MATCH(TRIM(SUBSTITUTE($B1360,CHAR(160)," ")),'TRANS'!$D:$D,0)),IFERROR(INDEX('Catalog'!$A:$A,MATCH($B1360,'Catalog'!$B:$B,0)),IFERROR(INDEX('Catalog'!$A:$A,MATCH(TRIM(SUBSTITUTE($B1360,CHAR(160)," ")),'Catalog'!$C:$C,0)),""))))</f>
        <v>4413103</v>
      </c>
      <c r="H1360" s="7" t="str">
        <f aca="false">IFERROR(INDEX('TRANS'!$C:$C,MATCH($B1360,'TRANS'!$A:$A,0)),IFERROR(INDEX('Catalog'!$B:$B,MATCH($G1360,'Catalog'!$A:$A,0)),$B1360))</f>
        <v>45E Mמגן ברך ארוך לבן</v>
      </c>
      <c r="I1360" s="7" t="str">
        <f aca="false">IF($G1360="","Unmatched","Matched")</f>
        <v>Matched</v>
      </c>
      <c r="J1360" s="7" t="n">
        <f aca="false">IF($G1360&lt;&gt;"",$G1360,$B1360)</f>
        <v>4413103</v>
      </c>
      <c r="K1360" s="7" t="str">
        <f aca="false">IF(COUNTIF($O$2:$O$16,$A1360)&gt;0,"Y","N")</f>
        <v>Y</v>
      </c>
    </row>
    <row r="1361" customFormat="false" ht="15" hidden="false" customHeight="false" outlineLevel="0" collapsed="false">
      <c r="A1361" s="7" t="s">
        <v>42</v>
      </c>
      <c r="B1361" s="7" t="s">
        <v>604</v>
      </c>
      <c r="C1361" s="8" t="n">
        <v>20</v>
      </c>
      <c r="D1361" s="8" t="n">
        <v>219.08</v>
      </c>
      <c r="E1361" s="8" t="n">
        <v>25</v>
      </c>
      <c r="F1361" s="8" t="n">
        <v>281.31</v>
      </c>
      <c r="G1361" s="7" t="n">
        <f aca="false">IFERROR(INDEX('TRANS'!$B:$B,MATCH($B1361,'TRANS'!$A:$A,0)),IFERROR(INDEX('TRANS'!$B:$B,MATCH(TRIM(SUBSTITUTE($B1361,CHAR(160)," ")),'TRANS'!$D:$D,0)),IFERROR(INDEX('Catalog'!$A:$A,MATCH($B1361,'Catalog'!$B:$B,0)),IFERROR(INDEX('Catalog'!$A:$A,MATCH(TRIM(SUBSTITUTE($B1361,CHAR(160)," ")),'Catalog'!$C:$C,0)),""))))</f>
        <v>4413101</v>
      </c>
      <c r="H1361" s="7" t="str">
        <f aca="false">IFERROR(INDEX('TRANS'!$C:$C,MATCH($B1361,'TRANS'!$A:$A,0)),IFERROR(INDEX('Catalog'!$B:$B,MATCH($G1361,'Catalog'!$A:$A,0)),$B1361))</f>
        <v>45E Sמגן ברך ארוך לבן</v>
      </c>
      <c r="I1361" s="7" t="str">
        <f aca="false">IF($G1361="","Unmatched","Matched")</f>
        <v>Matched</v>
      </c>
      <c r="J1361" s="7" t="n">
        <f aca="false">IF($G1361&lt;&gt;"",$G1361,$B1361)</f>
        <v>4413101</v>
      </c>
      <c r="K1361" s="7" t="str">
        <f aca="false">IF(COUNTIF($O$2:$O$16,$A1361)&gt;0,"Y","N")</f>
        <v>Y</v>
      </c>
    </row>
    <row r="1362" customFormat="false" ht="15" hidden="false" customHeight="false" outlineLevel="0" collapsed="false">
      <c r="A1362" s="7" t="s">
        <v>42</v>
      </c>
      <c r="B1362" s="7" t="s">
        <v>605</v>
      </c>
      <c r="C1362" s="8" t="n">
        <v>0</v>
      </c>
      <c r="D1362" s="8" t="n">
        <v>0</v>
      </c>
      <c r="E1362" s="8" t="n">
        <v>130</v>
      </c>
      <c r="F1362" s="8" t="n">
        <v>1364.96</v>
      </c>
      <c r="G1362" s="7" t="n">
        <f aca="false">IFERROR(INDEX('TRANS'!$B:$B,MATCH($B1362,'TRANS'!$A:$A,0)),IFERROR(INDEX('TRANS'!$B:$B,MATCH(TRIM(SUBSTITUTE($B1362,CHAR(160)," ")),'TRANS'!$D:$D,0)),IFERROR(INDEX('Catalog'!$A:$A,MATCH($B1362,'Catalog'!$B:$B,0)),IFERROR(INDEX('Catalog'!$A:$A,MATCH(TRIM(SUBSTITUTE($B1362,CHAR(160)," ")),'Catalog'!$C:$C,0)),""))))</f>
        <v>4413104</v>
      </c>
      <c r="H1362" s="7" t="str">
        <f aca="false">IFERROR(INDEX('TRANS'!$C:$C,MATCH($B1362,'TRANS'!$A:$A,0)),IFERROR(INDEX('Catalog'!$B:$B,MATCH($G1362,'Catalog'!$A:$A,0)),$B1362))</f>
        <v>45E XLמגן ברך ארוך לבן</v>
      </c>
      <c r="I1362" s="7" t="str">
        <f aca="false">IF($G1362="","Unmatched","Matched")</f>
        <v>Matched</v>
      </c>
      <c r="J1362" s="7" t="n">
        <f aca="false">IF($G1362&lt;&gt;"",$G1362,$B1362)</f>
        <v>4413104</v>
      </c>
      <c r="K1362" s="7" t="str">
        <f aca="false">IF(COUNTIF($O$2:$O$16,$A1362)&gt;0,"Y","N")</f>
        <v>Y</v>
      </c>
    </row>
    <row r="1363" customFormat="false" ht="15" hidden="false" customHeight="false" outlineLevel="0" collapsed="false">
      <c r="A1363" s="7" t="s">
        <v>42</v>
      </c>
      <c r="B1363" s="7" t="s">
        <v>606</v>
      </c>
      <c r="C1363" s="8" t="n">
        <v>140</v>
      </c>
      <c r="D1363" s="8" t="n">
        <v>1681.45</v>
      </c>
      <c r="E1363" s="8" t="n">
        <v>100</v>
      </c>
      <c r="F1363" s="8" t="n">
        <v>1106.41</v>
      </c>
      <c r="G1363" s="7" t="n">
        <f aca="false">IFERROR(INDEX('TRANS'!$B:$B,MATCH($B1363,'TRANS'!$A:$A,0)),IFERROR(INDEX('TRANS'!$B:$B,MATCH(TRIM(SUBSTITUTE($B1363,CHAR(160)," ")),'TRANS'!$D:$D,0)),IFERROR(INDEX('Catalog'!$A:$A,MATCH($B1363,'Catalog'!$B:$B,0)),IFERROR(INDEX('Catalog'!$A:$A,MATCH(TRIM(SUBSTITUTE($B1363,CHAR(160)," ")),'Catalog'!$C:$C,0)),""))))</f>
        <v>4413105</v>
      </c>
      <c r="H1363" s="7" t="str">
        <f aca="false">IFERROR(INDEX('TRANS'!$C:$C,MATCH($B1363,'TRANS'!$A:$A,0)),IFERROR(INDEX('Catalog'!$B:$B,MATCH($G1363,'Catalog'!$A:$A,0)),$B1363))</f>
        <v>45E XXLמגן ברך ארוך לבן</v>
      </c>
      <c r="I1363" s="7" t="str">
        <f aca="false">IF($G1363="","Unmatched","Matched")</f>
        <v>Matched</v>
      </c>
      <c r="J1363" s="7" t="n">
        <f aca="false">IF($G1363&lt;&gt;"",$G1363,$B1363)</f>
        <v>4413105</v>
      </c>
      <c r="K1363" s="7" t="str">
        <f aca="false">IF(COUNTIF($O$2:$O$16,$A1363)&gt;0,"Y","N")</f>
        <v>Y</v>
      </c>
    </row>
    <row r="1364" customFormat="false" ht="15" hidden="false" customHeight="false" outlineLevel="0" collapsed="false">
      <c r="A1364" s="7" t="s">
        <v>42</v>
      </c>
      <c r="B1364" s="7" t="s">
        <v>669</v>
      </c>
      <c r="C1364" s="8" t="n">
        <v>44</v>
      </c>
      <c r="D1364" s="8" t="n">
        <v>486.29</v>
      </c>
      <c r="E1364" s="8" t="n">
        <v>30</v>
      </c>
      <c r="F1364" s="8" t="n">
        <v>317.31</v>
      </c>
      <c r="G1364" s="7" t="n">
        <f aca="false">IFERROR(INDEX('TRANS'!$B:$B,MATCH($B1364,'TRANS'!$A:$A,0)),IFERROR(INDEX('TRANS'!$B:$B,MATCH(TRIM(SUBSTITUTE($B1364,CHAR(160)," ")),'TRANS'!$D:$D,0)),IFERROR(INDEX('Catalog'!$A:$A,MATCH($B1364,'Catalog'!$B:$B,0)),IFERROR(INDEX('Catalog'!$A:$A,MATCH(TRIM(SUBSTITUTE($B1364,CHAR(160)," ")),'Catalog'!$C:$C,0)),""))))</f>
        <v>4413112</v>
      </c>
      <c r="H1364" s="7" t="str">
        <f aca="false">IFERROR(INDEX('TRANS'!$C:$C,MATCH($B1364,'TRANS'!$A:$A,0)),IFERROR(INDEX('Catalog'!$B:$B,MATCH($G1364,'Catalog'!$A:$A,0)),$B1364))</f>
        <v>49  L מגן ירך</v>
      </c>
      <c r="I1364" s="7" t="str">
        <f aca="false">IF($G1364="","Unmatched","Matched")</f>
        <v>Matched</v>
      </c>
      <c r="J1364" s="7" t="n">
        <f aca="false">IF($G1364&lt;&gt;"",$G1364,$B1364)</f>
        <v>4413112</v>
      </c>
      <c r="K1364" s="7" t="str">
        <f aca="false">IF(COUNTIF($O$2:$O$16,$A1364)&gt;0,"Y","N")</f>
        <v>Y</v>
      </c>
    </row>
    <row r="1365" customFormat="false" ht="15" hidden="false" customHeight="false" outlineLevel="0" collapsed="false">
      <c r="A1365" s="7" t="s">
        <v>42</v>
      </c>
      <c r="B1365" s="7" t="s">
        <v>670</v>
      </c>
      <c r="C1365" s="8" t="n">
        <v>24</v>
      </c>
      <c r="D1365" s="8" t="n">
        <v>278.03</v>
      </c>
      <c r="E1365" s="8" t="n">
        <v>10</v>
      </c>
      <c r="F1365" s="8" t="n">
        <v>99.82</v>
      </c>
      <c r="G1365" s="7" t="n">
        <f aca="false">IFERROR(INDEX('TRANS'!$B:$B,MATCH($B1365,'TRANS'!$A:$A,0)),IFERROR(INDEX('TRANS'!$B:$B,MATCH(TRIM(SUBSTITUTE($B1365,CHAR(160)," ")),'TRANS'!$D:$D,0)),IFERROR(INDEX('Catalog'!$A:$A,MATCH($B1365,'Catalog'!$B:$B,0)),IFERROR(INDEX('Catalog'!$A:$A,MATCH(TRIM(SUBSTITUTE($B1365,CHAR(160)," ")),'Catalog'!$C:$C,0)),""))))</f>
        <v>4413113</v>
      </c>
      <c r="H1365" s="7" t="str">
        <f aca="false">IFERROR(INDEX('TRANS'!$C:$C,MATCH($B1365,'TRANS'!$A:$A,0)),IFERROR(INDEX('Catalog'!$B:$B,MATCH($G1365,'Catalog'!$A:$A,0)),$B1365))</f>
        <v>49  M מגן ירך</v>
      </c>
      <c r="I1365" s="7" t="str">
        <f aca="false">IF($G1365="","Unmatched","Matched")</f>
        <v>Matched</v>
      </c>
      <c r="J1365" s="7" t="n">
        <f aca="false">IF($G1365&lt;&gt;"",$G1365,$B1365)</f>
        <v>4413113</v>
      </c>
      <c r="K1365" s="7" t="str">
        <f aca="false">IF(COUNTIF($O$2:$O$16,$A1365)&gt;0,"Y","N")</f>
        <v>Y</v>
      </c>
    </row>
    <row r="1366" customFormat="false" ht="15" hidden="false" customHeight="false" outlineLevel="0" collapsed="false">
      <c r="A1366" s="7" t="s">
        <v>42</v>
      </c>
      <c r="B1366" s="7" t="s">
        <v>671</v>
      </c>
      <c r="C1366" s="8" t="n">
        <v>5</v>
      </c>
      <c r="D1366" s="8" t="n">
        <v>52.06</v>
      </c>
      <c r="E1366" s="8" t="n">
        <v>5</v>
      </c>
      <c r="F1366" s="8" t="n">
        <v>49.9</v>
      </c>
      <c r="G1366" s="7" t="n">
        <f aca="false">IFERROR(INDEX('TRANS'!$B:$B,MATCH($B1366,'TRANS'!$A:$A,0)),IFERROR(INDEX('TRANS'!$B:$B,MATCH(TRIM(SUBSTITUTE($B1366,CHAR(160)," ")),'TRANS'!$D:$D,0)),IFERROR(INDEX('Catalog'!$A:$A,MATCH($B1366,'Catalog'!$B:$B,0)),IFERROR(INDEX('Catalog'!$A:$A,MATCH(TRIM(SUBSTITUTE($B1366,CHAR(160)," ")),'Catalog'!$C:$C,0)),""))))</f>
        <v>4413111</v>
      </c>
      <c r="H1366" s="7" t="str">
        <f aca="false">IFERROR(INDEX('TRANS'!$C:$C,MATCH($B1366,'TRANS'!$A:$A,0)),IFERROR(INDEX('Catalog'!$B:$B,MATCH($G1366,'Catalog'!$A:$A,0)),$B1366))</f>
        <v>49  S מגן ירך</v>
      </c>
      <c r="I1366" s="7" t="str">
        <f aca="false">IF($G1366="","Unmatched","Matched")</f>
        <v>Matched</v>
      </c>
      <c r="J1366" s="7" t="n">
        <f aca="false">IF($G1366&lt;&gt;"",$G1366,$B1366)</f>
        <v>4413111</v>
      </c>
      <c r="K1366" s="7" t="str">
        <f aca="false">IF(COUNTIF($O$2:$O$16,$A1366)&gt;0,"Y","N")</f>
        <v>Y</v>
      </c>
    </row>
    <row r="1367" customFormat="false" ht="15" hidden="false" customHeight="false" outlineLevel="0" collapsed="false">
      <c r="A1367" s="7" t="s">
        <v>42</v>
      </c>
      <c r="B1367" s="7" t="s">
        <v>672</v>
      </c>
      <c r="C1367" s="8" t="n">
        <v>34</v>
      </c>
      <c r="D1367" s="8" t="n">
        <v>382.16</v>
      </c>
      <c r="E1367" s="8" t="n">
        <v>25</v>
      </c>
      <c r="F1367" s="8" t="n">
        <v>285.29</v>
      </c>
      <c r="G1367" s="7" t="n">
        <f aca="false">IFERROR(INDEX('TRANS'!$B:$B,MATCH($B1367,'TRANS'!$A:$A,0)),IFERROR(INDEX('TRANS'!$B:$B,MATCH(TRIM(SUBSTITUTE($B1367,CHAR(160)," ")),'TRANS'!$D:$D,0)),IFERROR(INDEX('Catalog'!$A:$A,MATCH($B1367,'Catalog'!$B:$B,0)),IFERROR(INDEX('Catalog'!$A:$A,MATCH(TRIM(SUBSTITUTE($B1367,CHAR(160)," ")),'Catalog'!$C:$C,0)),""))))</f>
        <v>4413114</v>
      </c>
      <c r="H1367" s="7" t="str">
        <f aca="false">IFERROR(INDEX('TRANS'!$C:$C,MATCH($B1367,'TRANS'!$A:$A,0)),IFERROR(INDEX('Catalog'!$B:$B,MATCH($G1367,'Catalog'!$A:$A,0)),$B1367))</f>
        <v>49 XL מגן ירך</v>
      </c>
      <c r="I1367" s="7" t="str">
        <f aca="false">IF($G1367="","Unmatched","Matched")</f>
        <v>Matched</v>
      </c>
      <c r="J1367" s="7" t="n">
        <f aca="false">IF($G1367&lt;&gt;"",$G1367,$B1367)</f>
        <v>4413114</v>
      </c>
      <c r="K1367" s="7" t="str">
        <f aca="false">IF(COUNTIF($O$2:$O$16,$A1367)&gt;0,"Y","N")</f>
        <v>Y</v>
      </c>
    </row>
    <row r="1368" customFormat="false" ht="15" hidden="false" customHeight="false" outlineLevel="0" collapsed="false">
      <c r="A1368" s="7" t="s">
        <v>42</v>
      </c>
      <c r="B1368" s="7" t="s">
        <v>673</v>
      </c>
      <c r="C1368" s="8" t="n">
        <v>27</v>
      </c>
      <c r="D1368" s="8" t="n">
        <v>295.22</v>
      </c>
      <c r="E1368" s="8" t="n">
        <v>20</v>
      </c>
      <c r="F1368" s="8" t="n">
        <v>235.39</v>
      </c>
      <c r="G1368" s="7" t="n">
        <f aca="false">IFERROR(INDEX('TRANS'!$B:$B,MATCH($B1368,'TRANS'!$A:$A,0)),IFERROR(INDEX('TRANS'!$B:$B,MATCH(TRIM(SUBSTITUTE($B1368,CHAR(160)," ")),'TRANS'!$D:$D,0)),IFERROR(INDEX('Catalog'!$A:$A,MATCH($B1368,'Catalog'!$B:$B,0)),IFERROR(INDEX('Catalog'!$A:$A,MATCH(TRIM(SUBSTITUTE($B1368,CHAR(160)," ")),'Catalog'!$C:$C,0)),""))))</f>
        <v>4413115</v>
      </c>
      <c r="H1368" s="7" t="str">
        <f aca="false">IFERROR(INDEX('TRANS'!$C:$C,MATCH($B1368,'TRANS'!$A:$A,0)),IFERROR(INDEX('Catalog'!$B:$B,MATCH($G1368,'Catalog'!$A:$A,0)),$B1368))</f>
        <v>49 XXL מגן ירך</v>
      </c>
      <c r="I1368" s="7" t="str">
        <f aca="false">IF($G1368="","Unmatched","Matched")</f>
        <v>Matched</v>
      </c>
      <c r="J1368" s="7" t="n">
        <f aca="false">IF($G1368&lt;&gt;"",$G1368,$B1368)</f>
        <v>4413115</v>
      </c>
      <c r="K1368" s="7" t="str">
        <f aca="false">IF(COUNTIF($O$2:$O$16,$A1368)&gt;0,"Y","N")</f>
        <v>Y</v>
      </c>
    </row>
    <row r="1369" customFormat="false" ht="15" hidden="false" customHeight="false" outlineLevel="0" collapsed="false">
      <c r="A1369" s="7" t="s">
        <v>42</v>
      </c>
      <c r="B1369" s="7" t="s">
        <v>231</v>
      </c>
      <c r="C1369" s="8" t="n">
        <v>5</v>
      </c>
      <c r="D1369" s="8" t="n">
        <v>445.48</v>
      </c>
      <c r="E1369" s="8" t="n">
        <v>0</v>
      </c>
      <c r="F1369" s="8" t="n">
        <v>0</v>
      </c>
      <c r="G1369" s="7" t="str">
        <f aca="false">IFERROR(INDEX('TRANS'!$B:$B,MATCH($B1369,'TRANS'!$A:$A,0)),IFERROR(INDEX('TRANS'!$B:$B,MATCH(TRIM(SUBSTITUTE($B1369,CHAR(160)," ")),'TRANS'!$D:$D,0)),IFERROR(INDEX('Catalog'!$A:$A,MATCH($B1369,'Catalog'!$B:$B,0)),IFERROR(INDEX('Catalog'!$A:$A,MATCH(TRIM(SUBSTITUTE($B1369,CHAR(160)," ")),'Catalog'!$C:$C,0)),""))))</f>
        <v/>
      </c>
      <c r="H1369" s="7" t="str">
        <f aca="false">IFERROR(INDEX('TRANS'!$C:$C,MATCH($B1369,'TRANS'!$A:$A,0)),IFERROR(INDEX('Catalog'!$B:$B,MATCH($G1369,'Catalog'!$A:$A,0)),$B1369))</f>
        <v>59DB L</v>
      </c>
      <c r="I1369" s="7" t="str">
        <f aca="false">IF($G1369="","Unmatched","Matched")</f>
        <v>Unmatched</v>
      </c>
      <c r="J1369" s="7" t="str">
        <f aca="false">IF($G1369&lt;&gt;"",$G1369,$B1369)</f>
        <v>59DB L</v>
      </c>
      <c r="K1369" s="7" t="str">
        <f aca="false">IF(COUNTIF($O$2:$O$16,$A1369)&gt;0,"Y","N")</f>
        <v>Y</v>
      </c>
    </row>
    <row r="1370" customFormat="false" ht="15" hidden="false" customHeight="false" outlineLevel="0" collapsed="false">
      <c r="A1370" s="7" t="s">
        <v>42</v>
      </c>
      <c r="B1370" s="7" t="s">
        <v>232</v>
      </c>
      <c r="C1370" s="8" t="n">
        <v>5</v>
      </c>
      <c r="D1370" s="8" t="n">
        <v>445.48</v>
      </c>
      <c r="E1370" s="8" t="n">
        <v>0</v>
      </c>
      <c r="F1370" s="8" t="n">
        <v>0</v>
      </c>
      <c r="G1370" s="7" t="str">
        <f aca="false">IFERROR(INDEX('TRANS'!$B:$B,MATCH($B1370,'TRANS'!$A:$A,0)),IFERROR(INDEX('TRANS'!$B:$B,MATCH(TRIM(SUBSTITUTE($B1370,CHAR(160)," ")),'TRANS'!$D:$D,0)),IFERROR(INDEX('Catalog'!$A:$A,MATCH($B1370,'Catalog'!$B:$B,0)),IFERROR(INDEX('Catalog'!$A:$A,MATCH(TRIM(SUBSTITUTE($B1370,CHAR(160)," ")),'Catalog'!$C:$C,0)),""))))</f>
        <v/>
      </c>
      <c r="H1370" s="7" t="str">
        <f aca="false">IFERROR(INDEX('TRANS'!$C:$C,MATCH($B1370,'TRANS'!$A:$A,0)),IFERROR(INDEX('Catalog'!$B:$B,MATCH($G1370,'Catalog'!$A:$A,0)),$B1370))</f>
        <v>59DB M</v>
      </c>
      <c r="I1370" s="7" t="str">
        <f aca="false">IF($G1370="","Unmatched","Matched")</f>
        <v>Unmatched</v>
      </c>
      <c r="J1370" s="7" t="str">
        <f aca="false">IF($G1370&lt;&gt;"",$G1370,$B1370)</f>
        <v>59DB M</v>
      </c>
      <c r="K1370" s="7" t="str">
        <f aca="false">IF(COUNTIF($O$2:$O$16,$A1370)&gt;0,"Y","N")</f>
        <v>Y</v>
      </c>
    </row>
    <row r="1371" customFormat="false" ht="15" hidden="false" customHeight="false" outlineLevel="0" collapsed="false">
      <c r="A1371" s="7" t="s">
        <v>42</v>
      </c>
      <c r="B1371" s="7" t="s">
        <v>233</v>
      </c>
      <c r="C1371" s="8" t="n">
        <v>5</v>
      </c>
      <c r="D1371" s="8" t="n">
        <v>445.48</v>
      </c>
      <c r="E1371" s="8" t="n">
        <v>0</v>
      </c>
      <c r="F1371" s="8" t="n">
        <v>0</v>
      </c>
      <c r="G1371" s="7" t="str">
        <f aca="false">IFERROR(INDEX('TRANS'!$B:$B,MATCH($B1371,'TRANS'!$A:$A,0)),IFERROR(INDEX('TRANS'!$B:$B,MATCH(TRIM(SUBSTITUTE($B1371,CHAR(160)," ")),'TRANS'!$D:$D,0)),IFERROR(INDEX('Catalog'!$A:$A,MATCH($B1371,'Catalog'!$B:$B,0)),IFERROR(INDEX('Catalog'!$A:$A,MATCH(TRIM(SUBSTITUTE($B1371,CHAR(160)," ")),'Catalog'!$C:$C,0)),""))))</f>
        <v/>
      </c>
      <c r="H1371" s="7" t="str">
        <f aca="false">IFERROR(INDEX('TRANS'!$C:$C,MATCH($B1371,'TRANS'!$A:$A,0)),IFERROR(INDEX('Catalog'!$B:$B,MATCH($G1371,'Catalog'!$A:$A,0)),$B1371))</f>
        <v>59DB S</v>
      </c>
      <c r="I1371" s="7" t="str">
        <f aca="false">IF($G1371="","Unmatched","Matched")</f>
        <v>Unmatched</v>
      </c>
      <c r="J1371" s="7" t="str">
        <f aca="false">IF($G1371&lt;&gt;"",$G1371,$B1371)</f>
        <v>59DB S</v>
      </c>
      <c r="K1371" s="7" t="str">
        <f aca="false">IF(COUNTIF($O$2:$O$16,$A1371)&gt;0,"Y","N")</f>
        <v>Y</v>
      </c>
    </row>
    <row r="1372" customFormat="false" ht="15" hidden="false" customHeight="false" outlineLevel="0" collapsed="false">
      <c r="A1372" s="7" t="s">
        <v>42</v>
      </c>
      <c r="B1372" s="7" t="s">
        <v>234</v>
      </c>
      <c r="C1372" s="8" t="n">
        <v>5</v>
      </c>
      <c r="D1372" s="8" t="n">
        <v>445.48</v>
      </c>
      <c r="E1372" s="8" t="n">
        <v>0</v>
      </c>
      <c r="F1372" s="8" t="n">
        <v>0</v>
      </c>
      <c r="G1372" s="7" t="str">
        <f aca="false">IFERROR(INDEX('TRANS'!$B:$B,MATCH($B1372,'TRANS'!$A:$A,0)),IFERROR(INDEX('TRANS'!$B:$B,MATCH(TRIM(SUBSTITUTE($B1372,CHAR(160)," ")),'TRANS'!$D:$D,0)),IFERROR(INDEX('Catalog'!$A:$A,MATCH($B1372,'Catalog'!$B:$B,0)),IFERROR(INDEX('Catalog'!$A:$A,MATCH(TRIM(SUBSTITUTE($B1372,CHAR(160)," ")),'Catalog'!$C:$C,0)),""))))</f>
        <v/>
      </c>
      <c r="H1372" s="7" t="str">
        <f aca="false">IFERROR(INDEX('TRANS'!$C:$C,MATCH($B1372,'TRANS'!$A:$A,0)),IFERROR(INDEX('Catalog'!$B:$B,MATCH($G1372,'Catalog'!$A:$A,0)),$B1372))</f>
        <v>59DB XL</v>
      </c>
      <c r="I1372" s="7" t="str">
        <f aca="false">IF($G1372="","Unmatched","Matched")</f>
        <v>Unmatched</v>
      </c>
      <c r="J1372" s="7" t="str">
        <f aca="false">IF($G1372&lt;&gt;"",$G1372,$B1372)</f>
        <v>59DB XL</v>
      </c>
      <c r="K1372" s="7" t="str">
        <f aca="false">IF(COUNTIF($O$2:$O$16,$A1372)&gt;0,"Y","N")</f>
        <v>Y</v>
      </c>
    </row>
    <row r="1373" customFormat="false" ht="15" hidden="false" customHeight="false" outlineLevel="0" collapsed="false">
      <c r="A1373" s="7" t="s">
        <v>42</v>
      </c>
      <c r="B1373" s="7" t="s">
        <v>235</v>
      </c>
      <c r="C1373" s="8" t="n">
        <v>5</v>
      </c>
      <c r="D1373" s="8" t="n">
        <v>445.48</v>
      </c>
      <c r="E1373" s="8" t="n">
        <v>0</v>
      </c>
      <c r="F1373" s="8" t="n">
        <v>0</v>
      </c>
      <c r="G1373" s="7" t="str">
        <f aca="false">IFERROR(INDEX('TRANS'!$B:$B,MATCH($B1373,'TRANS'!$A:$A,0)),IFERROR(INDEX('TRANS'!$B:$B,MATCH(TRIM(SUBSTITUTE($B1373,CHAR(160)," ")),'TRANS'!$D:$D,0)),IFERROR(INDEX('Catalog'!$A:$A,MATCH($B1373,'Catalog'!$B:$B,0)),IFERROR(INDEX('Catalog'!$A:$A,MATCH(TRIM(SUBSTITUTE($B1373,CHAR(160)," ")),'Catalog'!$C:$C,0)),""))))</f>
        <v/>
      </c>
      <c r="H1373" s="7" t="str">
        <f aca="false">IFERROR(INDEX('TRANS'!$C:$C,MATCH($B1373,'TRANS'!$A:$A,0)),IFERROR(INDEX('Catalog'!$B:$B,MATCH($G1373,'Catalog'!$A:$A,0)),$B1373))</f>
        <v>59DB XXL</v>
      </c>
      <c r="I1373" s="7" t="str">
        <f aca="false">IF($G1373="","Unmatched","Matched")</f>
        <v>Unmatched</v>
      </c>
      <c r="J1373" s="7" t="str">
        <f aca="false">IF($G1373&lt;&gt;"",$G1373,$B1373)</f>
        <v>59DB XXL</v>
      </c>
      <c r="K1373" s="7" t="str">
        <f aca="false">IF(COUNTIF($O$2:$O$16,$A1373)&gt;0,"Y","N")</f>
        <v>Y</v>
      </c>
    </row>
    <row r="1374" customFormat="false" ht="15" hidden="false" customHeight="false" outlineLevel="0" collapsed="false">
      <c r="A1374" s="7" t="s">
        <v>42</v>
      </c>
      <c r="B1374" s="7" t="s">
        <v>159</v>
      </c>
      <c r="C1374" s="8" t="n">
        <v>5</v>
      </c>
      <c r="D1374" s="8" t="n">
        <v>405.71</v>
      </c>
      <c r="E1374" s="8" t="n">
        <v>3</v>
      </c>
      <c r="F1374" s="8" t="n">
        <v>233.33</v>
      </c>
      <c r="G1374" s="7" t="str">
        <f aca="false">IFERROR(INDEX('TRANS'!$B:$B,MATCH($B1374,'TRANS'!$A:$A,0)),IFERROR(INDEX('TRANS'!$B:$B,MATCH(TRIM(SUBSTITUTE($B1374,CHAR(160)," ")),'TRANS'!$D:$D,0)),IFERROR(INDEX('Catalog'!$A:$A,MATCH($B1374,'Catalog'!$B:$B,0)),IFERROR(INDEX('Catalog'!$A:$A,MATCH(TRIM(SUBSTITUTE($B1374,CHAR(160)," ")),'Catalog'!$C:$C,0)),""))))</f>
        <v/>
      </c>
      <c r="H1374" s="7" t="str">
        <f aca="false">IFERROR(INDEX('TRANS'!$C:$C,MATCH($B1374,'TRANS'!$A:$A,0)),IFERROR(INDEX('Catalog'!$B:$B,MATCH($G1374,'Catalog'!$A:$A,0)),$B1374))</f>
        <v>59LB L</v>
      </c>
      <c r="I1374" s="7" t="str">
        <f aca="false">IF($G1374="","Unmatched","Matched")</f>
        <v>Unmatched</v>
      </c>
      <c r="J1374" s="7" t="str">
        <f aca="false">IF($G1374&lt;&gt;"",$G1374,$B1374)</f>
        <v>59LB L</v>
      </c>
      <c r="K1374" s="7" t="str">
        <f aca="false">IF(COUNTIF($O$2:$O$16,$A1374)&gt;0,"Y","N")</f>
        <v>Y</v>
      </c>
    </row>
    <row r="1375" customFormat="false" ht="15" hidden="false" customHeight="false" outlineLevel="0" collapsed="false">
      <c r="A1375" s="7" t="s">
        <v>42</v>
      </c>
      <c r="B1375" s="7" t="s">
        <v>160</v>
      </c>
      <c r="C1375" s="8" t="n">
        <v>5</v>
      </c>
      <c r="D1375" s="8" t="n">
        <v>405.71</v>
      </c>
      <c r="E1375" s="8" t="n">
        <v>3</v>
      </c>
      <c r="F1375" s="8" t="n">
        <v>233.33</v>
      </c>
      <c r="G1375" s="7" t="str">
        <f aca="false">IFERROR(INDEX('TRANS'!$B:$B,MATCH($B1375,'TRANS'!$A:$A,0)),IFERROR(INDEX('TRANS'!$B:$B,MATCH(TRIM(SUBSTITUTE($B1375,CHAR(160)," ")),'TRANS'!$D:$D,0)),IFERROR(INDEX('Catalog'!$A:$A,MATCH($B1375,'Catalog'!$B:$B,0)),IFERROR(INDEX('Catalog'!$A:$A,MATCH(TRIM(SUBSTITUTE($B1375,CHAR(160)," ")),'Catalog'!$C:$C,0)),""))))</f>
        <v/>
      </c>
      <c r="H1375" s="7" t="str">
        <f aca="false">IFERROR(INDEX('TRANS'!$C:$C,MATCH($B1375,'TRANS'!$A:$A,0)),IFERROR(INDEX('Catalog'!$B:$B,MATCH($G1375,'Catalog'!$A:$A,0)),$B1375))</f>
        <v>59LB M</v>
      </c>
      <c r="I1375" s="7" t="str">
        <f aca="false">IF($G1375="","Unmatched","Matched")</f>
        <v>Unmatched</v>
      </c>
      <c r="J1375" s="7" t="str">
        <f aca="false">IF($G1375&lt;&gt;"",$G1375,$B1375)</f>
        <v>59LB M</v>
      </c>
      <c r="K1375" s="7" t="str">
        <f aca="false">IF(COUNTIF($O$2:$O$16,$A1375)&gt;0,"Y","N")</f>
        <v>Y</v>
      </c>
    </row>
    <row r="1376" customFormat="false" ht="15" hidden="false" customHeight="false" outlineLevel="0" collapsed="false">
      <c r="A1376" s="7" t="s">
        <v>42</v>
      </c>
      <c r="B1376" s="7" t="s">
        <v>236</v>
      </c>
      <c r="C1376" s="8" t="n">
        <v>5</v>
      </c>
      <c r="D1376" s="8" t="n">
        <v>405.71</v>
      </c>
      <c r="E1376" s="8" t="n">
        <v>0</v>
      </c>
      <c r="F1376" s="8" t="n">
        <v>0</v>
      </c>
      <c r="G1376" s="7" t="str">
        <f aca="false">IFERROR(INDEX('TRANS'!$B:$B,MATCH($B1376,'TRANS'!$A:$A,0)),IFERROR(INDEX('TRANS'!$B:$B,MATCH(TRIM(SUBSTITUTE($B1376,CHAR(160)," ")),'TRANS'!$D:$D,0)),IFERROR(INDEX('Catalog'!$A:$A,MATCH($B1376,'Catalog'!$B:$B,0)),IFERROR(INDEX('Catalog'!$A:$A,MATCH(TRIM(SUBSTITUTE($B1376,CHAR(160)," ")),'Catalog'!$C:$C,0)),""))))</f>
        <v/>
      </c>
      <c r="H1376" s="7" t="str">
        <f aca="false">IFERROR(INDEX('TRANS'!$C:$C,MATCH($B1376,'TRANS'!$A:$A,0)),IFERROR(INDEX('Catalog'!$B:$B,MATCH($G1376,'Catalog'!$A:$A,0)),$B1376))</f>
        <v>59LB S</v>
      </c>
      <c r="I1376" s="7" t="str">
        <f aca="false">IF($G1376="","Unmatched","Matched")</f>
        <v>Unmatched</v>
      </c>
      <c r="J1376" s="7" t="str">
        <f aca="false">IF($G1376&lt;&gt;"",$G1376,$B1376)</f>
        <v>59LB S</v>
      </c>
      <c r="K1376" s="7" t="str">
        <f aca="false">IF(COUNTIF($O$2:$O$16,$A1376)&gt;0,"Y","N")</f>
        <v>Y</v>
      </c>
    </row>
    <row r="1377" customFormat="false" ht="15" hidden="false" customHeight="false" outlineLevel="0" collapsed="false">
      <c r="A1377" s="7" t="s">
        <v>42</v>
      </c>
      <c r="B1377" s="7" t="s">
        <v>237</v>
      </c>
      <c r="C1377" s="8" t="n">
        <v>5</v>
      </c>
      <c r="D1377" s="8" t="n">
        <v>405.71</v>
      </c>
      <c r="E1377" s="8" t="n">
        <v>0</v>
      </c>
      <c r="F1377" s="8" t="n">
        <v>0</v>
      </c>
      <c r="G1377" s="7" t="str">
        <f aca="false">IFERROR(INDEX('TRANS'!$B:$B,MATCH($B1377,'TRANS'!$A:$A,0)),IFERROR(INDEX('TRANS'!$B:$B,MATCH(TRIM(SUBSTITUTE($B1377,CHAR(160)," ")),'TRANS'!$D:$D,0)),IFERROR(INDEX('Catalog'!$A:$A,MATCH($B1377,'Catalog'!$B:$B,0)),IFERROR(INDEX('Catalog'!$A:$A,MATCH(TRIM(SUBSTITUTE($B1377,CHAR(160)," ")),'Catalog'!$C:$C,0)),""))))</f>
        <v/>
      </c>
      <c r="H1377" s="7" t="str">
        <f aca="false">IFERROR(INDEX('TRANS'!$C:$C,MATCH($B1377,'TRANS'!$A:$A,0)),IFERROR(INDEX('Catalog'!$B:$B,MATCH($G1377,'Catalog'!$A:$A,0)),$B1377))</f>
        <v>59LB XL</v>
      </c>
      <c r="I1377" s="7" t="str">
        <f aca="false">IF($G1377="","Unmatched","Matched")</f>
        <v>Unmatched</v>
      </c>
      <c r="J1377" s="7" t="str">
        <f aca="false">IF($G1377&lt;&gt;"",$G1377,$B1377)</f>
        <v>59LB XL</v>
      </c>
      <c r="K1377" s="7" t="str">
        <f aca="false">IF(COUNTIF($O$2:$O$16,$A1377)&gt;0,"Y","N")</f>
        <v>Y</v>
      </c>
    </row>
    <row r="1378" customFormat="false" ht="15" hidden="false" customHeight="false" outlineLevel="0" collapsed="false">
      <c r="A1378" s="7" t="s">
        <v>42</v>
      </c>
      <c r="B1378" s="7" t="s">
        <v>238</v>
      </c>
      <c r="C1378" s="8" t="n">
        <v>5</v>
      </c>
      <c r="D1378" s="8" t="n">
        <v>405.71</v>
      </c>
      <c r="E1378" s="8" t="n">
        <v>0</v>
      </c>
      <c r="F1378" s="8" t="n">
        <v>0</v>
      </c>
      <c r="G1378" s="7" t="str">
        <f aca="false">IFERROR(INDEX('TRANS'!$B:$B,MATCH($B1378,'TRANS'!$A:$A,0)),IFERROR(INDEX('TRANS'!$B:$B,MATCH(TRIM(SUBSTITUTE($B1378,CHAR(160)," ")),'TRANS'!$D:$D,0)),IFERROR(INDEX('Catalog'!$A:$A,MATCH($B1378,'Catalog'!$B:$B,0)),IFERROR(INDEX('Catalog'!$A:$A,MATCH(TRIM(SUBSTITUTE($B1378,CHAR(160)," ")),'Catalog'!$C:$C,0)),""))))</f>
        <v/>
      </c>
      <c r="H1378" s="7" t="str">
        <f aca="false">IFERROR(INDEX('TRANS'!$C:$C,MATCH($B1378,'TRANS'!$A:$A,0)),IFERROR(INDEX('Catalog'!$B:$B,MATCH($G1378,'Catalog'!$A:$A,0)),$B1378))</f>
        <v>59LB XXL</v>
      </c>
      <c r="I1378" s="7" t="str">
        <f aca="false">IF($G1378="","Unmatched","Matched")</f>
        <v>Unmatched</v>
      </c>
      <c r="J1378" s="7" t="str">
        <f aca="false">IF($G1378&lt;&gt;"",$G1378,$B1378)</f>
        <v>59LB XXL</v>
      </c>
      <c r="K1378" s="7" t="str">
        <f aca="false">IF(COUNTIF($O$2:$O$16,$A1378)&gt;0,"Y","N")</f>
        <v>Y</v>
      </c>
    </row>
    <row r="1379" customFormat="false" ht="15" hidden="false" customHeight="false" outlineLevel="0" collapsed="false">
      <c r="A1379" s="7" t="s">
        <v>42</v>
      </c>
      <c r="B1379" s="7" t="s">
        <v>161</v>
      </c>
      <c r="C1379" s="8" t="n">
        <v>5</v>
      </c>
      <c r="D1379" s="8" t="n">
        <v>405.71</v>
      </c>
      <c r="E1379" s="8" t="n">
        <v>3</v>
      </c>
      <c r="F1379" s="8" t="n">
        <v>233.33</v>
      </c>
      <c r="G1379" s="7" t="str">
        <f aca="false">IFERROR(INDEX('TRANS'!$B:$B,MATCH($B1379,'TRANS'!$A:$A,0)),IFERROR(INDEX('TRANS'!$B:$B,MATCH(TRIM(SUBSTITUTE($B1379,CHAR(160)," ")),'TRANS'!$D:$D,0)),IFERROR(INDEX('Catalog'!$A:$A,MATCH($B1379,'Catalog'!$B:$B,0)),IFERROR(INDEX('Catalog'!$A:$A,MATCH(TRIM(SUBSTITUTE($B1379,CHAR(160)," ")),'Catalog'!$C:$C,0)),""))))</f>
        <v/>
      </c>
      <c r="H1379" s="7" t="str">
        <f aca="false">IFERROR(INDEX('TRANS'!$C:$C,MATCH($B1379,'TRANS'!$A:$A,0)),IFERROR(INDEX('Catalog'!$B:$B,MATCH($G1379,'Catalog'!$A:$A,0)),$B1379))</f>
        <v>59RB L</v>
      </c>
      <c r="I1379" s="7" t="str">
        <f aca="false">IF($G1379="","Unmatched","Matched")</f>
        <v>Unmatched</v>
      </c>
      <c r="J1379" s="7" t="str">
        <f aca="false">IF($G1379&lt;&gt;"",$G1379,$B1379)</f>
        <v>59RB L</v>
      </c>
      <c r="K1379" s="7" t="str">
        <f aca="false">IF(COUNTIF($O$2:$O$16,$A1379)&gt;0,"Y","N")</f>
        <v>Y</v>
      </c>
    </row>
    <row r="1380" customFormat="false" ht="15" hidden="false" customHeight="false" outlineLevel="0" collapsed="false">
      <c r="A1380" s="7" t="s">
        <v>42</v>
      </c>
      <c r="B1380" s="7" t="s">
        <v>162</v>
      </c>
      <c r="C1380" s="8" t="n">
        <v>5</v>
      </c>
      <c r="D1380" s="8" t="n">
        <v>405.71</v>
      </c>
      <c r="E1380" s="8" t="n">
        <v>3</v>
      </c>
      <c r="F1380" s="8" t="n">
        <v>233.33</v>
      </c>
      <c r="G1380" s="7" t="str">
        <f aca="false">IFERROR(INDEX('TRANS'!$B:$B,MATCH($B1380,'TRANS'!$A:$A,0)),IFERROR(INDEX('TRANS'!$B:$B,MATCH(TRIM(SUBSTITUTE($B1380,CHAR(160)," ")),'TRANS'!$D:$D,0)),IFERROR(INDEX('Catalog'!$A:$A,MATCH($B1380,'Catalog'!$B:$B,0)),IFERROR(INDEX('Catalog'!$A:$A,MATCH(TRIM(SUBSTITUTE($B1380,CHAR(160)," ")),'Catalog'!$C:$C,0)),""))))</f>
        <v/>
      </c>
      <c r="H1380" s="7" t="str">
        <f aca="false">IFERROR(INDEX('TRANS'!$C:$C,MATCH($B1380,'TRANS'!$A:$A,0)),IFERROR(INDEX('Catalog'!$B:$B,MATCH($G1380,'Catalog'!$A:$A,0)),$B1380))</f>
        <v>59RB M</v>
      </c>
      <c r="I1380" s="7" t="str">
        <f aca="false">IF($G1380="","Unmatched","Matched")</f>
        <v>Unmatched</v>
      </c>
      <c r="J1380" s="7" t="str">
        <f aca="false">IF($G1380&lt;&gt;"",$G1380,$B1380)</f>
        <v>59RB M</v>
      </c>
      <c r="K1380" s="7" t="str">
        <f aca="false">IF(COUNTIF($O$2:$O$16,$A1380)&gt;0,"Y","N")</f>
        <v>Y</v>
      </c>
    </row>
    <row r="1381" customFormat="false" ht="15" hidden="false" customHeight="false" outlineLevel="0" collapsed="false">
      <c r="A1381" s="7" t="s">
        <v>42</v>
      </c>
      <c r="B1381" s="7" t="s">
        <v>239</v>
      </c>
      <c r="C1381" s="8" t="n">
        <v>5</v>
      </c>
      <c r="D1381" s="8" t="n">
        <v>405.71</v>
      </c>
      <c r="E1381" s="8" t="n">
        <v>0</v>
      </c>
      <c r="F1381" s="8" t="n">
        <v>0</v>
      </c>
      <c r="G1381" s="7" t="str">
        <f aca="false">IFERROR(INDEX('TRANS'!$B:$B,MATCH($B1381,'TRANS'!$A:$A,0)),IFERROR(INDEX('TRANS'!$B:$B,MATCH(TRIM(SUBSTITUTE($B1381,CHAR(160)," ")),'TRANS'!$D:$D,0)),IFERROR(INDEX('Catalog'!$A:$A,MATCH($B1381,'Catalog'!$B:$B,0)),IFERROR(INDEX('Catalog'!$A:$A,MATCH(TRIM(SUBSTITUTE($B1381,CHAR(160)," ")),'Catalog'!$C:$C,0)),""))))</f>
        <v/>
      </c>
      <c r="H1381" s="7" t="str">
        <f aca="false">IFERROR(INDEX('TRANS'!$C:$C,MATCH($B1381,'TRANS'!$A:$A,0)),IFERROR(INDEX('Catalog'!$B:$B,MATCH($G1381,'Catalog'!$A:$A,0)),$B1381))</f>
        <v>59RB S</v>
      </c>
      <c r="I1381" s="7" t="str">
        <f aca="false">IF($G1381="","Unmatched","Matched")</f>
        <v>Unmatched</v>
      </c>
      <c r="J1381" s="7" t="str">
        <f aca="false">IF($G1381&lt;&gt;"",$G1381,$B1381)</f>
        <v>59RB S</v>
      </c>
      <c r="K1381" s="7" t="str">
        <f aca="false">IF(COUNTIF($O$2:$O$16,$A1381)&gt;0,"Y","N")</f>
        <v>Y</v>
      </c>
    </row>
    <row r="1382" customFormat="false" ht="15" hidden="false" customHeight="false" outlineLevel="0" collapsed="false">
      <c r="A1382" s="7" t="s">
        <v>42</v>
      </c>
      <c r="B1382" s="7" t="s">
        <v>240</v>
      </c>
      <c r="C1382" s="8" t="n">
        <v>5</v>
      </c>
      <c r="D1382" s="8" t="n">
        <v>405.71</v>
      </c>
      <c r="E1382" s="8" t="n">
        <v>0</v>
      </c>
      <c r="F1382" s="8" t="n">
        <v>0</v>
      </c>
      <c r="G1382" s="7" t="str">
        <f aca="false">IFERROR(INDEX('TRANS'!$B:$B,MATCH($B1382,'TRANS'!$A:$A,0)),IFERROR(INDEX('TRANS'!$B:$B,MATCH(TRIM(SUBSTITUTE($B1382,CHAR(160)," ")),'TRANS'!$D:$D,0)),IFERROR(INDEX('Catalog'!$A:$A,MATCH($B1382,'Catalog'!$B:$B,0)),IFERROR(INDEX('Catalog'!$A:$A,MATCH(TRIM(SUBSTITUTE($B1382,CHAR(160)," ")),'Catalog'!$C:$C,0)),""))))</f>
        <v/>
      </c>
      <c r="H1382" s="7" t="str">
        <f aca="false">IFERROR(INDEX('TRANS'!$C:$C,MATCH($B1382,'TRANS'!$A:$A,0)),IFERROR(INDEX('Catalog'!$B:$B,MATCH($G1382,'Catalog'!$A:$A,0)),$B1382))</f>
        <v>59RB XL</v>
      </c>
      <c r="I1382" s="7" t="str">
        <f aca="false">IF($G1382="","Unmatched","Matched")</f>
        <v>Unmatched</v>
      </c>
      <c r="J1382" s="7" t="str">
        <f aca="false">IF($G1382&lt;&gt;"",$G1382,$B1382)</f>
        <v>59RB XL</v>
      </c>
      <c r="K1382" s="7" t="str">
        <f aca="false">IF(COUNTIF($O$2:$O$16,$A1382)&gt;0,"Y","N")</f>
        <v>Y</v>
      </c>
    </row>
    <row r="1383" customFormat="false" ht="15" hidden="false" customHeight="false" outlineLevel="0" collapsed="false">
      <c r="A1383" s="7" t="s">
        <v>42</v>
      </c>
      <c r="B1383" s="7" t="s">
        <v>241</v>
      </c>
      <c r="C1383" s="8" t="n">
        <v>5</v>
      </c>
      <c r="D1383" s="8" t="n">
        <v>405.71</v>
      </c>
      <c r="E1383" s="8" t="n">
        <v>0</v>
      </c>
      <c r="F1383" s="8" t="n">
        <v>0</v>
      </c>
      <c r="G1383" s="7" t="str">
        <f aca="false">IFERROR(INDEX('TRANS'!$B:$B,MATCH($B1383,'TRANS'!$A:$A,0)),IFERROR(INDEX('TRANS'!$B:$B,MATCH(TRIM(SUBSTITUTE($B1383,CHAR(160)," ")),'TRANS'!$D:$D,0)),IFERROR(INDEX('Catalog'!$A:$A,MATCH($B1383,'Catalog'!$B:$B,0)),IFERROR(INDEX('Catalog'!$A:$A,MATCH(TRIM(SUBSTITUTE($B1383,CHAR(160)," ")),'Catalog'!$C:$C,0)),""))))</f>
        <v/>
      </c>
      <c r="H1383" s="7" t="str">
        <f aca="false">IFERROR(INDEX('TRANS'!$C:$C,MATCH($B1383,'TRANS'!$A:$A,0)),IFERROR(INDEX('Catalog'!$B:$B,MATCH($G1383,'Catalog'!$A:$A,0)),$B1383))</f>
        <v>59RB XXL</v>
      </c>
      <c r="I1383" s="7" t="str">
        <f aca="false">IF($G1383="","Unmatched","Matched")</f>
        <v>Unmatched</v>
      </c>
      <c r="J1383" s="7" t="str">
        <f aca="false">IF($G1383&lt;&gt;"",$G1383,$B1383)</f>
        <v>59RB XXL</v>
      </c>
      <c r="K1383" s="7" t="str">
        <f aca="false">IF(COUNTIF($O$2:$O$16,$A1383)&gt;0,"Y","N")</f>
        <v>Y</v>
      </c>
    </row>
    <row r="1384" customFormat="false" ht="15" hidden="false" customHeight="false" outlineLevel="0" collapsed="false">
      <c r="A1384" s="7" t="s">
        <v>42</v>
      </c>
      <c r="B1384" s="7" t="s">
        <v>79</v>
      </c>
      <c r="C1384" s="8" t="n">
        <v>0</v>
      </c>
      <c r="D1384" s="8" t="n">
        <v>0</v>
      </c>
      <c r="E1384" s="8" t="n">
        <v>1</v>
      </c>
      <c r="F1384" s="8" t="n">
        <v>0.03</v>
      </c>
      <c r="G1384" s="7" t="str">
        <f aca="false">IFERROR(INDEX('TRANS'!$B:$B,MATCH($B1384,'TRANS'!$A:$A,0)),IFERROR(INDEX('TRANS'!$B:$B,MATCH(TRIM(SUBSTITUTE($B1384,CHAR(160)," ")),'TRANS'!$D:$D,0)),IFERROR(INDEX('Catalog'!$A:$A,MATCH($B1384,'Catalog'!$B:$B,0)),IFERROR(INDEX('Catalog'!$A:$A,MATCH(TRIM(SUBSTITUTE($B1384,CHAR(160)," ")),'Catalog'!$C:$C,0)),""))))</f>
        <v/>
      </c>
      <c r="H1384" s="7" t="str">
        <f aca="false">IFERROR(INDEX('TRANS'!$C:$C,MATCH($B1384,'TRANS'!$A:$A,0)),IFERROR(INDEX('Catalog'!$B:$B,MATCH($G1384,'Catalog'!$A:$A,0)),$B1384))</f>
        <v>61 M</v>
      </c>
      <c r="I1384" s="7" t="str">
        <f aca="false">IF($G1384="","Unmatched","Matched")</f>
        <v>Unmatched</v>
      </c>
      <c r="J1384" s="7" t="str">
        <f aca="false">IF($G1384&lt;&gt;"",$G1384,$B1384)</f>
        <v>61 M</v>
      </c>
      <c r="K1384" s="7" t="str">
        <f aca="false">IF(COUNTIF($O$2:$O$16,$A1384)&gt;0,"Y","N")</f>
        <v>Y</v>
      </c>
    </row>
    <row r="1385" customFormat="false" ht="15" hidden="false" customHeight="false" outlineLevel="0" collapsed="false">
      <c r="A1385" s="7" t="s">
        <v>42</v>
      </c>
      <c r="B1385" s="7" t="s">
        <v>657</v>
      </c>
      <c r="C1385" s="8" t="n">
        <v>6</v>
      </c>
      <c r="D1385" s="8" t="n">
        <v>412.53</v>
      </c>
      <c r="E1385" s="8" t="n">
        <v>7</v>
      </c>
      <c r="F1385" s="8" t="n">
        <v>488.97</v>
      </c>
      <c r="G1385" s="7" t="n">
        <f aca="false">IFERROR(INDEX('TRANS'!$B:$B,MATCH($B1385,'TRANS'!$A:$A,0)),IFERROR(INDEX('TRANS'!$B:$B,MATCH(TRIM(SUBSTITUTE($B1385,CHAR(160)," ")),'TRANS'!$D:$D,0)),IFERROR(INDEX('Catalog'!$A:$A,MATCH($B1385,'Catalog'!$B:$B,0)),IFERROR(INDEX('Catalog'!$A:$A,MATCH(TRIM(SUBSTITUTE($B1385,CHAR(160)," ")),'Catalog'!$C:$C,0)),""))))</f>
        <v>4413127</v>
      </c>
      <c r="H1385" s="7" t="str">
        <f aca="false">IFERROR(INDEX('TRANS'!$C:$C,MATCH($B1385,'TRANS'!$A:$A,0)),IFERROR(INDEX('Catalog'!$B:$B,MATCH($G1385,'Catalog'!$A:$A,0)),$B1385))</f>
        <v>75 Lמיישר כתף יציב יישור גב צר</v>
      </c>
      <c r="I1385" s="7" t="str">
        <f aca="false">IF($G1385="","Unmatched","Matched")</f>
        <v>Matched</v>
      </c>
      <c r="J1385" s="7" t="n">
        <f aca="false">IF($G1385&lt;&gt;"",$G1385,$B1385)</f>
        <v>4413127</v>
      </c>
      <c r="K1385" s="7" t="str">
        <f aca="false">IF(COUNTIF($O$2:$O$16,$A1385)&gt;0,"Y","N")</f>
        <v>Y</v>
      </c>
    </row>
    <row r="1386" customFormat="false" ht="15" hidden="false" customHeight="false" outlineLevel="0" collapsed="false">
      <c r="A1386" s="7" t="s">
        <v>42</v>
      </c>
      <c r="B1386" s="7" t="s">
        <v>674</v>
      </c>
      <c r="C1386" s="8" t="n">
        <v>5</v>
      </c>
      <c r="D1386" s="8" t="n">
        <v>343.78</v>
      </c>
      <c r="E1386" s="8" t="n">
        <v>5</v>
      </c>
      <c r="F1386" s="8" t="n">
        <v>349.26</v>
      </c>
      <c r="G1386" s="7" t="n">
        <f aca="false">IFERROR(INDEX('TRANS'!$B:$B,MATCH($B1386,'TRANS'!$A:$A,0)),IFERROR(INDEX('TRANS'!$B:$B,MATCH(TRIM(SUBSTITUTE($B1386,CHAR(160)," ")),'TRANS'!$D:$D,0)),IFERROR(INDEX('Catalog'!$A:$A,MATCH($B1386,'Catalog'!$B:$B,0)),IFERROR(INDEX('Catalog'!$A:$A,MATCH(TRIM(SUBSTITUTE($B1386,CHAR(160)," ")),'Catalog'!$C:$C,0)),""))))</f>
        <v>4413128</v>
      </c>
      <c r="H1386" s="7" t="str">
        <f aca="false">IFERROR(INDEX('TRANS'!$C:$C,MATCH($B1386,'TRANS'!$A:$A,0)),IFERROR(INDEX('Catalog'!$B:$B,MATCH($G1386,'Catalog'!$A:$A,0)),$B1386))</f>
        <v>75 Mמיישר כתף יציב יישור גב צר</v>
      </c>
      <c r="I1386" s="7" t="str">
        <f aca="false">IF($G1386="","Unmatched","Matched")</f>
        <v>Matched</v>
      </c>
      <c r="J1386" s="7" t="n">
        <f aca="false">IF($G1386&lt;&gt;"",$G1386,$B1386)</f>
        <v>4413128</v>
      </c>
      <c r="K1386" s="7" t="str">
        <f aca="false">IF(COUNTIF($O$2:$O$16,$A1386)&gt;0,"Y","N")</f>
        <v>Y</v>
      </c>
    </row>
    <row r="1387" customFormat="false" ht="15" hidden="false" customHeight="false" outlineLevel="0" collapsed="false">
      <c r="A1387" s="7" t="s">
        <v>42</v>
      </c>
      <c r="B1387" s="7" t="s">
        <v>675</v>
      </c>
      <c r="C1387" s="8" t="n">
        <v>2</v>
      </c>
      <c r="D1387" s="8" t="n">
        <v>123.61</v>
      </c>
      <c r="E1387" s="8" t="n">
        <v>3</v>
      </c>
      <c r="F1387" s="8" t="n">
        <v>209.56</v>
      </c>
      <c r="G1387" s="7" t="n">
        <f aca="false">IFERROR(INDEX('TRANS'!$B:$B,MATCH($B1387,'TRANS'!$A:$A,0)),IFERROR(INDEX('TRANS'!$B:$B,MATCH(TRIM(SUBSTITUTE($B1387,CHAR(160)," ")),'TRANS'!$D:$D,0)),IFERROR(INDEX('Catalog'!$A:$A,MATCH($B1387,'Catalog'!$B:$B,0)),IFERROR(INDEX('Catalog'!$A:$A,MATCH(TRIM(SUBSTITUTE($B1387,CHAR(160)," ")),'Catalog'!$C:$C,0)),""))))</f>
        <v>4413126</v>
      </c>
      <c r="H1387" s="7" t="str">
        <f aca="false">IFERROR(INDEX('TRANS'!$C:$C,MATCH($B1387,'TRANS'!$A:$A,0)),IFERROR(INDEX('Catalog'!$B:$B,MATCH($G1387,'Catalog'!$A:$A,0)),$B1387))</f>
        <v>75 Sמיישר כתף יציב יישור גב צר</v>
      </c>
      <c r="I1387" s="7" t="str">
        <f aca="false">IF($G1387="","Unmatched","Matched")</f>
        <v>Matched</v>
      </c>
      <c r="J1387" s="7" t="n">
        <f aca="false">IF($G1387&lt;&gt;"",$G1387,$B1387)</f>
        <v>4413126</v>
      </c>
      <c r="K1387" s="7" t="str">
        <f aca="false">IF(COUNTIF($O$2:$O$16,$A1387)&gt;0,"Y","N")</f>
        <v>Y</v>
      </c>
    </row>
    <row r="1388" customFormat="false" ht="15" hidden="false" customHeight="false" outlineLevel="0" collapsed="false">
      <c r="A1388" s="7" t="s">
        <v>42</v>
      </c>
      <c r="B1388" s="7" t="s">
        <v>676</v>
      </c>
      <c r="C1388" s="8" t="n">
        <v>6</v>
      </c>
      <c r="D1388" s="8" t="n">
        <v>412.53</v>
      </c>
      <c r="E1388" s="8" t="n">
        <v>0</v>
      </c>
      <c r="F1388" s="8" t="n">
        <v>0</v>
      </c>
      <c r="G1388" s="7" t="n">
        <f aca="false">IFERROR(INDEX('TRANS'!$B:$B,MATCH($B1388,'TRANS'!$A:$A,0)),IFERROR(INDEX('TRANS'!$B:$B,MATCH(TRIM(SUBSTITUTE($B1388,CHAR(160)," ")),'TRANS'!$D:$D,0)),IFERROR(INDEX('Catalog'!$A:$A,MATCH($B1388,'Catalog'!$B:$B,0)),IFERROR(INDEX('Catalog'!$A:$A,MATCH(TRIM(SUBSTITUTE($B1388,CHAR(160)," ")),'Catalog'!$C:$C,0)),""))))</f>
        <v>4413129</v>
      </c>
      <c r="H1388" s="7" t="str">
        <f aca="false">IFERROR(INDEX('TRANS'!$C:$C,MATCH($B1388,'TRANS'!$A:$A,0)),IFERROR(INDEX('Catalog'!$B:$B,MATCH($G1388,'Catalog'!$A:$A,0)),$B1388))</f>
        <v>75 XLמיישר כתף יציב יישור ג.צר</v>
      </c>
      <c r="I1388" s="7" t="str">
        <f aca="false">IF($G1388="","Unmatched","Matched")</f>
        <v>Matched</v>
      </c>
      <c r="J1388" s="7" t="n">
        <f aca="false">IF($G1388&lt;&gt;"",$G1388,$B1388)</f>
        <v>4413129</v>
      </c>
      <c r="K1388" s="7" t="str">
        <f aca="false">IF(COUNTIF($O$2:$O$16,$A1388)&gt;0,"Y","N")</f>
        <v>Y</v>
      </c>
    </row>
    <row r="1389" customFormat="false" ht="15" hidden="false" customHeight="false" outlineLevel="0" collapsed="false">
      <c r="A1389" s="7" t="s">
        <v>42</v>
      </c>
      <c r="B1389" s="7" t="s">
        <v>346</v>
      </c>
      <c r="C1389" s="8" t="n">
        <v>230</v>
      </c>
      <c r="D1389" s="8" t="n">
        <v>2114.55</v>
      </c>
      <c r="E1389" s="8" t="n">
        <v>130</v>
      </c>
      <c r="F1389" s="8" t="n">
        <v>1206.84</v>
      </c>
      <c r="G1389" s="7" t="n">
        <f aca="false">IFERROR(INDEX('TRANS'!$B:$B,MATCH($B1389,'TRANS'!$A:$A,0)),IFERROR(INDEX('TRANS'!$B:$B,MATCH(TRIM(SUBSTITUTE($B1389,CHAR(160)," ")),'TRANS'!$D:$D,0)),IFERROR(INDEX('Catalog'!$A:$A,MATCH($B1389,'Catalog'!$B:$B,0)),IFERROR(INDEX('Catalog'!$A:$A,MATCH(TRIM(SUBSTITUTE($B1389,CHAR(160)," ")),'Catalog'!$C:$C,0)),""))))</f>
        <v>4422000</v>
      </c>
      <c r="H1389" s="7" t="str">
        <f aca="false">IFERROR(INDEX('TRANS'!$C:$C,MATCH($B1389,'TRANS'!$A:$A,0)),IFERROR(INDEX('Catalog'!$B:$B,MATCH($G1389,'Catalog'!$A:$A,0)),$B1389))</f>
        <v>801  תחבושת אלסטית מקררת</v>
      </c>
      <c r="I1389" s="7" t="str">
        <f aca="false">IF($G1389="","Unmatched","Matched")</f>
        <v>Matched</v>
      </c>
      <c r="J1389" s="7" t="n">
        <f aca="false">IF($G1389&lt;&gt;"",$G1389,$B1389)</f>
        <v>4422000</v>
      </c>
      <c r="K1389" s="7" t="str">
        <f aca="false">IF(COUNTIF($O$2:$O$16,$A1389)&gt;0,"Y","N")</f>
        <v>Y</v>
      </c>
    </row>
    <row r="1390" customFormat="false" ht="15" hidden="false" customHeight="false" outlineLevel="0" collapsed="false">
      <c r="A1390" s="7" t="s">
        <v>42</v>
      </c>
      <c r="B1390" s="7" t="s">
        <v>347</v>
      </c>
      <c r="C1390" s="8" t="n">
        <v>250</v>
      </c>
      <c r="D1390" s="8" t="n">
        <v>1487.58</v>
      </c>
      <c r="E1390" s="8" t="n">
        <v>100</v>
      </c>
      <c r="F1390" s="8" t="n">
        <v>570.35</v>
      </c>
      <c r="G1390" s="7" t="n">
        <f aca="false">IFERROR(INDEX('TRANS'!$B:$B,MATCH($B1390,'TRANS'!$A:$A,0)),IFERROR(INDEX('TRANS'!$B:$B,MATCH(TRIM(SUBSTITUTE($B1390,CHAR(160)," ")),'TRANS'!$D:$D,0)),IFERROR(INDEX('Catalog'!$A:$A,MATCH($B1390,'Catalog'!$B:$B,0)),IFERROR(INDEX('Catalog'!$A:$A,MATCH(TRIM(SUBSTITUTE($B1390,CHAR(160)," ")),'Catalog'!$C:$C,0)),""))))</f>
        <v>4422024</v>
      </c>
      <c r="H1390" s="7" t="str">
        <f aca="false">IFERROR(INDEX('TRANS'!$C:$C,MATCH($B1390,'TRANS'!$A:$A,0)),IFERROR(INDEX('Catalog'!$B:$B,MATCH($G1390,'Catalog'!$A:$A,0)),$B1390))</f>
        <v>806CB-BLACK      תחבושת א.נצמ</v>
      </c>
      <c r="I1390" s="7" t="str">
        <f aca="false">IF($G1390="","Unmatched","Matched")</f>
        <v>Matched</v>
      </c>
      <c r="J1390" s="7" t="n">
        <f aca="false">IF($G1390&lt;&gt;"",$G1390,$B1390)</f>
        <v>4422024</v>
      </c>
      <c r="K1390" s="7" t="str">
        <f aca="false">IF(COUNTIF($O$2:$O$16,$A1390)&gt;0,"Y","N")</f>
        <v>Y</v>
      </c>
    </row>
    <row r="1391" customFormat="false" ht="15" hidden="false" customHeight="false" outlineLevel="0" collapsed="false">
      <c r="A1391" s="7" t="s">
        <v>42</v>
      </c>
      <c r="B1391" s="7" t="s">
        <v>348</v>
      </c>
      <c r="C1391" s="8" t="n">
        <v>240</v>
      </c>
      <c r="D1391" s="8" t="n">
        <v>1588.75</v>
      </c>
      <c r="E1391" s="8" t="n">
        <v>220</v>
      </c>
      <c r="F1391" s="8" t="n">
        <v>1377.4</v>
      </c>
      <c r="G1391" s="7" t="n">
        <f aca="false">IFERROR(INDEX('TRANS'!$B:$B,MATCH($B1391,'TRANS'!$A:$A,0)),IFERROR(INDEX('TRANS'!$B:$B,MATCH(TRIM(SUBSTITUTE($B1391,CHAR(160)," ")),'TRANS'!$D:$D,0)),IFERROR(INDEX('Catalog'!$A:$A,MATCH($B1391,'Catalog'!$B:$B,0)),IFERROR(INDEX('Catalog'!$A:$A,MATCH(TRIM(SUBSTITUTE($B1391,CHAR(160)," ")),'Catalog'!$C:$C,0)),""))))</f>
        <v>4422023</v>
      </c>
      <c r="H1391" s="7" t="str">
        <f aca="false">IFERROR(INDEX('TRANS'!$C:$C,MATCH($B1391,'TRANS'!$A:$A,0)),IFERROR(INDEX('Catalog'!$B:$B,MATCH($G1391,'Catalog'!$A:$A,0)),$B1391))</f>
        <v>806CB-BEIGE      תחבושת א.נצמ</v>
      </c>
      <c r="I1391" s="7" t="str">
        <f aca="false">IF($G1391="","Unmatched","Matched")</f>
        <v>Matched</v>
      </c>
      <c r="J1391" s="7" t="n">
        <f aca="false">IF($G1391&lt;&gt;"",$G1391,$B1391)</f>
        <v>4422023</v>
      </c>
      <c r="K1391" s="7" t="str">
        <f aca="false">IF(COUNTIF($O$2:$O$16,$A1391)&gt;0,"Y","N")</f>
        <v>Y</v>
      </c>
    </row>
    <row r="1392" customFormat="false" ht="15" hidden="false" customHeight="false" outlineLevel="0" collapsed="false">
      <c r="A1392" s="7" t="s">
        <v>42</v>
      </c>
      <c r="B1392" s="7" t="s">
        <v>349</v>
      </c>
      <c r="C1392" s="8" t="n">
        <v>220</v>
      </c>
      <c r="D1392" s="8" t="n">
        <v>1389.41</v>
      </c>
      <c r="E1392" s="8" t="n">
        <v>150</v>
      </c>
      <c r="F1392" s="8" t="n">
        <v>906.62</v>
      </c>
      <c r="G1392" s="7" t="n">
        <f aca="false">IFERROR(INDEX('TRANS'!$B:$B,MATCH($B1392,'TRANS'!$A:$A,0)),IFERROR(INDEX('TRANS'!$B:$B,MATCH(TRIM(SUBSTITUTE($B1392,CHAR(160)," ")),'TRANS'!$D:$D,0)),IFERROR(INDEX('Catalog'!$A:$A,MATCH($B1392,'Catalog'!$B:$B,0)),IFERROR(INDEX('Catalog'!$A:$A,MATCH(TRIM(SUBSTITUTE($B1392,CHAR(160)," ")),'Catalog'!$C:$C,0)),""))))</f>
        <v>4422025</v>
      </c>
      <c r="H1392" s="7" t="str">
        <f aca="false">IFERROR(INDEX('TRANS'!$C:$C,MATCH($B1392,'TRANS'!$A:$A,0)),IFERROR(INDEX('Catalog'!$B:$B,MATCH($G1392,'Catalog'!$A:$A,0)),$B1392))</f>
        <v>806CB-GREEN      תחבושת א.נצמ</v>
      </c>
      <c r="I1392" s="7" t="str">
        <f aca="false">IF($G1392="","Unmatched","Matched")</f>
        <v>Matched</v>
      </c>
      <c r="J1392" s="7" t="n">
        <f aca="false">IF($G1392&lt;&gt;"",$G1392,$B1392)</f>
        <v>4422025</v>
      </c>
      <c r="K1392" s="7" t="str">
        <f aca="false">IF(COUNTIF($O$2:$O$16,$A1392)&gt;0,"Y","N")</f>
        <v>Y</v>
      </c>
    </row>
    <row r="1393" customFormat="false" ht="15" hidden="false" customHeight="false" outlineLevel="0" collapsed="false">
      <c r="A1393" s="7" t="s">
        <v>42</v>
      </c>
      <c r="B1393" s="7" t="s">
        <v>350</v>
      </c>
      <c r="C1393" s="8" t="n">
        <v>150</v>
      </c>
      <c r="D1393" s="8" t="n">
        <v>892.55</v>
      </c>
      <c r="E1393" s="8" t="n">
        <v>100</v>
      </c>
      <c r="F1393" s="8" t="n">
        <v>570.35</v>
      </c>
      <c r="G1393" s="7" t="n">
        <f aca="false">IFERROR(INDEX('TRANS'!$B:$B,MATCH($B1393,'TRANS'!$A:$A,0)),IFERROR(INDEX('TRANS'!$B:$B,MATCH(TRIM(SUBSTITUTE($B1393,CHAR(160)," ")),'TRANS'!$D:$D,0)),IFERROR(INDEX('Catalog'!$A:$A,MATCH($B1393,'Catalog'!$B:$B,0)),IFERROR(INDEX('Catalog'!$A:$A,MATCH(TRIM(SUBSTITUTE($B1393,CHAR(160)," ")),'Catalog'!$C:$C,0)),""))))</f>
        <v>4422026</v>
      </c>
      <c r="H1393" s="7" t="str">
        <f aca="false">IFERROR(INDEX('TRANS'!$C:$C,MATCH($B1393,'TRANS'!$A:$A,0)),IFERROR(INDEX('Catalog'!$B:$B,MATCH($G1393,'Catalog'!$A:$A,0)),$B1393))</f>
        <v>806CB-PINK       תחבושת א.נצמ</v>
      </c>
      <c r="I1393" s="7" t="str">
        <f aca="false">IF($G1393="","Unmatched","Matched")</f>
        <v>Matched</v>
      </c>
      <c r="J1393" s="7" t="n">
        <f aca="false">IF($G1393&lt;&gt;"",$G1393,$B1393)</f>
        <v>4422026</v>
      </c>
      <c r="K1393" s="7" t="str">
        <f aca="false">IF(COUNTIF($O$2:$O$16,$A1393)&gt;0,"Y","N")</f>
        <v>Y</v>
      </c>
    </row>
    <row r="1394" customFormat="false" ht="15" hidden="false" customHeight="false" outlineLevel="0" collapsed="false">
      <c r="A1394" s="7" t="s">
        <v>42</v>
      </c>
      <c r="B1394" s="7" t="s">
        <v>170</v>
      </c>
      <c r="C1394" s="8" t="n">
        <v>0</v>
      </c>
      <c r="D1394" s="8" t="n">
        <v>0</v>
      </c>
      <c r="E1394" s="8" t="n">
        <v>1</v>
      </c>
      <c r="F1394" s="8" t="n">
        <v>0.03</v>
      </c>
      <c r="G1394" s="7" t="str">
        <f aca="false">IFERROR(INDEX('TRANS'!$B:$B,MATCH($B1394,'TRANS'!$A:$A,0)),IFERROR(INDEX('TRANS'!$B:$B,MATCH(TRIM(SUBSTITUTE($B1394,CHAR(160)," ")),'TRANS'!$D:$D,0)),IFERROR(INDEX('Catalog'!$A:$A,MATCH($B1394,'Catalog'!$B:$B,0)),IFERROR(INDEX('Catalog'!$A:$A,MATCH(TRIM(SUBSTITUTE($B1394,CHAR(160)," ")),'Catalog'!$C:$C,0)),""))))</f>
        <v/>
      </c>
      <c r="H1394" s="7" t="str">
        <f aca="false">IFERROR(INDEX('TRANS'!$C:$C,MATCH($B1394,'TRANS'!$A:$A,0)),IFERROR(INDEX('Catalog'!$B:$B,MATCH($G1394,'Catalog'!$A:$A,0)),$B1394))</f>
        <v>809PW-C</v>
      </c>
      <c r="I1394" s="7" t="str">
        <f aca="false">IF($G1394="","Unmatched","Matched")</f>
        <v>Unmatched</v>
      </c>
      <c r="J1394" s="7" t="str">
        <f aca="false">IF($G1394&lt;&gt;"",$G1394,$B1394)</f>
        <v>809PW-C</v>
      </c>
      <c r="K1394" s="7" t="str">
        <f aca="false">IF(COUNTIF($O$2:$O$16,$A1394)&gt;0,"Y","N")</f>
        <v>Y</v>
      </c>
    </row>
    <row r="1395" customFormat="false" ht="15" hidden="false" customHeight="false" outlineLevel="0" collapsed="false">
      <c r="A1395" s="7" t="s">
        <v>42</v>
      </c>
      <c r="B1395" s="7" t="s">
        <v>355</v>
      </c>
      <c r="C1395" s="8" t="n">
        <v>240</v>
      </c>
      <c r="D1395" s="8" t="n">
        <v>4471.49</v>
      </c>
      <c r="E1395" s="8" t="n">
        <v>300</v>
      </c>
      <c r="F1395" s="8" t="n">
        <v>5428.77</v>
      </c>
      <c r="G1395" s="7" t="n">
        <f aca="false">IFERROR(INDEX('TRANS'!$B:$B,MATCH($B1395,'TRANS'!$A:$A,0)),IFERROR(INDEX('TRANS'!$B:$B,MATCH(TRIM(SUBSTITUTE($B1395,CHAR(160)," ")),'TRANS'!$D:$D,0)),IFERROR(INDEX('Catalog'!$A:$A,MATCH($B1395,'Catalog'!$B:$B,0)),IFERROR(INDEX('Catalog'!$A:$A,MATCH(TRIM(SUBSTITUTE($B1395,CHAR(160)," ")),'Catalog'!$C:$C,0)),""))))</f>
        <v>4413135</v>
      </c>
      <c r="H1395" s="7" t="str">
        <f aca="false">IFERROR(INDEX('TRANS'!$C:$C,MATCH($B1395,'TRANS'!$A:$A,0)),IFERROR(INDEX('Catalog'!$B:$B,MATCH($G1395,'Catalog'!$A:$A,0)),$B1395))</f>
        <v>85 L (מתלה ליד )כיס</v>
      </c>
      <c r="I1395" s="7" t="str">
        <f aca="false">IF($G1395="","Unmatched","Matched")</f>
        <v>Matched</v>
      </c>
      <c r="J1395" s="7" t="n">
        <f aca="false">IF($G1395&lt;&gt;"",$G1395,$B1395)</f>
        <v>4413135</v>
      </c>
      <c r="K1395" s="7" t="str">
        <f aca="false">IF(COUNTIF($O$2:$O$16,$A1395)&gt;0,"Y","N")</f>
        <v>Y</v>
      </c>
    </row>
    <row r="1396" customFormat="false" ht="15" hidden="false" customHeight="false" outlineLevel="0" collapsed="false">
      <c r="A1396" s="7" t="s">
        <v>42</v>
      </c>
      <c r="B1396" s="7" t="s">
        <v>356</v>
      </c>
      <c r="C1396" s="8" t="n">
        <v>240</v>
      </c>
      <c r="D1396" s="8" t="n">
        <v>4471.49</v>
      </c>
      <c r="E1396" s="8" t="n">
        <v>210</v>
      </c>
      <c r="F1396" s="8" t="n">
        <v>3741.02</v>
      </c>
      <c r="G1396" s="7" t="n">
        <f aca="false">IFERROR(INDEX('TRANS'!$B:$B,MATCH($B1396,'TRANS'!$A:$A,0)),IFERROR(INDEX('TRANS'!$B:$B,MATCH(TRIM(SUBSTITUTE($B1396,CHAR(160)," ")),'TRANS'!$D:$D,0)),IFERROR(INDEX('Catalog'!$A:$A,MATCH($B1396,'Catalog'!$B:$B,0)),IFERROR(INDEX('Catalog'!$A:$A,MATCH(TRIM(SUBSTITUTE($B1396,CHAR(160)," ")),'Catalog'!$C:$C,0)),""))))</f>
        <v>4413136</v>
      </c>
      <c r="H1396" s="7" t="str">
        <f aca="false">IFERROR(INDEX('TRANS'!$C:$C,MATCH($B1396,'TRANS'!$A:$A,0)),IFERROR(INDEX('Catalog'!$B:$B,MATCH($G1396,'Catalog'!$A:$A,0)),$B1396))</f>
        <v>85 M (מתלה ליד )כיס</v>
      </c>
      <c r="I1396" s="7" t="str">
        <f aca="false">IF($G1396="","Unmatched","Matched")</f>
        <v>Matched</v>
      </c>
      <c r="J1396" s="7" t="n">
        <f aca="false">IF($G1396&lt;&gt;"",$G1396,$B1396)</f>
        <v>4413136</v>
      </c>
      <c r="K1396" s="7" t="str">
        <f aca="false">IF(COUNTIF($O$2:$O$16,$A1396)&gt;0,"Y","N")</f>
        <v>Y</v>
      </c>
    </row>
    <row r="1397" customFormat="false" ht="15" hidden="false" customHeight="false" outlineLevel="0" collapsed="false">
      <c r="A1397" s="7" t="s">
        <v>42</v>
      </c>
      <c r="B1397" s="7" t="s">
        <v>357</v>
      </c>
      <c r="C1397" s="8" t="n">
        <v>116</v>
      </c>
      <c r="D1397" s="8" t="n">
        <v>2175.49</v>
      </c>
      <c r="E1397" s="8" t="n">
        <v>90</v>
      </c>
      <c r="F1397" s="8" t="n">
        <v>1656.65</v>
      </c>
      <c r="G1397" s="7" t="n">
        <f aca="false">IFERROR(INDEX('TRANS'!$B:$B,MATCH($B1397,'TRANS'!$A:$A,0)),IFERROR(INDEX('TRANS'!$B:$B,MATCH(TRIM(SUBSTITUTE($B1397,CHAR(160)," ")),'TRANS'!$D:$D,0)),IFERROR(INDEX('Catalog'!$A:$A,MATCH($B1397,'Catalog'!$B:$B,0)),IFERROR(INDEX('Catalog'!$A:$A,MATCH(TRIM(SUBSTITUTE($B1397,CHAR(160)," ")),'Catalog'!$C:$C,0)),""))))</f>
        <v>4413137</v>
      </c>
      <c r="H1397" s="7" t="str">
        <f aca="false">IFERROR(INDEX('TRANS'!$C:$C,MATCH($B1397,'TRANS'!$A:$A,0)),IFERROR(INDEX('Catalog'!$B:$B,MATCH($G1397,'Catalog'!$A:$A,0)),$B1397))</f>
        <v>85 S (מתלה ליד )כיס</v>
      </c>
      <c r="I1397" s="7" t="str">
        <f aca="false">IF($G1397="","Unmatched","Matched")</f>
        <v>Matched</v>
      </c>
      <c r="J1397" s="7" t="n">
        <f aca="false">IF($G1397&lt;&gt;"",$G1397,$B1397)</f>
        <v>4413137</v>
      </c>
      <c r="K1397" s="7" t="str">
        <f aca="false">IF(COUNTIF($O$2:$O$16,$A1397)&gt;0,"Y","N")</f>
        <v>Y</v>
      </c>
    </row>
    <row r="1398" customFormat="false" ht="15" hidden="false" customHeight="false" outlineLevel="0" collapsed="false">
      <c r="A1398" s="7" t="s">
        <v>42</v>
      </c>
      <c r="B1398" s="7" t="s">
        <v>358</v>
      </c>
      <c r="C1398" s="8" t="n">
        <v>136</v>
      </c>
      <c r="D1398" s="8" t="n">
        <v>2537.92</v>
      </c>
      <c r="E1398" s="8" t="n">
        <v>130</v>
      </c>
      <c r="F1398" s="8" t="n">
        <v>2351.44</v>
      </c>
      <c r="G1398" s="7" t="n">
        <f aca="false">IFERROR(INDEX('TRANS'!$B:$B,MATCH($B1398,'TRANS'!$A:$A,0)),IFERROR(INDEX('TRANS'!$B:$B,MATCH(TRIM(SUBSTITUTE($B1398,CHAR(160)," ")),'TRANS'!$D:$D,0)),IFERROR(INDEX('Catalog'!$A:$A,MATCH($B1398,'Catalog'!$B:$B,0)),IFERROR(INDEX('Catalog'!$A:$A,MATCH(TRIM(SUBSTITUTE($B1398,CHAR(160)," ")),'Catalog'!$C:$C,0)),""))))</f>
        <v>4413138</v>
      </c>
      <c r="H1398" s="7" t="str">
        <f aca="false">IFERROR(INDEX('TRANS'!$C:$C,MATCH($B1398,'TRANS'!$A:$A,0)),IFERROR(INDEX('Catalog'!$B:$B,MATCH($G1398,'Catalog'!$A:$A,0)),$B1398))</f>
        <v>85 XL (מתלה ליד )כיס</v>
      </c>
      <c r="I1398" s="7" t="str">
        <f aca="false">IF($G1398="","Unmatched","Matched")</f>
        <v>Matched</v>
      </c>
      <c r="J1398" s="7" t="n">
        <f aca="false">IF($G1398&lt;&gt;"",$G1398,$B1398)</f>
        <v>4413138</v>
      </c>
      <c r="K1398" s="7" t="str">
        <f aca="false">IF(COUNTIF($O$2:$O$16,$A1398)&gt;0,"Y","N")</f>
        <v>Y</v>
      </c>
    </row>
    <row r="1399" customFormat="false" ht="15" hidden="false" customHeight="false" outlineLevel="0" collapsed="false">
      <c r="A1399" s="7" t="s">
        <v>42</v>
      </c>
      <c r="B1399" s="7" t="s">
        <v>359</v>
      </c>
      <c r="C1399" s="8" t="n">
        <v>150</v>
      </c>
      <c r="D1399" s="8" t="n">
        <v>3994.45</v>
      </c>
      <c r="E1399" s="8" t="n">
        <v>0</v>
      </c>
      <c r="F1399" s="8" t="n">
        <v>0</v>
      </c>
      <c r="G1399" s="7" t="n">
        <f aca="false">IFERROR(INDEX('TRANS'!$B:$B,MATCH($B1399,'TRANS'!$A:$A,0)),IFERROR(INDEX('TRANS'!$B:$B,MATCH(TRIM(SUBSTITUTE($B1399,CHAR(160)," ")),'TRANS'!$D:$D,0)),IFERROR(INDEX('Catalog'!$A:$A,MATCH($B1399,'Catalog'!$B:$B,0)),IFERROR(INDEX('Catalog'!$A:$A,MATCH(TRIM(SUBSTITUTE($B1399,CHAR(160)," ")),'Catalog'!$C:$C,0)),""))))</f>
        <v>4413455</v>
      </c>
      <c r="H1399" s="7" t="str">
        <f aca="false">IFERROR(INDEX('TRANS'!$C:$C,MATCH($B1399,'TRANS'!$A:$A,0)),IFERROR(INDEX('Catalog'!$B:$B,MATCH($G1399,'Catalog'!$A:$A,0)),$B1399))</f>
        <v>85K מתלה ליד לילדים</v>
      </c>
      <c r="I1399" s="7" t="str">
        <f aca="false">IF($G1399="","Unmatched","Matched")</f>
        <v>Matched</v>
      </c>
      <c r="J1399" s="7" t="n">
        <f aca="false">IF($G1399&lt;&gt;"",$G1399,$B1399)</f>
        <v>4413455</v>
      </c>
      <c r="K1399" s="7" t="str">
        <f aca="false">IF(COUNTIF($O$2:$O$16,$A1399)&gt;0,"Y","N")</f>
        <v>Y</v>
      </c>
    </row>
    <row r="1400" customFormat="false" ht="15" hidden="false" customHeight="false" outlineLevel="0" collapsed="false">
      <c r="A1400" s="7" t="s">
        <v>42</v>
      </c>
      <c r="B1400" s="7" t="s">
        <v>495</v>
      </c>
      <c r="C1400" s="8" t="n">
        <v>1</v>
      </c>
      <c r="D1400" s="8" t="n">
        <v>0.03</v>
      </c>
      <c r="E1400" s="8" t="n">
        <v>20</v>
      </c>
      <c r="F1400" s="8" t="n">
        <v>732</v>
      </c>
      <c r="G1400" s="7" t="n">
        <f aca="false">IFERROR(INDEX('TRANS'!$B:$B,MATCH($B1400,'TRANS'!$A:$A,0)),IFERROR(INDEX('TRANS'!$B:$B,MATCH(TRIM(SUBSTITUTE($B1400,CHAR(160)," ")),'TRANS'!$D:$D,0)),IFERROR(INDEX('Catalog'!$A:$A,MATCH($B1400,'Catalog'!$B:$B,0)),IFERROR(INDEX('Catalog'!$A:$A,MATCH(TRIM(SUBSTITUTE($B1400,CHAR(160)," ")),'Catalog'!$C:$C,0)),""))))</f>
        <v>4408266</v>
      </c>
      <c r="H1400" s="7" t="str">
        <f aca="false">IFERROR(INDEX('TRANS'!$C:$C,MATCH($B1400,'TRANS'!$A:$A,0)),IFERROR(INDEX('Catalog'!$B:$B,MATCH($G1400,'Catalog'!$A:$A,0)),$B1400))</f>
        <v>91B חבק טניס אלבו</v>
      </c>
      <c r="I1400" s="7" t="str">
        <f aca="false">IF($G1400="","Unmatched","Matched")</f>
        <v>Matched</v>
      </c>
      <c r="J1400" s="7" t="n">
        <f aca="false">IF($G1400&lt;&gt;"",$G1400,$B1400)</f>
        <v>4408266</v>
      </c>
      <c r="K1400" s="7" t="str">
        <f aca="false">IF(COUNTIF($O$2:$O$16,$A1400)&gt;0,"Y","N")</f>
        <v>Y</v>
      </c>
    </row>
    <row r="1401" customFormat="false" ht="15" hidden="false" customHeight="false" outlineLevel="0" collapsed="false">
      <c r="A1401" s="7" t="s">
        <v>42</v>
      </c>
      <c r="B1401" s="7" t="s">
        <v>360</v>
      </c>
      <c r="C1401" s="8" t="n">
        <v>5</v>
      </c>
      <c r="D1401" s="8" t="n">
        <v>50.71</v>
      </c>
      <c r="E1401" s="8" t="n">
        <v>15</v>
      </c>
      <c r="F1401" s="8" t="n">
        <v>145.83</v>
      </c>
      <c r="G1401" s="7" t="n">
        <f aca="false">IFERROR(INDEX('TRANS'!$B:$B,MATCH($B1401,'TRANS'!$A:$A,0)),IFERROR(INDEX('TRANS'!$B:$B,MATCH(TRIM(SUBSTITUTE($B1401,CHAR(160)," ")),'TRANS'!$D:$D,0)),IFERROR(INDEX('Catalog'!$A:$A,MATCH($B1401,'Catalog'!$B:$B,0)),IFERROR(INDEX('Catalog'!$A:$A,MATCH(TRIM(SUBSTITUTE($B1401,CHAR(160)," ")),'Catalog'!$C:$C,0)),""))))</f>
        <v>4413139</v>
      </c>
      <c r="H1401" s="7" t="str">
        <f aca="false">IFERROR(INDEX('TRANS'!$C:$C,MATCH($B1401,'TRANS'!$A:$A,0)),IFERROR(INDEX('Catalog'!$B:$B,MATCH($G1401,'Catalog'!$A:$A,0)),$B1401))</f>
        <v>95 L מגן מרפק רגיל לבן</v>
      </c>
      <c r="I1401" s="7" t="str">
        <f aca="false">IF($G1401="","Unmatched","Matched")</f>
        <v>Matched</v>
      </c>
      <c r="J1401" s="7" t="n">
        <f aca="false">IF($G1401&lt;&gt;"",$G1401,$B1401)</f>
        <v>4413139</v>
      </c>
      <c r="K1401" s="7" t="str">
        <f aca="false">IF(COUNTIF($O$2:$O$16,$A1401)&gt;0,"Y","N")</f>
        <v>Y</v>
      </c>
    </row>
    <row r="1402" customFormat="false" ht="15" hidden="false" customHeight="false" outlineLevel="0" collapsed="false">
      <c r="A1402" s="7" t="s">
        <v>42</v>
      </c>
      <c r="B1402" s="7" t="s">
        <v>361</v>
      </c>
      <c r="C1402" s="8" t="n">
        <v>36</v>
      </c>
      <c r="D1402" s="8" t="n">
        <v>406.21</v>
      </c>
      <c r="E1402" s="8" t="n">
        <v>40</v>
      </c>
      <c r="F1402" s="8" t="n">
        <v>406.3</v>
      </c>
      <c r="G1402" s="7" t="n">
        <f aca="false">IFERROR(INDEX('TRANS'!$B:$B,MATCH($B1402,'TRANS'!$A:$A,0)),IFERROR(INDEX('TRANS'!$B:$B,MATCH(TRIM(SUBSTITUTE($B1402,CHAR(160)," ")),'TRANS'!$D:$D,0)),IFERROR(INDEX('Catalog'!$A:$A,MATCH($B1402,'Catalog'!$B:$B,0)),IFERROR(INDEX('Catalog'!$A:$A,MATCH(TRIM(SUBSTITUTE($B1402,CHAR(160)," ")),'Catalog'!$C:$C,0)),""))))</f>
        <v>4413140</v>
      </c>
      <c r="H1402" s="7" t="str">
        <f aca="false">IFERROR(INDEX('TRANS'!$C:$C,MATCH($B1402,'TRANS'!$A:$A,0)),IFERROR(INDEX('Catalog'!$B:$B,MATCH($G1402,'Catalog'!$A:$A,0)),$B1402))</f>
        <v>95 M מגן מרפק רגיל לבן</v>
      </c>
      <c r="I1402" s="7" t="str">
        <f aca="false">IF($G1402="","Unmatched","Matched")</f>
        <v>Matched</v>
      </c>
      <c r="J1402" s="7" t="n">
        <f aca="false">IF($G1402&lt;&gt;"",$G1402,$B1402)</f>
        <v>4413140</v>
      </c>
      <c r="K1402" s="7" t="str">
        <f aca="false">IF(COUNTIF($O$2:$O$16,$A1402)&gt;0,"Y","N")</f>
        <v>Y</v>
      </c>
    </row>
    <row r="1403" customFormat="false" ht="15" hidden="false" customHeight="false" outlineLevel="0" collapsed="false">
      <c r="A1403" s="7" t="s">
        <v>42</v>
      </c>
      <c r="B1403" s="7" t="s">
        <v>362</v>
      </c>
      <c r="C1403" s="8" t="n">
        <v>34</v>
      </c>
      <c r="D1403" s="8" t="n">
        <v>372.24</v>
      </c>
      <c r="E1403" s="8" t="n">
        <v>10</v>
      </c>
      <c r="F1403" s="8" t="n">
        <v>97.22</v>
      </c>
      <c r="G1403" s="7" t="n">
        <f aca="false">IFERROR(INDEX('TRANS'!$B:$B,MATCH($B1403,'TRANS'!$A:$A,0)),IFERROR(INDEX('TRANS'!$B:$B,MATCH(TRIM(SUBSTITUTE($B1403,CHAR(160)," ")),'TRANS'!$D:$D,0)),IFERROR(INDEX('Catalog'!$A:$A,MATCH($B1403,'Catalog'!$B:$B,0)),IFERROR(INDEX('Catalog'!$A:$A,MATCH(TRIM(SUBSTITUTE($B1403,CHAR(160)," ")),'Catalog'!$C:$C,0)),""))))</f>
        <v>4413141</v>
      </c>
      <c r="H1403" s="7" t="str">
        <f aca="false">IFERROR(INDEX('TRANS'!$C:$C,MATCH($B1403,'TRANS'!$A:$A,0)),IFERROR(INDEX('Catalog'!$B:$B,MATCH($G1403,'Catalog'!$A:$A,0)),$B1403))</f>
        <v>95 S מגן מרפק רגיל לבן</v>
      </c>
      <c r="I1403" s="7" t="str">
        <f aca="false">IF($G1403="","Unmatched","Matched")</f>
        <v>Matched</v>
      </c>
      <c r="J1403" s="7" t="n">
        <f aca="false">IF($G1403&lt;&gt;"",$G1403,$B1403)</f>
        <v>4413141</v>
      </c>
      <c r="K1403" s="7" t="str">
        <f aca="false">IF(COUNTIF($O$2:$O$16,$A1403)&gt;0,"Y","N")</f>
        <v>Y</v>
      </c>
    </row>
    <row r="1404" customFormat="false" ht="15" hidden="false" customHeight="false" outlineLevel="0" collapsed="false">
      <c r="A1404" s="7" t="s">
        <v>42</v>
      </c>
      <c r="B1404" s="7" t="s">
        <v>611</v>
      </c>
      <c r="C1404" s="8" t="n">
        <v>24</v>
      </c>
      <c r="D1404" s="8" t="n">
        <v>270.81</v>
      </c>
      <c r="E1404" s="8" t="n">
        <v>5</v>
      </c>
      <c r="F1404" s="8" t="n">
        <v>48.61</v>
      </c>
      <c r="G1404" s="7" t="n">
        <f aca="false">IFERROR(INDEX('TRANS'!$B:$B,MATCH($B1404,'TRANS'!$A:$A,0)),IFERROR(INDEX('TRANS'!$B:$B,MATCH(TRIM(SUBSTITUTE($B1404,CHAR(160)," ")),'TRANS'!$D:$D,0)),IFERROR(INDEX('Catalog'!$A:$A,MATCH($B1404,'Catalog'!$B:$B,0)),IFERROR(INDEX('Catalog'!$A:$A,MATCH(TRIM(SUBSTITUTE($B1404,CHAR(160)," ")),'Catalog'!$C:$C,0)),""))))</f>
        <v>4413142</v>
      </c>
      <c r="H1404" s="7" t="str">
        <f aca="false">IFERROR(INDEX('TRANS'!$C:$C,MATCH($B1404,'TRANS'!$A:$A,0)),IFERROR(INDEX('Catalog'!$B:$B,MATCH($G1404,'Catalog'!$A:$A,0)),$B1404))</f>
        <v>95 XL מגן מרפק רגיל לבן</v>
      </c>
      <c r="I1404" s="7" t="str">
        <f aca="false">IF($G1404="","Unmatched","Matched")</f>
        <v>Matched</v>
      </c>
      <c r="J1404" s="7" t="n">
        <f aca="false">IF($G1404&lt;&gt;"",$G1404,$B1404)</f>
        <v>4413142</v>
      </c>
      <c r="K1404" s="7" t="str">
        <f aca="false">IF(COUNTIF($O$2:$O$16,$A1404)&gt;0,"Y","N")</f>
        <v>Y</v>
      </c>
    </row>
    <row r="1405" customFormat="false" ht="15" hidden="false" customHeight="false" outlineLevel="0" collapsed="false">
      <c r="A1405" s="7" t="s">
        <v>42</v>
      </c>
      <c r="B1405" s="7" t="s">
        <v>404</v>
      </c>
      <c r="C1405" s="8" t="n">
        <v>63</v>
      </c>
      <c r="D1405" s="8" t="n">
        <v>2525.28</v>
      </c>
      <c r="E1405" s="8" t="n">
        <v>130</v>
      </c>
      <c r="F1405" s="8" t="n">
        <v>4854.01</v>
      </c>
      <c r="G1405" s="7" t="n">
        <f aca="false">IFERROR(INDEX('TRANS'!$B:$B,MATCH($B1405,'TRANS'!$A:$A,0)),IFERROR(INDEX('TRANS'!$B:$B,MATCH(TRIM(SUBSTITUTE($B1405,CHAR(160)," ")),'TRANS'!$D:$D,0)),IFERROR(INDEX('Catalog'!$A:$A,MATCH($B1405,'Catalog'!$B:$B,0)),IFERROR(INDEX('Catalog'!$A:$A,MATCH(TRIM(SUBSTITUTE($B1405,CHAR(160)," ")),'Catalog'!$C:$C,0)),""))))</f>
        <v>4408205</v>
      </c>
      <c r="H1405" s="7" t="str">
        <f aca="false">IFERROR(INDEX('TRANS'!$C:$C,MATCH($B1405,'TRANS'!$A:$A,0)),IFERROR(INDEX('Catalog'!$B:$B,MATCH($G1405,'Catalog'!$A:$A,0)),$B1405))</f>
        <v>AC-07 חגורת גב עם תמיכות</v>
      </c>
      <c r="I1405" s="7" t="str">
        <f aca="false">IF($G1405="","Unmatched","Matched")</f>
        <v>Matched</v>
      </c>
      <c r="J1405" s="7" t="n">
        <f aca="false">IF($G1405&lt;&gt;"",$G1405,$B1405)</f>
        <v>4408205</v>
      </c>
      <c r="K1405" s="7" t="str">
        <f aca="false">IF(COUNTIF($O$2:$O$16,$A1405)&gt;0,"Y","N")</f>
        <v>Y</v>
      </c>
    </row>
    <row r="1406" customFormat="false" ht="15" hidden="false" customHeight="false" outlineLevel="0" collapsed="false">
      <c r="A1406" s="7" t="s">
        <v>42</v>
      </c>
      <c r="B1406" s="7" t="s">
        <v>497</v>
      </c>
      <c r="C1406" s="8" t="n">
        <v>50</v>
      </c>
      <c r="D1406" s="8" t="n">
        <v>1609.3</v>
      </c>
      <c r="E1406" s="8" t="n">
        <v>35</v>
      </c>
      <c r="F1406" s="8" t="n">
        <v>1107.41</v>
      </c>
      <c r="G1406" s="7" t="n">
        <f aca="false">IFERROR(INDEX('TRANS'!$B:$B,MATCH($B1406,'TRANS'!$A:$A,0)),IFERROR(INDEX('TRANS'!$B:$B,MATCH(TRIM(SUBSTITUTE($B1406,CHAR(160)," ")),'TRANS'!$D:$D,0)),IFERROR(INDEX('Catalog'!$A:$A,MATCH($B1406,'Catalog'!$B:$B,0)),IFERROR(INDEX('Catalog'!$A:$A,MATCH(TRIM(SUBSTITUTE($B1406,CHAR(160)," ")),'Catalog'!$C:$C,0)),""))))</f>
        <v>4408206</v>
      </c>
      <c r="H1406" s="7" t="str">
        <f aca="false">IFERROR(INDEX('TRANS'!$C:$C,MATCH($B1406,'TRANS'!$A:$A,0)),IFERROR(INDEX('Catalog'!$B:$B,MATCH($G1406,'Catalog'!$A:$A,0)),$B1406))</f>
        <v>AC-11 חגורת בטן קלה</v>
      </c>
      <c r="I1406" s="7" t="str">
        <f aca="false">IF($G1406="","Unmatched","Matched")</f>
        <v>Matched</v>
      </c>
      <c r="J1406" s="7" t="n">
        <f aca="false">IF($G1406&lt;&gt;"",$G1406,$B1406)</f>
        <v>4408206</v>
      </c>
      <c r="K1406" s="7" t="str">
        <f aca="false">IF(COUNTIF($O$2:$O$16,$A1406)&gt;0,"Y","N")</f>
        <v>Y</v>
      </c>
    </row>
    <row r="1407" customFormat="false" ht="15" hidden="false" customHeight="false" outlineLevel="0" collapsed="false">
      <c r="A1407" s="7" t="s">
        <v>42</v>
      </c>
      <c r="B1407" s="7" t="s">
        <v>371</v>
      </c>
      <c r="C1407" s="8" t="n">
        <v>1090</v>
      </c>
      <c r="D1407" s="8" t="n">
        <v>16499.24</v>
      </c>
      <c r="E1407" s="8" t="n">
        <v>1000</v>
      </c>
      <c r="F1407" s="8" t="n">
        <v>14547.47</v>
      </c>
      <c r="G1407" s="7" t="n">
        <f aca="false">IFERROR(INDEX('TRANS'!$B:$B,MATCH($B1407,'TRANS'!$A:$A,0)),IFERROR(INDEX('TRANS'!$B:$B,MATCH(TRIM(SUBSTITUTE($B1407,CHAR(160)," ")),'TRANS'!$D:$D,0)),IFERROR(INDEX('Catalog'!$A:$A,MATCH($B1407,'Catalog'!$B:$B,0)),IFERROR(INDEX('Catalog'!$A:$A,MATCH(TRIM(SUBSTITUTE($B1407,CHAR(160)," ")),'Catalog'!$C:$C,0)),""))))</f>
        <v>4408207</v>
      </c>
      <c r="H1407" s="7" t="str">
        <f aca="false">IFERROR(INDEX('TRANS'!$C:$C,MATCH($B1407,'TRANS'!$A:$A,0)),IFERROR(INDEX('Catalog'!$B:$B,MATCH($G1407,'Catalog'!$A:$A,0)),$B1407))</f>
        <v>AC-25 חבק לשורש כף היד</v>
      </c>
      <c r="I1407" s="7" t="str">
        <f aca="false">IF($G1407="","Unmatched","Matched")</f>
        <v>Matched</v>
      </c>
      <c r="J1407" s="7" t="n">
        <f aca="false">IF($G1407&lt;&gt;"",$G1407,$B1407)</f>
        <v>4408207</v>
      </c>
      <c r="K1407" s="7" t="str">
        <f aca="false">IF(COUNTIF($O$2:$O$16,$A1407)&gt;0,"Y","N")</f>
        <v>Y</v>
      </c>
    </row>
    <row r="1408" customFormat="false" ht="15" hidden="false" customHeight="false" outlineLevel="0" collapsed="false">
      <c r="A1408" s="7" t="s">
        <v>42</v>
      </c>
      <c r="B1408" s="7" t="s">
        <v>373</v>
      </c>
      <c r="C1408" s="8" t="n">
        <v>10</v>
      </c>
      <c r="D1408" s="8" t="n">
        <v>167.69</v>
      </c>
      <c r="E1408" s="8" t="n">
        <v>0</v>
      </c>
      <c r="F1408" s="8" t="n">
        <v>0</v>
      </c>
      <c r="G1408" s="7" t="n">
        <f aca="false">IFERROR(INDEX('TRANS'!$B:$B,MATCH($B1408,'TRANS'!$A:$A,0)),IFERROR(INDEX('TRANS'!$B:$B,MATCH(TRIM(SUBSTITUTE($B1408,CHAR(160)," ")),'TRANS'!$D:$D,0)),IFERROR(INDEX('Catalog'!$A:$A,MATCH($B1408,'Catalog'!$B:$B,0)),IFERROR(INDEX('Catalog'!$A:$A,MATCH(TRIM(SUBSTITUTE($B1408,CHAR(160)," ")),'Catalog'!$C:$C,0)),""))))</f>
        <v>4415027</v>
      </c>
      <c r="H1408" s="7" t="str">
        <f aca="false">IFERROR(INDEX('TRANS'!$C:$C,MATCH($B1408,'TRANS'!$A:$A,0)),IFERROR(INDEX('Catalog'!$B:$B,MATCH($G1408,'Catalog'!$A:$A,0)),$B1408))</f>
        <v>AC-27R סד לש.כף יד ימין</v>
      </c>
      <c r="I1408" s="7" t="str">
        <f aca="false">IF($G1408="","Unmatched","Matched")</f>
        <v>Matched</v>
      </c>
      <c r="J1408" s="7" t="n">
        <f aca="false">IF($G1408&lt;&gt;"",$G1408,$B1408)</f>
        <v>4415027</v>
      </c>
      <c r="K1408" s="7" t="str">
        <f aca="false">IF(COUNTIF($O$2:$O$16,$A1408)&gt;0,"Y","N")</f>
        <v>Y</v>
      </c>
    </row>
    <row r="1409" customFormat="false" ht="15" hidden="false" customHeight="false" outlineLevel="0" collapsed="false">
      <c r="A1409" s="7" t="s">
        <v>42</v>
      </c>
      <c r="B1409" s="7" t="s">
        <v>374</v>
      </c>
      <c r="C1409" s="8" t="n">
        <v>180</v>
      </c>
      <c r="D1409" s="8" t="n">
        <v>2502.39</v>
      </c>
      <c r="E1409" s="8" t="n">
        <v>250</v>
      </c>
      <c r="F1409" s="8" t="n">
        <v>3617.87</v>
      </c>
      <c r="G1409" s="7" t="n">
        <f aca="false">IFERROR(INDEX('TRANS'!$B:$B,MATCH($B1409,'TRANS'!$A:$A,0)),IFERROR(INDEX('TRANS'!$B:$B,MATCH(TRIM(SUBSTITUTE($B1409,CHAR(160)," ")),'TRANS'!$D:$D,0)),IFERROR(INDEX('Catalog'!$A:$A,MATCH($B1409,'Catalog'!$B:$B,0)),IFERROR(INDEX('Catalog'!$A:$A,MATCH(TRIM(SUBSTITUTE($B1409,CHAR(160)," ")),'Catalog'!$C:$C,0)),""))))</f>
        <v>4415028</v>
      </c>
      <c r="H1409" s="7" t="str">
        <f aca="false">IFERROR(INDEX('TRANS'!$C:$C,MATCH($B1409,'TRANS'!$A:$A,0)),IFERROR(INDEX('Catalog'!$B:$B,MATCH($G1409,'Catalog'!$A:$A,0)),$B1409))</f>
        <v>AC-28 סד לאגודל</v>
      </c>
      <c r="I1409" s="7" t="str">
        <f aca="false">IF($G1409="","Unmatched","Matched")</f>
        <v>Matched</v>
      </c>
      <c r="J1409" s="7" t="n">
        <f aca="false">IF($G1409&lt;&gt;"",$G1409,$B1409)</f>
        <v>4415028</v>
      </c>
      <c r="K1409" s="7" t="str">
        <f aca="false">IF(COUNTIF($O$2:$O$16,$A1409)&gt;0,"Y","N")</f>
        <v>Y</v>
      </c>
    </row>
    <row r="1410" customFormat="false" ht="15" hidden="false" customHeight="false" outlineLevel="0" collapsed="false">
      <c r="A1410" s="7" t="s">
        <v>42</v>
      </c>
      <c r="B1410" s="7" t="s">
        <v>375</v>
      </c>
      <c r="C1410" s="8" t="n">
        <v>144</v>
      </c>
      <c r="D1410" s="8" t="n">
        <v>2751.43</v>
      </c>
      <c r="E1410" s="8" t="n">
        <v>50</v>
      </c>
      <c r="F1410" s="8" t="n">
        <v>823.12</v>
      </c>
      <c r="G1410" s="7" t="n">
        <f aca="false">IFERROR(INDEX('TRANS'!$B:$B,MATCH($B1410,'TRANS'!$A:$A,0)),IFERROR(INDEX('TRANS'!$B:$B,MATCH(TRIM(SUBSTITUTE($B1410,CHAR(160)," ")),'TRANS'!$D:$D,0)),IFERROR(INDEX('Catalog'!$A:$A,MATCH($B1410,'Catalog'!$B:$B,0)),IFERROR(INDEX('Catalog'!$A:$A,MATCH(TRIM(SUBSTITUTE($B1410,CHAR(160)," ")),'Catalog'!$C:$C,0)),""))))</f>
        <v>4413326</v>
      </c>
      <c r="H1410" s="7" t="str">
        <f aca="false">IFERROR(INDEX('TRANS'!$C:$C,MATCH($B1410,'TRANS'!$A:$A,0)),IFERROR(INDEX('Catalog'!$B:$B,MATCH($G1410,'Catalog'!$A:$A,0)),$B1410))</f>
        <v>AC37 מגן קרסול נושם</v>
      </c>
      <c r="I1410" s="7" t="str">
        <f aca="false">IF($G1410="","Unmatched","Matched")</f>
        <v>Matched</v>
      </c>
      <c r="J1410" s="7" t="n">
        <f aca="false">IF($G1410&lt;&gt;"",$G1410,$B1410)</f>
        <v>4413326</v>
      </c>
      <c r="K1410" s="7" t="str">
        <f aca="false">IF(COUNTIF($O$2:$O$16,$A1410)&gt;0,"Y","N")</f>
        <v>Y</v>
      </c>
    </row>
    <row r="1411" customFormat="false" ht="15" hidden="false" customHeight="false" outlineLevel="0" collapsed="false">
      <c r="A1411" s="7" t="s">
        <v>42</v>
      </c>
      <c r="B1411" s="7" t="s">
        <v>376</v>
      </c>
      <c r="C1411" s="8" t="n">
        <v>480</v>
      </c>
      <c r="D1411" s="8" t="n">
        <v>20704.23</v>
      </c>
      <c r="E1411" s="8" t="n">
        <v>650</v>
      </c>
      <c r="F1411" s="8" t="n">
        <v>26769.41</v>
      </c>
      <c r="G1411" s="7" t="n">
        <f aca="false">IFERROR(INDEX('TRANS'!$B:$B,MATCH($B1411,'TRANS'!$A:$A,0)),IFERROR(INDEX('TRANS'!$B:$B,MATCH(TRIM(SUBSTITUTE($B1411,CHAR(160)," ")),'TRANS'!$D:$D,0)),IFERROR(INDEX('Catalog'!$A:$A,MATCH($B1411,'Catalog'!$B:$B,0)),IFERROR(INDEX('Catalog'!$A:$A,MATCH(TRIM(SUBSTITUTE($B1411,CHAR(160)," ")),'Catalog'!$C:$C,0)),""))))</f>
        <v>4413328</v>
      </c>
      <c r="H1411" s="7" t="str">
        <f aca="false">IFERROR(INDEX('TRANS'!$C:$C,MATCH($B1411,'TRANS'!$A:$A,0)),IFERROR(INDEX('Catalog'!$B:$B,MATCH($G1411,'Catalog'!$A:$A,0)),$B1411))</f>
        <v>AC43D מגן ברך + צירים</v>
      </c>
      <c r="I1411" s="7" t="str">
        <f aca="false">IF($G1411="","Unmatched","Matched")</f>
        <v>Matched</v>
      </c>
      <c r="J1411" s="7" t="n">
        <f aca="false">IF($G1411&lt;&gt;"",$G1411,$B1411)</f>
        <v>4413328</v>
      </c>
      <c r="K1411" s="7" t="str">
        <f aca="false">IF(COUNTIF($O$2:$O$16,$A1411)&gt;0,"Y","N")</f>
        <v>Y</v>
      </c>
    </row>
    <row r="1412" customFormat="false" ht="15" hidden="false" customHeight="false" outlineLevel="0" collapsed="false">
      <c r="A1412" s="7" t="s">
        <v>42</v>
      </c>
      <c r="B1412" s="7" t="s">
        <v>377</v>
      </c>
      <c r="C1412" s="8" t="n">
        <v>55</v>
      </c>
      <c r="D1412" s="8" t="n">
        <v>1725.6</v>
      </c>
      <c r="E1412" s="8" t="n">
        <v>55</v>
      </c>
      <c r="F1412" s="8" t="n">
        <v>1815.67</v>
      </c>
      <c r="G1412" s="7" t="n">
        <f aca="false">IFERROR(INDEX('TRANS'!$B:$B,MATCH($B1412,'TRANS'!$A:$A,0)),IFERROR(INDEX('TRANS'!$B:$B,MATCH(TRIM(SUBSTITUTE($B1412,CHAR(160)," ")),'TRANS'!$D:$D,0)),IFERROR(INDEX('Catalog'!$A:$A,MATCH($B1412,'Catalog'!$B:$B,0)),IFERROR(INDEX('Catalog'!$A:$A,MATCH(TRIM(SUBSTITUTE($B1412,CHAR(160)," ")),'Catalog'!$C:$C,0)),""))))</f>
        <v>4413329</v>
      </c>
      <c r="H1412" s="7" t="str">
        <f aca="false">IFERROR(INDEX('TRANS'!$C:$C,MATCH($B1412,'TRANS'!$A:$A,0)),IFERROR(INDEX('Catalog'!$B:$B,MATCH($G1412,'Catalog'!$A:$A,0)),$B1412))</f>
        <v>AC45X מגן ברך עם תמיכות</v>
      </c>
      <c r="I1412" s="7" t="str">
        <f aca="false">IF($G1412="","Unmatched","Matched")</f>
        <v>Matched</v>
      </c>
      <c r="J1412" s="7" t="n">
        <f aca="false">IF($G1412&lt;&gt;"",$G1412,$B1412)</f>
        <v>4413329</v>
      </c>
      <c r="K1412" s="7" t="str">
        <f aca="false">IF(COUNTIF($O$2:$O$16,$A1412)&gt;0,"Y","N")</f>
        <v>Y</v>
      </c>
    </row>
    <row r="1413" customFormat="false" ht="15" hidden="false" customHeight="false" outlineLevel="0" collapsed="false">
      <c r="A1413" s="7" t="s">
        <v>42</v>
      </c>
      <c r="B1413" s="7" t="s">
        <v>677</v>
      </c>
      <c r="C1413" s="8" t="n">
        <v>12</v>
      </c>
      <c r="D1413" s="8" t="n">
        <v>391.77</v>
      </c>
      <c r="E1413" s="8" t="n">
        <v>0</v>
      </c>
      <c r="F1413" s="8" t="n">
        <v>0</v>
      </c>
      <c r="G1413" s="7" t="n">
        <f aca="false">IFERROR(INDEX('TRANS'!$B:$B,MATCH($B1413,'TRANS'!$A:$A,0)),IFERROR(INDEX('TRANS'!$B:$B,MATCH(TRIM(SUBSTITUTE($B1413,CHAR(160)," ")),'TRANS'!$D:$D,0)),IFERROR(INDEX('Catalog'!$A:$A,MATCH($B1413,'Catalog'!$B:$B,0)),IFERROR(INDEX('Catalog'!$A:$A,MATCH(TRIM(SUBSTITUTE($B1413,CHAR(160)," ")),'Catalog'!$C:$C,0)),""))))</f>
        <v>4413330</v>
      </c>
      <c r="H1413" s="7" t="str">
        <f aca="false">IFERROR(INDEX('TRANS'!$C:$C,MATCH($B1413,'TRANS'!$A:$A,0)),IFERROR(INDEX('Catalog'!$B:$B,MATCH($G1413,'Catalog'!$A:$A,0)),$B1413))</f>
        <v>AC49 מגן ירך</v>
      </c>
      <c r="I1413" s="7" t="str">
        <f aca="false">IF($G1413="","Unmatched","Matched")</f>
        <v>Matched</v>
      </c>
      <c r="J1413" s="7" t="n">
        <f aca="false">IF($G1413&lt;&gt;"",$G1413,$B1413)</f>
        <v>4413330</v>
      </c>
      <c r="K1413" s="7" t="str">
        <f aca="false">IF(COUNTIF($O$2:$O$16,$A1413)&gt;0,"Y","N")</f>
        <v>Y</v>
      </c>
    </row>
    <row r="1414" customFormat="false" ht="15" hidden="false" customHeight="false" outlineLevel="0" collapsed="false">
      <c r="A1414" s="7" t="s">
        <v>42</v>
      </c>
      <c r="B1414" s="7" t="s">
        <v>380</v>
      </c>
      <c r="C1414" s="8" t="n">
        <v>180</v>
      </c>
      <c r="D1414" s="8" t="n">
        <v>2628.96</v>
      </c>
      <c r="E1414" s="8" t="n">
        <v>180</v>
      </c>
      <c r="F1414" s="8" t="n">
        <v>2595.16</v>
      </c>
      <c r="G1414" s="7" t="n">
        <f aca="false">IFERROR(INDEX('TRANS'!$B:$B,MATCH($B1414,'TRANS'!$A:$A,0)),IFERROR(INDEX('TRANS'!$B:$B,MATCH(TRIM(SUBSTITUTE($B1414,CHAR(160)," ")),'TRANS'!$D:$D,0)),IFERROR(INDEX('Catalog'!$A:$A,MATCH($B1414,'Catalog'!$B:$B,0)),IFERROR(INDEX('Catalog'!$A:$A,MATCH(TRIM(SUBSTITUTE($B1414,CHAR(160)," ")),'Catalog'!$C:$C,0)),""))))</f>
        <v>4408208</v>
      </c>
      <c r="H1414" s="7" t="str">
        <f aca="false">IFERROR(INDEX('TRANS'!$C:$C,MATCH($B1414,'TRANS'!$A:$A,0)),IFERROR(INDEX('Catalog'!$B:$B,MATCH($G1414,'Catalog'!$A:$A,0)),$B1414))</f>
        <v>AC91 חבק טניס</v>
      </c>
      <c r="I1414" s="7" t="str">
        <f aca="false">IF($G1414="","Unmatched","Matched")</f>
        <v>Matched</v>
      </c>
      <c r="J1414" s="7" t="n">
        <f aca="false">IF($G1414&lt;&gt;"",$G1414,$B1414)</f>
        <v>4408208</v>
      </c>
      <c r="K1414" s="7" t="str">
        <f aca="false">IF(COUNTIF($O$2:$O$16,$A1414)&gt;0,"Y","N")</f>
        <v>Y</v>
      </c>
    </row>
    <row r="1415" customFormat="false" ht="15" hidden="false" customHeight="false" outlineLevel="0" collapsed="false">
      <c r="A1415" s="7" t="s">
        <v>42</v>
      </c>
      <c r="B1415" s="7" t="s">
        <v>405</v>
      </c>
      <c r="C1415" s="8" t="n">
        <v>160</v>
      </c>
      <c r="D1415" s="8" t="n">
        <v>2674.83</v>
      </c>
      <c r="E1415" s="8" t="n">
        <v>160</v>
      </c>
      <c r="F1415" s="8" t="n">
        <v>2496.75</v>
      </c>
      <c r="G1415" s="7" t="n">
        <f aca="false">IFERROR(INDEX('TRANS'!$B:$B,MATCH($B1415,'TRANS'!$A:$A,0)),IFERROR(INDEX('TRANS'!$B:$B,MATCH(TRIM(SUBSTITUTE($B1415,CHAR(160)," ")),'TRANS'!$D:$D,0)),IFERROR(INDEX('Catalog'!$A:$A,MATCH($B1415,'Catalog'!$B:$B,0)),IFERROR(INDEX('Catalog'!$A:$A,MATCH(TRIM(SUBSTITUTE($B1415,CHAR(160)," ")),'Catalog'!$C:$C,0)),""))))</f>
        <v>4413331</v>
      </c>
      <c r="H1415" s="7" t="str">
        <f aca="false">IFERROR(INDEX('TRANS'!$C:$C,MATCH($B1415,'TRANS'!$A:$A,0)),IFERROR(INDEX('Catalog'!$B:$B,MATCH($G1415,'Catalog'!$A:$A,0)),$B1415))</f>
        <v>AC95 מגן מרפק</v>
      </c>
      <c r="I1415" s="7" t="str">
        <f aca="false">IF($G1415="","Unmatched","Matched")</f>
        <v>Matched</v>
      </c>
      <c r="J1415" s="7" t="n">
        <f aca="false">IF($G1415&lt;&gt;"",$G1415,$B1415)</f>
        <v>4413331</v>
      </c>
      <c r="K1415" s="7" t="str">
        <f aca="false">IF(COUNTIF($O$2:$O$16,$A1415)&gt;0,"Y","N")</f>
        <v>Y</v>
      </c>
    </row>
    <row r="1416" customFormat="false" ht="15" hidden="false" customHeight="false" outlineLevel="0" collapsed="false">
      <c r="A1416" s="7" t="s">
        <v>42</v>
      </c>
      <c r="B1416" s="7" t="s">
        <v>678</v>
      </c>
      <c r="C1416" s="8" t="n">
        <v>31</v>
      </c>
      <c r="D1416" s="8" t="n">
        <v>281.64</v>
      </c>
      <c r="E1416" s="8" t="n">
        <v>-30</v>
      </c>
      <c r="F1416" s="8" t="n">
        <v>-278.86</v>
      </c>
      <c r="G1416" s="7" t="n">
        <f aca="false">IFERROR(INDEX('TRANS'!$B:$B,MATCH($B1416,'TRANS'!$A:$A,0)),IFERROR(INDEX('TRANS'!$B:$B,MATCH(TRIM(SUBSTITUTE($B1416,CHAR(160)," ")),'TRANS'!$D:$D,0)),IFERROR(INDEX('Catalog'!$A:$A,MATCH($B1416,'Catalog'!$B:$B,0)),IFERROR(INDEX('Catalog'!$A:$A,MATCH(TRIM(SUBSTITUTE($B1416,CHAR(160)," ")),'Catalog'!$C:$C,0)),""))))</f>
        <v>4422035</v>
      </c>
      <c r="H1416" s="7" t="str">
        <f aca="false">IFERROR(INDEX('TRANS'!$C:$C,MATCH($B1416,'TRANS'!$A:$A,0)),IFERROR(INDEX('Catalog'!$B:$B,MATCH($G1416,'Catalog'!$A:$A,0)),$B1416))</f>
        <v>FCתרסיס דאודורנט אנטיבק.נעל333</v>
      </c>
      <c r="I1416" s="7" t="str">
        <f aca="false">IF($G1416="","Unmatched","Matched")</f>
        <v>Matched</v>
      </c>
      <c r="J1416" s="7" t="n">
        <f aca="false">IF($G1416&lt;&gt;"",$G1416,$B1416)</f>
        <v>4422035</v>
      </c>
      <c r="K1416" s="7" t="str">
        <f aca="false">IF(COUNTIF($O$2:$O$16,$A1416)&gt;0,"Y","N")</f>
        <v>Y</v>
      </c>
    </row>
    <row r="1417" customFormat="false" ht="15" hidden="false" customHeight="false" outlineLevel="0" collapsed="false">
      <c r="A1417" s="7" t="s">
        <v>42</v>
      </c>
      <c r="B1417" s="7" t="s">
        <v>679</v>
      </c>
      <c r="C1417" s="8" t="n">
        <v>30</v>
      </c>
      <c r="D1417" s="8" t="n">
        <v>310.25</v>
      </c>
      <c r="E1417" s="8" t="n">
        <v>-30</v>
      </c>
      <c r="F1417" s="8" t="n">
        <v>-307.22</v>
      </c>
      <c r="G1417" s="7" t="n">
        <f aca="false">IFERROR(INDEX('TRANS'!$B:$B,MATCH($B1417,'TRANS'!$A:$A,0)),IFERROR(INDEX('TRANS'!$B:$B,MATCH(TRIM(SUBSTITUTE($B1417,CHAR(160)," ")),'TRANS'!$D:$D,0)),IFERROR(INDEX('Catalog'!$A:$A,MATCH($B1417,'Catalog'!$B:$B,0)),IFERROR(INDEX('Catalog'!$A:$A,MATCH(TRIM(SUBSTITUTE($B1417,CHAR(160)," ")),'Catalog'!$C:$C,0)),""))))</f>
        <v>4422036</v>
      </c>
      <c r="H1417" s="7" t="str">
        <f aca="false">IFERROR(INDEX('TRANS'!$C:$C,MATCH($B1417,'TRANS'!$A:$A,0)),IFERROR(INDEX('Catalog'!$B:$B,MATCH($G1417,'Catalog'!$A:$A,0)),$B1417))</f>
        <v>FC334  תרסיס דאודורנט לכף הרגל</v>
      </c>
      <c r="I1417" s="7" t="str">
        <f aca="false">IF($G1417="","Unmatched","Matched")</f>
        <v>Matched</v>
      </c>
      <c r="J1417" s="7" t="n">
        <f aca="false">IF($G1417&lt;&gt;"",$G1417,$B1417)</f>
        <v>4422036</v>
      </c>
      <c r="K1417" s="7" t="str">
        <f aca="false">IF(COUNTIF($O$2:$O$16,$A1417)&gt;0,"Y","N")</f>
        <v>Y</v>
      </c>
    </row>
    <row r="1418" customFormat="false" ht="15" hidden="false" customHeight="false" outlineLevel="0" collapsed="false">
      <c r="A1418" s="7" t="s">
        <v>42</v>
      </c>
      <c r="B1418" s="7" t="s">
        <v>173</v>
      </c>
      <c r="C1418" s="8" t="n">
        <v>0</v>
      </c>
      <c r="D1418" s="8" t="n">
        <v>0</v>
      </c>
      <c r="E1418" s="8" t="n">
        <v>1</v>
      </c>
      <c r="F1418" s="8" t="n">
        <v>0.03</v>
      </c>
      <c r="G1418" s="7" t="str">
        <f aca="false">IFERROR(INDEX('TRANS'!$B:$B,MATCH($B1418,'TRANS'!$A:$A,0)),IFERROR(INDEX('TRANS'!$B:$B,MATCH(TRIM(SUBSTITUTE($B1418,CHAR(160)," ")),'TRANS'!$D:$D,0)),IFERROR(INDEX('Catalog'!$A:$A,MATCH($B1418,'Catalog'!$B:$B,0)),IFERROR(INDEX('Catalog'!$A:$A,MATCH(TRIM(SUBSTITUTE($B1418,CHAR(160)," ")),'Catalog'!$C:$C,0)),""))))</f>
        <v/>
      </c>
      <c r="H1418" s="7" t="str">
        <f aca="false">IFERROR(INDEX('TRANS'!$C:$C,MATCH($B1418,'TRANS'!$A:$A,0)),IFERROR(INDEX('Catalog'!$B:$B,MATCH($G1418,'Catalog'!$A:$A,0)),$B1418))</f>
        <v>SH322-6</v>
      </c>
      <c r="I1418" s="7" t="str">
        <f aca="false">IF($G1418="","Unmatched","Matched")</f>
        <v>Unmatched</v>
      </c>
      <c r="J1418" s="7" t="str">
        <f aca="false">IF($G1418&lt;&gt;"",$G1418,$B1418)</f>
        <v>SH322-6</v>
      </c>
      <c r="K1418" s="7" t="str">
        <f aca="false">IF(COUNTIF($O$2:$O$16,$A1418)&gt;0,"Y","N")</f>
        <v>Y</v>
      </c>
    </row>
    <row r="1419" customFormat="false" ht="15" hidden="false" customHeight="false" outlineLevel="0" collapsed="false">
      <c r="A1419" s="7" t="s">
        <v>42</v>
      </c>
      <c r="B1419" s="7" t="s">
        <v>509</v>
      </c>
      <c r="C1419" s="8" t="n">
        <v>3</v>
      </c>
      <c r="D1419" s="8" t="n">
        <v>255.83</v>
      </c>
      <c r="E1419" s="8" t="n">
        <v>0</v>
      </c>
      <c r="F1419" s="8" t="n">
        <v>0</v>
      </c>
      <c r="G1419" s="7" t="n">
        <f aca="false">IFERROR(INDEX('TRANS'!$B:$B,MATCH($B1419,'TRANS'!$A:$A,0)),IFERROR(INDEX('TRANS'!$B:$B,MATCH(TRIM(SUBSTITUTE($B1419,CHAR(160)," ")),'TRANS'!$D:$D,0)),IFERROR(INDEX('Catalog'!$A:$A,MATCH($B1419,'Catalog'!$B:$B,0)),IFERROR(INDEX('Catalog'!$A:$A,MATCH(TRIM(SUBSTITUTE($B1419,CHAR(160)," ")),'Catalog'!$C:$C,0)),""))))</f>
        <v>4422038</v>
      </c>
      <c r="H1419" s="7" t="str">
        <f aca="false">IFERROR(INDEX('TRANS'!$C:$C,MATCH($B1419,'TRANS'!$A:$A,0)),IFERROR(INDEX('Catalog'!$B:$B,MATCH($G1419,'Catalog'!$A:$A,0)),$B1419))</f>
        <v>SH422 2 תומך ברך גנושילד</v>
      </c>
      <c r="I1419" s="7" t="str">
        <f aca="false">IF($G1419="","Unmatched","Matched")</f>
        <v>Matched</v>
      </c>
      <c r="J1419" s="7" t="n">
        <f aca="false">IF($G1419&lt;&gt;"",$G1419,$B1419)</f>
        <v>4422038</v>
      </c>
      <c r="K1419" s="7" t="str">
        <f aca="false">IF(COUNTIF($O$2:$O$16,$A1419)&gt;0,"Y","N")</f>
        <v>Y</v>
      </c>
    </row>
    <row r="1420" customFormat="false" ht="15" hidden="false" customHeight="false" outlineLevel="0" collapsed="false">
      <c r="A1420" s="7" t="s">
        <v>42</v>
      </c>
      <c r="B1420" s="7" t="s">
        <v>510</v>
      </c>
      <c r="C1420" s="8" t="n">
        <v>5</v>
      </c>
      <c r="D1420" s="8" t="n">
        <v>426.39</v>
      </c>
      <c r="E1420" s="8" t="n">
        <v>0</v>
      </c>
      <c r="F1420" s="8" t="n">
        <v>0</v>
      </c>
      <c r="G1420" s="7" t="n">
        <f aca="false">IFERROR(INDEX('TRANS'!$B:$B,MATCH($B1420,'TRANS'!$A:$A,0)),IFERROR(INDEX('TRANS'!$B:$B,MATCH(TRIM(SUBSTITUTE($B1420,CHAR(160)," ")),'TRANS'!$D:$D,0)),IFERROR(INDEX('Catalog'!$A:$A,MATCH($B1420,'Catalog'!$B:$B,0)),IFERROR(INDEX('Catalog'!$A:$A,MATCH(TRIM(SUBSTITUTE($B1420,CHAR(160)," ")),'Catalog'!$C:$C,0)),""))))</f>
        <v>4422039</v>
      </c>
      <c r="H1420" s="7" t="str">
        <f aca="false">IFERROR(INDEX('TRANS'!$C:$C,MATCH($B1420,'TRANS'!$A:$A,0)),IFERROR(INDEX('Catalog'!$B:$B,MATCH($G1420,'Catalog'!$A:$A,0)),$B1420))</f>
        <v>SH422 3 תומך ברך גנושילד</v>
      </c>
      <c r="I1420" s="7" t="str">
        <f aca="false">IF($G1420="","Unmatched","Matched")</f>
        <v>Matched</v>
      </c>
      <c r="J1420" s="7" t="n">
        <f aca="false">IF($G1420&lt;&gt;"",$G1420,$B1420)</f>
        <v>4422039</v>
      </c>
      <c r="K1420" s="7" t="str">
        <f aca="false">IF(COUNTIF($O$2:$O$16,$A1420)&gt;0,"Y","N")</f>
        <v>Y</v>
      </c>
    </row>
    <row r="1421" customFormat="false" ht="15" hidden="false" customHeight="false" outlineLevel="0" collapsed="false">
      <c r="A1421" s="7" t="s">
        <v>42</v>
      </c>
      <c r="B1421" s="7" t="s">
        <v>511</v>
      </c>
      <c r="C1421" s="8" t="n">
        <v>5</v>
      </c>
      <c r="D1421" s="8" t="n">
        <v>426.39</v>
      </c>
      <c r="E1421" s="8" t="n">
        <v>0</v>
      </c>
      <c r="F1421" s="8" t="n">
        <v>0</v>
      </c>
      <c r="G1421" s="7" t="n">
        <f aca="false">IFERROR(INDEX('TRANS'!$B:$B,MATCH($B1421,'TRANS'!$A:$A,0)),IFERROR(INDEX('TRANS'!$B:$B,MATCH(TRIM(SUBSTITUTE($B1421,CHAR(160)," ")),'TRANS'!$D:$D,0)),IFERROR(INDEX('Catalog'!$A:$A,MATCH($B1421,'Catalog'!$B:$B,0)),IFERROR(INDEX('Catalog'!$A:$A,MATCH(TRIM(SUBSTITUTE($B1421,CHAR(160)," ")),'Catalog'!$C:$C,0)),""))))</f>
        <v>4422040</v>
      </c>
      <c r="H1421" s="7" t="str">
        <f aca="false">IFERROR(INDEX('TRANS'!$C:$C,MATCH($B1421,'TRANS'!$A:$A,0)),IFERROR(INDEX('Catalog'!$B:$B,MATCH($G1421,'Catalog'!$A:$A,0)),$B1421))</f>
        <v>SH422 4 תומך ברך גנושילד</v>
      </c>
      <c r="I1421" s="7" t="str">
        <f aca="false">IF($G1421="","Unmatched","Matched")</f>
        <v>Matched</v>
      </c>
      <c r="J1421" s="7" t="n">
        <f aca="false">IF($G1421&lt;&gt;"",$G1421,$B1421)</f>
        <v>4422040</v>
      </c>
      <c r="K1421" s="7" t="str">
        <f aca="false">IF(COUNTIF($O$2:$O$16,$A1421)&gt;0,"Y","N")</f>
        <v>Y</v>
      </c>
    </row>
    <row r="1422" customFormat="false" ht="15" hidden="false" customHeight="false" outlineLevel="0" collapsed="false">
      <c r="A1422" s="7" t="s">
        <v>42</v>
      </c>
      <c r="B1422" s="7" t="s">
        <v>512</v>
      </c>
      <c r="C1422" s="8" t="n">
        <v>5</v>
      </c>
      <c r="D1422" s="8" t="n">
        <v>426.39</v>
      </c>
      <c r="E1422" s="8" t="n">
        <v>0</v>
      </c>
      <c r="F1422" s="8" t="n">
        <v>0</v>
      </c>
      <c r="G1422" s="7" t="n">
        <f aca="false">IFERROR(INDEX('TRANS'!$B:$B,MATCH($B1422,'TRANS'!$A:$A,0)),IFERROR(INDEX('TRANS'!$B:$B,MATCH(TRIM(SUBSTITUTE($B1422,CHAR(160)," ")),'TRANS'!$D:$D,0)),IFERROR(INDEX('Catalog'!$A:$A,MATCH($B1422,'Catalog'!$B:$B,0)),IFERROR(INDEX('Catalog'!$A:$A,MATCH(TRIM(SUBSTITUTE($B1422,CHAR(160)," ")),'Catalog'!$C:$C,0)),""))))</f>
        <v>4422041</v>
      </c>
      <c r="H1422" s="7" t="str">
        <f aca="false">IFERROR(INDEX('TRANS'!$C:$C,MATCH($B1422,'TRANS'!$A:$A,0)),IFERROR(INDEX('Catalog'!$B:$B,MATCH($G1422,'Catalog'!$A:$A,0)),$B1422))</f>
        <v>SH422 5 תומך ברך גנושילד</v>
      </c>
      <c r="I1422" s="7" t="str">
        <f aca="false">IF($G1422="","Unmatched","Matched")</f>
        <v>Matched</v>
      </c>
      <c r="J1422" s="7" t="n">
        <f aca="false">IF($G1422&lt;&gt;"",$G1422,$B1422)</f>
        <v>4422041</v>
      </c>
      <c r="K1422" s="7" t="str">
        <f aca="false">IF(COUNTIF($O$2:$O$16,$A1422)&gt;0,"Y","N")</f>
        <v>Y</v>
      </c>
    </row>
    <row r="1423" customFormat="false" ht="15" hidden="false" customHeight="false" outlineLevel="0" collapsed="false">
      <c r="A1423" s="7" t="s">
        <v>42</v>
      </c>
      <c r="B1423" s="7" t="s">
        <v>625</v>
      </c>
      <c r="C1423" s="8" t="n">
        <v>5</v>
      </c>
      <c r="D1423" s="8" t="n">
        <v>426.39</v>
      </c>
      <c r="E1423" s="8" t="n">
        <v>0</v>
      </c>
      <c r="F1423" s="8" t="n">
        <v>0</v>
      </c>
      <c r="G1423" s="7" t="n">
        <f aca="false">IFERROR(INDEX('TRANS'!$B:$B,MATCH($B1423,'TRANS'!$A:$A,0)),IFERROR(INDEX('TRANS'!$B:$B,MATCH(TRIM(SUBSTITUTE($B1423,CHAR(160)," ")),'TRANS'!$D:$D,0)),IFERROR(INDEX('Catalog'!$A:$A,MATCH($B1423,'Catalog'!$B:$B,0)),IFERROR(INDEX('Catalog'!$A:$A,MATCH(TRIM(SUBSTITUTE($B1423,CHAR(160)," ")),'Catalog'!$C:$C,0)),""))))</f>
        <v>4422042</v>
      </c>
      <c r="H1423" s="7" t="str">
        <f aca="false">IFERROR(INDEX('TRANS'!$C:$C,MATCH($B1423,'TRANS'!$A:$A,0)),IFERROR(INDEX('Catalog'!$B:$B,MATCH($G1423,'Catalog'!$A:$A,0)),$B1423))</f>
        <v>SH422 6 תומך ברך גנושילד</v>
      </c>
      <c r="I1423" s="7" t="str">
        <f aca="false">IF($G1423="","Unmatched","Matched")</f>
        <v>Matched</v>
      </c>
      <c r="J1423" s="7" t="n">
        <f aca="false">IF($G1423&lt;&gt;"",$G1423,$B1423)</f>
        <v>4422042</v>
      </c>
      <c r="K1423" s="7" t="str">
        <f aca="false">IF(COUNTIF($O$2:$O$16,$A1423)&gt;0,"Y","N")</f>
        <v>Y</v>
      </c>
    </row>
    <row r="1424" customFormat="false" ht="15" hidden="false" customHeight="false" outlineLevel="0" collapsed="false">
      <c r="A1424" s="7" t="s">
        <v>42</v>
      </c>
      <c r="B1424" s="7" t="s">
        <v>174</v>
      </c>
      <c r="C1424" s="8" t="n">
        <v>0</v>
      </c>
      <c r="D1424" s="8" t="n">
        <v>0</v>
      </c>
      <c r="E1424" s="8" t="n">
        <v>1</v>
      </c>
      <c r="F1424" s="8" t="n">
        <v>0.03</v>
      </c>
      <c r="G1424" s="7" t="str">
        <f aca="false">IFERROR(INDEX('TRANS'!$B:$B,MATCH($B1424,'TRANS'!$A:$A,0)),IFERROR(INDEX('TRANS'!$B:$B,MATCH(TRIM(SUBSTITUTE($B1424,CHAR(160)," ")),'TRANS'!$D:$D,0)),IFERROR(INDEX('Catalog'!$A:$A,MATCH($B1424,'Catalog'!$B:$B,0)),IFERROR(INDEX('Catalog'!$A:$A,MATCH(TRIM(SUBSTITUTE($B1424,CHAR(160)," ")),'Catalog'!$C:$C,0)),""))))</f>
        <v/>
      </c>
      <c r="H1424" s="7" t="str">
        <f aca="false">IFERROR(INDEX('TRANS'!$C:$C,MATCH($B1424,'TRANS'!$A:$A,0)),IFERROR(INDEX('Catalog'!$B:$B,MATCH($G1424,'Catalog'!$A:$A,0)),$B1424))</f>
        <v>SH423L 6</v>
      </c>
      <c r="I1424" s="7" t="str">
        <f aca="false">IF($G1424="","Unmatched","Matched")</f>
        <v>Unmatched</v>
      </c>
      <c r="J1424" s="7" t="str">
        <f aca="false">IF($G1424&lt;&gt;"",$G1424,$B1424)</f>
        <v>SH423L 6</v>
      </c>
      <c r="K1424" s="7" t="str">
        <f aca="false">IF(COUNTIF($O$2:$O$16,$A1424)&gt;0,"Y","N")</f>
        <v>Y</v>
      </c>
    </row>
    <row r="1425" customFormat="false" ht="15" hidden="false" customHeight="false" outlineLevel="0" collapsed="false">
      <c r="A1425" s="7" t="s">
        <v>42</v>
      </c>
      <c r="B1425" s="7" t="s">
        <v>242</v>
      </c>
      <c r="C1425" s="8" t="n">
        <v>30</v>
      </c>
      <c r="D1425" s="8" t="n">
        <v>1557.91</v>
      </c>
      <c r="E1425" s="8" t="n">
        <v>0</v>
      </c>
      <c r="F1425" s="8" t="n">
        <v>0</v>
      </c>
      <c r="G1425" s="7" t="str">
        <f aca="false">IFERROR(INDEX('TRANS'!$B:$B,MATCH($B1425,'TRANS'!$A:$A,0)),IFERROR(INDEX('TRANS'!$B:$B,MATCH(TRIM(SUBSTITUTE($B1425,CHAR(160)," ")),'TRANS'!$D:$D,0)),IFERROR(INDEX('Catalog'!$A:$A,MATCH($B1425,'Catalog'!$B:$B,0)),IFERROR(INDEX('Catalog'!$A:$A,MATCH(TRIM(SUBSTITUTE($B1425,CHAR(160)," ")),'Catalog'!$C:$C,0)),""))))</f>
        <v/>
      </c>
      <c r="H1425" s="7" t="str">
        <f aca="false">IFERROR(INDEX('TRANS'!$C:$C,MATCH($B1425,'TRANS'!$A:$A,0)),IFERROR(INDEX('Catalog'!$B:$B,MATCH($G1425,'Catalog'!$A:$A,0)),$B1425))</f>
        <v>ST10 0</v>
      </c>
      <c r="I1425" s="7" t="str">
        <f aca="false">IF($G1425="","Unmatched","Matched")</f>
        <v>Unmatched</v>
      </c>
      <c r="J1425" s="7" t="str">
        <f aca="false">IF($G1425&lt;&gt;"",$G1425,$B1425)</f>
        <v>ST10 0</v>
      </c>
      <c r="K1425" s="7" t="str">
        <f aca="false">IF(COUNTIF($O$2:$O$16,$A1425)&gt;0,"Y","N")</f>
        <v>Y</v>
      </c>
    </row>
    <row r="1426" customFormat="false" ht="15" hidden="false" customHeight="false" outlineLevel="0" collapsed="false">
      <c r="A1426" s="7" t="s">
        <v>42</v>
      </c>
      <c r="B1426" s="7" t="s">
        <v>513</v>
      </c>
      <c r="C1426" s="8" t="n">
        <v>0</v>
      </c>
      <c r="D1426" s="8" t="n">
        <v>0</v>
      </c>
      <c r="E1426" s="8" t="n">
        <v>630</v>
      </c>
      <c r="F1426" s="8" t="n">
        <v>28285.4</v>
      </c>
      <c r="G1426" s="7" t="n">
        <f aca="false">IFERROR(INDEX('TRANS'!$B:$B,MATCH($B1426,'TRANS'!$A:$A,0)),IFERROR(INDEX('TRANS'!$B:$B,MATCH(TRIM(SUBSTITUTE($B1426,CHAR(160)," ")),'TRANS'!$D:$D,0)),IFERROR(INDEX('Catalog'!$A:$A,MATCH($B1426,'Catalog'!$B:$B,0)),IFERROR(INDEX('Catalog'!$A:$A,MATCH(TRIM(SUBSTITUTE($B1426,CHAR(160)," ")),'Catalog'!$C:$C,0)),""))))</f>
        <v>4408270</v>
      </c>
      <c r="H1426" s="7" t="str">
        <f aca="false">IFERROR(INDEX('TRANS'!$C:$C,MATCH($B1426,'TRANS'!$A:$A,0)),IFERROR(INDEX('Catalog'!$B:$B,MATCH($G1426,'Catalog'!$A:$A,0)),$B1426))</f>
        <v>ST11  חגורת בטן</v>
      </c>
      <c r="I1426" s="7" t="str">
        <f aca="false">IF($G1426="","Unmatched","Matched")</f>
        <v>Matched</v>
      </c>
      <c r="J1426" s="7" t="n">
        <f aca="false">IF($G1426&lt;&gt;"",$G1426,$B1426)</f>
        <v>4408270</v>
      </c>
      <c r="K1426" s="7" t="str">
        <f aca="false">IF(COUNTIF($O$2:$O$16,$A1426)&gt;0,"Y","N")</f>
        <v>Y</v>
      </c>
    </row>
    <row r="1427" customFormat="false" ht="15" hidden="false" customHeight="false" outlineLevel="0" collapsed="false">
      <c r="A1427" s="7" t="s">
        <v>42</v>
      </c>
      <c r="B1427" s="7" t="s">
        <v>514</v>
      </c>
      <c r="C1427" s="8" t="n">
        <v>4800</v>
      </c>
      <c r="D1427" s="8" t="n">
        <v>66726.56</v>
      </c>
      <c r="E1427" s="8" t="n">
        <v>5500</v>
      </c>
      <c r="F1427" s="8" t="n">
        <v>77415.73</v>
      </c>
      <c r="G1427" s="7" t="n">
        <f aca="false">IFERROR(INDEX('TRANS'!$B:$B,MATCH($B1427,'TRANS'!$A:$A,0)),IFERROR(INDEX('TRANS'!$B:$B,MATCH(TRIM(SUBSTITUTE($B1427,CHAR(160)," ")),'TRANS'!$D:$D,0)),IFERROR(INDEX('Catalog'!$A:$A,MATCH($B1427,'Catalog'!$B:$B,0)),IFERROR(INDEX('Catalog'!$A:$A,MATCH(TRIM(SUBSTITUTE($B1427,CHAR(160)," ")),'Catalog'!$C:$C,0)),""))))</f>
        <v>4408267</v>
      </c>
      <c r="H1427" s="7" t="str">
        <f aca="false">IFERROR(INDEX('TRANS'!$C:$C,MATCH($B1427,'TRANS'!$A:$A,0)),IFERROR(INDEX('Catalog'!$B:$B,MATCH($G1427,'Catalog'!$A:$A,0)),$B1427))</f>
        <v>ST25 חבק שורש לכף היד</v>
      </c>
      <c r="I1427" s="7" t="str">
        <f aca="false">IF($G1427="","Unmatched","Matched")</f>
        <v>Matched</v>
      </c>
      <c r="J1427" s="7" t="n">
        <f aca="false">IF($G1427&lt;&gt;"",$G1427,$B1427)</f>
        <v>4408267</v>
      </c>
      <c r="K1427" s="7" t="str">
        <f aca="false">IF(COUNTIF($O$2:$O$16,$A1427)&gt;0,"Y","N")</f>
        <v>Y</v>
      </c>
    </row>
    <row r="1428" customFormat="false" ht="15" hidden="false" customHeight="false" outlineLevel="0" collapsed="false">
      <c r="A1428" s="7" t="s">
        <v>42</v>
      </c>
      <c r="B1428" s="7" t="s">
        <v>77</v>
      </c>
      <c r="C1428" s="8" t="n">
        <v>5</v>
      </c>
      <c r="D1428" s="8" t="n">
        <v>78.44</v>
      </c>
      <c r="E1428" s="8" t="n">
        <v>135</v>
      </c>
      <c r="F1428" s="8" t="n">
        <v>2205.05</v>
      </c>
      <c r="G1428" s="7" t="str">
        <f aca="false">IFERROR(INDEX('TRANS'!$B:$B,MATCH($B1428,'TRANS'!$A:$A,0)),IFERROR(INDEX('TRANS'!$B:$B,MATCH(TRIM(SUBSTITUTE($B1428,CHAR(160)," ")),'TRANS'!$D:$D,0)),IFERROR(INDEX('Catalog'!$A:$A,MATCH($B1428,'Catalog'!$B:$B,0)),IFERROR(INDEX('Catalog'!$A:$A,MATCH(TRIM(SUBSTITUTE($B1428,CHAR(160)," ")),'Catalog'!$C:$C,0)),""))))</f>
        <v/>
      </c>
      <c r="H1428" s="7" t="str">
        <f aca="false">IFERROR(INDEX('TRANS'!$C:$C,MATCH($B1428,'TRANS'!$A:$A,0)),IFERROR(INDEX('Catalog'!$B:$B,MATCH($G1428,'Catalog'!$A:$A,0)),$B1428))</f>
        <v>ST27L 0</v>
      </c>
      <c r="I1428" s="7" t="str">
        <f aca="false">IF($G1428="","Unmatched","Matched")</f>
        <v>Unmatched</v>
      </c>
      <c r="J1428" s="7" t="str">
        <f aca="false">IF($G1428&lt;&gt;"",$G1428,$B1428)</f>
        <v>ST27L 0</v>
      </c>
      <c r="K1428" s="7" t="str">
        <f aca="false">IF(COUNTIF($O$2:$O$16,$A1428)&gt;0,"Y","N")</f>
        <v>Y</v>
      </c>
    </row>
    <row r="1429" customFormat="false" ht="15" hidden="false" customHeight="false" outlineLevel="0" collapsed="false">
      <c r="A1429" s="7" t="s">
        <v>42</v>
      </c>
      <c r="B1429" s="7" t="s">
        <v>75</v>
      </c>
      <c r="C1429" s="8" t="n">
        <v>159</v>
      </c>
      <c r="D1429" s="8" t="n">
        <v>2642.53</v>
      </c>
      <c r="E1429" s="8" t="n">
        <v>155</v>
      </c>
      <c r="F1429" s="8" t="n">
        <v>2532.72</v>
      </c>
      <c r="G1429" s="7" t="str">
        <f aca="false">IFERROR(INDEX('TRANS'!$B:$B,MATCH($B1429,'TRANS'!$A:$A,0)),IFERROR(INDEX('TRANS'!$B:$B,MATCH(TRIM(SUBSTITUTE($B1429,CHAR(160)," ")),'TRANS'!$D:$D,0)),IFERROR(INDEX('Catalog'!$A:$A,MATCH($B1429,'Catalog'!$B:$B,0)),IFERROR(INDEX('Catalog'!$A:$A,MATCH(TRIM(SUBSTITUTE($B1429,CHAR(160)," ")),'Catalog'!$C:$C,0)),""))))</f>
        <v/>
      </c>
      <c r="H1429" s="7" t="str">
        <f aca="false">IFERROR(INDEX('TRANS'!$C:$C,MATCH($B1429,'TRANS'!$A:$A,0)),IFERROR(INDEX('Catalog'!$B:$B,MATCH($G1429,'Catalog'!$A:$A,0)),$B1429))</f>
        <v>ST27R 0</v>
      </c>
      <c r="I1429" s="7" t="str">
        <f aca="false">IF($G1429="","Unmatched","Matched")</f>
        <v>Unmatched</v>
      </c>
      <c r="J1429" s="7" t="str">
        <f aca="false">IF($G1429&lt;&gt;"",$G1429,$B1429)</f>
        <v>ST27R 0</v>
      </c>
      <c r="K1429" s="7" t="str">
        <f aca="false">IF(COUNTIF($O$2:$O$16,$A1429)&gt;0,"Y","N")</f>
        <v>Y</v>
      </c>
    </row>
    <row r="1430" customFormat="false" ht="15" hidden="false" customHeight="false" outlineLevel="0" collapsed="false">
      <c r="A1430" s="7" t="s">
        <v>42</v>
      </c>
      <c r="B1430" s="7" t="s">
        <v>515</v>
      </c>
      <c r="C1430" s="8" t="n">
        <v>250</v>
      </c>
      <c r="D1430" s="8" t="n">
        <v>3848.53</v>
      </c>
      <c r="E1430" s="8" t="n">
        <v>300</v>
      </c>
      <c r="F1430" s="8" t="n">
        <v>4576.1</v>
      </c>
      <c r="G1430" s="7" t="n">
        <f aca="false">IFERROR(INDEX('TRANS'!$B:$B,MATCH($B1430,'TRANS'!$A:$A,0)),IFERROR(INDEX('TRANS'!$B:$B,MATCH(TRIM(SUBSTITUTE($B1430,CHAR(160)," ")),'TRANS'!$D:$D,0)),IFERROR(INDEX('Catalog'!$A:$A,MATCH($B1430,'Catalog'!$B:$B,0)),IFERROR(INDEX('Catalog'!$A:$A,MATCH(TRIM(SUBSTITUTE($B1430,CHAR(160)," ")),'Catalog'!$C:$C,0)),""))))</f>
        <v>4415177</v>
      </c>
      <c r="H1430" s="7" t="str">
        <f aca="false">IFERROR(INDEX('TRANS'!$C:$C,MATCH($B1430,'TRANS'!$A:$A,0)),IFERROR(INDEX('Catalog'!$B:$B,MATCH($G1430,'Catalog'!$A:$A,0)),$B1430))</f>
        <v>ST28 סד אגודלי עם מוט תמיכה</v>
      </c>
      <c r="I1430" s="7" t="str">
        <f aca="false">IF($G1430="","Unmatched","Matched")</f>
        <v>Matched</v>
      </c>
      <c r="J1430" s="7" t="n">
        <f aca="false">IF($G1430&lt;&gt;"",$G1430,$B1430)</f>
        <v>4415177</v>
      </c>
      <c r="K1430" s="7" t="str">
        <f aca="false">IF(COUNTIF($O$2:$O$16,$A1430)&gt;0,"Y","N")</f>
        <v>Y</v>
      </c>
    </row>
    <row r="1431" customFormat="false" ht="15" hidden="false" customHeight="false" outlineLevel="0" collapsed="false">
      <c r="A1431" s="7" t="s">
        <v>42</v>
      </c>
      <c r="B1431" s="7" t="s">
        <v>516</v>
      </c>
      <c r="C1431" s="8" t="n">
        <v>550</v>
      </c>
      <c r="D1431" s="8" t="n">
        <v>8740.02</v>
      </c>
      <c r="E1431" s="8" t="n">
        <v>490</v>
      </c>
      <c r="F1431" s="8" t="n">
        <v>6920.5</v>
      </c>
      <c r="G1431" s="7" t="n">
        <f aca="false">IFERROR(INDEX('TRANS'!$B:$B,MATCH($B1431,'TRANS'!$A:$A,0)),IFERROR(INDEX('TRANS'!$B:$B,MATCH(TRIM(SUBSTITUTE($B1431,CHAR(160)," ")),'TRANS'!$D:$D,0)),IFERROR(INDEX('Catalog'!$A:$A,MATCH($B1431,'Catalog'!$B:$B,0)),IFERROR(INDEX('Catalog'!$A:$A,MATCH(TRIM(SUBSTITUTE($B1431,CHAR(160)," ")),'Catalog'!$C:$C,0)),""))))</f>
        <v>4408269</v>
      </c>
      <c r="H1431" s="7" t="str">
        <f aca="false">IFERROR(INDEX('TRANS'!$C:$C,MATCH($B1431,'TRANS'!$A:$A,0)),IFERROR(INDEX('Catalog'!$B:$B,MATCH($G1431,'Catalog'!$A:$A,0)),$B1431))</f>
        <v>ST37 חבק לקרסול</v>
      </c>
      <c r="I1431" s="7" t="str">
        <f aca="false">IF($G1431="","Unmatched","Matched")</f>
        <v>Matched</v>
      </c>
      <c r="J1431" s="7" t="n">
        <f aca="false">IF($G1431&lt;&gt;"",$G1431,$B1431)</f>
        <v>4408269</v>
      </c>
      <c r="K1431" s="7" t="str">
        <f aca="false">IF(COUNTIF($O$2:$O$16,$A1431)&gt;0,"Y","N")</f>
        <v>Y</v>
      </c>
    </row>
    <row r="1432" customFormat="false" ht="15" hidden="false" customHeight="false" outlineLevel="0" collapsed="false">
      <c r="A1432" s="7" t="s">
        <v>42</v>
      </c>
      <c r="B1432" s="7" t="s">
        <v>389</v>
      </c>
      <c r="C1432" s="8" t="n">
        <v>20</v>
      </c>
      <c r="D1432" s="8" t="n">
        <v>586.92</v>
      </c>
      <c r="E1432" s="8" t="n">
        <v>25</v>
      </c>
      <c r="F1432" s="8" t="n">
        <v>778.82</v>
      </c>
      <c r="G1432" s="7" t="n">
        <f aca="false">IFERROR(INDEX('TRANS'!$B:$B,MATCH($B1432,'TRANS'!$A:$A,0)),IFERROR(INDEX('TRANS'!$B:$B,MATCH(TRIM(SUBSTITUTE($B1432,CHAR(160)," ")),'TRANS'!$D:$D,0)),IFERROR(INDEX('Catalog'!$A:$A,MATCH($B1432,'Catalog'!$B:$B,0)),IFERROR(INDEX('Catalog'!$A:$A,MATCH(TRIM(SUBSTITUTE($B1432,CHAR(160)," ")),'Catalog'!$C:$C,0)),""))))</f>
        <v>4402011</v>
      </c>
      <c r="H1432" s="7" t="str">
        <f aca="false">IFERROR(INDEX('TRANS'!$C:$C,MATCH($B1432,'TRANS'!$A:$A,0)),IFERROR(INDEX('Catalog'!$B:$B,MATCH($G1432,'Catalog'!$A:$A,0)),$B1432))</f>
        <v>S-XLST422 מגן ברך+כרית ג'ל</v>
      </c>
      <c r="I1432" s="7" t="str">
        <f aca="false">IF($G1432="","Unmatched","Matched")</f>
        <v>Matched</v>
      </c>
      <c r="J1432" s="7" t="n">
        <f aca="false">IF($G1432&lt;&gt;"",$G1432,$B1432)</f>
        <v>4402011</v>
      </c>
      <c r="K1432" s="7" t="str">
        <f aca="false">IF(COUNTIF($O$2:$O$16,$A1432)&gt;0,"Y","N")</f>
        <v>Y</v>
      </c>
    </row>
    <row r="1433" customFormat="false" ht="15" hidden="false" customHeight="false" outlineLevel="0" collapsed="false">
      <c r="A1433" s="7" t="s">
        <v>42</v>
      </c>
      <c r="B1433" s="7" t="s">
        <v>651</v>
      </c>
      <c r="C1433" s="8" t="n">
        <v>60</v>
      </c>
      <c r="D1433" s="8" t="n">
        <v>4107.28</v>
      </c>
      <c r="E1433" s="8" t="n">
        <v>50</v>
      </c>
      <c r="F1433" s="8" t="n">
        <v>3265.99</v>
      </c>
      <c r="G1433" s="7" t="n">
        <f aca="false">IFERROR(INDEX('TRANS'!$B:$B,MATCH($B1433,'TRANS'!$A:$A,0)),IFERROR(INDEX('TRANS'!$B:$B,MATCH(TRIM(SUBSTITUTE($B1433,CHAR(160)," ")),'TRANS'!$D:$D,0)),IFERROR(INDEX('Catalog'!$A:$A,MATCH($B1433,'Catalog'!$B:$B,0)),IFERROR(INDEX('Catalog'!$A:$A,MATCH(TRIM(SUBSTITUTE($B1433,CHAR(160)," ")),'Catalog'!$C:$C,0)),""))))</f>
        <v>4413532</v>
      </c>
      <c r="H1433" s="7" t="str">
        <f aca="false">IFERROR(INDEX('TRANS'!$C:$C,MATCH($B1433,'TRANS'!$A:$A,0)),IFERROR(INDEX('Catalog'!$B:$B,MATCH($G1433,'Catalog'!$A:$A,0)),$B1433))</f>
        <v>ST433 H מגן ברך עם ציר</v>
      </c>
      <c r="I1433" s="7" t="str">
        <f aca="false">IF($G1433="","Unmatched","Matched")</f>
        <v>Matched</v>
      </c>
      <c r="J1433" s="7" t="n">
        <f aca="false">IF($G1433&lt;&gt;"",$G1433,$B1433)</f>
        <v>4413532</v>
      </c>
      <c r="K1433" s="7" t="str">
        <f aca="false">IF(COUNTIF($O$2:$O$16,$A1433)&gt;0,"Y","N")</f>
        <v>Y</v>
      </c>
    </row>
    <row r="1434" customFormat="false" ht="15" hidden="false" customHeight="false" outlineLevel="0" collapsed="false">
      <c r="A1434" s="7" t="s">
        <v>42</v>
      </c>
      <c r="B1434" s="7" t="s">
        <v>59</v>
      </c>
      <c r="C1434" s="8" t="n">
        <v>1550</v>
      </c>
      <c r="D1434" s="8" t="n">
        <v>27116.8</v>
      </c>
      <c r="E1434" s="8" t="n">
        <v>2928</v>
      </c>
      <c r="F1434" s="8" t="n">
        <v>48283.04</v>
      </c>
      <c r="G1434" s="7" t="str">
        <f aca="false">IFERROR(INDEX('TRANS'!$B:$B,MATCH($B1434,'TRANS'!$A:$A,0)),IFERROR(INDEX('TRANS'!$B:$B,MATCH(TRIM(SUBSTITUTE($B1434,CHAR(160)," ")),'TRANS'!$D:$D,0)),IFERROR(INDEX('Catalog'!$A:$A,MATCH($B1434,'Catalog'!$B:$B,0)),IFERROR(INDEX('Catalog'!$A:$A,MATCH(TRIM(SUBSTITUTE($B1434,CHAR(160)," ")),'Catalog'!$C:$C,0)),""))))</f>
        <v/>
      </c>
      <c r="H1434" s="7" t="str">
        <f aca="false">IFERROR(INDEX('TRANS'!$C:$C,MATCH($B1434,'TRANS'!$A:$A,0)),IFERROR(INDEX('Catalog'!$B:$B,MATCH($G1434,'Catalog'!$A:$A,0)),$B1434))</f>
        <v>ST45X 0</v>
      </c>
      <c r="I1434" s="7" t="str">
        <f aca="false">IF($G1434="","Unmatched","Matched")</f>
        <v>Unmatched</v>
      </c>
      <c r="J1434" s="7" t="str">
        <f aca="false">IF($G1434&lt;&gt;"",$G1434,$B1434)</f>
        <v>ST45X 0</v>
      </c>
      <c r="K1434" s="7" t="str">
        <f aca="false">IF(COUNTIF($O$2:$O$16,$A1434)&gt;0,"Y","N")</f>
        <v>Y</v>
      </c>
    </row>
    <row r="1435" customFormat="false" ht="15" hidden="false" customHeight="false" outlineLevel="0" collapsed="false">
      <c r="A1435" s="7" t="s">
        <v>42</v>
      </c>
      <c r="B1435" s="7" t="s">
        <v>517</v>
      </c>
      <c r="C1435" s="8" t="n">
        <v>75</v>
      </c>
      <c r="D1435" s="8" t="n">
        <v>1271.38</v>
      </c>
      <c r="E1435" s="8" t="n">
        <v>115</v>
      </c>
      <c r="F1435" s="8" t="n">
        <v>1821.12</v>
      </c>
      <c r="G1435" s="7" t="n">
        <f aca="false">IFERROR(INDEX('TRANS'!$B:$B,MATCH($B1435,'TRANS'!$A:$A,0)),IFERROR(INDEX('TRANS'!$B:$B,MATCH(TRIM(SUBSTITUTE($B1435,CHAR(160)," ")),'TRANS'!$D:$D,0)),IFERROR(INDEX('Catalog'!$A:$A,MATCH($B1435,'Catalog'!$B:$B,0)),IFERROR(INDEX('Catalog'!$A:$A,MATCH(TRIM(SUBSTITUTE($B1435,CHAR(160)," ")),'Catalog'!$C:$C,0)),""))))</f>
        <v>4413533</v>
      </c>
      <c r="H1435" s="7" t="str">
        <f aca="false">IFERROR(INDEX('TRANS'!$C:$C,MATCH($B1435,'TRANS'!$A:$A,0)),IFERROR(INDEX('Catalog'!$B:$B,MATCH($G1435,'Catalog'!$A:$A,0)),$B1435))</f>
        <v>ST49 מגן ירך</v>
      </c>
      <c r="I1435" s="7" t="str">
        <f aca="false">IF($G1435="","Unmatched","Matched")</f>
        <v>Matched</v>
      </c>
      <c r="J1435" s="7" t="n">
        <f aca="false">IF($G1435&lt;&gt;"",$G1435,$B1435)</f>
        <v>4413533</v>
      </c>
      <c r="K1435" s="7" t="str">
        <f aca="false">IF(COUNTIF($O$2:$O$16,$A1435)&gt;0,"Y","N")</f>
        <v>Y</v>
      </c>
    </row>
    <row r="1436" customFormat="false" ht="15" hidden="false" customHeight="false" outlineLevel="0" collapsed="false">
      <c r="A1436" s="7" t="s">
        <v>42</v>
      </c>
      <c r="B1436" s="7" t="s">
        <v>518</v>
      </c>
      <c r="C1436" s="8" t="n">
        <v>340</v>
      </c>
      <c r="D1436" s="8" t="n">
        <v>4904.87</v>
      </c>
      <c r="E1436" s="8" t="n">
        <v>360</v>
      </c>
      <c r="F1436" s="8" t="n">
        <v>5216.74</v>
      </c>
      <c r="G1436" s="7" t="n">
        <f aca="false">IFERROR(INDEX('TRANS'!$B:$B,MATCH($B1436,'TRANS'!$A:$A,0)),IFERROR(INDEX('TRANS'!$B:$B,MATCH(TRIM(SUBSTITUTE($B1436,CHAR(160)," ")),'TRANS'!$D:$D,0)),IFERROR(INDEX('Catalog'!$A:$A,MATCH($B1436,'Catalog'!$B:$B,0)),IFERROR(INDEX('Catalog'!$A:$A,MATCH(TRIM(SUBSTITUTE($B1436,CHAR(160)," ")),'Catalog'!$C:$C,0)),""))))</f>
        <v>4413531</v>
      </c>
      <c r="H1436" s="7" t="str">
        <f aca="false">IFERROR(INDEX('TRANS'!$C:$C,MATCH($B1436,'TRANS'!$A:$A,0)),IFERROR(INDEX('Catalog'!$B:$B,MATCH($G1436,'Catalog'!$A:$A,0)),$B1436))</f>
        <v>ST91 מגן מרפק לטניס</v>
      </c>
      <c r="I1436" s="7" t="str">
        <f aca="false">IF($G1436="","Unmatched","Matched")</f>
        <v>Matched</v>
      </c>
      <c r="J1436" s="7" t="n">
        <f aca="false">IF($G1436&lt;&gt;"",$G1436,$B1436)</f>
        <v>4413531</v>
      </c>
      <c r="K1436" s="7" t="str">
        <f aca="false">IF(COUNTIF($O$2:$O$16,$A1436)&gt;0,"Y","N")</f>
        <v>Y</v>
      </c>
    </row>
    <row r="1437" customFormat="false" ht="15" hidden="false" customHeight="false" outlineLevel="0" collapsed="false">
      <c r="A1437" s="7" t="s">
        <v>42</v>
      </c>
      <c r="B1437" s="7" t="s">
        <v>71</v>
      </c>
      <c r="C1437" s="8" t="n">
        <v>160</v>
      </c>
      <c r="D1437" s="8" t="n">
        <v>2769.61</v>
      </c>
      <c r="E1437" s="8" t="n">
        <v>370</v>
      </c>
      <c r="F1437" s="8" t="n">
        <v>6466.05</v>
      </c>
      <c r="G1437" s="7" t="str">
        <f aca="false">IFERROR(INDEX('TRANS'!$B:$B,MATCH($B1437,'TRANS'!$A:$A,0)),IFERROR(INDEX('TRANS'!$B:$B,MATCH(TRIM(SUBSTITUTE($B1437,CHAR(160)," ")),'TRANS'!$D:$D,0)),IFERROR(INDEX('Catalog'!$A:$A,MATCH($B1437,'Catalog'!$B:$B,0)),IFERROR(INDEX('Catalog'!$A:$A,MATCH(TRIM(SUBSTITUTE($B1437,CHAR(160)," ")),'Catalog'!$C:$C,0)),""))))</f>
        <v/>
      </c>
      <c r="H1437" s="7" t="str">
        <f aca="false">IFERROR(INDEX('TRANS'!$C:$C,MATCH($B1437,'TRANS'!$A:$A,0)),IFERROR(INDEX('Catalog'!$B:$B,MATCH($G1437,'Catalog'!$A:$A,0)),$B1437))</f>
        <v>ST95 0</v>
      </c>
      <c r="I1437" s="7" t="str">
        <f aca="false">IF($G1437="","Unmatched","Matched")</f>
        <v>Unmatched</v>
      </c>
      <c r="J1437" s="7" t="str">
        <f aca="false">IF($G1437&lt;&gt;"",$G1437,$B1437)</f>
        <v>ST95 0</v>
      </c>
      <c r="K1437" s="7" t="str">
        <f aca="false">IF(COUNTIF($O$2:$O$16,$A1437)&gt;0,"Y","N")</f>
        <v>Y</v>
      </c>
    </row>
    <row r="1438" customFormat="false" ht="15" hidden="false" customHeight="false" outlineLevel="0" collapsed="false">
      <c r="A1438" s="7" t="s">
        <v>42</v>
      </c>
      <c r="B1438" s="7" t="s">
        <v>175</v>
      </c>
      <c r="C1438" s="8" t="n">
        <v>0</v>
      </c>
      <c r="D1438" s="8" t="n">
        <v>0</v>
      </c>
      <c r="E1438" s="8" t="n">
        <v>1</v>
      </c>
      <c r="F1438" s="8" t="n">
        <v>0.03</v>
      </c>
      <c r="G1438" s="7" t="str">
        <f aca="false">IFERROR(INDEX('TRANS'!$B:$B,MATCH($B1438,'TRANS'!$A:$A,0)),IFERROR(INDEX('TRANS'!$B:$B,MATCH(TRIM(SUBSTITUTE($B1438,CHAR(160)," ")),'TRANS'!$D:$D,0)),IFERROR(INDEX('Catalog'!$A:$A,MATCH($B1438,'Catalog'!$B:$B,0)),IFERROR(INDEX('Catalog'!$A:$A,MATCH(TRIM(SUBSTITUTE($B1438,CHAR(160)," ")),'Catalog'!$C:$C,0)),""))))</f>
        <v/>
      </c>
      <c r="H1438" s="7" t="str">
        <f aca="false">IFERROR(INDEX('TRANS'!$C:$C,MATCH($B1438,'TRANS'!$A:$A,0)),IFERROR(INDEX('Catalog'!$B:$B,MATCH($G1438,'Catalog'!$A:$A,0)),$B1438))</f>
        <v>T066B-L-XL</v>
      </c>
      <c r="I1438" s="7" t="str">
        <f aca="false">IF($G1438="","Unmatched","Matched")</f>
        <v>Unmatched</v>
      </c>
      <c r="J1438" s="7" t="str">
        <f aca="false">IF($G1438&lt;&gt;"",$G1438,$B1438)</f>
        <v>T066B-L-XL</v>
      </c>
      <c r="K1438" s="7" t="str">
        <f aca="false">IF(COUNTIF($O$2:$O$16,$A1438)&gt;0,"Y","N")</f>
        <v>Y</v>
      </c>
    </row>
    <row r="1439" customFormat="false" ht="15" hidden="false" customHeight="false" outlineLevel="0" collapsed="false">
      <c r="A1439" s="7" t="s">
        <v>42</v>
      </c>
      <c r="B1439" s="7" t="s">
        <v>391</v>
      </c>
      <c r="C1439" s="8" t="n">
        <v>0</v>
      </c>
      <c r="D1439" s="8" t="n">
        <v>0</v>
      </c>
      <c r="E1439" s="8" t="n">
        <v>20</v>
      </c>
      <c r="F1439" s="8" t="n">
        <v>505.63</v>
      </c>
      <c r="G1439" s="7" t="n">
        <f aca="false">IFERROR(INDEX('TRANS'!$B:$B,MATCH($B1439,'TRANS'!$A:$A,0)),IFERROR(INDEX('TRANS'!$B:$B,MATCH(TRIM(SUBSTITUTE($B1439,CHAR(160)," ")),'TRANS'!$D:$D,0)),IFERROR(INDEX('Catalog'!$A:$A,MATCH($B1439,'Catalog'!$B:$B,0)),IFERROR(INDEX('Catalog'!$A:$A,MATCH(TRIM(SUBSTITUTE($B1439,CHAR(160)," ")),'Catalog'!$C:$C,0)),""))))</f>
        <v>4415073</v>
      </c>
      <c r="H1439" s="7" t="str">
        <f aca="false">IFERROR(INDEX('TRANS'!$C:$C,MATCH($B1439,'TRANS'!$A:$A,0)),IFERROR(INDEX('Catalog'!$B:$B,MATCH($G1439,'Catalog'!$A:$A,0)),$B1439))</f>
        <v>T28A L-XL סד לאגודל</v>
      </c>
      <c r="I1439" s="7" t="str">
        <f aca="false">IF($G1439="","Unmatched","Matched")</f>
        <v>Matched</v>
      </c>
      <c r="J1439" s="7" t="n">
        <f aca="false">IF($G1439&lt;&gt;"",$G1439,$B1439)</f>
        <v>4415073</v>
      </c>
      <c r="K1439" s="7" t="str">
        <f aca="false">IF(COUNTIF($O$2:$O$16,$A1439)&gt;0,"Y","N")</f>
        <v>Y</v>
      </c>
    </row>
    <row r="1440" customFormat="false" ht="15" hidden="false" customHeight="false" outlineLevel="0" collapsed="false">
      <c r="A1440" s="7" t="s">
        <v>42</v>
      </c>
      <c r="B1440" s="7" t="s">
        <v>392</v>
      </c>
      <c r="C1440" s="8" t="n">
        <v>22</v>
      </c>
      <c r="D1440" s="8" t="n">
        <v>565.24</v>
      </c>
      <c r="E1440" s="8" t="n">
        <v>25</v>
      </c>
      <c r="F1440" s="8" t="n">
        <v>600.86</v>
      </c>
      <c r="G1440" s="7" t="n">
        <f aca="false">IFERROR(INDEX('TRANS'!$B:$B,MATCH($B1440,'TRANS'!$A:$A,0)),IFERROR(INDEX('TRANS'!$B:$B,MATCH(TRIM(SUBSTITUTE($B1440,CHAR(160)," ")),'TRANS'!$D:$D,0)),IFERROR(INDEX('Catalog'!$A:$A,MATCH($B1440,'Catalog'!$B:$B,0)),IFERROR(INDEX('Catalog'!$A:$A,MATCH(TRIM(SUBSTITUTE($B1440,CHAR(160)," ")),'Catalog'!$C:$C,0)),""))))</f>
        <v>4415072</v>
      </c>
      <c r="H1440" s="7" t="str">
        <f aca="false">IFERROR(INDEX('TRANS'!$C:$C,MATCH($B1440,'TRANS'!$A:$A,0)),IFERROR(INDEX('Catalog'!$B:$B,MATCH($G1440,'Catalog'!$A:$A,0)),$B1440))</f>
        <v>T28A S-M סד לאגודל</v>
      </c>
      <c r="I1440" s="7" t="str">
        <f aca="false">IF($G1440="","Unmatched","Matched")</f>
        <v>Matched</v>
      </c>
      <c r="J1440" s="7" t="n">
        <f aca="false">IF($G1440&lt;&gt;"",$G1440,$B1440)</f>
        <v>4415072</v>
      </c>
      <c r="K1440" s="7" t="str">
        <f aca="false">IF(COUNTIF($O$2:$O$16,$A1440)&gt;0,"Y","N")</f>
        <v>Y</v>
      </c>
    </row>
    <row r="1441" customFormat="false" ht="15" hidden="false" customHeight="false" outlineLevel="0" collapsed="false">
      <c r="A1441" s="7" t="s">
        <v>42</v>
      </c>
      <c r="B1441" s="7" t="s">
        <v>176</v>
      </c>
      <c r="C1441" s="8" t="n">
        <v>0</v>
      </c>
      <c r="D1441" s="8" t="n">
        <v>0</v>
      </c>
      <c r="E1441" s="8" t="n">
        <v>1</v>
      </c>
      <c r="F1441" s="8" t="n">
        <v>0.03</v>
      </c>
      <c r="G1441" s="7" t="str">
        <f aca="false">IFERROR(INDEX('TRANS'!$B:$B,MATCH($B1441,'TRANS'!$A:$A,0)),IFERROR(INDEX('TRANS'!$B:$B,MATCH(TRIM(SUBSTITUTE($B1441,CHAR(160)," ")),'TRANS'!$D:$D,0)),IFERROR(INDEX('Catalog'!$A:$A,MATCH($B1441,'Catalog'!$B:$B,0)),IFERROR(INDEX('Catalog'!$A:$A,MATCH(TRIM(SUBSTITUTE($B1441,CHAR(160)," ")),'Catalog'!$C:$C,0)),""))))</f>
        <v/>
      </c>
      <c r="H1441" s="7" t="str">
        <f aca="false">IFERROR(INDEX('TRANS'!$C:$C,MATCH($B1441,'TRANS'!$A:$A,0)),IFERROR(INDEX('Catalog'!$B:$B,MATCH($G1441,'Catalog'!$A:$A,0)),$B1441))</f>
        <v>T36B L</v>
      </c>
      <c r="I1441" s="7" t="str">
        <f aca="false">IF($G1441="","Unmatched","Matched")</f>
        <v>Unmatched</v>
      </c>
      <c r="J1441" s="7" t="str">
        <f aca="false">IF($G1441&lt;&gt;"",$G1441,$B1441)</f>
        <v>T36B L</v>
      </c>
      <c r="K1441" s="7" t="str">
        <f aca="false">IF(COUNTIF($O$2:$O$16,$A1441)&gt;0,"Y","N")</f>
        <v>Y</v>
      </c>
    </row>
    <row r="1442" customFormat="false" ht="15" hidden="false" customHeight="false" outlineLevel="0" collapsed="false">
      <c r="A1442" s="7" t="s">
        <v>42</v>
      </c>
      <c r="B1442" s="7" t="s">
        <v>243</v>
      </c>
      <c r="C1442" s="8" t="n">
        <v>5</v>
      </c>
      <c r="D1442" s="8" t="n">
        <v>218.76</v>
      </c>
      <c r="E1442" s="8" t="n">
        <v>0</v>
      </c>
      <c r="F1442" s="8" t="n">
        <v>0</v>
      </c>
      <c r="G1442" s="7" t="str">
        <f aca="false">IFERROR(INDEX('TRANS'!$B:$B,MATCH($B1442,'TRANS'!$A:$A,0)),IFERROR(INDEX('TRANS'!$B:$B,MATCH(TRIM(SUBSTITUTE($B1442,CHAR(160)," ")),'TRANS'!$D:$D,0)),IFERROR(INDEX('Catalog'!$A:$A,MATCH($B1442,'Catalog'!$B:$B,0)),IFERROR(INDEX('Catalog'!$A:$A,MATCH(TRIM(SUBSTITUTE($B1442,CHAR(160)," ")),'Catalog'!$C:$C,0)),""))))</f>
        <v/>
      </c>
      <c r="H1442" s="7" t="str">
        <f aca="false">IFERROR(INDEX('TRANS'!$C:$C,MATCH($B1442,'TRANS'!$A:$A,0)),IFERROR(INDEX('Catalog'!$B:$B,MATCH($G1442,'Catalog'!$A:$A,0)),$B1442))</f>
        <v>T402 L</v>
      </c>
      <c r="I1442" s="7" t="str">
        <f aca="false">IF($G1442="","Unmatched","Matched")</f>
        <v>Unmatched</v>
      </c>
      <c r="J1442" s="7" t="str">
        <f aca="false">IF($G1442&lt;&gt;"",$G1442,$B1442)</f>
        <v>T402 L</v>
      </c>
      <c r="K1442" s="7" t="str">
        <f aca="false">IF(COUNTIF($O$2:$O$16,$A1442)&gt;0,"Y","N")</f>
        <v>Y</v>
      </c>
    </row>
    <row r="1443" customFormat="false" ht="15" hidden="false" customHeight="false" outlineLevel="0" collapsed="false">
      <c r="A1443" s="7" t="s">
        <v>42</v>
      </c>
      <c r="B1443" s="7" t="s">
        <v>244</v>
      </c>
      <c r="C1443" s="8" t="n">
        <v>5</v>
      </c>
      <c r="D1443" s="8" t="n">
        <v>218.76</v>
      </c>
      <c r="E1443" s="8" t="n">
        <v>0</v>
      </c>
      <c r="F1443" s="8" t="n">
        <v>0</v>
      </c>
      <c r="G1443" s="7" t="str">
        <f aca="false">IFERROR(INDEX('TRANS'!$B:$B,MATCH($B1443,'TRANS'!$A:$A,0)),IFERROR(INDEX('TRANS'!$B:$B,MATCH(TRIM(SUBSTITUTE($B1443,CHAR(160)," ")),'TRANS'!$D:$D,0)),IFERROR(INDEX('Catalog'!$A:$A,MATCH($B1443,'Catalog'!$B:$B,0)),IFERROR(INDEX('Catalog'!$A:$A,MATCH(TRIM(SUBSTITUTE($B1443,CHAR(160)," ")),'Catalog'!$C:$C,0)),""))))</f>
        <v/>
      </c>
      <c r="H1443" s="7" t="str">
        <f aca="false">IFERROR(INDEX('TRANS'!$C:$C,MATCH($B1443,'TRANS'!$A:$A,0)),IFERROR(INDEX('Catalog'!$B:$B,MATCH($G1443,'Catalog'!$A:$A,0)),$B1443))</f>
        <v>T402 M</v>
      </c>
      <c r="I1443" s="7" t="str">
        <f aca="false">IF($G1443="","Unmatched","Matched")</f>
        <v>Unmatched</v>
      </c>
      <c r="J1443" s="7" t="str">
        <f aca="false">IF($G1443&lt;&gt;"",$G1443,$B1443)</f>
        <v>T402 M</v>
      </c>
      <c r="K1443" s="7" t="str">
        <f aca="false">IF(COUNTIF($O$2:$O$16,$A1443)&gt;0,"Y","N")</f>
        <v>Y</v>
      </c>
    </row>
    <row r="1444" customFormat="false" ht="15" hidden="false" customHeight="false" outlineLevel="0" collapsed="false">
      <c r="A1444" s="7" t="s">
        <v>42</v>
      </c>
      <c r="B1444" s="7" t="s">
        <v>245</v>
      </c>
      <c r="C1444" s="8" t="n">
        <v>5</v>
      </c>
      <c r="D1444" s="8" t="n">
        <v>218.76</v>
      </c>
      <c r="E1444" s="8" t="n">
        <v>0</v>
      </c>
      <c r="F1444" s="8" t="n">
        <v>0</v>
      </c>
      <c r="G1444" s="7" t="str">
        <f aca="false">IFERROR(INDEX('TRANS'!$B:$B,MATCH($B1444,'TRANS'!$A:$A,0)),IFERROR(INDEX('TRANS'!$B:$B,MATCH(TRIM(SUBSTITUTE($B1444,CHAR(160)," ")),'TRANS'!$D:$D,0)),IFERROR(INDEX('Catalog'!$A:$A,MATCH($B1444,'Catalog'!$B:$B,0)),IFERROR(INDEX('Catalog'!$A:$A,MATCH(TRIM(SUBSTITUTE($B1444,CHAR(160)," ")),'Catalog'!$C:$C,0)),""))))</f>
        <v/>
      </c>
      <c r="H1444" s="7" t="str">
        <f aca="false">IFERROR(INDEX('TRANS'!$C:$C,MATCH($B1444,'TRANS'!$A:$A,0)),IFERROR(INDEX('Catalog'!$B:$B,MATCH($G1444,'Catalog'!$A:$A,0)),$B1444))</f>
        <v>T402 S</v>
      </c>
      <c r="I1444" s="7" t="str">
        <f aca="false">IF($G1444="","Unmatched","Matched")</f>
        <v>Unmatched</v>
      </c>
      <c r="J1444" s="7" t="str">
        <f aca="false">IF($G1444&lt;&gt;"",$G1444,$B1444)</f>
        <v>T402 S</v>
      </c>
      <c r="K1444" s="7" t="str">
        <f aca="false">IF(COUNTIF($O$2:$O$16,$A1444)&gt;0,"Y","N")</f>
        <v>Y</v>
      </c>
    </row>
    <row r="1445" customFormat="false" ht="15" hidden="false" customHeight="false" outlineLevel="0" collapsed="false">
      <c r="A1445" s="7" t="s">
        <v>42</v>
      </c>
      <c r="B1445" s="7" t="s">
        <v>156</v>
      </c>
      <c r="C1445" s="8" t="n">
        <v>5</v>
      </c>
      <c r="D1445" s="8" t="n">
        <v>218.76</v>
      </c>
      <c r="E1445" s="8" t="n">
        <v>0</v>
      </c>
      <c r="F1445" s="8" t="n">
        <v>0</v>
      </c>
      <c r="G1445" s="7" t="str">
        <f aca="false">IFERROR(INDEX('TRANS'!$B:$B,MATCH($B1445,'TRANS'!$A:$A,0)),IFERROR(INDEX('TRANS'!$B:$B,MATCH(TRIM(SUBSTITUTE($B1445,CHAR(160)," ")),'TRANS'!$D:$D,0)),IFERROR(INDEX('Catalog'!$A:$A,MATCH($B1445,'Catalog'!$B:$B,0)),IFERROR(INDEX('Catalog'!$A:$A,MATCH(TRIM(SUBSTITUTE($B1445,CHAR(160)," ")),'Catalog'!$C:$C,0)),""))))</f>
        <v/>
      </c>
      <c r="H1445" s="7" t="str">
        <f aca="false">IFERROR(INDEX('TRANS'!$C:$C,MATCH($B1445,'TRANS'!$A:$A,0)),IFERROR(INDEX('Catalog'!$B:$B,MATCH($G1445,'Catalog'!$A:$A,0)),$B1445))</f>
        <v>T402 XL</v>
      </c>
      <c r="I1445" s="7" t="str">
        <f aca="false">IF($G1445="","Unmatched","Matched")</f>
        <v>Unmatched</v>
      </c>
      <c r="J1445" s="7" t="str">
        <f aca="false">IF($G1445&lt;&gt;"",$G1445,$B1445)</f>
        <v>T402 XL</v>
      </c>
      <c r="K1445" s="7" t="str">
        <f aca="false">IF(COUNTIF($O$2:$O$16,$A1445)&gt;0,"Y","N")</f>
        <v>Y</v>
      </c>
    </row>
    <row r="1446" customFormat="false" ht="15" hidden="false" customHeight="false" outlineLevel="0" collapsed="false">
      <c r="A1446" s="7" t="s">
        <v>42</v>
      </c>
      <c r="B1446" s="7" t="s">
        <v>157</v>
      </c>
      <c r="C1446" s="8" t="n">
        <v>5</v>
      </c>
      <c r="D1446" s="8" t="n">
        <v>218.76</v>
      </c>
      <c r="E1446" s="8" t="n">
        <v>0</v>
      </c>
      <c r="F1446" s="8" t="n">
        <v>0</v>
      </c>
      <c r="G1446" s="7" t="str">
        <f aca="false">IFERROR(INDEX('TRANS'!$B:$B,MATCH($B1446,'TRANS'!$A:$A,0)),IFERROR(INDEX('TRANS'!$B:$B,MATCH(TRIM(SUBSTITUTE($B1446,CHAR(160)," ")),'TRANS'!$D:$D,0)),IFERROR(INDEX('Catalog'!$A:$A,MATCH($B1446,'Catalog'!$B:$B,0)),IFERROR(INDEX('Catalog'!$A:$A,MATCH(TRIM(SUBSTITUTE($B1446,CHAR(160)," ")),'Catalog'!$C:$C,0)),""))))</f>
        <v/>
      </c>
      <c r="H1446" s="7" t="str">
        <f aca="false">IFERROR(INDEX('TRANS'!$C:$C,MATCH($B1446,'TRANS'!$A:$A,0)),IFERROR(INDEX('Catalog'!$B:$B,MATCH($G1446,'Catalog'!$A:$A,0)),$B1446))</f>
        <v>T402 XXL</v>
      </c>
      <c r="I1446" s="7" t="str">
        <f aca="false">IF($G1446="","Unmatched","Matched")</f>
        <v>Unmatched</v>
      </c>
      <c r="J1446" s="7" t="str">
        <f aca="false">IF($G1446&lt;&gt;"",$G1446,$B1446)</f>
        <v>T402 XXL</v>
      </c>
      <c r="K1446" s="7" t="str">
        <f aca="false">IF(COUNTIF($O$2:$O$16,$A1446)&gt;0,"Y","N")</f>
        <v>Y</v>
      </c>
    </row>
    <row r="1447" customFormat="false" ht="15" hidden="false" customHeight="false" outlineLevel="0" collapsed="false">
      <c r="A1447" s="7" t="s">
        <v>42</v>
      </c>
      <c r="B1447" s="7" t="s">
        <v>118</v>
      </c>
      <c r="C1447" s="8" t="n">
        <v>0</v>
      </c>
      <c r="D1447" s="8" t="n">
        <v>0</v>
      </c>
      <c r="E1447" s="8" t="n">
        <v>10</v>
      </c>
      <c r="F1447" s="8" t="n">
        <v>333.98</v>
      </c>
      <c r="G1447" s="7" t="str">
        <f aca="false">IFERROR(INDEX('TRANS'!$B:$B,MATCH($B1447,'TRANS'!$A:$A,0)),IFERROR(INDEX('TRANS'!$B:$B,MATCH(TRIM(SUBSTITUTE($B1447,CHAR(160)," ")),'TRANS'!$D:$D,0)),IFERROR(INDEX('Catalog'!$A:$A,MATCH($B1447,'Catalog'!$B:$B,0)),IFERROR(INDEX('Catalog'!$A:$A,MATCH(TRIM(SUBSTITUTE($B1447,CHAR(160)," ")),'Catalog'!$C:$C,0)),""))))</f>
        <v/>
      </c>
      <c r="H1447" s="7" t="str">
        <f aca="false">IFERROR(INDEX('TRANS'!$C:$C,MATCH($B1447,'TRANS'!$A:$A,0)),IFERROR(INDEX('Catalog'!$B:$B,MATCH($G1447,'Catalog'!$A:$A,0)),$B1447))</f>
        <v>T40B 0</v>
      </c>
      <c r="I1447" s="7" t="str">
        <f aca="false">IF($G1447="","Unmatched","Matched")</f>
        <v>Unmatched</v>
      </c>
      <c r="J1447" s="7" t="str">
        <f aca="false">IF($G1447&lt;&gt;"",$G1447,$B1447)</f>
        <v>T40B 0</v>
      </c>
      <c r="K1447" s="7" t="str">
        <f aca="false">IF(COUNTIF($O$2:$O$16,$A1447)&gt;0,"Y","N")</f>
        <v>Y</v>
      </c>
    </row>
    <row r="1448" customFormat="false" ht="15" hidden="false" customHeight="false" outlineLevel="0" collapsed="false">
      <c r="A1448" s="7" t="s">
        <v>42</v>
      </c>
      <c r="B1448" s="7" t="s">
        <v>177</v>
      </c>
      <c r="C1448" s="8" t="n">
        <v>0</v>
      </c>
      <c r="D1448" s="8" t="n">
        <v>0</v>
      </c>
      <c r="E1448" s="8" t="n">
        <v>1</v>
      </c>
      <c r="F1448" s="8" t="n">
        <v>0.03</v>
      </c>
      <c r="G1448" s="7" t="str">
        <f aca="false">IFERROR(INDEX('TRANS'!$B:$B,MATCH($B1448,'TRANS'!$A:$A,0)),IFERROR(INDEX('TRANS'!$B:$B,MATCH(TRIM(SUBSTITUTE($B1448,CHAR(160)," ")),'TRANS'!$D:$D,0)),IFERROR(INDEX('Catalog'!$A:$A,MATCH($B1448,'Catalog'!$B:$B,0)),IFERROR(INDEX('Catalog'!$A:$A,MATCH(TRIM(SUBSTITUTE($B1448,CHAR(160)," ")),'Catalog'!$C:$C,0)),""))))</f>
        <v/>
      </c>
      <c r="H1448" s="7" t="str">
        <f aca="false">IFERROR(INDEX('TRANS'!$C:$C,MATCH($B1448,'TRANS'!$A:$A,0)),IFERROR(INDEX('Catalog'!$B:$B,MATCH($G1448,'Catalog'!$A:$A,0)),$B1448))</f>
        <v>T46B L</v>
      </c>
      <c r="I1448" s="7" t="str">
        <f aca="false">IF($G1448="","Unmatched","Matched")</f>
        <v>Unmatched</v>
      </c>
      <c r="J1448" s="7" t="str">
        <f aca="false">IF($G1448&lt;&gt;"",$G1448,$B1448)</f>
        <v>T46B L</v>
      </c>
      <c r="K1448" s="7" t="str">
        <f aca="false">IF(COUNTIF($O$2:$O$16,$A1448)&gt;0,"Y","N")</f>
        <v>Y</v>
      </c>
    </row>
    <row r="1449" customFormat="false" ht="15" hidden="false" customHeight="false" outlineLevel="0" collapsed="false">
      <c r="A1449" s="7" t="s">
        <v>42</v>
      </c>
      <c r="B1449" s="7" t="s">
        <v>520</v>
      </c>
      <c r="C1449" s="8" t="n">
        <v>0</v>
      </c>
      <c r="D1449" s="8" t="n">
        <v>0</v>
      </c>
      <c r="E1449" s="8" t="n">
        <v>20</v>
      </c>
      <c r="F1449" s="8" t="n">
        <v>1491.45</v>
      </c>
      <c r="G1449" s="7" t="n">
        <f aca="false">IFERROR(INDEX('TRANS'!$B:$B,MATCH($B1449,'TRANS'!$A:$A,0)),IFERROR(INDEX('TRANS'!$B:$B,MATCH(TRIM(SUBSTITUTE($B1449,CHAR(160)," ")),'TRANS'!$D:$D,0)),IFERROR(INDEX('Catalog'!$A:$A,MATCH($B1449,'Catalog'!$B:$B,0)),IFERROR(INDEX('Catalog'!$A:$A,MATCH(TRIM(SUBSTITUTE($B1449,CHAR(160)," ")),'Catalog'!$C:$C,0)),""))))</f>
        <v>4422006</v>
      </c>
      <c r="H1449" s="7" t="str">
        <f aca="false">IFERROR(INDEX('TRANS'!$C:$C,MATCH($B1449,'TRANS'!$A:$A,0)),IFERROR(INDEX('Catalog'!$B:$B,MATCH($G1449,'Catalog'!$A:$A,0)),$B1449))</f>
        <v>T78 L תומך זרוע וכתף</v>
      </c>
      <c r="I1449" s="7" t="str">
        <f aca="false">IF($G1449="","Unmatched","Matched")</f>
        <v>Matched</v>
      </c>
      <c r="J1449" s="7" t="n">
        <f aca="false">IF($G1449&lt;&gt;"",$G1449,$B1449)</f>
        <v>4422006</v>
      </c>
      <c r="K1449" s="7" t="str">
        <f aca="false">IF(COUNTIF($O$2:$O$16,$A1449)&gt;0,"Y","N")</f>
        <v>Y</v>
      </c>
    </row>
    <row r="1450" customFormat="false" ht="15" hidden="false" customHeight="false" outlineLevel="0" collapsed="false">
      <c r="A1450" s="7" t="s">
        <v>42</v>
      </c>
      <c r="B1450" s="7" t="s">
        <v>521</v>
      </c>
      <c r="C1450" s="8" t="n">
        <v>0</v>
      </c>
      <c r="D1450" s="8" t="n">
        <v>0</v>
      </c>
      <c r="E1450" s="8" t="n">
        <v>15</v>
      </c>
      <c r="F1450" s="8" t="n">
        <v>1118.59</v>
      </c>
      <c r="G1450" s="7" t="n">
        <f aca="false">IFERROR(INDEX('TRANS'!$B:$B,MATCH($B1450,'TRANS'!$A:$A,0)),IFERROR(INDEX('TRANS'!$B:$B,MATCH(TRIM(SUBSTITUTE($B1450,CHAR(160)," ")),'TRANS'!$D:$D,0)),IFERROR(INDEX('Catalog'!$A:$A,MATCH($B1450,'Catalog'!$B:$B,0)),IFERROR(INDEX('Catalog'!$A:$A,MATCH(TRIM(SUBSTITUTE($B1450,CHAR(160)," ")),'Catalog'!$C:$C,0)),""))))</f>
        <v>4422005</v>
      </c>
      <c r="H1450" s="7" t="str">
        <f aca="false">IFERROR(INDEX('TRANS'!$C:$C,MATCH($B1450,'TRANS'!$A:$A,0)),IFERROR(INDEX('Catalog'!$B:$B,MATCH($G1450,'Catalog'!$A:$A,0)),$B1450))</f>
        <v>T78 M תומך זרוע וכתף</v>
      </c>
      <c r="I1450" s="7" t="str">
        <f aca="false">IF($G1450="","Unmatched","Matched")</f>
        <v>Matched</v>
      </c>
      <c r="J1450" s="7" t="n">
        <f aca="false">IF($G1450&lt;&gt;"",$G1450,$B1450)</f>
        <v>4422005</v>
      </c>
      <c r="K1450" s="7" t="str">
        <f aca="false">IF(COUNTIF($O$2:$O$16,$A1450)&gt;0,"Y","N")</f>
        <v>Y</v>
      </c>
    </row>
    <row r="1451" customFormat="false" ht="15" hidden="false" customHeight="false" outlineLevel="0" collapsed="false">
      <c r="A1451" s="7" t="s">
        <v>42</v>
      </c>
      <c r="B1451" s="7" t="s">
        <v>522</v>
      </c>
      <c r="C1451" s="8" t="n">
        <v>0</v>
      </c>
      <c r="D1451" s="8" t="n">
        <v>0</v>
      </c>
      <c r="E1451" s="8" t="n">
        <v>10</v>
      </c>
      <c r="F1451" s="8" t="n">
        <v>745.73</v>
      </c>
      <c r="G1451" s="7" t="n">
        <f aca="false">IFERROR(INDEX('TRANS'!$B:$B,MATCH($B1451,'TRANS'!$A:$A,0)),IFERROR(INDEX('TRANS'!$B:$B,MATCH(TRIM(SUBSTITUTE($B1451,CHAR(160)," ")),'TRANS'!$D:$D,0)),IFERROR(INDEX('Catalog'!$A:$A,MATCH($B1451,'Catalog'!$B:$B,0)),IFERROR(INDEX('Catalog'!$A:$A,MATCH(TRIM(SUBSTITUTE($B1451,CHAR(160)," ")),'Catalog'!$C:$C,0)),""))))</f>
        <v>4422007</v>
      </c>
      <c r="H1451" s="7" t="str">
        <f aca="false">IFERROR(INDEX('TRANS'!$C:$C,MATCH($B1451,'TRANS'!$A:$A,0)),IFERROR(INDEX('Catalog'!$B:$B,MATCH($G1451,'Catalog'!$A:$A,0)),$B1451))</f>
        <v>T78 XLתומך זרוע וכתף</v>
      </c>
      <c r="I1451" s="7" t="str">
        <f aca="false">IF($G1451="","Unmatched","Matched")</f>
        <v>Matched</v>
      </c>
      <c r="J1451" s="7" t="n">
        <f aca="false">IF($G1451&lt;&gt;"",$G1451,$B1451)</f>
        <v>4422007</v>
      </c>
      <c r="K1451" s="7" t="str">
        <f aca="false">IF(COUNTIF($O$2:$O$16,$A1451)&gt;0,"Y","N")</f>
        <v>Y</v>
      </c>
    </row>
    <row r="1452" customFormat="false" ht="15" hidden="false" customHeight="false" outlineLevel="0" collapsed="false">
      <c r="A1452" s="7" t="s">
        <v>42</v>
      </c>
      <c r="B1452" s="7" t="s">
        <v>523</v>
      </c>
      <c r="C1452" s="8" t="n">
        <v>0</v>
      </c>
      <c r="D1452" s="8" t="n">
        <v>0</v>
      </c>
      <c r="E1452" s="8" t="n">
        <v>5</v>
      </c>
      <c r="F1452" s="8" t="n">
        <v>372.86</v>
      </c>
      <c r="G1452" s="7" t="n">
        <f aca="false">IFERROR(INDEX('TRANS'!$B:$B,MATCH($B1452,'TRANS'!$A:$A,0)),IFERROR(INDEX('TRANS'!$B:$B,MATCH(TRIM(SUBSTITUTE($B1452,CHAR(160)," ")),'TRANS'!$D:$D,0)),IFERROR(INDEX('Catalog'!$A:$A,MATCH($B1452,'Catalog'!$B:$B,0)),IFERROR(INDEX('Catalog'!$A:$A,MATCH(TRIM(SUBSTITUTE($B1452,CHAR(160)," ")),'Catalog'!$C:$C,0)),""))))</f>
        <v>4422009</v>
      </c>
      <c r="H1452" s="7" t="str">
        <f aca="false">IFERROR(INDEX('TRANS'!$C:$C,MATCH($B1452,'TRANS'!$A:$A,0)),IFERROR(INDEX('Catalog'!$B:$B,MATCH($G1452,'Catalog'!$A:$A,0)),$B1452))</f>
        <v>T78 XXL תומך זרוע וכתף</v>
      </c>
      <c r="I1452" s="7" t="str">
        <f aca="false">IF($G1452="","Unmatched","Matched")</f>
        <v>Matched</v>
      </c>
      <c r="J1452" s="7" t="n">
        <f aca="false">IF($G1452&lt;&gt;"",$G1452,$B1452)</f>
        <v>4422009</v>
      </c>
      <c r="K1452" s="7" t="str">
        <f aca="false">IF(COUNTIF($O$2:$O$16,$A1452)&gt;0,"Y","N")</f>
        <v>Y</v>
      </c>
    </row>
    <row r="1453" customFormat="false" ht="15" hidden="false" customHeight="false" outlineLevel="0" collapsed="false">
      <c r="A1453" s="7" t="s">
        <v>42</v>
      </c>
      <c r="B1453" s="7" t="s">
        <v>257</v>
      </c>
      <c r="C1453" s="8" t="n">
        <v>0</v>
      </c>
      <c r="D1453" s="8" t="n">
        <v>0</v>
      </c>
      <c r="E1453" s="8" t="n">
        <v>-1</v>
      </c>
      <c r="F1453" s="8" t="n">
        <v>-22807.55</v>
      </c>
      <c r="G1453" s="7" t="str">
        <f aca="false">IFERROR(INDEX('TRANS'!$B:$B,MATCH($B1453,'TRANS'!$A:$A,0)),IFERROR(INDEX('TRANS'!$B:$B,MATCH(TRIM(SUBSTITUTE($B1453,CHAR(160)," ")),'TRANS'!$D:$D,0)),IFERROR(INDEX('Catalog'!$A:$A,MATCH($B1453,'Catalog'!$B:$B,0)),IFERROR(INDEX('Catalog'!$A:$A,MATCH(TRIM(SUBSTITUTE($B1453,CHAR(160)," ")),'Catalog'!$C:$C,0)),""))))</f>
        <v/>
      </c>
      <c r="H1453" s="7" t="str">
        <f aca="false">IFERROR(INDEX('TRANS'!$C:$C,MATCH($B1453,'TRANS'!$A:$A,0)),IFERROR(INDEX('Catalog'!$B:$B,MATCH($G1453,'Catalog'!$A:$A,0)),$B1453))</f>
        <v>הנחות לקוחות</v>
      </c>
      <c r="I1453" s="7" t="str">
        <f aca="false">IF($G1453="","Unmatched","Matched")</f>
        <v>Unmatched</v>
      </c>
      <c r="J1453" s="7" t="str">
        <f aca="false">IF($G1453&lt;&gt;"",$G1453,$B1453)</f>
        <v>הנחות לקוחות</v>
      </c>
      <c r="K1453" s="7" t="str">
        <f aca="false">IF(COUNTIF($O$2:$O$16,$A1453)&gt;0,"Y","N")</f>
        <v>Y</v>
      </c>
    </row>
    <row r="1454" customFormat="false" ht="15" hidden="false" customHeight="false" outlineLevel="0" collapsed="false">
      <c r="A1454" s="7" t="s">
        <v>43</v>
      </c>
      <c r="B1454" s="7" t="s">
        <v>246</v>
      </c>
      <c r="C1454" s="8" t="n">
        <v>10</v>
      </c>
      <c r="D1454" s="8" t="n">
        <v>1756.68</v>
      </c>
      <c r="E1454" s="8" t="n">
        <v>0</v>
      </c>
      <c r="F1454" s="8" t="n">
        <v>0</v>
      </c>
      <c r="G1454" s="7" t="str">
        <f aca="false">IFERROR(INDEX('TRANS'!$B:$B,MATCH($B1454,'TRANS'!$A:$A,0)),IFERROR(INDEX('TRANS'!$B:$B,MATCH(TRIM(SUBSTITUTE($B1454,CHAR(160)," ")),'TRANS'!$D:$D,0)),IFERROR(INDEX('Catalog'!$A:$A,MATCH($B1454,'Catalog'!$B:$B,0)),IFERROR(INDEX('Catalog'!$A:$A,MATCH(TRIM(SUBSTITUTE($B1454,CHAR(160)," ")),'Catalog'!$C:$C,0)),""))))</f>
        <v/>
      </c>
      <c r="H1454" s="7" t="str">
        <f aca="false">IFERROR(INDEX('TRANS'!$C:$C,MATCH($B1454,'TRANS'!$A:$A,0)),IFERROR(INDEX('Catalog'!$B:$B,MATCH($G1454,'Catalog'!$A:$A,0)),$B1454))</f>
        <v>07AE L</v>
      </c>
      <c r="I1454" s="7" t="str">
        <f aca="false">IF($G1454="","Unmatched","Matched")</f>
        <v>Unmatched</v>
      </c>
      <c r="J1454" s="7" t="str">
        <f aca="false">IF($G1454&lt;&gt;"",$G1454,$B1454)</f>
        <v>07AE L</v>
      </c>
      <c r="K1454" s="7" t="str">
        <f aca="false">IF(COUNTIF($O$2:$O$16,$A1454)&gt;0,"Y","N")</f>
        <v>Y</v>
      </c>
    </row>
    <row r="1455" customFormat="false" ht="15" hidden="false" customHeight="false" outlineLevel="0" collapsed="false">
      <c r="A1455" s="7" t="s">
        <v>43</v>
      </c>
      <c r="B1455" s="7" t="s">
        <v>247</v>
      </c>
      <c r="C1455" s="8" t="n">
        <v>20</v>
      </c>
      <c r="D1455" s="8" t="n">
        <v>3513.36</v>
      </c>
      <c r="E1455" s="8" t="n">
        <v>0</v>
      </c>
      <c r="F1455" s="8" t="n">
        <v>0</v>
      </c>
      <c r="G1455" s="7" t="str">
        <f aca="false">IFERROR(INDEX('TRANS'!$B:$B,MATCH($B1455,'TRANS'!$A:$A,0)),IFERROR(INDEX('TRANS'!$B:$B,MATCH(TRIM(SUBSTITUTE($B1455,CHAR(160)," ")),'TRANS'!$D:$D,0)),IFERROR(INDEX('Catalog'!$A:$A,MATCH($B1455,'Catalog'!$B:$B,0)),IFERROR(INDEX('Catalog'!$A:$A,MATCH(TRIM(SUBSTITUTE($B1455,CHAR(160)," ")),'Catalog'!$C:$C,0)),""))))</f>
        <v/>
      </c>
      <c r="H1455" s="7" t="str">
        <f aca="false">IFERROR(INDEX('TRANS'!$C:$C,MATCH($B1455,'TRANS'!$A:$A,0)),IFERROR(INDEX('Catalog'!$B:$B,MATCH($G1455,'Catalog'!$A:$A,0)),$B1455))</f>
        <v>07AE M</v>
      </c>
      <c r="I1455" s="7" t="str">
        <f aca="false">IF($G1455="","Unmatched","Matched")</f>
        <v>Unmatched</v>
      </c>
      <c r="J1455" s="7" t="str">
        <f aca="false">IF($G1455&lt;&gt;"",$G1455,$B1455)</f>
        <v>07AE M</v>
      </c>
      <c r="K1455" s="7" t="str">
        <f aca="false">IF(COUNTIF($O$2:$O$16,$A1455)&gt;0,"Y","N")</f>
        <v>Y</v>
      </c>
    </row>
    <row r="1456" customFormat="false" ht="15" hidden="false" customHeight="false" outlineLevel="0" collapsed="false">
      <c r="A1456" s="7" t="s">
        <v>43</v>
      </c>
      <c r="B1456" s="7" t="s">
        <v>248</v>
      </c>
      <c r="C1456" s="8" t="n">
        <v>5</v>
      </c>
      <c r="D1456" s="8" t="n">
        <v>878.34</v>
      </c>
      <c r="E1456" s="8" t="n">
        <v>0</v>
      </c>
      <c r="F1456" s="8" t="n">
        <v>0</v>
      </c>
      <c r="G1456" s="7" t="str">
        <f aca="false">IFERROR(INDEX('TRANS'!$B:$B,MATCH($B1456,'TRANS'!$A:$A,0)),IFERROR(INDEX('TRANS'!$B:$B,MATCH(TRIM(SUBSTITUTE($B1456,CHAR(160)," ")),'TRANS'!$D:$D,0)),IFERROR(INDEX('Catalog'!$A:$A,MATCH($B1456,'Catalog'!$B:$B,0)),IFERROR(INDEX('Catalog'!$A:$A,MATCH(TRIM(SUBSTITUTE($B1456,CHAR(160)," ")),'Catalog'!$C:$C,0)),""))))</f>
        <v/>
      </c>
      <c r="H1456" s="7" t="str">
        <f aca="false">IFERROR(INDEX('TRANS'!$C:$C,MATCH($B1456,'TRANS'!$A:$A,0)),IFERROR(INDEX('Catalog'!$B:$B,MATCH($G1456,'Catalog'!$A:$A,0)),$B1456))</f>
        <v>07AE S</v>
      </c>
      <c r="I1456" s="7" t="str">
        <f aca="false">IF($G1456="","Unmatched","Matched")</f>
        <v>Unmatched</v>
      </c>
      <c r="J1456" s="7" t="str">
        <f aca="false">IF($G1456&lt;&gt;"",$G1456,$B1456)</f>
        <v>07AE S</v>
      </c>
      <c r="K1456" s="7" t="str">
        <f aca="false">IF(COUNTIF($O$2:$O$16,$A1456)&gt;0,"Y","N")</f>
        <v>Y</v>
      </c>
    </row>
    <row r="1457" customFormat="false" ht="15" hidden="false" customHeight="false" outlineLevel="0" collapsed="false">
      <c r="A1457" s="7" t="s">
        <v>43</v>
      </c>
      <c r="B1457" s="7" t="s">
        <v>249</v>
      </c>
      <c r="C1457" s="8" t="n">
        <v>5</v>
      </c>
      <c r="D1457" s="8" t="n">
        <v>0.03</v>
      </c>
      <c r="E1457" s="8" t="n">
        <v>0</v>
      </c>
      <c r="F1457" s="8" t="n">
        <v>0</v>
      </c>
      <c r="G1457" s="7" t="str">
        <f aca="false">IFERROR(INDEX('TRANS'!$B:$B,MATCH($B1457,'TRANS'!$A:$A,0)),IFERROR(INDEX('TRANS'!$B:$B,MATCH(TRIM(SUBSTITUTE($B1457,CHAR(160)," ")),'TRANS'!$D:$D,0)),IFERROR(INDEX('Catalog'!$A:$A,MATCH($B1457,'Catalog'!$B:$B,0)),IFERROR(INDEX('Catalog'!$A:$A,MATCH(TRIM(SUBSTITUTE($B1457,CHAR(160)," ")),'Catalog'!$C:$C,0)),""))))</f>
        <v/>
      </c>
      <c r="H1457" s="7" t="str">
        <f aca="false">IFERROR(INDEX('TRANS'!$C:$C,MATCH($B1457,'TRANS'!$A:$A,0)),IFERROR(INDEX('Catalog'!$B:$B,MATCH($G1457,'Catalog'!$A:$A,0)),$B1457))</f>
        <v>07AE XL</v>
      </c>
      <c r="I1457" s="7" t="str">
        <f aca="false">IF($G1457="","Unmatched","Matched")</f>
        <v>Unmatched</v>
      </c>
      <c r="J1457" s="7" t="str">
        <f aca="false">IF($G1457&lt;&gt;"",$G1457,$B1457)</f>
        <v>07AE XL</v>
      </c>
      <c r="K1457" s="7" t="str">
        <f aca="false">IF(COUNTIF($O$2:$O$16,$A1457)&gt;0,"Y","N")</f>
        <v>Y</v>
      </c>
    </row>
    <row r="1458" customFormat="false" ht="15" hidden="false" customHeight="false" outlineLevel="0" collapsed="false">
      <c r="A1458" s="7" t="s">
        <v>43</v>
      </c>
      <c r="B1458" s="7" t="s">
        <v>250</v>
      </c>
      <c r="C1458" s="8" t="n">
        <v>10</v>
      </c>
      <c r="D1458" s="8" t="n">
        <v>1756.68</v>
      </c>
      <c r="E1458" s="8" t="n">
        <v>0</v>
      </c>
      <c r="F1458" s="8" t="n">
        <v>0</v>
      </c>
      <c r="G1458" s="7" t="str">
        <f aca="false">IFERROR(INDEX('TRANS'!$B:$B,MATCH($B1458,'TRANS'!$A:$A,0)),IFERROR(INDEX('TRANS'!$B:$B,MATCH(TRIM(SUBSTITUTE($B1458,CHAR(160)," ")),'TRANS'!$D:$D,0)),IFERROR(INDEX('Catalog'!$A:$A,MATCH($B1458,'Catalog'!$B:$B,0)),IFERROR(INDEX('Catalog'!$A:$A,MATCH(TRIM(SUBSTITUTE($B1458,CHAR(160)," ")),'Catalog'!$C:$C,0)),""))))</f>
        <v/>
      </c>
      <c r="H1458" s="7" t="str">
        <f aca="false">IFERROR(INDEX('TRANS'!$C:$C,MATCH($B1458,'TRANS'!$A:$A,0)),IFERROR(INDEX('Catalog'!$B:$B,MATCH($G1458,'Catalog'!$A:$A,0)),$B1458))</f>
        <v>07AE XXL</v>
      </c>
      <c r="I1458" s="7" t="str">
        <f aca="false">IF($G1458="","Unmatched","Matched")</f>
        <v>Unmatched</v>
      </c>
      <c r="J1458" s="7" t="str">
        <f aca="false">IF($G1458&lt;&gt;"",$G1458,$B1458)</f>
        <v>07AE XXL</v>
      </c>
      <c r="K1458" s="7" t="str">
        <f aca="false">IF(COUNTIF($O$2:$O$16,$A1458)&gt;0,"Y","N")</f>
        <v>Y</v>
      </c>
    </row>
    <row r="1459" customFormat="false" ht="15" hidden="false" customHeight="false" outlineLevel="0" collapsed="false">
      <c r="A1459" s="7" t="s">
        <v>43</v>
      </c>
      <c r="B1459" s="7" t="s">
        <v>628</v>
      </c>
      <c r="C1459" s="8" t="n">
        <v>5</v>
      </c>
      <c r="D1459" s="8" t="n">
        <v>399.72</v>
      </c>
      <c r="E1459" s="8" t="n">
        <v>0</v>
      </c>
      <c r="F1459" s="8" t="n">
        <v>0</v>
      </c>
      <c r="G1459" s="7" t="n">
        <f aca="false">IFERROR(INDEX('TRANS'!$B:$B,MATCH($B1459,'TRANS'!$A:$A,0)),IFERROR(INDEX('TRANS'!$B:$B,MATCH(TRIM(SUBSTITUTE($B1459,CHAR(160)," ")),'TRANS'!$D:$D,0)),IFERROR(INDEX('Catalog'!$A:$A,MATCH($B1459,'Catalog'!$B:$B,0)),IFERROR(INDEX('Catalog'!$A:$A,MATCH(TRIM(SUBSTITUTE($B1459,CHAR(160)," ")),'Catalog'!$C:$C,0)),""))))</f>
        <v>4408027</v>
      </c>
      <c r="H1459" s="7" t="str">
        <f aca="false">IFERROR(INDEX('TRANS'!$C:$C,MATCH($B1459,'TRANS'!$A:$A,0)),IFERROR(INDEX('Catalog'!$B:$B,MATCH($G1459,'Catalog'!$A:$A,0)),$B1459))</f>
        <v>10 L """"חגורת גב """"לומבו</v>
      </c>
      <c r="I1459" s="7" t="str">
        <f aca="false">IF($G1459="","Unmatched","Matched")</f>
        <v>Matched</v>
      </c>
      <c r="J1459" s="7" t="n">
        <f aca="false">IF($G1459&lt;&gt;"",$G1459,$B1459)</f>
        <v>4408027</v>
      </c>
      <c r="K1459" s="7" t="str">
        <f aca="false">IF(COUNTIF($O$2:$O$16,$A1459)&gt;0,"Y","N")</f>
        <v>Y</v>
      </c>
    </row>
    <row r="1460" customFormat="false" ht="15" hidden="false" customHeight="false" outlineLevel="0" collapsed="false">
      <c r="A1460" s="7" t="s">
        <v>43</v>
      </c>
      <c r="B1460" s="7" t="s">
        <v>412</v>
      </c>
      <c r="C1460" s="8" t="n">
        <v>10</v>
      </c>
      <c r="D1460" s="8" t="n">
        <v>799.45</v>
      </c>
      <c r="E1460" s="8" t="n">
        <v>0</v>
      </c>
      <c r="F1460" s="8" t="n">
        <v>0</v>
      </c>
      <c r="G1460" s="7" t="n">
        <f aca="false">IFERROR(INDEX('TRANS'!$B:$B,MATCH($B1460,'TRANS'!$A:$A,0)),IFERROR(INDEX('TRANS'!$B:$B,MATCH(TRIM(SUBSTITUTE($B1460,CHAR(160)," ")),'TRANS'!$D:$D,0)),IFERROR(INDEX('Catalog'!$A:$A,MATCH($B1460,'Catalog'!$B:$B,0)),IFERROR(INDEX('Catalog'!$A:$A,MATCH(TRIM(SUBSTITUTE($B1460,CHAR(160)," ")),'Catalog'!$C:$C,0)),""))))</f>
        <v>4408028</v>
      </c>
      <c r="H1460" s="7" t="str">
        <f aca="false">IFERROR(INDEX('TRANS'!$C:$C,MATCH($B1460,'TRANS'!$A:$A,0)),IFERROR(INDEX('Catalog'!$B:$B,MATCH($G1460,'Catalog'!$A:$A,0)),$B1460))</f>
        <v>10 M """"חגורת גב """"לומבו</v>
      </c>
      <c r="I1460" s="7" t="str">
        <f aca="false">IF($G1460="","Unmatched","Matched")</f>
        <v>Matched</v>
      </c>
      <c r="J1460" s="7" t="n">
        <f aca="false">IF($G1460&lt;&gt;"",$G1460,$B1460)</f>
        <v>4408028</v>
      </c>
      <c r="K1460" s="7" t="str">
        <f aca="false">IF(COUNTIF($O$2:$O$16,$A1460)&gt;0,"Y","N")</f>
        <v>Y</v>
      </c>
    </row>
    <row r="1461" customFormat="false" ht="15" hidden="false" customHeight="false" outlineLevel="0" collapsed="false">
      <c r="A1461" s="7" t="s">
        <v>43</v>
      </c>
      <c r="B1461" s="7" t="s">
        <v>216</v>
      </c>
      <c r="C1461" s="8" t="n">
        <v>5</v>
      </c>
      <c r="D1461" s="8" t="n">
        <v>399.72</v>
      </c>
      <c r="E1461" s="8" t="n">
        <v>0</v>
      </c>
      <c r="F1461" s="8" t="n">
        <v>0</v>
      </c>
      <c r="G1461" s="7" t="str">
        <f aca="false">IFERROR(INDEX('TRANS'!$B:$B,MATCH($B1461,'TRANS'!$A:$A,0)),IFERROR(INDEX('TRANS'!$B:$B,MATCH(TRIM(SUBSTITUTE($B1461,CHAR(160)," ")),'TRANS'!$D:$D,0)),IFERROR(INDEX('Catalog'!$A:$A,MATCH($B1461,'Catalog'!$B:$B,0)),IFERROR(INDEX('Catalog'!$A:$A,MATCH(TRIM(SUBSTITUTE($B1461,CHAR(160)," ")),'Catalog'!$C:$C,0)),""))))</f>
        <v/>
      </c>
      <c r="H1461" s="7" t="str">
        <f aca="false">IFERROR(INDEX('TRANS'!$C:$C,MATCH($B1461,'TRANS'!$A:$A,0)),IFERROR(INDEX('Catalog'!$B:$B,MATCH($G1461,'Catalog'!$A:$A,0)),$B1461))</f>
        <v>10 S</v>
      </c>
      <c r="I1461" s="7" t="str">
        <f aca="false">IF($G1461="","Unmatched","Matched")</f>
        <v>Unmatched</v>
      </c>
      <c r="J1461" s="7" t="str">
        <f aca="false">IF($G1461&lt;&gt;"",$G1461,$B1461)</f>
        <v>10 S</v>
      </c>
      <c r="K1461" s="7" t="str">
        <f aca="false">IF(COUNTIF($O$2:$O$16,$A1461)&gt;0,"Y","N")</f>
        <v>Y</v>
      </c>
    </row>
    <row r="1462" customFormat="false" ht="15" hidden="false" customHeight="false" outlineLevel="0" collapsed="false">
      <c r="A1462" s="7" t="s">
        <v>43</v>
      </c>
      <c r="B1462" s="7" t="s">
        <v>629</v>
      </c>
      <c r="C1462" s="8" t="n">
        <v>5</v>
      </c>
      <c r="D1462" s="8" t="n">
        <v>0.03</v>
      </c>
      <c r="E1462" s="8" t="n">
        <v>0</v>
      </c>
      <c r="F1462" s="8" t="n">
        <v>0</v>
      </c>
      <c r="G1462" s="7" t="n">
        <f aca="false">IFERROR(INDEX('TRANS'!$B:$B,MATCH($B1462,'TRANS'!$A:$A,0)),IFERROR(INDEX('TRANS'!$B:$B,MATCH(TRIM(SUBSTITUTE($B1462,CHAR(160)," ")),'TRANS'!$D:$D,0)),IFERROR(INDEX('Catalog'!$A:$A,MATCH($B1462,'Catalog'!$B:$B,0)),IFERROR(INDEX('Catalog'!$A:$A,MATCH(TRIM(SUBSTITUTE($B1462,CHAR(160)," ")),'Catalog'!$C:$C,0)),""))))</f>
        <v>4408029</v>
      </c>
      <c r="H1462" s="7" t="str">
        <f aca="false">IFERROR(INDEX('TRANS'!$C:$C,MATCH($B1462,'TRANS'!$A:$A,0)),IFERROR(INDEX('Catalog'!$B:$B,MATCH($G1462,'Catalog'!$A:$A,0)),$B1462))</f>
        <v>10 XL """"חגורת גב """"לומבו</v>
      </c>
      <c r="I1462" s="7" t="str">
        <f aca="false">IF($G1462="","Unmatched","Matched")</f>
        <v>Matched</v>
      </c>
      <c r="J1462" s="7" t="n">
        <f aca="false">IF($G1462&lt;&gt;"",$G1462,$B1462)</f>
        <v>4408029</v>
      </c>
      <c r="K1462" s="7" t="str">
        <f aca="false">IF(COUNTIF($O$2:$O$16,$A1462)&gt;0,"Y","N")</f>
        <v>Y</v>
      </c>
    </row>
    <row r="1463" customFormat="false" ht="15" hidden="false" customHeight="false" outlineLevel="0" collapsed="false">
      <c r="A1463" s="7" t="s">
        <v>43</v>
      </c>
      <c r="B1463" s="7" t="s">
        <v>251</v>
      </c>
      <c r="C1463" s="8" t="n">
        <v>5</v>
      </c>
      <c r="D1463" s="8" t="n">
        <v>399.72</v>
      </c>
      <c r="E1463" s="8" t="n">
        <v>0</v>
      </c>
      <c r="F1463" s="8" t="n">
        <v>0</v>
      </c>
      <c r="G1463" s="7" t="str">
        <f aca="false">IFERROR(INDEX('TRANS'!$B:$B,MATCH($B1463,'TRANS'!$A:$A,0)),IFERROR(INDEX('TRANS'!$B:$B,MATCH(TRIM(SUBSTITUTE($B1463,CHAR(160)," ")),'TRANS'!$D:$D,0)),IFERROR(INDEX('Catalog'!$A:$A,MATCH($B1463,'Catalog'!$B:$B,0)),IFERROR(INDEX('Catalog'!$A:$A,MATCH(TRIM(SUBSTITUTE($B1463,CHAR(160)," ")),'Catalog'!$C:$C,0)),""))))</f>
        <v/>
      </c>
      <c r="H1463" s="7" t="str">
        <f aca="false">IFERROR(INDEX('TRANS'!$C:$C,MATCH($B1463,'TRANS'!$A:$A,0)),IFERROR(INDEX('Catalog'!$B:$B,MATCH($G1463,'Catalog'!$A:$A,0)),$B1463))</f>
        <v>10 XS</v>
      </c>
      <c r="I1463" s="7" t="str">
        <f aca="false">IF($G1463="","Unmatched","Matched")</f>
        <v>Unmatched</v>
      </c>
      <c r="J1463" s="7" t="str">
        <f aca="false">IF($G1463&lt;&gt;"",$G1463,$B1463)</f>
        <v>10 XS</v>
      </c>
      <c r="K1463" s="7" t="str">
        <f aca="false">IF(COUNTIF($O$2:$O$16,$A1463)&gt;0,"Y","N")</f>
        <v>Y</v>
      </c>
    </row>
    <row r="1464" customFormat="false" ht="15" hidden="false" customHeight="false" outlineLevel="0" collapsed="false">
      <c r="A1464" s="7" t="s">
        <v>43</v>
      </c>
      <c r="B1464" s="7" t="s">
        <v>145</v>
      </c>
      <c r="C1464" s="8" t="n">
        <v>20</v>
      </c>
      <c r="D1464" s="8" t="n">
        <v>1598.91</v>
      </c>
      <c r="E1464" s="8" t="n">
        <v>0</v>
      </c>
      <c r="F1464" s="8" t="n">
        <v>0</v>
      </c>
      <c r="G1464" s="7" t="str">
        <f aca="false">IFERROR(INDEX('TRANS'!$B:$B,MATCH($B1464,'TRANS'!$A:$A,0)),IFERROR(INDEX('TRANS'!$B:$B,MATCH(TRIM(SUBSTITUTE($B1464,CHAR(160)," ")),'TRANS'!$D:$D,0)),IFERROR(INDEX('Catalog'!$A:$A,MATCH($B1464,'Catalog'!$B:$B,0)),IFERROR(INDEX('Catalog'!$A:$A,MATCH(TRIM(SUBSTITUTE($B1464,CHAR(160)," ")),'Catalog'!$C:$C,0)),""))))</f>
        <v/>
      </c>
      <c r="H1464" s="7" t="str">
        <f aca="false">IFERROR(INDEX('TRANS'!$C:$C,MATCH($B1464,'TRANS'!$A:$A,0)),IFERROR(INDEX('Catalog'!$B:$B,MATCH($G1464,'Catalog'!$A:$A,0)),$B1464))</f>
        <v>10 XXL</v>
      </c>
      <c r="I1464" s="7" t="str">
        <f aca="false">IF($G1464="","Unmatched","Matched")</f>
        <v>Unmatched</v>
      </c>
      <c r="J1464" s="7" t="str">
        <f aca="false">IF($G1464&lt;&gt;"",$G1464,$B1464)</f>
        <v>10 XXL</v>
      </c>
      <c r="K1464" s="7" t="str">
        <f aca="false">IF(COUNTIF($O$2:$O$16,$A1464)&gt;0,"Y","N")</f>
        <v>Y</v>
      </c>
    </row>
    <row r="1465" customFormat="false" ht="15" hidden="false" customHeight="false" outlineLevel="0" collapsed="false">
      <c r="A1465" s="7" t="s">
        <v>43</v>
      </c>
      <c r="B1465" s="7" t="s">
        <v>252</v>
      </c>
      <c r="C1465" s="8" t="n">
        <v>5</v>
      </c>
      <c r="D1465" s="8" t="n">
        <v>0.18</v>
      </c>
      <c r="E1465" s="8" t="n">
        <v>0</v>
      </c>
      <c r="F1465" s="8" t="n">
        <v>0</v>
      </c>
      <c r="G1465" s="7" t="str">
        <f aca="false">IFERROR(INDEX('TRANS'!$B:$B,MATCH($B1465,'TRANS'!$A:$A,0)),IFERROR(INDEX('TRANS'!$B:$B,MATCH(TRIM(SUBSTITUTE($B1465,CHAR(160)," ")),'TRANS'!$D:$D,0)),IFERROR(INDEX('Catalog'!$A:$A,MATCH($B1465,'Catalog'!$B:$B,0)),IFERROR(INDEX('Catalog'!$A:$A,MATCH(TRIM(SUBSTITUTE($B1465,CHAR(160)," ")),'Catalog'!$C:$C,0)),""))))</f>
        <v/>
      </c>
      <c r="H1465" s="7" t="str">
        <f aca="false">IFERROR(INDEX('TRANS'!$C:$C,MATCH($B1465,'TRANS'!$A:$A,0)),IFERROR(INDEX('Catalog'!$B:$B,MATCH($G1465,'Catalog'!$A:$A,0)),$B1465))</f>
        <v>1000FC</v>
      </c>
      <c r="I1465" s="7" t="str">
        <f aca="false">IF($G1465="","Unmatched","Matched")</f>
        <v>Unmatched</v>
      </c>
      <c r="J1465" s="7" t="str">
        <f aca="false">IF($G1465&lt;&gt;"",$G1465,$B1465)</f>
        <v>1000FC</v>
      </c>
      <c r="K1465" s="7" t="str">
        <f aca="false">IF(COUNTIF($O$2:$O$16,$A1465)&gt;0,"Y","N")</f>
        <v>Y</v>
      </c>
    </row>
    <row r="1466" customFormat="false" ht="15" hidden="false" customHeight="false" outlineLevel="0" collapsed="false">
      <c r="A1466" s="7" t="s">
        <v>43</v>
      </c>
      <c r="B1466" s="7" t="s">
        <v>666</v>
      </c>
      <c r="C1466" s="8" t="n">
        <v>55</v>
      </c>
      <c r="D1466" s="8" t="n">
        <v>3595.85</v>
      </c>
      <c r="E1466" s="8" t="n">
        <v>0</v>
      </c>
      <c r="F1466" s="8" t="n">
        <v>0</v>
      </c>
      <c r="G1466" s="7" t="n">
        <f aca="false">IFERROR(INDEX('TRANS'!$B:$B,MATCH($B1466,'TRANS'!$A:$A,0)),IFERROR(INDEX('TRANS'!$B:$B,MATCH(TRIM(SUBSTITUTE($B1466,CHAR(160)," ")),'TRANS'!$D:$D,0)),IFERROR(INDEX('Catalog'!$A:$A,MATCH($B1466,'Catalog'!$B:$B,0)),IFERROR(INDEX('Catalog'!$A:$A,MATCH(TRIM(SUBSTITUTE($B1466,CHAR(160)," ")),'Catalog'!$C:$C,0)),""))))</f>
        <v>4408203</v>
      </c>
      <c r="H1466" s="7" t="str">
        <f aca="false">IFERROR(INDEX('TRANS'!$C:$C,MATCH($B1466,'TRANS'!$A:$A,0)),IFERROR(INDEX('Catalog'!$B:$B,MATCH($G1466,'Catalog'!$A:$A,0)),$B1466))</f>
        <v>14 0 חגורה למנותחי בית חזה</v>
      </c>
      <c r="I1466" s="7" t="str">
        <f aca="false">IF($G1466="","Unmatched","Matched")</f>
        <v>Matched</v>
      </c>
      <c r="J1466" s="7" t="n">
        <f aca="false">IF($G1466&lt;&gt;"",$G1466,$B1466)</f>
        <v>4408203</v>
      </c>
      <c r="K1466" s="7" t="str">
        <f aca="false">IF(COUNTIF($O$2:$O$16,$A1466)&gt;0,"Y","N")</f>
        <v>Y</v>
      </c>
    </row>
    <row r="1467" customFormat="false" ht="15" hidden="false" customHeight="false" outlineLevel="0" collapsed="false">
      <c r="A1467" s="7" t="s">
        <v>43</v>
      </c>
      <c r="B1467" s="7" t="s">
        <v>115</v>
      </c>
      <c r="C1467" s="8" t="n">
        <v>22</v>
      </c>
      <c r="D1467" s="8" t="n">
        <v>1060.18</v>
      </c>
      <c r="E1467" s="8" t="n">
        <v>0</v>
      </c>
      <c r="F1467" s="8" t="n">
        <v>0</v>
      </c>
      <c r="G1467" s="7" t="str">
        <f aca="false">IFERROR(INDEX('TRANS'!$B:$B,MATCH($B1467,'TRANS'!$A:$A,0)),IFERROR(INDEX('TRANS'!$B:$B,MATCH(TRIM(SUBSTITUTE($B1467,CHAR(160)," ")),'TRANS'!$D:$D,0)),IFERROR(INDEX('Catalog'!$A:$A,MATCH($B1467,'Catalog'!$B:$B,0)),IFERROR(INDEX('Catalog'!$A:$A,MATCH(TRIM(SUBSTITUTE($B1467,CHAR(160)," ")),'Catalog'!$C:$C,0)),""))))</f>
        <v/>
      </c>
      <c r="H1467" s="7" t="str">
        <f aca="false">IFERROR(INDEX('TRANS'!$C:$C,MATCH($B1467,'TRANS'!$A:$A,0)),IFERROR(INDEX('Catalog'!$B:$B,MATCH($G1467,'Catalog'!$A:$A,0)),$B1467))</f>
        <v>15M L</v>
      </c>
      <c r="I1467" s="7" t="str">
        <f aca="false">IF($G1467="","Unmatched","Matched")</f>
        <v>Unmatched</v>
      </c>
      <c r="J1467" s="7" t="str">
        <f aca="false">IF($G1467&lt;&gt;"",$G1467,$B1467)</f>
        <v>15M L</v>
      </c>
      <c r="K1467" s="7" t="str">
        <f aca="false">IF(COUNTIF($O$2:$O$16,$A1467)&gt;0,"Y","N")</f>
        <v>Y</v>
      </c>
    </row>
    <row r="1468" customFormat="false" ht="15" hidden="false" customHeight="false" outlineLevel="0" collapsed="false">
      <c r="A1468" s="7" t="s">
        <v>43</v>
      </c>
      <c r="B1468" s="7" t="s">
        <v>195</v>
      </c>
      <c r="C1468" s="8" t="n">
        <v>6</v>
      </c>
      <c r="D1468" s="8" t="n">
        <v>318.04</v>
      </c>
      <c r="E1468" s="8" t="n">
        <v>0</v>
      </c>
      <c r="F1468" s="8" t="n">
        <v>0</v>
      </c>
      <c r="G1468" s="7" t="str">
        <f aca="false">IFERROR(INDEX('TRANS'!$B:$B,MATCH($B1468,'TRANS'!$A:$A,0)),IFERROR(INDEX('TRANS'!$B:$B,MATCH(TRIM(SUBSTITUTE($B1468,CHAR(160)," ")),'TRANS'!$D:$D,0)),IFERROR(INDEX('Catalog'!$A:$A,MATCH($B1468,'Catalog'!$B:$B,0)),IFERROR(INDEX('Catalog'!$A:$A,MATCH(TRIM(SUBSTITUTE($B1468,CHAR(160)," ")),'Catalog'!$C:$C,0)),""))))</f>
        <v/>
      </c>
      <c r="H1468" s="7" t="str">
        <f aca="false">IFERROR(INDEX('TRANS'!$C:$C,MATCH($B1468,'TRANS'!$A:$A,0)),IFERROR(INDEX('Catalog'!$B:$B,MATCH($G1468,'Catalog'!$A:$A,0)),$B1468))</f>
        <v>15M M</v>
      </c>
      <c r="I1468" s="7" t="str">
        <f aca="false">IF($G1468="","Unmatched","Matched")</f>
        <v>Unmatched</v>
      </c>
      <c r="J1468" s="7" t="str">
        <f aca="false">IF($G1468&lt;&gt;"",$G1468,$B1468)</f>
        <v>15M M</v>
      </c>
      <c r="K1468" s="7" t="str">
        <f aca="false">IF(COUNTIF($O$2:$O$16,$A1468)&gt;0,"Y","N")</f>
        <v>Y</v>
      </c>
    </row>
    <row r="1469" customFormat="false" ht="15" hidden="false" customHeight="false" outlineLevel="0" collapsed="false">
      <c r="A1469" s="7" t="s">
        <v>43</v>
      </c>
      <c r="B1469" s="7" t="s">
        <v>253</v>
      </c>
      <c r="C1469" s="8" t="n">
        <v>5</v>
      </c>
      <c r="D1469" s="8" t="n">
        <v>212.06</v>
      </c>
      <c r="E1469" s="8" t="n">
        <v>0</v>
      </c>
      <c r="F1469" s="8" t="n">
        <v>0</v>
      </c>
      <c r="G1469" s="7" t="str">
        <f aca="false">IFERROR(INDEX('TRANS'!$B:$B,MATCH($B1469,'TRANS'!$A:$A,0)),IFERROR(INDEX('TRANS'!$B:$B,MATCH(TRIM(SUBSTITUTE($B1469,CHAR(160)," ")),'TRANS'!$D:$D,0)),IFERROR(INDEX('Catalog'!$A:$A,MATCH($B1469,'Catalog'!$B:$B,0)),IFERROR(INDEX('Catalog'!$A:$A,MATCH(TRIM(SUBSTITUTE($B1469,CHAR(160)," ")),'Catalog'!$C:$C,0)),""))))</f>
        <v/>
      </c>
      <c r="H1469" s="7" t="str">
        <f aca="false">IFERROR(INDEX('TRANS'!$C:$C,MATCH($B1469,'TRANS'!$A:$A,0)),IFERROR(INDEX('Catalog'!$B:$B,MATCH($G1469,'Catalog'!$A:$A,0)),$B1469))</f>
        <v>15M S</v>
      </c>
      <c r="I1469" s="7" t="str">
        <f aca="false">IF($G1469="","Unmatched","Matched")</f>
        <v>Unmatched</v>
      </c>
      <c r="J1469" s="7" t="str">
        <f aca="false">IF($G1469&lt;&gt;"",$G1469,$B1469)</f>
        <v>15M S</v>
      </c>
      <c r="K1469" s="7" t="str">
        <f aca="false">IF(COUNTIF($O$2:$O$16,$A1469)&gt;0,"Y","N")</f>
        <v>Y</v>
      </c>
    </row>
    <row r="1470" customFormat="false" ht="15" hidden="false" customHeight="false" outlineLevel="0" collapsed="false">
      <c r="A1470" s="7" t="s">
        <v>43</v>
      </c>
      <c r="B1470" s="7" t="s">
        <v>119</v>
      </c>
      <c r="C1470" s="8" t="n">
        <v>12</v>
      </c>
      <c r="D1470" s="8" t="n">
        <v>530.1</v>
      </c>
      <c r="E1470" s="8" t="n">
        <v>0</v>
      </c>
      <c r="F1470" s="8" t="n">
        <v>0</v>
      </c>
      <c r="G1470" s="7" t="str">
        <f aca="false">IFERROR(INDEX('TRANS'!$B:$B,MATCH($B1470,'TRANS'!$A:$A,0)),IFERROR(INDEX('TRANS'!$B:$B,MATCH(TRIM(SUBSTITUTE($B1470,CHAR(160)," ")),'TRANS'!$D:$D,0)),IFERROR(INDEX('Catalog'!$A:$A,MATCH($B1470,'Catalog'!$B:$B,0)),IFERROR(INDEX('Catalog'!$A:$A,MATCH(TRIM(SUBSTITUTE($B1470,CHAR(160)," ")),'Catalog'!$C:$C,0)),""))))</f>
        <v/>
      </c>
      <c r="H1470" s="7" t="str">
        <f aca="false">IFERROR(INDEX('TRANS'!$C:$C,MATCH($B1470,'TRANS'!$A:$A,0)),IFERROR(INDEX('Catalog'!$B:$B,MATCH($G1470,'Catalog'!$A:$A,0)),$B1470))</f>
        <v>15M XL</v>
      </c>
      <c r="I1470" s="7" t="str">
        <f aca="false">IF($G1470="","Unmatched","Matched")</f>
        <v>Unmatched</v>
      </c>
      <c r="J1470" s="7" t="str">
        <f aca="false">IF($G1470&lt;&gt;"",$G1470,$B1470)</f>
        <v>15M XL</v>
      </c>
      <c r="K1470" s="7" t="str">
        <f aca="false">IF(COUNTIF($O$2:$O$16,$A1470)&gt;0,"Y","N")</f>
        <v>Y</v>
      </c>
    </row>
    <row r="1471" customFormat="false" ht="15" hidden="false" customHeight="false" outlineLevel="0" collapsed="false">
      <c r="A1471" s="7" t="s">
        <v>43</v>
      </c>
      <c r="B1471" s="7" t="s">
        <v>254</v>
      </c>
      <c r="C1471" s="8" t="n">
        <v>12</v>
      </c>
      <c r="D1471" s="8" t="n">
        <v>530.1</v>
      </c>
      <c r="E1471" s="8" t="n">
        <v>0</v>
      </c>
      <c r="F1471" s="8" t="n">
        <v>0</v>
      </c>
      <c r="G1471" s="7" t="str">
        <f aca="false">IFERROR(INDEX('TRANS'!$B:$B,MATCH($B1471,'TRANS'!$A:$A,0)),IFERROR(INDEX('TRANS'!$B:$B,MATCH(TRIM(SUBSTITUTE($B1471,CHAR(160)," ")),'TRANS'!$D:$D,0)),IFERROR(INDEX('Catalog'!$A:$A,MATCH($B1471,'Catalog'!$B:$B,0)),IFERROR(INDEX('Catalog'!$A:$A,MATCH(TRIM(SUBSTITUTE($B1471,CHAR(160)," ")),'Catalog'!$C:$C,0)),""))))</f>
        <v/>
      </c>
      <c r="H1471" s="7" t="str">
        <f aca="false">IFERROR(INDEX('TRANS'!$C:$C,MATCH($B1471,'TRANS'!$A:$A,0)),IFERROR(INDEX('Catalog'!$B:$B,MATCH($G1471,'Catalog'!$A:$A,0)),$B1471))</f>
        <v>15M XXL</v>
      </c>
      <c r="I1471" s="7" t="str">
        <f aca="false">IF($G1471="","Unmatched","Matched")</f>
        <v>Unmatched</v>
      </c>
      <c r="J1471" s="7" t="str">
        <f aca="false">IF($G1471&lt;&gt;"",$G1471,$B1471)</f>
        <v>15M XXL</v>
      </c>
      <c r="K1471" s="7" t="str">
        <f aca="false">IF(COUNTIF($O$2:$O$16,$A1471)&gt;0,"Y","N")</f>
        <v>Y</v>
      </c>
    </row>
    <row r="1472" customFormat="false" ht="15" hidden="false" customHeight="false" outlineLevel="0" collapsed="false">
      <c r="A1472" s="7" t="s">
        <v>43</v>
      </c>
      <c r="B1472" s="7" t="s">
        <v>616</v>
      </c>
      <c r="C1472" s="8" t="n">
        <v>22</v>
      </c>
      <c r="D1472" s="8" t="n">
        <v>976.49</v>
      </c>
      <c r="E1472" s="8" t="n">
        <v>0</v>
      </c>
      <c r="F1472" s="8" t="n">
        <v>0</v>
      </c>
      <c r="G1472" s="7" t="n">
        <f aca="false">IFERROR(INDEX('TRANS'!$B:$B,MATCH($B1472,'TRANS'!$A:$A,0)),IFERROR(INDEX('TRANS'!$B:$B,MATCH(TRIM(SUBSTITUTE($B1472,CHAR(160)," ")),'TRANS'!$D:$D,0)),IFERROR(INDEX('Catalog'!$A:$A,MATCH($B1472,'Catalog'!$B:$B,0)),IFERROR(INDEX('Catalog'!$A:$A,MATCH(TRIM(SUBSTITUTE($B1472,CHAR(160)," ")),'Catalog'!$C:$C,0)),""))))</f>
        <v>4408131</v>
      </c>
      <c r="H1472" s="7" t="str">
        <f aca="false">IFERROR(INDEX('TRANS'!$C:$C,MATCH($B1472,'TRANS'!$A:$A,0)),IFERROR(INDEX('Catalog'!$B:$B,MATCH($G1472,'Catalog'!$A:$A,0)),$B1472))</f>
        <v>15W L חגורת צלעות לאשה</v>
      </c>
      <c r="I1472" s="7" t="str">
        <f aca="false">IF($G1472="","Unmatched","Matched")</f>
        <v>Matched</v>
      </c>
      <c r="J1472" s="7" t="n">
        <f aca="false">IF($G1472&lt;&gt;"",$G1472,$B1472)</f>
        <v>4408131</v>
      </c>
      <c r="K1472" s="7" t="str">
        <f aca="false">IF(COUNTIF($O$2:$O$16,$A1472)&gt;0,"Y","N")</f>
        <v>Y</v>
      </c>
    </row>
    <row r="1473" customFormat="false" ht="15" hidden="false" customHeight="false" outlineLevel="0" collapsed="false">
      <c r="A1473" s="7" t="s">
        <v>43</v>
      </c>
      <c r="B1473" s="7" t="s">
        <v>116</v>
      </c>
      <c r="C1473" s="8" t="n">
        <v>7</v>
      </c>
      <c r="D1473" s="8" t="n">
        <v>244.14</v>
      </c>
      <c r="E1473" s="8" t="n">
        <v>0</v>
      </c>
      <c r="F1473" s="8" t="n">
        <v>0</v>
      </c>
      <c r="G1473" s="7" t="str">
        <f aca="false">IFERROR(INDEX('TRANS'!$B:$B,MATCH($B1473,'TRANS'!$A:$A,0)),IFERROR(INDEX('TRANS'!$B:$B,MATCH(TRIM(SUBSTITUTE($B1473,CHAR(160)," ")),'TRANS'!$D:$D,0)),IFERROR(INDEX('Catalog'!$A:$A,MATCH($B1473,'Catalog'!$B:$B,0)),IFERROR(INDEX('Catalog'!$A:$A,MATCH(TRIM(SUBSTITUTE($B1473,CHAR(160)," ")),'Catalog'!$C:$C,0)),""))))</f>
        <v/>
      </c>
      <c r="H1473" s="7" t="str">
        <f aca="false">IFERROR(INDEX('TRANS'!$C:$C,MATCH($B1473,'TRANS'!$A:$A,0)),IFERROR(INDEX('Catalog'!$B:$B,MATCH($G1473,'Catalog'!$A:$A,0)),$B1473))</f>
        <v>15W M</v>
      </c>
      <c r="I1473" s="7" t="str">
        <f aca="false">IF($G1473="","Unmatched","Matched")</f>
        <v>Unmatched</v>
      </c>
      <c r="J1473" s="7" t="str">
        <f aca="false">IF($G1473&lt;&gt;"",$G1473,$B1473)</f>
        <v>15W M</v>
      </c>
      <c r="K1473" s="7" t="str">
        <f aca="false">IF(COUNTIF($O$2:$O$16,$A1473)&gt;0,"Y","N")</f>
        <v>Y</v>
      </c>
    </row>
    <row r="1474" customFormat="false" ht="15" hidden="false" customHeight="false" outlineLevel="0" collapsed="false">
      <c r="A1474" s="7" t="s">
        <v>43</v>
      </c>
      <c r="B1474" s="7" t="s">
        <v>114</v>
      </c>
      <c r="C1474" s="8" t="n">
        <v>5</v>
      </c>
      <c r="D1474" s="8" t="n">
        <v>244.11</v>
      </c>
      <c r="E1474" s="8" t="n">
        <v>0</v>
      </c>
      <c r="F1474" s="8" t="n">
        <v>0</v>
      </c>
      <c r="G1474" s="7" t="str">
        <f aca="false">IFERROR(INDEX('TRANS'!$B:$B,MATCH($B1474,'TRANS'!$A:$A,0)),IFERROR(INDEX('TRANS'!$B:$B,MATCH(TRIM(SUBSTITUTE($B1474,CHAR(160)," ")),'TRANS'!$D:$D,0)),IFERROR(INDEX('Catalog'!$A:$A,MATCH($B1474,'Catalog'!$B:$B,0)),IFERROR(INDEX('Catalog'!$A:$A,MATCH(TRIM(SUBSTITUTE($B1474,CHAR(160)," ")),'Catalog'!$C:$C,0)),""))))</f>
        <v/>
      </c>
      <c r="H1474" s="7" t="str">
        <f aca="false">IFERROR(INDEX('TRANS'!$C:$C,MATCH($B1474,'TRANS'!$A:$A,0)),IFERROR(INDEX('Catalog'!$B:$B,MATCH($G1474,'Catalog'!$A:$A,0)),$B1474))</f>
        <v>15W S</v>
      </c>
      <c r="I1474" s="7" t="str">
        <f aca="false">IF($G1474="","Unmatched","Matched")</f>
        <v>Unmatched</v>
      </c>
      <c r="J1474" s="7" t="str">
        <f aca="false">IF($G1474&lt;&gt;"",$G1474,$B1474)</f>
        <v>15W S</v>
      </c>
      <c r="K1474" s="7" t="str">
        <f aca="false">IF(COUNTIF($O$2:$O$16,$A1474)&gt;0,"Y","N")</f>
        <v>Y</v>
      </c>
    </row>
    <row r="1475" customFormat="false" ht="15" hidden="false" customHeight="false" outlineLevel="0" collapsed="false">
      <c r="A1475" s="7" t="s">
        <v>43</v>
      </c>
      <c r="B1475" s="7" t="s">
        <v>196</v>
      </c>
      <c r="C1475" s="8" t="n">
        <v>11</v>
      </c>
      <c r="D1475" s="8" t="n">
        <v>488.22</v>
      </c>
      <c r="E1475" s="8" t="n">
        <v>0</v>
      </c>
      <c r="F1475" s="8" t="n">
        <v>0</v>
      </c>
      <c r="G1475" s="7" t="str">
        <f aca="false">IFERROR(INDEX('TRANS'!$B:$B,MATCH($B1475,'TRANS'!$A:$A,0)),IFERROR(INDEX('TRANS'!$B:$B,MATCH(TRIM(SUBSTITUTE($B1475,CHAR(160)," ")),'TRANS'!$D:$D,0)),IFERROR(INDEX('Catalog'!$A:$A,MATCH($B1475,'Catalog'!$B:$B,0)),IFERROR(INDEX('Catalog'!$A:$A,MATCH(TRIM(SUBSTITUTE($B1475,CHAR(160)," ")),'Catalog'!$C:$C,0)),""))))</f>
        <v/>
      </c>
      <c r="H1475" s="7" t="str">
        <f aca="false">IFERROR(INDEX('TRANS'!$C:$C,MATCH($B1475,'TRANS'!$A:$A,0)),IFERROR(INDEX('Catalog'!$B:$B,MATCH($G1475,'Catalog'!$A:$A,0)),$B1475))</f>
        <v>15W XL</v>
      </c>
      <c r="I1475" s="7" t="str">
        <f aca="false">IF($G1475="","Unmatched","Matched")</f>
        <v>Unmatched</v>
      </c>
      <c r="J1475" s="7" t="str">
        <f aca="false">IF($G1475&lt;&gt;"",$G1475,$B1475)</f>
        <v>15W XL</v>
      </c>
      <c r="K1475" s="7" t="str">
        <f aca="false">IF(COUNTIF($O$2:$O$16,$A1475)&gt;0,"Y","N")</f>
        <v>Y</v>
      </c>
    </row>
    <row r="1476" customFormat="false" ht="15" hidden="false" customHeight="false" outlineLevel="0" collapsed="false">
      <c r="A1476" s="7" t="s">
        <v>43</v>
      </c>
      <c r="B1476" s="7" t="s">
        <v>198</v>
      </c>
      <c r="C1476" s="8" t="n">
        <v>10</v>
      </c>
      <c r="D1476" s="8" t="n">
        <v>488.22</v>
      </c>
      <c r="E1476" s="8" t="n">
        <v>0</v>
      </c>
      <c r="F1476" s="8" t="n">
        <v>0</v>
      </c>
      <c r="G1476" s="7" t="str">
        <f aca="false">IFERROR(INDEX('TRANS'!$B:$B,MATCH($B1476,'TRANS'!$A:$A,0)),IFERROR(INDEX('TRANS'!$B:$B,MATCH(TRIM(SUBSTITUTE($B1476,CHAR(160)," ")),'TRANS'!$D:$D,0)),IFERROR(INDEX('Catalog'!$A:$A,MATCH($B1476,'Catalog'!$B:$B,0)),IFERROR(INDEX('Catalog'!$A:$A,MATCH(TRIM(SUBSTITUTE($B1476,CHAR(160)," ")),'Catalog'!$C:$C,0)),""))))</f>
        <v/>
      </c>
      <c r="H1476" s="7" t="str">
        <f aca="false">IFERROR(INDEX('TRANS'!$C:$C,MATCH($B1476,'TRANS'!$A:$A,0)),IFERROR(INDEX('Catalog'!$B:$B,MATCH($G1476,'Catalog'!$A:$A,0)),$B1476))</f>
        <v>15W XXL</v>
      </c>
      <c r="I1476" s="7" t="str">
        <f aca="false">IF($G1476="","Unmatched","Matched")</f>
        <v>Unmatched</v>
      </c>
      <c r="J1476" s="7" t="str">
        <f aca="false">IF($G1476&lt;&gt;"",$G1476,$B1476)</f>
        <v>15W XXL</v>
      </c>
      <c r="K1476" s="7" t="str">
        <f aca="false">IF(COUNTIF($O$2:$O$16,$A1476)&gt;0,"Y","N")</f>
        <v>Y</v>
      </c>
    </row>
    <row r="1477" customFormat="false" ht="15" hidden="false" customHeight="false" outlineLevel="0" collapsed="false">
      <c r="A1477" s="7" t="s">
        <v>43</v>
      </c>
      <c r="B1477" s="7" t="s">
        <v>287</v>
      </c>
      <c r="C1477" s="8" t="n">
        <v>10</v>
      </c>
      <c r="D1477" s="8" t="n">
        <v>139.5</v>
      </c>
      <c r="E1477" s="8" t="n">
        <v>0</v>
      </c>
      <c r="F1477" s="8" t="n">
        <v>0</v>
      </c>
      <c r="G1477" s="7" t="n">
        <f aca="false">IFERROR(INDEX('TRANS'!$B:$B,MATCH($B1477,'TRANS'!$A:$A,0)),IFERROR(INDEX('TRANS'!$B:$B,MATCH(TRIM(SUBSTITUTE($B1477,CHAR(160)," ")),'TRANS'!$D:$D,0)),IFERROR(INDEX('Catalog'!$A:$A,MATCH($B1477,'Catalog'!$B:$B,0)),IFERROR(INDEX('Catalog'!$A:$A,MATCH(TRIM(SUBSTITUTE($B1477,CHAR(160)," ")),'Catalog'!$C:$C,0)),""))))</f>
        <v>4408046</v>
      </c>
      <c r="H1477" s="7" t="str">
        <f aca="false">IFERROR(INDEX('TRANS'!$C:$C,MATCH($B1477,'TRANS'!$A:$A,0)),IFERROR(INDEX('Catalog'!$B:$B,MATCH($G1477,'Catalog'!$A:$A,0)),$B1477))</f>
        <v>20 L חבק יד מתכוון עם צמדן</v>
      </c>
      <c r="I1477" s="7" t="str">
        <f aca="false">IF($G1477="","Unmatched","Matched")</f>
        <v>Matched</v>
      </c>
      <c r="J1477" s="7" t="n">
        <f aca="false">IF($G1477&lt;&gt;"",$G1477,$B1477)</f>
        <v>4408046</v>
      </c>
      <c r="K1477" s="7" t="str">
        <f aca="false">IF(COUNTIF($O$2:$O$16,$A1477)&gt;0,"Y","N")</f>
        <v>Y</v>
      </c>
    </row>
    <row r="1478" customFormat="false" ht="15" hidden="false" customHeight="false" outlineLevel="0" collapsed="false">
      <c r="A1478" s="7" t="s">
        <v>43</v>
      </c>
      <c r="B1478" s="7" t="s">
        <v>290</v>
      </c>
      <c r="C1478" s="8" t="n">
        <v>10</v>
      </c>
      <c r="D1478" s="8" t="n">
        <v>139.5</v>
      </c>
      <c r="E1478" s="8" t="n">
        <v>0</v>
      </c>
      <c r="F1478" s="8" t="n">
        <v>0</v>
      </c>
      <c r="G1478" s="7" t="n">
        <f aca="false">IFERROR(INDEX('TRANS'!$B:$B,MATCH($B1478,'TRANS'!$A:$A,0)),IFERROR(INDEX('TRANS'!$B:$B,MATCH(TRIM(SUBSTITUTE($B1478,CHAR(160)," ")),'TRANS'!$D:$D,0)),IFERROR(INDEX('Catalog'!$A:$A,MATCH($B1478,'Catalog'!$B:$B,0)),IFERROR(INDEX('Catalog'!$A:$A,MATCH(TRIM(SUBSTITUTE($B1478,CHAR(160)," ")),'Catalog'!$C:$C,0)),""))))</f>
        <v>4408049</v>
      </c>
      <c r="H1478" s="7" t="str">
        <f aca="false">IFERROR(INDEX('TRANS'!$C:$C,MATCH($B1478,'TRANS'!$A:$A,0)),IFERROR(INDEX('Catalog'!$B:$B,MATCH($G1478,'Catalog'!$A:$A,0)),$B1478))</f>
        <v>20 XL חבק יד מתכוון עם צמדן</v>
      </c>
      <c r="I1478" s="7" t="str">
        <f aca="false">IF($G1478="","Unmatched","Matched")</f>
        <v>Matched</v>
      </c>
      <c r="J1478" s="7" t="n">
        <f aca="false">IF($G1478&lt;&gt;"",$G1478,$B1478)</f>
        <v>4408049</v>
      </c>
      <c r="K1478" s="7" t="str">
        <f aca="false">IF(COUNTIF($O$2:$O$16,$A1478)&gt;0,"Y","N")</f>
        <v>Y</v>
      </c>
    </row>
    <row r="1479" customFormat="false" ht="15" hidden="false" customHeight="false" outlineLevel="0" collapsed="false">
      <c r="A1479" s="7" t="s">
        <v>43</v>
      </c>
      <c r="B1479" s="7" t="s">
        <v>419</v>
      </c>
      <c r="C1479" s="8" t="n">
        <v>10</v>
      </c>
      <c r="D1479" s="8" t="n">
        <v>139.5</v>
      </c>
      <c r="E1479" s="8" t="n">
        <v>0</v>
      </c>
      <c r="F1479" s="8" t="n">
        <v>0</v>
      </c>
      <c r="G1479" s="7" t="n">
        <f aca="false">IFERROR(INDEX('TRANS'!$B:$B,MATCH($B1479,'TRANS'!$A:$A,0)),IFERROR(INDEX('TRANS'!$B:$B,MATCH(TRIM(SUBSTITUTE($B1479,CHAR(160)," ")),'TRANS'!$D:$D,0)),IFERROR(INDEX('Catalog'!$A:$A,MATCH($B1479,'Catalog'!$B:$B,0)),IFERROR(INDEX('Catalog'!$A:$A,MATCH(TRIM(SUBSTITUTE($B1479,CHAR(160)," ")),'Catalog'!$C:$C,0)),""))))</f>
        <v>4408050</v>
      </c>
      <c r="H1479" s="7" t="str">
        <f aca="false">IFERROR(INDEX('TRANS'!$C:$C,MATCH($B1479,'TRANS'!$A:$A,0)),IFERROR(INDEX('Catalog'!$B:$B,MATCH($G1479,'Catalog'!$A:$A,0)),$B1479))</f>
        <v>20 XXL חבק יד מתכוון עם צמדן</v>
      </c>
      <c r="I1479" s="7" t="str">
        <f aca="false">IF($G1479="","Unmatched","Matched")</f>
        <v>Matched</v>
      </c>
      <c r="J1479" s="7" t="n">
        <f aca="false">IF($G1479&lt;&gt;"",$G1479,$B1479)</f>
        <v>4408050</v>
      </c>
      <c r="K1479" s="7" t="str">
        <f aca="false">IF(COUNTIF($O$2:$O$16,$A1479)&gt;0,"Y","N")</f>
        <v>Y</v>
      </c>
    </row>
    <row r="1480" customFormat="false" ht="15" hidden="false" customHeight="false" outlineLevel="0" collapsed="false">
      <c r="A1480" s="7" t="s">
        <v>43</v>
      </c>
      <c r="B1480" s="7" t="s">
        <v>291</v>
      </c>
      <c r="C1480" s="8" t="n">
        <v>10</v>
      </c>
      <c r="D1480" s="8" t="n">
        <v>177.62</v>
      </c>
      <c r="E1480" s="8" t="n">
        <v>0</v>
      </c>
      <c r="F1480" s="8" t="n">
        <v>0</v>
      </c>
      <c r="G1480" s="7" t="n">
        <f aca="false">IFERROR(INDEX('TRANS'!$B:$B,MATCH($B1480,'TRANS'!$A:$A,0)),IFERROR(INDEX('TRANS'!$B:$B,MATCH(TRIM(SUBSTITUTE($B1480,CHAR(160)," ")),'TRANS'!$D:$D,0)),IFERROR(INDEX('Catalog'!$A:$A,MATCH($B1480,'Catalog'!$B:$B,0)),IFERROR(INDEX('Catalog'!$A:$A,MATCH(TRIM(SUBSTITUTE($B1480,CHAR(160)," ")),'Catalog'!$C:$C,0)),""))))</f>
        <v>4408052</v>
      </c>
      <c r="H1480" s="7" t="str">
        <f aca="false">IFERROR(INDEX('TRANS'!$C:$C,MATCH($B1480,'TRANS'!$A:$A,0)),IFERROR(INDEX('Catalog'!$B:$B,MATCH($G1480,'Catalog'!$A:$A,0)),$B1480))</f>
        <v>21 L  חבק יד ארוך</v>
      </c>
      <c r="I1480" s="7" t="str">
        <f aca="false">IF($G1480="","Unmatched","Matched")</f>
        <v>Matched</v>
      </c>
      <c r="J1480" s="7" t="n">
        <f aca="false">IF($G1480&lt;&gt;"",$G1480,$B1480)</f>
        <v>4408052</v>
      </c>
      <c r="K1480" s="7" t="str">
        <f aca="false">IF(COUNTIF($O$2:$O$16,$A1480)&gt;0,"Y","N")</f>
        <v>Y</v>
      </c>
    </row>
    <row r="1481" customFormat="false" ht="15" hidden="false" customHeight="false" outlineLevel="0" collapsed="false">
      <c r="A1481" s="7" t="s">
        <v>43</v>
      </c>
      <c r="B1481" s="7" t="s">
        <v>428</v>
      </c>
      <c r="C1481" s="8" t="n">
        <v>33</v>
      </c>
      <c r="D1481" s="8" t="n">
        <v>241.81</v>
      </c>
      <c r="E1481" s="8" t="n">
        <v>0</v>
      </c>
      <c r="F1481" s="8" t="n">
        <v>0</v>
      </c>
      <c r="G1481" s="7" t="n">
        <f aca="false">IFERROR(INDEX('TRANS'!$B:$B,MATCH($B1481,'TRANS'!$A:$A,0)),IFERROR(INDEX('TRANS'!$B:$B,MATCH(TRIM(SUBSTITUTE($B1481,CHAR(160)," ")),'TRANS'!$D:$D,0)),IFERROR(INDEX('Catalog'!$A:$A,MATCH($B1481,'Catalog'!$B:$B,0)),IFERROR(INDEX('Catalog'!$A:$A,MATCH(TRIM(SUBSTITUTE($B1481,CHAR(160)," ")),'Catalog'!$C:$C,0)),""))))</f>
        <v>4415162</v>
      </c>
      <c r="H1481" s="7" t="str">
        <f aca="false">IFERROR(INDEX('TRANS'!$C:$C,MATCH($B1481,'TRANS'!$A:$A,0)),IFERROR(INDEX('Catalog'!$B:$B,MATCH($G1481,'Catalog'!$A:$A,0)),$B1481))</f>
        <v>238L סד ליישור אצבע</v>
      </c>
      <c r="I1481" s="7" t="str">
        <f aca="false">IF($G1481="","Unmatched","Matched")</f>
        <v>Matched</v>
      </c>
      <c r="J1481" s="7" t="n">
        <f aca="false">IF($G1481&lt;&gt;"",$G1481,$B1481)</f>
        <v>4415162</v>
      </c>
      <c r="K1481" s="7" t="str">
        <f aca="false">IF(COUNTIF($O$2:$O$16,$A1481)&gt;0,"Y","N")</f>
        <v>Y</v>
      </c>
    </row>
    <row r="1482" customFormat="false" ht="15" hidden="false" customHeight="false" outlineLevel="0" collapsed="false">
      <c r="A1482" s="7" t="s">
        <v>43</v>
      </c>
      <c r="B1482" s="7" t="s">
        <v>429</v>
      </c>
      <c r="C1482" s="8" t="n">
        <v>22</v>
      </c>
      <c r="D1482" s="8" t="n">
        <v>161.23</v>
      </c>
      <c r="E1482" s="8" t="n">
        <v>0</v>
      </c>
      <c r="F1482" s="8" t="n">
        <v>0</v>
      </c>
      <c r="G1482" s="7" t="n">
        <f aca="false">IFERROR(INDEX('TRANS'!$B:$B,MATCH($B1482,'TRANS'!$A:$A,0)),IFERROR(INDEX('TRANS'!$B:$B,MATCH(TRIM(SUBSTITUTE($B1482,CHAR(160)," ")),'TRANS'!$D:$D,0)),IFERROR(INDEX('Catalog'!$A:$A,MATCH($B1482,'Catalog'!$B:$B,0)),IFERROR(INDEX('Catalog'!$A:$A,MATCH(TRIM(SUBSTITUTE($B1482,CHAR(160)," ")),'Catalog'!$C:$C,0)),""))))</f>
        <v>4415161</v>
      </c>
      <c r="H1482" s="7" t="str">
        <f aca="false">IFERROR(INDEX('TRANS'!$C:$C,MATCH($B1482,'TRANS'!$A:$A,0)),IFERROR(INDEX('Catalog'!$B:$B,MATCH($G1482,'Catalog'!$A:$A,0)),$B1482))</f>
        <v>238M סד ליישור אצבע</v>
      </c>
      <c r="I1482" s="7" t="str">
        <f aca="false">IF($G1482="","Unmatched","Matched")</f>
        <v>Matched</v>
      </c>
      <c r="J1482" s="7" t="n">
        <f aca="false">IF($G1482&lt;&gt;"",$G1482,$B1482)</f>
        <v>4415161</v>
      </c>
      <c r="K1482" s="7" t="str">
        <f aca="false">IF(COUNTIF($O$2:$O$16,$A1482)&gt;0,"Y","N")</f>
        <v>Y</v>
      </c>
    </row>
    <row r="1483" customFormat="false" ht="15" hidden="false" customHeight="false" outlineLevel="0" collapsed="false">
      <c r="A1483" s="7" t="s">
        <v>43</v>
      </c>
      <c r="B1483" s="7" t="s">
        <v>430</v>
      </c>
      <c r="C1483" s="8" t="n">
        <v>33</v>
      </c>
      <c r="D1483" s="8" t="n">
        <v>241.8</v>
      </c>
      <c r="E1483" s="8" t="n">
        <v>0</v>
      </c>
      <c r="F1483" s="8" t="n">
        <v>0</v>
      </c>
      <c r="G1483" s="7" t="n">
        <f aca="false">IFERROR(INDEX('TRANS'!$B:$B,MATCH($B1483,'TRANS'!$A:$A,0)),IFERROR(INDEX('TRANS'!$B:$B,MATCH(TRIM(SUBSTITUTE($B1483,CHAR(160)," ")),'TRANS'!$D:$D,0)),IFERROR(INDEX('Catalog'!$A:$A,MATCH($B1483,'Catalog'!$B:$B,0)),IFERROR(INDEX('Catalog'!$A:$A,MATCH(TRIM(SUBSTITUTE($B1483,CHAR(160)," ")),'Catalog'!$C:$C,0)),""))))</f>
        <v>4415160</v>
      </c>
      <c r="H1483" s="7" t="str">
        <f aca="false">IFERROR(INDEX('TRANS'!$C:$C,MATCH($B1483,'TRANS'!$A:$A,0)),IFERROR(INDEX('Catalog'!$B:$B,MATCH($G1483,'Catalog'!$A:$A,0)),$B1483))</f>
        <v>238S סד ליישור אצבע</v>
      </c>
      <c r="I1483" s="7" t="str">
        <f aca="false">IF($G1483="","Unmatched","Matched")</f>
        <v>Matched</v>
      </c>
      <c r="J1483" s="7" t="n">
        <f aca="false">IF($G1483&lt;&gt;"",$G1483,$B1483)</f>
        <v>4415160</v>
      </c>
      <c r="K1483" s="7" t="str">
        <f aca="false">IF(COUNTIF($O$2:$O$16,$A1483)&gt;0,"Y","N")</f>
        <v>Y</v>
      </c>
    </row>
    <row r="1484" customFormat="false" ht="15" hidden="false" customHeight="false" outlineLevel="0" collapsed="false">
      <c r="A1484" s="7" t="s">
        <v>43</v>
      </c>
      <c r="B1484" s="7" t="s">
        <v>431</v>
      </c>
      <c r="C1484" s="8" t="n">
        <v>22</v>
      </c>
      <c r="D1484" s="8" t="n">
        <v>161.23</v>
      </c>
      <c r="E1484" s="8" t="n">
        <v>0</v>
      </c>
      <c r="F1484" s="8" t="n">
        <v>0</v>
      </c>
      <c r="G1484" s="7" t="n">
        <f aca="false">IFERROR(INDEX('TRANS'!$B:$B,MATCH($B1484,'TRANS'!$A:$A,0)),IFERROR(INDEX('TRANS'!$B:$B,MATCH(TRIM(SUBSTITUTE($B1484,CHAR(160)," ")),'TRANS'!$D:$D,0)),IFERROR(INDEX('Catalog'!$A:$A,MATCH($B1484,'Catalog'!$B:$B,0)),IFERROR(INDEX('Catalog'!$A:$A,MATCH(TRIM(SUBSTITUTE($B1484,CHAR(160)," ")),'Catalog'!$C:$C,0)),""))))</f>
        <v>4415163</v>
      </c>
      <c r="H1484" s="7" t="str">
        <f aca="false">IFERROR(INDEX('TRANS'!$C:$C,MATCH($B1484,'TRANS'!$A:$A,0)),IFERROR(INDEX('Catalog'!$B:$B,MATCH($G1484,'Catalog'!$A:$A,0)),$B1484))</f>
        <v>238XL סד ליישור אצבע</v>
      </c>
      <c r="I1484" s="7" t="str">
        <f aca="false">IF($G1484="","Unmatched","Matched")</f>
        <v>Matched</v>
      </c>
      <c r="J1484" s="7" t="n">
        <f aca="false">IF($G1484&lt;&gt;"",$G1484,$B1484)</f>
        <v>4415163</v>
      </c>
      <c r="K1484" s="7" t="str">
        <f aca="false">IF(COUNTIF($O$2:$O$16,$A1484)&gt;0,"Y","N")</f>
        <v>Y</v>
      </c>
    </row>
    <row r="1485" customFormat="false" ht="15" hidden="false" customHeight="false" outlineLevel="0" collapsed="false">
      <c r="A1485" s="7" t="s">
        <v>43</v>
      </c>
      <c r="B1485" s="7" t="s">
        <v>295</v>
      </c>
      <c r="C1485" s="8" t="n">
        <v>55</v>
      </c>
      <c r="D1485" s="8" t="n">
        <v>1317.47</v>
      </c>
      <c r="E1485" s="8" t="n">
        <v>0</v>
      </c>
      <c r="F1485" s="8" t="n">
        <v>0</v>
      </c>
      <c r="G1485" s="7" t="n">
        <f aca="false">IFERROR(INDEX('TRANS'!$B:$B,MATCH($B1485,'TRANS'!$A:$A,0)),IFERROR(INDEX('TRANS'!$B:$B,MATCH(TRIM(SUBSTITUTE($B1485,CHAR(160)," ")),'TRANS'!$D:$D,0)),IFERROR(INDEX('Catalog'!$A:$A,MATCH($B1485,'Catalog'!$B:$B,0)),IFERROR(INDEX('Catalog'!$A:$A,MATCH(TRIM(SUBSTITUTE($B1485,CHAR(160)," ")),'Catalog'!$C:$C,0)),""))))</f>
        <v>4413372</v>
      </c>
      <c r="H1485" s="7" t="str">
        <f aca="false">IFERROR(INDEX('TRANS'!$C:$C,MATCH($B1485,'TRANS'!$A:$A,0)),IFERROR(INDEX('Catalog'!$B:$B,MATCH($G1485,'Catalog'!$A:$A,0)),$B1485))</f>
        <v>302 W מדרס לאישה</v>
      </c>
      <c r="I1485" s="7" t="str">
        <f aca="false">IF($G1485="","Unmatched","Matched")</f>
        <v>Matched</v>
      </c>
      <c r="J1485" s="7" t="n">
        <f aca="false">IF($G1485&lt;&gt;"",$G1485,$B1485)</f>
        <v>4413372</v>
      </c>
      <c r="K1485" s="7" t="str">
        <f aca="false">IF(COUNTIF($O$2:$O$16,$A1485)&gt;0,"Y","N")</f>
        <v>Y</v>
      </c>
    </row>
    <row r="1486" customFormat="false" ht="15" hidden="false" customHeight="false" outlineLevel="0" collapsed="false">
      <c r="A1486" s="7" t="s">
        <v>43</v>
      </c>
      <c r="B1486" s="7" t="s">
        <v>91</v>
      </c>
      <c r="C1486" s="8" t="n">
        <v>100</v>
      </c>
      <c r="D1486" s="8" t="n">
        <v>3208.35</v>
      </c>
      <c r="E1486" s="8" t="n">
        <v>0</v>
      </c>
      <c r="F1486" s="8" t="n">
        <v>0</v>
      </c>
      <c r="G1486" s="7" t="str">
        <f aca="false">IFERROR(INDEX('TRANS'!$B:$B,MATCH($B1486,'TRANS'!$A:$A,0)),IFERROR(INDEX('TRANS'!$B:$B,MATCH(TRIM(SUBSTITUTE($B1486,CHAR(160)," ")),'TRANS'!$D:$D,0)),IFERROR(INDEX('Catalog'!$A:$A,MATCH($B1486,'Catalog'!$B:$B,0)),IFERROR(INDEX('Catalog'!$A:$A,MATCH(TRIM(SUBSTITUTE($B1486,CHAR(160)," ")),'Catalog'!$C:$C,0)),""))))</f>
        <v/>
      </c>
      <c r="H1486" s="7" t="str">
        <f aca="false">IFERROR(INDEX('TRANS'!$C:$C,MATCH($B1486,'TRANS'!$A:$A,0)),IFERROR(INDEX('Catalog'!$B:$B,MATCH($G1486,'Catalog'!$A:$A,0)),$B1486))</f>
        <v>305-35-36</v>
      </c>
      <c r="I1486" s="7" t="str">
        <f aca="false">IF($G1486="","Unmatched","Matched")</f>
        <v>Unmatched</v>
      </c>
      <c r="J1486" s="7" t="str">
        <f aca="false">IF($G1486&lt;&gt;"",$G1486,$B1486)</f>
        <v>305-35-36</v>
      </c>
      <c r="K1486" s="7" t="str">
        <f aca="false">IF(COUNTIF($O$2:$O$16,$A1486)&gt;0,"Y","N")</f>
        <v>Y</v>
      </c>
    </row>
    <row r="1487" customFormat="false" ht="15" hidden="false" customHeight="false" outlineLevel="0" collapsed="false">
      <c r="A1487" s="7" t="s">
        <v>43</v>
      </c>
      <c r="B1487" s="7" t="s">
        <v>74</v>
      </c>
      <c r="C1487" s="8" t="n">
        <v>100</v>
      </c>
      <c r="D1487" s="8" t="n">
        <v>3208.35</v>
      </c>
      <c r="E1487" s="8" t="n">
        <v>0</v>
      </c>
      <c r="F1487" s="8" t="n">
        <v>0</v>
      </c>
      <c r="G1487" s="7" t="str">
        <f aca="false">IFERROR(INDEX('TRANS'!$B:$B,MATCH($B1487,'TRANS'!$A:$A,0)),IFERROR(INDEX('TRANS'!$B:$B,MATCH(TRIM(SUBSTITUTE($B1487,CHAR(160)," ")),'TRANS'!$D:$D,0)),IFERROR(INDEX('Catalog'!$A:$A,MATCH($B1487,'Catalog'!$B:$B,0)),IFERROR(INDEX('Catalog'!$A:$A,MATCH(TRIM(SUBSTITUTE($B1487,CHAR(160)," ")),'Catalog'!$C:$C,0)),""))))</f>
        <v/>
      </c>
      <c r="H1487" s="7" t="str">
        <f aca="false">IFERROR(INDEX('TRANS'!$C:$C,MATCH($B1487,'TRANS'!$A:$A,0)),IFERROR(INDEX('Catalog'!$B:$B,MATCH($G1487,'Catalog'!$A:$A,0)),$B1487))</f>
        <v>305-37-38</v>
      </c>
      <c r="I1487" s="7" t="str">
        <f aca="false">IF($G1487="","Unmatched","Matched")</f>
        <v>Unmatched</v>
      </c>
      <c r="J1487" s="7" t="str">
        <f aca="false">IF($G1487&lt;&gt;"",$G1487,$B1487)</f>
        <v>305-37-38</v>
      </c>
      <c r="K1487" s="7" t="str">
        <f aca="false">IF(COUNTIF($O$2:$O$16,$A1487)&gt;0,"Y","N")</f>
        <v>Y</v>
      </c>
    </row>
    <row r="1488" customFormat="false" ht="15" hidden="false" customHeight="false" outlineLevel="0" collapsed="false">
      <c r="A1488" s="7" t="s">
        <v>43</v>
      </c>
      <c r="B1488" s="7" t="s">
        <v>67</v>
      </c>
      <c r="C1488" s="8" t="n">
        <v>200</v>
      </c>
      <c r="D1488" s="8" t="n">
        <v>6416.69</v>
      </c>
      <c r="E1488" s="8" t="n">
        <v>0</v>
      </c>
      <c r="F1488" s="8" t="n">
        <v>0</v>
      </c>
      <c r="G1488" s="7" t="str">
        <f aca="false">IFERROR(INDEX('TRANS'!$B:$B,MATCH($B1488,'TRANS'!$A:$A,0)),IFERROR(INDEX('TRANS'!$B:$B,MATCH(TRIM(SUBSTITUTE($B1488,CHAR(160)," ")),'TRANS'!$D:$D,0)),IFERROR(INDEX('Catalog'!$A:$A,MATCH($B1488,'Catalog'!$B:$B,0)),IFERROR(INDEX('Catalog'!$A:$A,MATCH(TRIM(SUBSTITUTE($B1488,CHAR(160)," ")),'Catalog'!$C:$C,0)),""))))</f>
        <v/>
      </c>
      <c r="H1488" s="7" t="str">
        <f aca="false">IFERROR(INDEX('TRANS'!$C:$C,MATCH($B1488,'TRANS'!$A:$A,0)),IFERROR(INDEX('Catalog'!$B:$B,MATCH($G1488,'Catalog'!$A:$A,0)),$B1488))</f>
        <v>305-39-40</v>
      </c>
      <c r="I1488" s="7" t="str">
        <f aca="false">IF($G1488="","Unmatched","Matched")</f>
        <v>Unmatched</v>
      </c>
      <c r="J1488" s="7" t="str">
        <f aca="false">IF($G1488&lt;&gt;"",$G1488,$B1488)</f>
        <v>305-39-40</v>
      </c>
      <c r="K1488" s="7" t="str">
        <f aca="false">IF(COUNTIF($O$2:$O$16,$A1488)&gt;0,"Y","N")</f>
        <v>Y</v>
      </c>
    </row>
    <row r="1489" customFormat="false" ht="15" hidden="false" customHeight="false" outlineLevel="0" collapsed="false">
      <c r="A1489" s="7" t="s">
        <v>43</v>
      </c>
      <c r="B1489" s="7" t="s">
        <v>68</v>
      </c>
      <c r="C1489" s="8" t="n">
        <v>300</v>
      </c>
      <c r="D1489" s="8" t="n">
        <v>9625.04</v>
      </c>
      <c r="E1489" s="8" t="n">
        <v>0</v>
      </c>
      <c r="F1489" s="8" t="n">
        <v>0</v>
      </c>
      <c r="G1489" s="7" t="str">
        <f aca="false">IFERROR(INDEX('TRANS'!$B:$B,MATCH($B1489,'TRANS'!$A:$A,0)),IFERROR(INDEX('TRANS'!$B:$B,MATCH(TRIM(SUBSTITUTE($B1489,CHAR(160)," ")),'TRANS'!$D:$D,0)),IFERROR(INDEX('Catalog'!$A:$A,MATCH($B1489,'Catalog'!$B:$B,0)),IFERROR(INDEX('Catalog'!$A:$A,MATCH(TRIM(SUBSTITUTE($B1489,CHAR(160)," ")),'Catalog'!$C:$C,0)),""))))</f>
        <v/>
      </c>
      <c r="H1489" s="7" t="str">
        <f aca="false">IFERROR(INDEX('TRANS'!$C:$C,MATCH($B1489,'TRANS'!$A:$A,0)),IFERROR(INDEX('Catalog'!$B:$B,MATCH($G1489,'Catalog'!$A:$A,0)),$B1489))</f>
        <v>305-41-42</v>
      </c>
      <c r="I1489" s="7" t="str">
        <f aca="false">IF($G1489="","Unmatched","Matched")</f>
        <v>Unmatched</v>
      </c>
      <c r="J1489" s="7" t="str">
        <f aca="false">IF($G1489&lt;&gt;"",$G1489,$B1489)</f>
        <v>305-41-42</v>
      </c>
      <c r="K1489" s="7" t="str">
        <f aca="false">IF(COUNTIF($O$2:$O$16,$A1489)&gt;0,"Y","N")</f>
        <v>Y</v>
      </c>
    </row>
    <row r="1490" customFormat="false" ht="15" hidden="false" customHeight="false" outlineLevel="0" collapsed="false">
      <c r="A1490" s="7" t="s">
        <v>43</v>
      </c>
      <c r="B1490" s="7" t="s">
        <v>66</v>
      </c>
      <c r="C1490" s="8" t="n">
        <v>300</v>
      </c>
      <c r="D1490" s="8" t="n">
        <v>9625.03</v>
      </c>
      <c r="E1490" s="8" t="n">
        <v>0</v>
      </c>
      <c r="F1490" s="8" t="n">
        <v>0</v>
      </c>
      <c r="G1490" s="7" t="str">
        <f aca="false">IFERROR(INDEX('TRANS'!$B:$B,MATCH($B1490,'TRANS'!$A:$A,0)),IFERROR(INDEX('TRANS'!$B:$B,MATCH(TRIM(SUBSTITUTE($B1490,CHAR(160)," ")),'TRANS'!$D:$D,0)),IFERROR(INDEX('Catalog'!$A:$A,MATCH($B1490,'Catalog'!$B:$B,0)),IFERROR(INDEX('Catalog'!$A:$A,MATCH(TRIM(SUBSTITUTE($B1490,CHAR(160)," ")),'Catalog'!$C:$C,0)),""))))</f>
        <v/>
      </c>
      <c r="H1490" s="7" t="str">
        <f aca="false">IFERROR(INDEX('TRANS'!$C:$C,MATCH($B1490,'TRANS'!$A:$A,0)),IFERROR(INDEX('Catalog'!$B:$B,MATCH($G1490,'Catalog'!$A:$A,0)),$B1490))</f>
        <v>305-43-44</v>
      </c>
      <c r="I1490" s="7" t="str">
        <f aca="false">IF($G1490="","Unmatched","Matched")</f>
        <v>Unmatched</v>
      </c>
      <c r="J1490" s="7" t="str">
        <f aca="false">IF($G1490&lt;&gt;"",$G1490,$B1490)</f>
        <v>305-43-44</v>
      </c>
      <c r="K1490" s="7" t="str">
        <f aca="false">IF(COUNTIF($O$2:$O$16,$A1490)&gt;0,"Y","N")</f>
        <v>Y</v>
      </c>
    </row>
    <row r="1491" customFormat="false" ht="15" hidden="false" customHeight="false" outlineLevel="0" collapsed="false">
      <c r="A1491" s="7" t="s">
        <v>43</v>
      </c>
      <c r="B1491" s="7" t="s">
        <v>76</v>
      </c>
      <c r="C1491" s="8" t="n">
        <v>100</v>
      </c>
      <c r="D1491" s="8" t="n">
        <v>0.03</v>
      </c>
      <c r="E1491" s="8" t="n">
        <v>0</v>
      </c>
      <c r="F1491" s="8" t="n">
        <v>0</v>
      </c>
      <c r="G1491" s="7" t="str">
        <f aca="false">IFERROR(INDEX('TRANS'!$B:$B,MATCH($B1491,'TRANS'!$A:$A,0)),IFERROR(INDEX('TRANS'!$B:$B,MATCH(TRIM(SUBSTITUTE($B1491,CHAR(160)," ")),'TRANS'!$D:$D,0)),IFERROR(INDEX('Catalog'!$A:$A,MATCH($B1491,'Catalog'!$B:$B,0)),IFERROR(INDEX('Catalog'!$A:$A,MATCH(TRIM(SUBSTITUTE($B1491,CHAR(160)," ")),'Catalog'!$C:$C,0)),""))))</f>
        <v/>
      </c>
      <c r="H1491" s="7" t="str">
        <f aca="false">IFERROR(INDEX('TRANS'!$C:$C,MATCH($B1491,'TRANS'!$A:$A,0)),IFERROR(INDEX('Catalog'!$B:$B,MATCH($G1491,'Catalog'!$A:$A,0)),$B1491))</f>
        <v>305-45-46</v>
      </c>
      <c r="I1491" s="7" t="str">
        <f aca="false">IF($G1491="","Unmatched","Matched")</f>
        <v>Unmatched</v>
      </c>
      <c r="J1491" s="7" t="str">
        <f aca="false">IF($G1491&lt;&gt;"",$G1491,$B1491)</f>
        <v>305-45-46</v>
      </c>
      <c r="K1491" s="7" t="str">
        <f aca="false">IF(COUNTIF($O$2:$O$16,$A1491)&gt;0,"Y","N")</f>
        <v>Y</v>
      </c>
    </row>
    <row r="1492" customFormat="false" ht="15" hidden="false" customHeight="false" outlineLevel="0" collapsed="false">
      <c r="A1492" s="7" t="s">
        <v>43</v>
      </c>
      <c r="B1492" s="7" t="s">
        <v>296</v>
      </c>
      <c r="C1492" s="8" t="n">
        <v>10</v>
      </c>
      <c r="D1492" s="8" t="n">
        <v>244.89</v>
      </c>
      <c r="E1492" s="8" t="n">
        <v>0</v>
      </c>
      <c r="F1492" s="8" t="n">
        <v>0</v>
      </c>
      <c r="G1492" s="7" t="n">
        <f aca="false">IFERROR(INDEX('TRANS'!$B:$B,MATCH($B1492,'TRANS'!$A:$A,0)),IFERROR(INDEX('TRANS'!$B:$B,MATCH(TRIM(SUBSTITUTE($B1492,CHAR(160)," ")),'TRANS'!$D:$D,0)),IFERROR(INDEX('Catalog'!$A:$A,MATCH($B1492,'Catalog'!$B:$B,0)),IFERROR(INDEX('Catalog'!$A:$A,MATCH(TRIM(SUBSTITUTE($B1492,CHAR(160)," ")),'Catalog'!$C:$C,0)),""))))</f>
        <v>4416000</v>
      </c>
      <c r="H1492" s="7" t="str">
        <f aca="false">IFERROR(INDEX('TRANS'!$C:$C,MATCH($B1492,'TRANS'!$A:$A,0)),IFERROR(INDEX('Catalog'!$B:$B,MATCH($G1492,'Catalog'!$A:$A,0)),$B1492))</f>
        <v>307 L עקבים לדורבן-זוג כריות</v>
      </c>
      <c r="I1492" s="7" t="str">
        <f aca="false">IF($G1492="","Unmatched","Matched")</f>
        <v>Matched</v>
      </c>
      <c r="J1492" s="7" t="n">
        <f aca="false">IF($G1492&lt;&gt;"",$G1492,$B1492)</f>
        <v>4416000</v>
      </c>
      <c r="K1492" s="7" t="str">
        <f aca="false">IF(COUNTIF($O$2:$O$16,$A1492)&gt;0,"Y","N")</f>
        <v>Y</v>
      </c>
    </row>
    <row r="1493" customFormat="false" ht="15" hidden="false" customHeight="false" outlineLevel="0" collapsed="false">
      <c r="A1493" s="7" t="s">
        <v>43</v>
      </c>
      <c r="B1493" s="7" t="s">
        <v>297</v>
      </c>
      <c r="C1493" s="8" t="n">
        <v>20</v>
      </c>
      <c r="D1493" s="8" t="n">
        <v>489.77</v>
      </c>
      <c r="E1493" s="8" t="n">
        <v>0</v>
      </c>
      <c r="F1493" s="8" t="n">
        <v>0</v>
      </c>
      <c r="G1493" s="7" t="n">
        <f aca="false">IFERROR(INDEX('TRANS'!$B:$B,MATCH($B1493,'TRANS'!$A:$A,0)),IFERROR(INDEX('TRANS'!$B:$B,MATCH(TRIM(SUBSTITUTE($B1493,CHAR(160)," ")),'TRANS'!$D:$D,0)),IFERROR(INDEX('Catalog'!$A:$A,MATCH($B1493,'Catalog'!$B:$B,0)),IFERROR(INDEX('Catalog'!$A:$A,MATCH(TRIM(SUBSTITUTE($B1493,CHAR(160)," ")),'Catalog'!$C:$C,0)),""))))</f>
        <v>4416001</v>
      </c>
      <c r="H1493" s="7" t="str">
        <f aca="false">IFERROR(INDEX('TRANS'!$C:$C,MATCH($B1493,'TRANS'!$A:$A,0)),IFERROR(INDEX('Catalog'!$B:$B,MATCH($G1493,'Catalog'!$A:$A,0)),$B1493))</f>
        <v>307 M עקבים לדורבן-זוג כריות</v>
      </c>
      <c r="I1493" s="7" t="str">
        <f aca="false">IF($G1493="","Unmatched","Matched")</f>
        <v>Matched</v>
      </c>
      <c r="J1493" s="7" t="n">
        <f aca="false">IF($G1493&lt;&gt;"",$G1493,$B1493)</f>
        <v>4416001</v>
      </c>
      <c r="K1493" s="7" t="str">
        <f aca="false">IF(COUNTIF($O$2:$O$16,$A1493)&gt;0,"Y","N")</f>
        <v>Y</v>
      </c>
    </row>
    <row r="1494" customFormat="false" ht="15" hidden="false" customHeight="false" outlineLevel="0" collapsed="false">
      <c r="A1494" s="7" t="s">
        <v>43</v>
      </c>
      <c r="B1494" s="7" t="s">
        <v>298</v>
      </c>
      <c r="C1494" s="8" t="n">
        <v>20</v>
      </c>
      <c r="D1494" s="8" t="n">
        <v>489.77</v>
      </c>
      <c r="E1494" s="8" t="n">
        <v>0</v>
      </c>
      <c r="F1494" s="8" t="n">
        <v>0</v>
      </c>
      <c r="G1494" s="7" t="n">
        <f aca="false">IFERROR(INDEX('TRANS'!$B:$B,MATCH($B1494,'TRANS'!$A:$A,0)),IFERROR(INDEX('TRANS'!$B:$B,MATCH(TRIM(SUBSTITUTE($B1494,CHAR(160)," ")),'TRANS'!$D:$D,0)),IFERROR(INDEX('Catalog'!$A:$A,MATCH($B1494,'Catalog'!$B:$B,0)),IFERROR(INDEX('Catalog'!$A:$A,MATCH(TRIM(SUBSTITUTE($B1494,CHAR(160)," ")),'Catalog'!$C:$C,0)),""))))</f>
        <v>4416002</v>
      </c>
      <c r="H1494" s="7" t="str">
        <f aca="false">IFERROR(INDEX('TRANS'!$C:$C,MATCH($B1494,'TRANS'!$A:$A,0)),IFERROR(INDEX('Catalog'!$B:$B,MATCH($G1494,'Catalog'!$A:$A,0)),$B1494))</f>
        <v>307 S עקבים לדורבן-זוג כריות</v>
      </c>
      <c r="I1494" s="7" t="str">
        <f aca="false">IF($G1494="","Unmatched","Matched")</f>
        <v>Matched</v>
      </c>
      <c r="J1494" s="7" t="n">
        <f aca="false">IF($G1494&lt;&gt;"",$G1494,$B1494)</f>
        <v>4416002</v>
      </c>
      <c r="K1494" s="7" t="str">
        <f aca="false">IF(COUNTIF($O$2:$O$16,$A1494)&gt;0,"Y","N")</f>
        <v>Y</v>
      </c>
    </row>
    <row r="1495" customFormat="false" ht="15" hidden="false" customHeight="false" outlineLevel="0" collapsed="false">
      <c r="A1495" s="7" t="s">
        <v>43</v>
      </c>
      <c r="B1495" s="7" t="s">
        <v>394</v>
      </c>
      <c r="C1495" s="8" t="n">
        <v>5</v>
      </c>
      <c r="D1495" s="8" t="n">
        <v>0.03</v>
      </c>
      <c r="E1495" s="8" t="n">
        <v>0</v>
      </c>
      <c r="F1495" s="8" t="n">
        <v>0</v>
      </c>
      <c r="G1495" s="7" t="n">
        <f aca="false">IFERROR(INDEX('TRANS'!$B:$B,MATCH($B1495,'TRANS'!$A:$A,0)),IFERROR(INDEX('TRANS'!$B:$B,MATCH(TRIM(SUBSTITUTE($B1495,CHAR(160)," ")),'TRANS'!$D:$D,0)),IFERROR(INDEX('Catalog'!$A:$A,MATCH($B1495,'Catalog'!$B:$B,0)),IFERROR(INDEX('Catalog'!$A:$A,MATCH(TRIM(SUBSTITUTE($B1495,CHAR(160)," ")),'Catalog'!$C:$C,0)),""))))</f>
        <v>4411016</v>
      </c>
      <c r="H1495" s="7" t="str">
        <f aca="false">IFERROR(INDEX('TRANS'!$C:$C,MATCH($B1495,'TRANS'!$A:$A,0)),IFERROR(INDEX('Catalog'!$B:$B,MATCH($G1495,'Catalog'!$A:$A,0)),$B1495))</f>
        <v>307 XL כרית סיליקון לעקב</v>
      </c>
      <c r="I1495" s="7" t="str">
        <f aca="false">IF($G1495="","Unmatched","Matched")</f>
        <v>Matched</v>
      </c>
      <c r="J1495" s="7" t="n">
        <f aca="false">IF($G1495&lt;&gt;"",$G1495,$B1495)</f>
        <v>4411016</v>
      </c>
      <c r="K1495" s="7" t="str">
        <f aca="false">IF(COUNTIF($O$2:$O$16,$A1495)&gt;0,"Y","N")</f>
        <v>Y</v>
      </c>
    </row>
    <row r="1496" customFormat="false" ht="15" hidden="false" customHeight="false" outlineLevel="0" collapsed="false">
      <c r="A1496" s="7" t="s">
        <v>43</v>
      </c>
      <c r="B1496" s="7" t="s">
        <v>395</v>
      </c>
      <c r="C1496" s="8" t="n">
        <v>55</v>
      </c>
      <c r="D1496" s="8" t="n">
        <v>387.52</v>
      </c>
      <c r="E1496" s="8" t="n">
        <v>0</v>
      </c>
      <c r="F1496" s="8" t="n">
        <v>0</v>
      </c>
      <c r="G1496" s="7" t="n">
        <f aca="false">IFERROR(INDEX('TRANS'!$B:$B,MATCH($B1496,'TRANS'!$A:$A,0)),IFERROR(INDEX('TRANS'!$B:$B,MATCH(TRIM(SUBSTITUTE($B1496,CHAR(160)," ")),'TRANS'!$D:$D,0)),IFERROR(INDEX('Catalog'!$A:$A,MATCH($B1496,'Catalog'!$B:$B,0)),IFERROR(INDEX('Catalog'!$A:$A,MATCH(TRIM(SUBSTITUTE($B1496,CHAR(160)," ")),'Catalog'!$C:$C,0)),""))))</f>
        <v>4413034</v>
      </c>
      <c r="H1496" s="7" t="str">
        <f aca="false">IFERROR(INDEX('TRANS'!$C:$C,MATCH($B1496,'TRANS'!$A:$A,0)),IFERROR(INDEX('Catalog'!$B:$B,MATCH($G1496,'Catalog'!$A:$A,0)),$B1496))</f>
        <v>312 9 מ""""ס להתאמהX5 מדבקה גדולה</v>
      </c>
      <c r="I1496" s="7" t="str">
        <f aca="false">IF($G1496="","Unmatched","Matched")</f>
        <v>Matched</v>
      </c>
      <c r="J1496" s="7" t="n">
        <f aca="false">IF($G1496&lt;&gt;"",$G1496,$B1496)</f>
        <v>4413034</v>
      </c>
      <c r="K1496" s="7" t="str">
        <f aca="false">IF(COUNTIF($O$2:$O$16,$A1496)&gt;0,"Y","N")</f>
        <v>Y</v>
      </c>
    </row>
    <row r="1497" customFormat="false" ht="15" hidden="false" customHeight="false" outlineLevel="0" collapsed="false">
      <c r="A1497" s="7" t="s">
        <v>43</v>
      </c>
      <c r="B1497" s="7" t="s">
        <v>443</v>
      </c>
      <c r="C1497" s="8" t="n">
        <v>10</v>
      </c>
      <c r="D1497" s="8" t="n">
        <v>241.78</v>
      </c>
      <c r="E1497" s="8" t="n">
        <v>0</v>
      </c>
      <c r="F1497" s="8" t="n">
        <v>0</v>
      </c>
      <c r="G1497" s="7" t="n">
        <f aca="false">IFERROR(INDEX('TRANS'!$B:$B,MATCH($B1497,'TRANS'!$A:$A,0)),IFERROR(INDEX('TRANS'!$B:$B,MATCH(TRIM(SUBSTITUTE($B1497,CHAR(160)," ")),'TRANS'!$D:$D,0)),IFERROR(INDEX('Catalog'!$A:$A,MATCH($B1497,'Catalog'!$B:$B,0)),IFERROR(INDEX('Catalog'!$A:$A,MATCH(TRIM(SUBSTITUTE($B1497,CHAR(160)," ")),'Catalog'!$C:$C,0)),""))))</f>
        <v>4413043</v>
      </c>
      <c r="H1497" s="7" t="str">
        <f aca="false">IFERROR(INDEX('TRANS'!$C:$C,MATCH($B1497,'TRANS'!$A:$A,0)),IFERROR(INDEX('Catalog'!$B:$B,MATCH($G1497,'Catalog'!$A:$A,0)),$B1497))</f>
        <v>34  L מגן קרסול עקב סגור</v>
      </c>
      <c r="I1497" s="7" t="str">
        <f aca="false">IF($G1497="","Unmatched","Matched")</f>
        <v>Matched</v>
      </c>
      <c r="J1497" s="7" t="n">
        <f aca="false">IF($G1497&lt;&gt;"",$G1497,$B1497)</f>
        <v>4413043</v>
      </c>
      <c r="K1497" s="7" t="str">
        <f aca="false">IF(COUNTIF($O$2:$O$16,$A1497)&gt;0,"Y","N")</f>
        <v>Y</v>
      </c>
    </row>
    <row r="1498" customFormat="false" ht="15" hidden="false" customHeight="false" outlineLevel="0" collapsed="false">
      <c r="A1498" s="7" t="s">
        <v>43</v>
      </c>
      <c r="B1498" s="7" t="s">
        <v>444</v>
      </c>
      <c r="C1498" s="8" t="n">
        <v>20</v>
      </c>
      <c r="D1498" s="8" t="n">
        <v>483.58</v>
      </c>
      <c r="E1498" s="8" t="n">
        <v>0</v>
      </c>
      <c r="F1498" s="8" t="n">
        <v>0</v>
      </c>
      <c r="G1498" s="7" t="n">
        <f aca="false">IFERROR(INDEX('TRANS'!$B:$B,MATCH($B1498,'TRANS'!$A:$A,0)),IFERROR(INDEX('TRANS'!$B:$B,MATCH(TRIM(SUBSTITUTE($B1498,CHAR(160)," ")),'TRANS'!$D:$D,0)),IFERROR(INDEX('Catalog'!$A:$A,MATCH($B1498,'Catalog'!$B:$B,0)),IFERROR(INDEX('Catalog'!$A:$A,MATCH(TRIM(SUBSTITUTE($B1498,CHAR(160)," ")),'Catalog'!$C:$C,0)),""))))</f>
        <v>4413041</v>
      </c>
      <c r="H1498" s="7" t="str">
        <f aca="false">IFERROR(INDEX('TRANS'!$C:$C,MATCH($B1498,'TRANS'!$A:$A,0)),IFERROR(INDEX('Catalog'!$B:$B,MATCH($G1498,'Catalog'!$A:$A,0)),$B1498))</f>
        <v>34  M מגן קרסול עקב סגור</v>
      </c>
      <c r="I1498" s="7" t="str">
        <f aca="false">IF($G1498="","Unmatched","Matched")</f>
        <v>Matched</v>
      </c>
      <c r="J1498" s="7" t="n">
        <f aca="false">IF($G1498&lt;&gt;"",$G1498,$B1498)</f>
        <v>4413041</v>
      </c>
      <c r="K1498" s="7" t="str">
        <f aca="false">IF(COUNTIF($O$2:$O$16,$A1498)&gt;0,"Y","N")</f>
        <v>Y</v>
      </c>
    </row>
    <row r="1499" customFormat="false" ht="15" hidden="false" customHeight="false" outlineLevel="0" collapsed="false">
      <c r="A1499" s="7" t="s">
        <v>43</v>
      </c>
      <c r="B1499" s="7" t="s">
        <v>445</v>
      </c>
      <c r="C1499" s="8" t="n">
        <v>10</v>
      </c>
      <c r="D1499" s="8" t="n">
        <v>241.78</v>
      </c>
      <c r="E1499" s="8" t="n">
        <v>0</v>
      </c>
      <c r="F1499" s="8" t="n">
        <v>0</v>
      </c>
      <c r="G1499" s="7" t="n">
        <f aca="false">IFERROR(INDEX('TRANS'!$B:$B,MATCH($B1499,'TRANS'!$A:$A,0)),IFERROR(INDEX('TRANS'!$B:$B,MATCH(TRIM(SUBSTITUTE($B1499,CHAR(160)," ")),'TRANS'!$D:$D,0)),IFERROR(INDEX('Catalog'!$A:$A,MATCH($B1499,'Catalog'!$B:$B,0)),IFERROR(INDEX('Catalog'!$A:$A,MATCH(TRIM(SUBSTITUTE($B1499,CHAR(160)," ")),'Catalog'!$C:$C,0)),""))))</f>
        <v>4413042</v>
      </c>
      <c r="H1499" s="7" t="str">
        <f aca="false">IFERROR(INDEX('TRANS'!$C:$C,MATCH($B1499,'TRANS'!$A:$A,0)),IFERROR(INDEX('Catalog'!$B:$B,MATCH($G1499,'Catalog'!$A:$A,0)),$B1499))</f>
        <v>34  S מגן קרסול עקב סגור</v>
      </c>
      <c r="I1499" s="7" t="str">
        <f aca="false">IF($G1499="","Unmatched","Matched")</f>
        <v>Matched</v>
      </c>
      <c r="J1499" s="7" t="n">
        <f aca="false">IF($G1499&lt;&gt;"",$G1499,$B1499)</f>
        <v>4413042</v>
      </c>
      <c r="K1499" s="7" t="str">
        <f aca="false">IF(COUNTIF($O$2:$O$16,$A1499)&gt;0,"Y","N")</f>
        <v>Y</v>
      </c>
    </row>
    <row r="1500" customFormat="false" ht="15" hidden="false" customHeight="false" outlineLevel="0" collapsed="false">
      <c r="A1500" s="7" t="s">
        <v>43</v>
      </c>
      <c r="B1500" s="7" t="s">
        <v>446</v>
      </c>
      <c r="C1500" s="8" t="n">
        <v>10</v>
      </c>
      <c r="D1500" s="8" t="n">
        <v>241.78</v>
      </c>
      <c r="E1500" s="8" t="n">
        <v>0</v>
      </c>
      <c r="F1500" s="8" t="n">
        <v>0</v>
      </c>
      <c r="G1500" s="7" t="n">
        <f aca="false">IFERROR(INDEX('TRANS'!$B:$B,MATCH($B1500,'TRANS'!$A:$A,0)),IFERROR(INDEX('TRANS'!$B:$B,MATCH(TRIM(SUBSTITUTE($B1500,CHAR(160)," ")),'TRANS'!$D:$D,0)),IFERROR(INDEX('Catalog'!$A:$A,MATCH($B1500,'Catalog'!$B:$B,0)),IFERROR(INDEX('Catalog'!$A:$A,MATCH(TRIM(SUBSTITUTE($B1500,CHAR(160)," ")),'Catalog'!$C:$C,0)),""))))</f>
        <v>4413044</v>
      </c>
      <c r="H1500" s="7" t="str">
        <f aca="false">IFERROR(INDEX('TRANS'!$C:$C,MATCH($B1500,'TRANS'!$A:$A,0)),IFERROR(INDEX('Catalog'!$B:$B,MATCH($G1500,'Catalog'!$A:$A,0)),$B1500))</f>
        <v>34 XL מגן קרסול עקב סגור</v>
      </c>
      <c r="I1500" s="7" t="str">
        <f aca="false">IF($G1500="","Unmatched","Matched")</f>
        <v>Matched</v>
      </c>
      <c r="J1500" s="7" t="n">
        <f aca="false">IF($G1500&lt;&gt;"",$G1500,$B1500)</f>
        <v>4413044</v>
      </c>
      <c r="K1500" s="7" t="str">
        <f aca="false">IF(COUNTIF($O$2:$O$16,$A1500)&gt;0,"Y","N")</f>
        <v>Y</v>
      </c>
    </row>
    <row r="1501" customFormat="false" ht="15" hidden="false" customHeight="false" outlineLevel="0" collapsed="false">
      <c r="A1501" s="7" t="s">
        <v>43</v>
      </c>
      <c r="B1501" s="7" t="s">
        <v>447</v>
      </c>
      <c r="C1501" s="8" t="n">
        <v>5</v>
      </c>
      <c r="D1501" s="8" t="n">
        <v>0.03</v>
      </c>
      <c r="E1501" s="8" t="n">
        <v>0</v>
      </c>
      <c r="F1501" s="8" t="n">
        <v>0</v>
      </c>
      <c r="G1501" s="7" t="n">
        <f aca="false">IFERROR(INDEX('TRANS'!$B:$B,MATCH($B1501,'TRANS'!$A:$A,0)),IFERROR(INDEX('TRANS'!$B:$B,MATCH(TRIM(SUBSTITUTE($B1501,CHAR(160)," ")),'TRANS'!$D:$D,0)),IFERROR(INDEX('Catalog'!$A:$A,MATCH($B1501,'Catalog'!$B:$B,0)),IFERROR(INDEX('Catalog'!$A:$A,MATCH(TRIM(SUBSTITUTE($B1501,CHAR(160)," ")),'Catalog'!$C:$C,0)),""))))</f>
        <v>4413046</v>
      </c>
      <c r="H1501" s="7" t="str">
        <f aca="false">IFERROR(INDEX('TRANS'!$C:$C,MATCH($B1501,'TRANS'!$A:$A,0)),IFERROR(INDEX('Catalog'!$B:$B,MATCH($G1501,'Catalog'!$A:$A,0)),$B1501))</f>
        <v>34 XXL מגן קרסול עקב סגור</v>
      </c>
      <c r="I1501" s="7" t="str">
        <f aca="false">IF($G1501="","Unmatched","Matched")</f>
        <v>Matched</v>
      </c>
      <c r="J1501" s="7" t="n">
        <f aca="false">IF($G1501&lt;&gt;"",$G1501,$B1501)</f>
        <v>4413046</v>
      </c>
      <c r="K1501" s="7" t="str">
        <f aca="false">IF(COUNTIF($O$2:$O$16,$A1501)&gt;0,"Y","N")</f>
        <v>Y</v>
      </c>
    </row>
    <row r="1502" customFormat="false" ht="15" hidden="false" customHeight="false" outlineLevel="0" collapsed="false">
      <c r="A1502" s="7" t="s">
        <v>43</v>
      </c>
      <c r="B1502" s="7" t="s">
        <v>448</v>
      </c>
      <c r="C1502" s="8" t="n">
        <v>20</v>
      </c>
      <c r="D1502" s="8" t="n">
        <v>647.87</v>
      </c>
      <c r="E1502" s="8" t="n">
        <v>0</v>
      </c>
      <c r="F1502" s="8" t="n">
        <v>0</v>
      </c>
      <c r="G1502" s="7" t="n">
        <f aca="false">IFERROR(INDEX('TRANS'!$B:$B,MATCH($B1502,'TRANS'!$A:$A,0)),IFERROR(INDEX('TRANS'!$B:$B,MATCH(TRIM(SUBSTITUTE($B1502,CHAR(160)," ")),'TRANS'!$D:$D,0)),IFERROR(INDEX('Catalog'!$A:$A,MATCH($B1502,'Catalog'!$B:$B,0)),IFERROR(INDEX('Catalog'!$A:$A,MATCH(TRIM(SUBSTITUTE($B1502,CHAR(160)," ")),'Catalog'!$C:$C,0)),""))))</f>
        <v>4413161</v>
      </c>
      <c r="H1502" s="7" t="str">
        <f aca="false">IFERROR(INDEX('TRANS'!$C:$C,MATCH($B1502,'TRANS'!$A:$A,0)),IFERROR(INDEX('Catalog'!$B:$B,MATCH($G1502,'Catalog'!$A:$A,0)),$B1502))</f>
        <v>34+ L מגן קרסול עקב סגור+רצוע</v>
      </c>
      <c r="I1502" s="7" t="str">
        <f aca="false">IF($G1502="","Unmatched","Matched")</f>
        <v>Matched</v>
      </c>
      <c r="J1502" s="7" t="n">
        <f aca="false">IF($G1502&lt;&gt;"",$G1502,$B1502)</f>
        <v>4413161</v>
      </c>
      <c r="K1502" s="7" t="str">
        <f aca="false">IF(COUNTIF($O$2:$O$16,$A1502)&gt;0,"Y","N")</f>
        <v>Y</v>
      </c>
    </row>
    <row r="1503" customFormat="false" ht="15" hidden="false" customHeight="false" outlineLevel="0" collapsed="false">
      <c r="A1503" s="7" t="s">
        <v>43</v>
      </c>
      <c r="B1503" s="7" t="s">
        <v>449</v>
      </c>
      <c r="C1503" s="8" t="n">
        <v>20</v>
      </c>
      <c r="D1503" s="8" t="n">
        <v>647.87</v>
      </c>
      <c r="E1503" s="8" t="n">
        <v>0</v>
      </c>
      <c r="F1503" s="8" t="n">
        <v>0</v>
      </c>
      <c r="G1503" s="7" t="n">
        <f aca="false">IFERROR(INDEX('TRANS'!$B:$B,MATCH($B1503,'TRANS'!$A:$A,0)),IFERROR(INDEX('TRANS'!$B:$B,MATCH(TRIM(SUBSTITUTE($B1503,CHAR(160)," ")),'TRANS'!$D:$D,0)),IFERROR(INDEX('Catalog'!$A:$A,MATCH($B1503,'Catalog'!$B:$B,0)),IFERROR(INDEX('Catalog'!$A:$A,MATCH(TRIM(SUBSTITUTE($B1503,CHAR(160)," ")),'Catalog'!$C:$C,0)),""))))</f>
        <v>4413160</v>
      </c>
      <c r="H1503" s="7" t="str">
        <f aca="false">IFERROR(INDEX('TRANS'!$C:$C,MATCH($B1503,'TRANS'!$A:$A,0)),IFERROR(INDEX('Catalog'!$B:$B,MATCH($G1503,'Catalog'!$A:$A,0)),$B1503))</f>
        <v>34+ M מגן קרסול עקב סגור+רצוע</v>
      </c>
      <c r="I1503" s="7" t="str">
        <f aca="false">IF($G1503="","Unmatched","Matched")</f>
        <v>Matched</v>
      </c>
      <c r="J1503" s="7" t="n">
        <f aca="false">IF($G1503&lt;&gt;"",$G1503,$B1503)</f>
        <v>4413160</v>
      </c>
      <c r="K1503" s="7" t="str">
        <f aca="false">IF(COUNTIF($O$2:$O$16,$A1503)&gt;0,"Y","N")</f>
        <v>Y</v>
      </c>
    </row>
    <row r="1504" customFormat="false" ht="15" hidden="false" customHeight="false" outlineLevel="0" collapsed="false">
      <c r="A1504" s="7" t="s">
        <v>43</v>
      </c>
      <c r="B1504" s="7" t="s">
        <v>450</v>
      </c>
      <c r="C1504" s="8" t="n">
        <v>5</v>
      </c>
      <c r="D1504" s="8" t="n">
        <v>0.03</v>
      </c>
      <c r="E1504" s="8" t="n">
        <v>0</v>
      </c>
      <c r="F1504" s="8" t="n">
        <v>0</v>
      </c>
      <c r="G1504" s="7" t="n">
        <f aca="false">IFERROR(INDEX('TRANS'!$B:$B,MATCH($B1504,'TRANS'!$A:$A,0)),IFERROR(INDEX('TRANS'!$B:$B,MATCH(TRIM(SUBSTITUTE($B1504,CHAR(160)," ")),'TRANS'!$D:$D,0)),IFERROR(INDEX('Catalog'!$A:$A,MATCH($B1504,'Catalog'!$B:$B,0)),IFERROR(INDEX('Catalog'!$A:$A,MATCH(TRIM(SUBSTITUTE($B1504,CHAR(160)," ")),'Catalog'!$C:$C,0)),""))))</f>
        <v>4413159</v>
      </c>
      <c r="H1504" s="7" t="str">
        <f aca="false">IFERROR(INDEX('TRANS'!$C:$C,MATCH($B1504,'TRANS'!$A:$A,0)),IFERROR(INDEX('Catalog'!$B:$B,MATCH($G1504,'Catalog'!$A:$A,0)),$B1504))</f>
        <v>34+ S מגן קרסול עקב סגור+רצוע</v>
      </c>
      <c r="I1504" s="7" t="str">
        <f aca="false">IF($G1504="","Unmatched","Matched")</f>
        <v>Matched</v>
      </c>
      <c r="J1504" s="7" t="n">
        <f aca="false">IF($G1504&lt;&gt;"",$G1504,$B1504)</f>
        <v>4413159</v>
      </c>
      <c r="K1504" s="7" t="str">
        <f aca="false">IF(COUNTIF($O$2:$O$16,$A1504)&gt;0,"Y","N")</f>
        <v>Y</v>
      </c>
    </row>
    <row r="1505" customFormat="false" ht="15" hidden="false" customHeight="false" outlineLevel="0" collapsed="false">
      <c r="A1505" s="7" t="s">
        <v>43</v>
      </c>
      <c r="B1505" s="7" t="s">
        <v>451</v>
      </c>
      <c r="C1505" s="8" t="n">
        <v>5</v>
      </c>
      <c r="D1505" s="8" t="n">
        <v>161.97</v>
      </c>
      <c r="E1505" s="8" t="n">
        <v>0</v>
      </c>
      <c r="F1505" s="8" t="n">
        <v>0</v>
      </c>
      <c r="G1505" s="7" t="n">
        <f aca="false">IFERROR(INDEX('TRANS'!$B:$B,MATCH($B1505,'TRANS'!$A:$A,0)),IFERROR(INDEX('TRANS'!$B:$B,MATCH(TRIM(SUBSTITUTE($B1505,CHAR(160)," ")),'TRANS'!$D:$D,0)),IFERROR(INDEX('Catalog'!$A:$A,MATCH($B1505,'Catalog'!$B:$B,0)),IFERROR(INDEX('Catalog'!$A:$A,MATCH(TRIM(SUBSTITUTE($B1505,CHAR(160)," ")),'Catalog'!$C:$C,0)),""))))</f>
        <v>4413162</v>
      </c>
      <c r="H1505" s="7" t="str">
        <f aca="false">IFERROR(INDEX('TRANS'!$C:$C,MATCH($B1505,'TRANS'!$A:$A,0)),IFERROR(INDEX('Catalog'!$B:$B,MATCH($G1505,'Catalog'!$A:$A,0)),$B1505))</f>
        <v>34+XL מגן קרסול עקב סגור+רצוע</v>
      </c>
      <c r="I1505" s="7" t="str">
        <f aca="false">IF($G1505="","Unmatched","Matched")</f>
        <v>Matched</v>
      </c>
      <c r="J1505" s="7" t="n">
        <f aca="false">IF($G1505&lt;&gt;"",$G1505,$B1505)</f>
        <v>4413162</v>
      </c>
      <c r="K1505" s="7" t="str">
        <f aca="false">IF(COUNTIF($O$2:$O$16,$A1505)&gt;0,"Y","N")</f>
        <v>Y</v>
      </c>
    </row>
    <row r="1506" customFormat="false" ht="15" hidden="false" customHeight="false" outlineLevel="0" collapsed="false">
      <c r="A1506" s="7" t="s">
        <v>43</v>
      </c>
      <c r="B1506" s="7" t="s">
        <v>680</v>
      </c>
      <c r="C1506" s="8" t="n">
        <v>5</v>
      </c>
      <c r="D1506" s="8" t="n">
        <v>161.97</v>
      </c>
      <c r="E1506" s="8" t="n">
        <v>0</v>
      </c>
      <c r="F1506" s="8" t="n">
        <v>0</v>
      </c>
      <c r="G1506" s="7" t="n">
        <f aca="false">IFERROR(INDEX('TRANS'!$B:$B,MATCH($B1506,'TRANS'!$A:$A,0)),IFERROR(INDEX('TRANS'!$B:$B,MATCH(TRIM(SUBSTITUTE($B1506,CHAR(160)," ")),'TRANS'!$D:$D,0)),IFERROR(INDEX('Catalog'!$A:$A,MATCH($B1506,'Catalog'!$B:$B,0)),IFERROR(INDEX('Catalog'!$A:$A,MATCH(TRIM(SUBSTITUTE($B1506,CHAR(160)," ")),'Catalog'!$C:$C,0)),""))))</f>
        <v>4413303</v>
      </c>
      <c r="H1506" s="7" t="str">
        <f aca="false">IFERROR(INDEX('TRANS'!$C:$C,MATCH($B1506,'TRANS'!$A:$A,0)),IFERROR(INDEX('Catalog'!$B:$B,MATCH($G1506,'Catalog'!$A:$A,0)),$B1506))</f>
        <v>34+XXL מ.קרסול+עכב סגור+רצועות</v>
      </c>
      <c r="I1506" s="7" t="str">
        <f aca="false">IF($G1506="","Unmatched","Matched")</f>
        <v>Matched</v>
      </c>
      <c r="J1506" s="7" t="n">
        <f aca="false">IF($G1506&lt;&gt;"",$G1506,$B1506)</f>
        <v>4413303</v>
      </c>
      <c r="K1506" s="7" t="str">
        <f aca="false">IF(COUNTIF($O$2:$O$16,$A1506)&gt;0,"Y","N")</f>
        <v>Y</v>
      </c>
    </row>
    <row r="1507" customFormat="false" ht="15" hidden="false" customHeight="false" outlineLevel="0" collapsed="false">
      <c r="A1507" s="7" t="s">
        <v>43</v>
      </c>
      <c r="B1507" s="7" t="s">
        <v>455</v>
      </c>
      <c r="C1507" s="8" t="n">
        <v>55</v>
      </c>
      <c r="D1507" s="8" t="n">
        <v>1450.76</v>
      </c>
      <c r="E1507" s="8" t="n">
        <v>0</v>
      </c>
      <c r="F1507" s="8" t="n">
        <v>0</v>
      </c>
      <c r="G1507" s="7" t="n">
        <f aca="false">IFERROR(INDEX('TRANS'!$B:$B,MATCH($B1507,'TRANS'!$A:$A,0)),IFERROR(INDEX('TRANS'!$B:$B,MATCH(TRIM(SUBSTITUTE($B1507,CHAR(160)," ")),'TRANS'!$D:$D,0)),IFERROR(INDEX('Catalog'!$A:$A,MATCH($B1507,'Catalog'!$B:$B,0)),IFERROR(INDEX('Catalog'!$A:$A,MATCH(TRIM(SUBSTITUTE($B1507,CHAR(160)," ")),'Catalog'!$C:$C,0)),""))))</f>
        <v>4421001</v>
      </c>
      <c r="H1507" s="7" t="str">
        <f aca="false">IFERROR(INDEX('TRANS'!$C:$C,MATCH($B1507,'TRANS'!$A:$A,0)),IFERROR(INDEX('Catalog'!$B:$B,MATCH($G1507,'Catalog'!$A:$A,0)),$B1507))</f>
        <v>3611 שרוול מטטרזלי מסיליקון</v>
      </c>
      <c r="I1507" s="7" t="str">
        <f aca="false">IF($G1507="","Unmatched","Matched")</f>
        <v>Matched</v>
      </c>
      <c r="J1507" s="7" t="n">
        <f aca="false">IF($G1507&lt;&gt;"",$G1507,$B1507)</f>
        <v>4421001</v>
      </c>
      <c r="K1507" s="7" t="str">
        <f aca="false">IF(COUNTIF($O$2:$O$16,$A1507)&gt;0,"Y","N")</f>
        <v>Y</v>
      </c>
    </row>
    <row r="1508" customFormat="false" ht="15" hidden="false" customHeight="false" outlineLevel="0" collapsed="false">
      <c r="A1508" s="7" t="s">
        <v>43</v>
      </c>
      <c r="B1508" s="7" t="s">
        <v>397</v>
      </c>
      <c r="C1508" s="8" t="n">
        <v>55</v>
      </c>
      <c r="D1508" s="8" t="n">
        <v>248.02</v>
      </c>
      <c r="E1508" s="8" t="n">
        <v>0</v>
      </c>
      <c r="F1508" s="8" t="n">
        <v>0</v>
      </c>
      <c r="G1508" s="7" t="n">
        <f aca="false">IFERROR(INDEX('TRANS'!$B:$B,MATCH($B1508,'TRANS'!$A:$A,0)),IFERROR(INDEX('TRANS'!$B:$B,MATCH(TRIM(SUBSTITUTE($B1508,CHAR(160)," ")),'TRANS'!$D:$D,0)),IFERROR(INDEX('Catalog'!$A:$A,MATCH($B1508,'Catalog'!$B:$B,0)),IFERROR(INDEX('Catalog'!$A:$A,MATCH(TRIM(SUBSTITUTE($B1508,CHAR(160)," ")),'Catalog'!$C:$C,0)),""))))</f>
        <v>4413061</v>
      </c>
      <c r="H1508" s="7" t="str">
        <f aca="false">IFERROR(INDEX('TRANS'!$C:$C,MATCH($B1508,'TRANS'!$A:$A,0)),IFERROR(INDEX('Catalog'!$B:$B,MATCH($G1508,'Catalog'!$A:$A,0)),$B1508))</f>
        <v>3641-מיישר בוהן סיליקון קשיח</v>
      </c>
      <c r="I1508" s="7" t="str">
        <f aca="false">IF($G1508="","Unmatched","Matched")</f>
        <v>Matched</v>
      </c>
      <c r="J1508" s="7" t="n">
        <f aca="false">IF($G1508&lt;&gt;"",$G1508,$B1508)</f>
        <v>4413061</v>
      </c>
      <c r="K1508" s="7" t="str">
        <f aca="false">IF(COUNTIF($O$2:$O$16,$A1508)&gt;0,"Y","N")</f>
        <v>Y</v>
      </c>
    </row>
    <row r="1509" customFormat="false" ht="15" hidden="false" customHeight="false" outlineLevel="0" collapsed="false">
      <c r="A1509" s="7" t="s">
        <v>43</v>
      </c>
      <c r="B1509" s="7" t="s">
        <v>317</v>
      </c>
      <c r="C1509" s="8" t="n">
        <v>55</v>
      </c>
      <c r="D1509" s="8" t="n">
        <v>403.01</v>
      </c>
      <c r="E1509" s="8" t="n">
        <v>0</v>
      </c>
      <c r="F1509" s="8" t="n">
        <v>0</v>
      </c>
      <c r="G1509" s="7" t="n">
        <f aca="false">IFERROR(INDEX('TRANS'!$B:$B,MATCH($B1509,'TRANS'!$A:$A,0)),IFERROR(INDEX('TRANS'!$B:$B,MATCH(TRIM(SUBSTITUTE($B1509,CHAR(160)," ")),'TRANS'!$D:$D,0)),IFERROR(INDEX('Catalog'!$A:$A,MATCH($B1509,'Catalog'!$B:$B,0)),IFERROR(INDEX('Catalog'!$A:$A,MATCH(TRIM(SUBSTITUTE($B1509,CHAR(160)," ")),'Catalog'!$C:$C,0)),""))))</f>
        <v>4421000</v>
      </c>
      <c r="H1509" s="7" t="str">
        <f aca="false">IFERROR(INDEX('TRANS'!$C:$C,MATCH($B1509,'TRANS'!$A:$A,0)),IFERROR(INDEX('Catalog'!$B:$B,MATCH($G1509,'Catalog'!$A:$A,0)),$B1509))</f>
        <v>3655 שרוול מסיליקון לאצבע</v>
      </c>
      <c r="I1509" s="7" t="str">
        <f aca="false">IF($G1509="","Unmatched","Matched")</f>
        <v>Matched</v>
      </c>
      <c r="J1509" s="7" t="n">
        <f aca="false">IF($G1509&lt;&gt;"",$G1509,$B1509)</f>
        <v>4421000</v>
      </c>
      <c r="K1509" s="7" t="str">
        <f aca="false">IF(COUNTIF($O$2:$O$16,$A1509)&gt;0,"Y","N")</f>
        <v>Y</v>
      </c>
    </row>
    <row r="1510" customFormat="false" ht="15" hidden="false" customHeight="false" outlineLevel="0" collapsed="false">
      <c r="A1510" s="7" t="s">
        <v>43</v>
      </c>
      <c r="B1510" s="7" t="s">
        <v>399</v>
      </c>
      <c r="C1510" s="8" t="n">
        <v>55</v>
      </c>
      <c r="D1510" s="8" t="n">
        <v>805.99</v>
      </c>
      <c r="E1510" s="8" t="n">
        <v>0</v>
      </c>
      <c r="F1510" s="8" t="n">
        <v>0</v>
      </c>
      <c r="G1510" s="7" t="n">
        <f aca="false">IFERROR(INDEX('TRANS'!$B:$B,MATCH($B1510,'TRANS'!$A:$A,0)),IFERROR(INDEX('TRANS'!$B:$B,MATCH(TRIM(SUBSTITUTE($B1510,CHAR(160)," ")),'TRANS'!$D:$D,0)),IFERROR(INDEX('Catalog'!$A:$A,MATCH($B1510,'Catalog'!$B:$B,0)),IFERROR(INDEX('Catalog'!$A:$A,MATCH(TRIM(SUBSTITUTE($B1510,CHAR(160)," ")),'Catalog'!$C:$C,0)),""))))</f>
        <v>4413370</v>
      </c>
      <c r="H1510" s="7" t="str">
        <f aca="false">IFERROR(INDEX('TRANS'!$C:$C,MATCH($B1510,'TRANS'!$A:$A,0)),IFERROR(INDEX('Catalog'!$B:$B,MATCH($G1510,'Catalog'!$A:$A,0)),$B1510))</f>
        <v>3674 0 מ.בוניון+מפריד אצבע</v>
      </c>
      <c r="I1510" s="7" t="str">
        <f aca="false">IF($G1510="","Unmatched","Matched")</f>
        <v>Matched</v>
      </c>
      <c r="J1510" s="7" t="n">
        <f aca="false">IF($G1510&lt;&gt;"",$G1510,$B1510)</f>
        <v>4413370</v>
      </c>
      <c r="K1510" s="7" t="str">
        <f aca="false">IF(COUNTIF($O$2:$O$16,$A1510)&gt;0,"Y","N")</f>
        <v>Y</v>
      </c>
    </row>
    <row r="1511" customFormat="false" ht="15" hidden="false" customHeight="false" outlineLevel="0" collapsed="false">
      <c r="A1511" s="7" t="s">
        <v>43</v>
      </c>
      <c r="B1511" s="7" t="s">
        <v>322</v>
      </c>
      <c r="C1511" s="8" t="n">
        <v>55</v>
      </c>
      <c r="D1511" s="8" t="n">
        <v>279.02</v>
      </c>
      <c r="E1511" s="8" t="n">
        <v>0</v>
      </c>
      <c r="F1511" s="8" t="n">
        <v>0</v>
      </c>
      <c r="G1511" s="7" t="n">
        <f aca="false">IFERROR(INDEX('TRANS'!$B:$B,MATCH($B1511,'TRANS'!$A:$A,0)),IFERROR(INDEX('TRANS'!$B:$B,MATCH(TRIM(SUBSTITUTE($B1511,CHAR(160)," ")),'TRANS'!$D:$D,0)),IFERROR(INDEX('Catalog'!$A:$A,MATCH($B1511,'Catalog'!$B:$B,0)),IFERROR(INDEX('Catalog'!$A:$A,MATCH(TRIM(SUBSTITUTE($B1511,CHAR(160)," ")),'Catalog'!$C:$C,0)),""))))</f>
        <v>4420000</v>
      </c>
      <c r="H1511" s="7" t="str">
        <f aca="false">IFERROR(INDEX('TRANS'!$C:$C,MATCH($B1511,'TRANS'!$A:$A,0)),IFERROR(INDEX('Catalog'!$B:$B,MATCH($G1511,'Catalog'!$A:$A,0)),$B1511))</f>
        <v>370  רפידת נוחות-זוג</v>
      </c>
      <c r="I1511" s="7" t="str">
        <f aca="false">IF($G1511="","Unmatched","Matched")</f>
        <v>Matched</v>
      </c>
      <c r="J1511" s="7" t="n">
        <f aca="false">IF($G1511&lt;&gt;"",$G1511,$B1511)</f>
        <v>4420000</v>
      </c>
      <c r="K1511" s="7" t="str">
        <f aca="false">IF(COUNTIF($O$2:$O$16,$A1511)&gt;0,"Y","N")</f>
        <v>Y</v>
      </c>
    </row>
    <row r="1512" customFormat="false" ht="15" hidden="false" customHeight="false" outlineLevel="0" collapsed="false">
      <c r="A1512" s="7" t="s">
        <v>43</v>
      </c>
      <c r="B1512" s="7" t="s">
        <v>325</v>
      </c>
      <c r="C1512" s="8" t="n">
        <v>55</v>
      </c>
      <c r="D1512" s="8" t="n">
        <v>379.76</v>
      </c>
      <c r="E1512" s="8" t="n">
        <v>0</v>
      </c>
      <c r="F1512" s="8" t="n">
        <v>0</v>
      </c>
      <c r="G1512" s="7" t="n">
        <f aca="false">IFERROR(INDEX('TRANS'!$B:$B,MATCH($B1512,'TRANS'!$A:$A,0)),IFERROR(INDEX('TRANS'!$B:$B,MATCH(TRIM(SUBSTITUTE($B1512,CHAR(160)," ")),'TRANS'!$D:$D,0)),IFERROR(INDEX('Catalog'!$A:$A,MATCH($B1512,'Catalog'!$B:$B,0)),IFERROR(INDEX('Catalog'!$A:$A,MATCH(TRIM(SUBSTITUTE($B1512,CHAR(160)," ")),'Catalog'!$C:$C,0)),""))))</f>
        <v>4420003</v>
      </c>
      <c r="H1512" s="7" t="str">
        <f aca="false">IFERROR(INDEX('TRANS'!$C:$C,MATCH($B1512,'TRANS'!$A:$A,0)),IFERROR(INDEX('Catalog'!$B:$B,MATCH($G1512,'Catalog'!$A:$A,0)),$B1512))</f>
        <v>374 רפידת בולמת זעזועים -זוג</v>
      </c>
      <c r="I1512" s="7" t="str">
        <f aca="false">IF($G1512="","Unmatched","Matched")</f>
        <v>Matched</v>
      </c>
      <c r="J1512" s="7" t="n">
        <f aca="false">IF($G1512&lt;&gt;"",$G1512,$B1512)</f>
        <v>4420003</v>
      </c>
      <c r="K1512" s="7" t="str">
        <f aca="false">IF(COUNTIF($O$2:$O$16,$A1512)&gt;0,"Y","N")</f>
        <v>Y</v>
      </c>
    </row>
    <row r="1513" customFormat="false" ht="15" hidden="false" customHeight="false" outlineLevel="0" collapsed="false">
      <c r="A1513" s="7" t="s">
        <v>43</v>
      </c>
      <c r="B1513" s="7" t="s">
        <v>603</v>
      </c>
      <c r="C1513" s="8" t="n">
        <v>20</v>
      </c>
      <c r="D1513" s="8" t="n">
        <v>270.93</v>
      </c>
      <c r="E1513" s="8" t="n">
        <v>0</v>
      </c>
      <c r="F1513" s="8" t="n">
        <v>0</v>
      </c>
      <c r="G1513" s="7" t="n">
        <f aca="false">IFERROR(INDEX('TRANS'!$B:$B,MATCH($B1513,'TRANS'!$A:$A,0)),IFERROR(INDEX('TRANS'!$B:$B,MATCH(TRIM(SUBSTITUTE($B1513,CHAR(160)," ")),'TRANS'!$D:$D,0)),IFERROR(INDEX('Catalog'!$A:$A,MATCH($B1513,'Catalog'!$B:$B,0)),IFERROR(INDEX('Catalog'!$A:$A,MATCH(TRIM(SUBSTITUTE($B1513,CHAR(160)," ")),'Catalog'!$C:$C,0)),""))))</f>
        <v>4413102</v>
      </c>
      <c r="H1513" s="7" t="str">
        <f aca="false">IFERROR(INDEX('TRANS'!$C:$C,MATCH($B1513,'TRANS'!$A:$A,0)),IFERROR(INDEX('Catalog'!$B:$B,MATCH($G1513,'Catalog'!$A:$A,0)),$B1513))</f>
        <v>45E  L        מגן ברך ארוך לבן</v>
      </c>
      <c r="I1513" s="7" t="str">
        <f aca="false">IF($G1513="","Unmatched","Matched")</f>
        <v>Matched</v>
      </c>
      <c r="J1513" s="7" t="n">
        <f aca="false">IF($G1513&lt;&gt;"",$G1513,$B1513)</f>
        <v>4413102</v>
      </c>
      <c r="K1513" s="7" t="str">
        <f aca="false">IF(COUNTIF($O$2:$O$16,$A1513)&gt;0,"Y","N")</f>
        <v>Y</v>
      </c>
    </row>
    <row r="1514" customFormat="false" ht="15" hidden="false" customHeight="false" outlineLevel="0" collapsed="false">
      <c r="A1514" s="7" t="s">
        <v>43</v>
      </c>
      <c r="B1514" s="7" t="s">
        <v>474</v>
      </c>
      <c r="C1514" s="8" t="n">
        <v>20</v>
      </c>
      <c r="D1514" s="8" t="n">
        <v>270.93</v>
      </c>
      <c r="E1514" s="8" t="n">
        <v>0</v>
      </c>
      <c r="F1514" s="8" t="n">
        <v>0</v>
      </c>
      <c r="G1514" s="7" t="n">
        <f aca="false">IFERROR(INDEX('TRANS'!$B:$B,MATCH($B1514,'TRANS'!$A:$A,0)),IFERROR(INDEX('TRANS'!$B:$B,MATCH(TRIM(SUBSTITUTE($B1514,CHAR(160)," ")),'TRANS'!$D:$D,0)),IFERROR(INDEX('Catalog'!$A:$A,MATCH($B1514,'Catalog'!$B:$B,0)),IFERROR(INDEX('Catalog'!$A:$A,MATCH(TRIM(SUBSTITUTE($B1514,CHAR(160)," ")),'Catalog'!$C:$C,0)),""))))</f>
        <v>4413103</v>
      </c>
      <c r="H1514" s="7" t="str">
        <f aca="false">IFERROR(INDEX('TRANS'!$C:$C,MATCH($B1514,'TRANS'!$A:$A,0)),IFERROR(INDEX('Catalog'!$B:$B,MATCH($G1514,'Catalog'!$A:$A,0)),$B1514))</f>
        <v>45E Mמגן ברך ארוך לבן</v>
      </c>
      <c r="I1514" s="7" t="str">
        <f aca="false">IF($G1514="","Unmatched","Matched")</f>
        <v>Matched</v>
      </c>
      <c r="J1514" s="7" t="n">
        <f aca="false">IF($G1514&lt;&gt;"",$G1514,$B1514)</f>
        <v>4413103</v>
      </c>
      <c r="K1514" s="7" t="str">
        <f aca="false">IF(COUNTIF($O$2:$O$16,$A1514)&gt;0,"Y","N")</f>
        <v>Y</v>
      </c>
    </row>
    <row r="1515" customFormat="false" ht="15" hidden="false" customHeight="false" outlineLevel="0" collapsed="false">
      <c r="A1515" s="7" t="s">
        <v>43</v>
      </c>
      <c r="B1515" s="7" t="s">
        <v>605</v>
      </c>
      <c r="C1515" s="8" t="n">
        <v>15</v>
      </c>
      <c r="D1515" s="8" t="n">
        <v>135.49</v>
      </c>
      <c r="E1515" s="8" t="n">
        <v>0</v>
      </c>
      <c r="F1515" s="8" t="n">
        <v>0</v>
      </c>
      <c r="G1515" s="7" t="n">
        <f aca="false">IFERROR(INDEX('TRANS'!$B:$B,MATCH($B1515,'TRANS'!$A:$A,0)),IFERROR(INDEX('TRANS'!$B:$B,MATCH(TRIM(SUBSTITUTE($B1515,CHAR(160)," ")),'TRANS'!$D:$D,0)),IFERROR(INDEX('Catalog'!$A:$A,MATCH($B1515,'Catalog'!$B:$B,0)),IFERROR(INDEX('Catalog'!$A:$A,MATCH(TRIM(SUBSTITUTE($B1515,CHAR(160)," ")),'Catalog'!$C:$C,0)),""))))</f>
        <v>4413104</v>
      </c>
      <c r="H1515" s="7" t="str">
        <f aca="false">IFERROR(INDEX('TRANS'!$C:$C,MATCH($B1515,'TRANS'!$A:$A,0)),IFERROR(INDEX('Catalog'!$B:$B,MATCH($G1515,'Catalog'!$A:$A,0)),$B1515))</f>
        <v>45E XLמגן ברך ארוך לבן</v>
      </c>
      <c r="I1515" s="7" t="str">
        <f aca="false">IF($G1515="","Unmatched","Matched")</f>
        <v>Matched</v>
      </c>
      <c r="J1515" s="7" t="n">
        <f aca="false">IF($G1515&lt;&gt;"",$G1515,$B1515)</f>
        <v>4413104</v>
      </c>
      <c r="K1515" s="7" t="str">
        <f aca="false">IF(COUNTIF($O$2:$O$16,$A1515)&gt;0,"Y","N")</f>
        <v>Y</v>
      </c>
    </row>
    <row r="1516" customFormat="false" ht="15" hidden="false" customHeight="false" outlineLevel="0" collapsed="false">
      <c r="A1516" s="7" t="s">
        <v>43</v>
      </c>
      <c r="B1516" s="7" t="s">
        <v>639</v>
      </c>
      <c r="C1516" s="8" t="n">
        <v>10</v>
      </c>
      <c r="D1516" s="8" t="n">
        <v>452.58</v>
      </c>
      <c r="E1516" s="8" t="n">
        <v>0</v>
      </c>
      <c r="F1516" s="8" t="n">
        <v>0</v>
      </c>
      <c r="G1516" s="7" t="n">
        <f aca="false">IFERROR(INDEX('TRANS'!$B:$B,MATCH($B1516,'TRANS'!$A:$A,0)),IFERROR(INDEX('TRANS'!$B:$B,MATCH(TRIM(SUBSTITUTE($B1516,CHAR(160)," ")),'TRANS'!$D:$D,0)),IFERROR(INDEX('Catalog'!$A:$A,MATCH($B1516,'Catalog'!$B:$B,0)),IFERROR(INDEX('Catalog'!$A:$A,MATCH(TRIM(SUBSTITUTE($B1516,CHAR(160)," ")),'Catalog'!$C:$C,0)),""))))</f>
        <v>4413117</v>
      </c>
      <c r="H1516" s="7" t="str">
        <f aca="false">IFERROR(INDEX('TRANS'!$C:$C,MATCH($B1516,'TRANS'!$A:$A,0)),IFERROR(INDEX('Catalog'!$B:$B,MATCH($G1516,'Catalog'!$A:$A,0)),$B1516))</f>
        <v>50 L מתלה אשכים לאחר ניתוח</v>
      </c>
      <c r="I1516" s="7" t="str">
        <f aca="false">IF($G1516="","Unmatched","Matched")</f>
        <v>Matched</v>
      </c>
      <c r="J1516" s="7" t="n">
        <f aca="false">IF($G1516&lt;&gt;"",$G1516,$B1516)</f>
        <v>4413117</v>
      </c>
      <c r="K1516" s="7" t="str">
        <f aca="false">IF(COUNTIF($O$2:$O$16,$A1516)&gt;0,"Y","N")</f>
        <v>Y</v>
      </c>
    </row>
    <row r="1517" customFormat="false" ht="15" hidden="false" customHeight="false" outlineLevel="0" collapsed="false">
      <c r="A1517" s="7" t="s">
        <v>43</v>
      </c>
      <c r="B1517" s="7" t="s">
        <v>640</v>
      </c>
      <c r="C1517" s="8" t="n">
        <v>20</v>
      </c>
      <c r="D1517" s="8" t="n">
        <v>905.16</v>
      </c>
      <c r="E1517" s="8" t="n">
        <v>0</v>
      </c>
      <c r="F1517" s="8" t="n">
        <v>0</v>
      </c>
      <c r="G1517" s="7" t="n">
        <f aca="false">IFERROR(INDEX('TRANS'!$B:$B,MATCH($B1517,'TRANS'!$A:$A,0)),IFERROR(INDEX('TRANS'!$B:$B,MATCH(TRIM(SUBSTITUTE($B1517,CHAR(160)," ")),'TRANS'!$D:$D,0)),IFERROR(INDEX('Catalog'!$A:$A,MATCH($B1517,'Catalog'!$B:$B,0)),IFERROR(INDEX('Catalog'!$A:$A,MATCH(TRIM(SUBSTITUTE($B1517,CHAR(160)," ")),'Catalog'!$C:$C,0)),""))))</f>
        <v>4413118</v>
      </c>
      <c r="H1517" s="7" t="str">
        <f aca="false">IFERROR(INDEX('TRANS'!$C:$C,MATCH($B1517,'TRANS'!$A:$A,0)),IFERROR(INDEX('Catalog'!$B:$B,MATCH($G1517,'Catalog'!$A:$A,0)),$B1517))</f>
        <v>50 M מתלה אשכים לאחר ניתוח</v>
      </c>
      <c r="I1517" s="7" t="str">
        <f aca="false">IF($G1517="","Unmatched","Matched")</f>
        <v>Matched</v>
      </c>
      <c r="J1517" s="7" t="n">
        <f aca="false">IF($G1517&lt;&gt;"",$G1517,$B1517)</f>
        <v>4413118</v>
      </c>
      <c r="K1517" s="7" t="str">
        <f aca="false">IF(COUNTIF($O$2:$O$16,$A1517)&gt;0,"Y","N")</f>
        <v>Y</v>
      </c>
    </row>
    <row r="1518" customFormat="false" ht="15" hidden="false" customHeight="false" outlineLevel="0" collapsed="false">
      <c r="A1518" s="7" t="s">
        <v>43</v>
      </c>
      <c r="B1518" s="7" t="s">
        <v>166</v>
      </c>
      <c r="C1518" s="8" t="n">
        <v>5</v>
      </c>
      <c r="D1518" s="8" t="n">
        <v>226.29</v>
      </c>
      <c r="E1518" s="8" t="n">
        <v>0</v>
      </c>
      <c r="F1518" s="8" t="n">
        <v>0</v>
      </c>
      <c r="G1518" s="7" t="str">
        <f aca="false">IFERROR(INDEX('TRANS'!$B:$B,MATCH($B1518,'TRANS'!$A:$A,0)),IFERROR(INDEX('TRANS'!$B:$B,MATCH(TRIM(SUBSTITUTE($B1518,CHAR(160)," ")),'TRANS'!$D:$D,0)),IFERROR(INDEX('Catalog'!$A:$A,MATCH($B1518,'Catalog'!$B:$B,0)),IFERROR(INDEX('Catalog'!$A:$A,MATCH(TRIM(SUBSTITUTE($B1518,CHAR(160)," ")),'Catalog'!$C:$C,0)),""))))</f>
        <v/>
      </c>
      <c r="H1518" s="7" t="str">
        <f aca="false">IFERROR(INDEX('TRANS'!$C:$C,MATCH($B1518,'TRANS'!$A:$A,0)),IFERROR(INDEX('Catalog'!$B:$B,MATCH($G1518,'Catalog'!$A:$A,0)),$B1518))</f>
        <v>50 S</v>
      </c>
      <c r="I1518" s="7" t="str">
        <f aca="false">IF($G1518="","Unmatched","Matched")</f>
        <v>Unmatched</v>
      </c>
      <c r="J1518" s="7" t="str">
        <f aca="false">IF($G1518&lt;&gt;"",$G1518,$B1518)</f>
        <v>50 S</v>
      </c>
      <c r="K1518" s="7" t="str">
        <f aca="false">IF(COUNTIF($O$2:$O$16,$A1518)&gt;0,"Y","N")</f>
        <v>Y</v>
      </c>
    </row>
    <row r="1519" customFormat="false" ht="15" hidden="false" customHeight="false" outlineLevel="0" collapsed="false">
      <c r="A1519" s="7" t="s">
        <v>43</v>
      </c>
      <c r="B1519" s="7" t="s">
        <v>641</v>
      </c>
      <c r="C1519" s="8" t="n">
        <v>10</v>
      </c>
      <c r="D1519" s="8" t="n">
        <v>452.58</v>
      </c>
      <c r="E1519" s="8" t="n">
        <v>0</v>
      </c>
      <c r="F1519" s="8" t="n">
        <v>0</v>
      </c>
      <c r="G1519" s="7" t="n">
        <f aca="false">IFERROR(INDEX('TRANS'!$B:$B,MATCH($B1519,'TRANS'!$A:$A,0)),IFERROR(INDEX('TRANS'!$B:$B,MATCH(TRIM(SUBSTITUTE($B1519,CHAR(160)," ")),'TRANS'!$D:$D,0)),IFERROR(INDEX('Catalog'!$A:$A,MATCH($B1519,'Catalog'!$B:$B,0)),IFERROR(INDEX('Catalog'!$A:$A,MATCH(TRIM(SUBSTITUTE($B1519,CHAR(160)," ")),'Catalog'!$C:$C,0)),""))))</f>
        <v>4413119</v>
      </c>
      <c r="H1519" s="7" t="str">
        <f aca="false">IFERROR(INDEX('TRANS'!$C:$C,MATCH($B1519,'TRANS'!$A:$A,0)),IFERROR(INDEX('Catalog'!$B:$B,MATCH($G1519,'Catalog'!$A:$A,0)),$B1519))</f>
        <v>50 XL מתלה אשכים לאחר ניתוח</v>
      </c>
      <c r="I1519" s="7" t="str">
        <f aca="false">IF($G1519="","Unmatched","Matched")</f>
        <v>Matched</v>
      </c>
      <c r="J1519" s="7" t="n">
        <f aca="false">IF($G1519&lt;&gt;"",$G1519,$B1519)</f>
        <v>4413119</v>
      </c>
      <c r="K1519" s="7" t="str">
        <f aca="false">IF(COUNTIF($O$2:$O$16,$A1519)&gt;0,"Y","N")</f>
        <v>Y</v>
      </c>
    </row>
    <row r="1520" customFormat="false" ht="15" hidden="false" customHeight="false" outlineLevel="0" collapsed="false">
      <c r="A1520" s="7" t="s">
        <v>43</v>
      </c>
      <c r="B1520" s="7" t="s">
        <v>167</v>
      </c>
      <c r="C1520" s="8" t="n">
        <v>5</v>
      </c>
      <c r="D1520" s="8" t="n">
        <v>0.03</v>
      </c>
      <c r="E1520" s="8" t="n">
        <v>0</v>
      </c>
      <c r="F1520" s="8" t="n">
        <v>0</v>
      </c>
      <c r="G1520" s="7" t="str">
        <f aca="false">IFERROR(INDEX('TRANS'!$B:$B,MATCH($B1520,'TRANS'!$A:$A,0)),IFERROR(INDEX('TRANS'!$B:$B,MATCH(TRIM(SUBSTITUTE($B1520,CHAR(160)," ")),'TRANS'!$D:$D,0)),IFERROR(INDEX('Catalog'!$A:$A,MATCH($B1520,'Catalog'!$B:$B,0)),IFERROR(INDEX('Catalog'!$A:$A,MATCH(TRIM(SUBSTITUTE($B1520,CHAR(160)," ")),'Catalog'!$C:$C,0)),""))))</f>
        <v/>
      </c>
      <c r="H1520" s="7" t="str">
        <f aca="false">IFERROR(INDEX('TRANS'!$C:$C,MATCH($B1520,'TRANS'!$A:$A,0)),IFERROR(INDEX('Catalog'!$B:$B,MATCH($G1520,'Catalog'!$A:$A,0)),$B1520))</f>
        <v>50 XXL</v>
      </c>
      <c r="I1520" s="7" t="str">
        <f aca="false">IF($G1520="","Unmatched","Matched")</f>
        <v>Unmatched</v>
      </c>
      <c r="J1520" s="7" t="str">
        <f aca="false">IF($G1520&lt;&gt;"",$G1520,$B1520)</f>
        <v>50 XXL</v>
      </c>
      <c r="K1520" s="7" t="str">
        <f aca="false">IF(COUNTIF($O$2:$O$16,$A1520)&gt;0,"Y","N")</f>
        <v>Y</v>
      </c>
    </row>
    <row r="1521" customFormat="false" ht="15" hidden="false" customHeight="false" outlineLevel="0" collapsed="false">
      <c r="A1521" s="7" t="s">
        <v>43</v>
      </c>
      <c r="B1521" s="7" t="s">
        <v>485</v>
      </c>
      <c r="C1521" s="8" t="n">
        <v>20</v>
      </c>
      <c r="D1521" s="8" t="n">
        <v>554.25</v>
      </c>
      <c r="E1521" s="8" t="n">
        <v>0</v>
      </c>
      <c r="F1521" s="8" t="n">
        <v>0</v>
      </c>
      <c r="G1521" s="7" t="n">
        <f aca="false">IFERROR(INDEX('TRANS'!$B:$B,MATCH($B1521,'TRANS'!$A:$A,0)),IFERROR(INDEX('TRANS'!$B:$B,MATCH(TRIM(SUBSTITUTE($B1521,CHAR(160)," ")),'TRANS'!$D:$D,0)),IFERROR(INDEX('Catalog'!$A:$A,MATCH($B1521,'Catalog'!$B:$B,0)),IFERROR(INDEX('Catalog'!$A:$A,MATCH(TRIM(SUBSTITUTE($B1521,CHAR(160)," ")),'Catalog'!$C:$C,0)),""))))</f>
        <v>4418000</v>
      </c>
      <c r="H1521" s="7" t="str">
        <f aca="false">IFERROR(INDEX('TRANS'!$C:$C,MATCH($B1521,'TRANS'!$A:$A,0)),IFERROR(INDEX('Catalog'!$B:$B,MATCH($G1521,'Catalog'!$A:$A,0)),$B1521))</f>
        <v>60 L צוארון ספוגי</v>
      </c>
      <c r="I1521" s="7" t="str">
        <f aca="false">IF($G1521="","Unmatched","Matched")</f>
        <v>Matched</v>
      </c>
      <c r="J1521" s="7" t="n">
        <f aca="false">IF($G1521&lt;&gt;"",$G1521,$B1521)</f>
        <v>4418000</v>
      </c>
      <c r="K1521" s="7" t="str">
        <f aca="false">IF(COUNTIF($O$2:$O$16,$A1521)&gt;0,"Y","N")</f>
        <v>Y</v>
      </c>
    </row>
    <row r="1522" customFormat="false" ht="15" hidden="false" customHeight="false" outlineLevel="0" collapsed="false">
      <c r="A1522" s="7" t="s">
        <v>43</v>
      </c>
      <c r="B1522" s="7" t="s">
        <v>486</v>
      </c>
      <c r="C1522" s="8" t="n">
        <v>10</v>
      </c>
      <c r="D1522" s="8" t="n">
        <v>277.12</v>
      </c>
      <c r="E1522" s="8" t="n">
        <v>0</v>
      </c>
      <c r="F1522" s="8" t="n">
        <v>0</v>
      </c>
      <c r="G1522" s="7" t="n">
        <f aca="false">IFERROR(INDEX('TRANS'!$B:$B,MATCH($B1522,'TRANS'!$A:$A,0)),IFERROR(INDEX('TRANS'!$B:$B,MATCH(TRIM(SUBSTITUTE($B1522,CHAR(160)," ")),'TRANS'!$D:$D,0)),IFERROR(INDEX('Catalog'!$A:$A,MATCH($B1522,'Catalog'!$B:$B,0)),IFERROR(INDEX('Catalog'!$A:$A,MATCH(TRIM(SUBSTITUTE($B1522,CHAR(160)," ")),'Catalog'!$C:$C,0)),""))))</f>
        <v>4418001</v>
      </c>
      <c r="H1522" s="7" t="str">
        <f aca="false">IFERROR(INDEX('TRANS'!$C:$C,MATCH($B1522,'TRANS'!$A:$A,0)),IFERROR(INDEX('Catalog'!$B:$B,MATCH($G1522,'Catalog'!$A:$A,0)),$B1522))</f>
        <v>60 M צוארון ספוגי</v>
      </c>
      <c r="I1522" s="7" t="str">
        <f aca="false">IF($G1522="","Unmatched","Matched")</f>
        <v>Matched</v>
      </c>
      <c r="J1522" s="7" t="n">
        <f aca="false">IF($G1522&lt;&gt;"",$G1522,$B1522)</f>
        <v>4418001</v>
      </c>
      <c r="K1522" s="7" t="str">
        <f aca="false">IF(COUNTIF($O$2:$O$16,$A1522)&gt;0,"Y","N")</f>
        <v>Y</v>
      </c>
    </row>
    <row r="1523" customFormat="false" ht="15" hidden="false" customHeight="false" outlineLevel="0" collapsed="false">
      <c r="A1523" s="7" t="s">
        <v>43</v>
      </c>
      <c r="B1523" s="7" t="s">
        <v>487</v>
      </c>
      <c r="C1523" s="8" t="n">
        <v>5</v>
      </c>
      <c r="D1523" s="8" t="n">
        <v>138.57</v>
      </c>
      <c r="E1523" s="8" t="n">
        <v>0</v>
      </c>
      <c r="F1523" s="8" t="n">
        <v>0</v>
      </c>
      <c r="G1523" s="7" t="n">
        <f aca="false">IFERROR(INDEX('TRANS'!$B:$B,MATCH($B1523,'TRANS'!$A:$A,0)),IFERROR(INDEX('TRANS'!$B:$B,MATCH(TRIM(SUBSTITUTE($B1523,CHAR(160)," ")),'TRANS'!$D:$D,0)),IFERROR(INDEX('Catalog'!$A:$A,MATCH($B1523,'Catalog'!$B:$B,0)),IFERROR(INDEX('Catalog'!$A:$A,MATCH(TRIM(SUBSTITUTE($B1523,CHAR(160)," ")),'Catalog'!$C:$C,0)),""))))</f>
        <v>4418002</v>
      </c>
      <c r="H1523" s="7" t="str">
        <f aca="false">IFERROR(INDEX('TRANS'!$C:$C,MATCH($B1523,'TRANS'!$A:$A,0)),IFERROR(INDEX('Catalog'!$B:$B,MATCH($G1523,'Catalog'!$A:$A,0)),$B1523))</f>
        <v>60 S צוארון ספוגי</v>
      </c>
      <c r="I1523" s="7" t="str">
        <f aca="false">IF($G1523="","Unmatched","Matched")</f>
        <v>Matched</v>
      </c>
      <c r="J1523" s="7" t="n">
        <f aca="false">IF($G1523&lt;&gt;"",$G1523,$B1523)</f>
        <v>4418002</v>
      </c>
      <c r="K1523" s="7" t="str">
        <f aca="false">IF(COUNTIF($O$2:$O$16,$A1523)&gt;0,"Y","N")</f>
        <v>Y</v>
      </c>
    </row>
    <row r="1524" customFormat="false" ht="15" hidden="false" customHeight="false" outlineLevel="0" collapsed="false">
      <c r="A1524" s="7" t="s">
        <v>43</v>
      </c>
      <c r="B1524" s="7" t="s">
        <v>681</v>
      </c>
      <c r="C1524" s="8" t="n">
        <v>10</v>
      </c>
      <c r="D1524" s="8" t="n">
        <v>277.12</v>
      </c>
      <c r="E1524" s="8" t="n">
        <v>0</v>
      </c>
      <c r="F1524" s="8" t="n">
        <v>0</v>
      </c>
      <c r="G1524" s="7" t="n">
        <f aca="false">IFERROR(INDEX('TRANS'!$B:$B,MATCH($B1524,'TRANS'!$A:$A,0)),IFERROR(INDEX('TRANS'!$B:$B,MATCH(TRIM(SUBSTITUTE($B1524,CHAR(160)," ")),'TRANS'!$D:$D,0)),IFERROR(INDEX('Catalog'!$A:$A,MATCH($B1524,'Catalog'!$B:$B,0)),IFERROR(INDEX('Catalog'!$A:$A,MATCH(TRIM(SUBSTITUTE($B1524,CHAR(160)," ")),'Catalog'!$C:$C,0)),""))))</f>
        <v>4418003</v>
      </c>
      <c r="H1524" s="7" t="str">
        <f aca="false">IFERROR(INDEX('TRANS'!$C:$C,MATCH($B1524,'TRANS'!$A:$A,0)),IFERROR(INDEX('Catalog'!$B:$B,MATCH($G1524,'Catalog'!$A:$A,0)),$B1524))</f>
        <v>60 XL צוארון ספוגי</v>
      </c>
      <c r="I1524" s="7" t="str">
        <f aca="false">IF($G1524="","Unmatched","Matched")</f>
        <v>Matched</v>
      </c>
      <c r="J1524" s="7" t="n">
        <f aca="false">IF($G1524&lt;&gt;"",$G1524,$B1524)</f>
        <v>4418003</v>
      </c>
      <c r="K1524" s="7" t="str">
        <f aca="false">IF(COUNTIF($O$2:$O$16,$A1524)&gt;0,"Y","N")</f>
        <v>Y</v>
      </c>
    </row>
    <row r="1525" customFormat="false" ht="15" hidden="false" customHeight="false" outlineLevel="0" collapsed="false">
      <c r="A1525" s="7" t="s">
        <v>43</v>
      </c>
      <c r="B1525" s="7" t="s">
        <v>203</v>
      </c>
      <c r="C1525" s="8" t="n">
        <v>5</v>
      </c>
      <c r="D1525" s="8" t="n">
        <v>0.03</v>
      </c>
      <c r="E1525" s="8" t="n">
        <v>0</v>
      </c>
      <c r="F1525" s="8" t="n">
        <v>0</v>
      </c>
      <c r="G1525" s="7" t="str">
        <f aca="false">IFERROR(INDEX('TRANS'!$B:$B,MATCH($B1525,'TRANS'!$A:$A,0)),IFERROR(INDEX('TRANS'!$B:$B,MATCH(TRIM(SUBSTITUTE($B1525,CHAR(160)," ")),'TRANS'!$D:$D,0)),IFERROR(INDEX('Catalog'!$A:$A,MATCH($B1525,'Catalog'!$B:$B,0)),IFERROR(INDEX('Catalog'!$A:$A,MATCH(TRIM(SUBSTITUTE($B1525,CHAR(160)," ")),'Catalog'!$C:$C,0)),""))))</f>
        <v/>
      </c>
      <c r="H1525" s="7" t="str">
        <f aca="false">IFERROR(INDEX('TRANS'!$C:$C,MATCH($B1525,'TRANS'!$A:$A,0)),IFERROR(INDEX('Catalog'!$B:$B,MATCH($G1525,'Catalog'!$A:$A,0)),$B1525))</f>
        <v>60 XS</v>
      </c>
      <c r="I1525" s="7" t="str">
        <f aca="false">IF($G1525="","Unmatched","Matched")</f>
        <v>Unmatched</v>
      </c>
      <c r="J1525" s="7" t="str">
        <f aca="false">IF($G1525&lt;&gt;"",$G1525,$B1525)</f>
        <v>60 XS</v>
      </c>
      <c r="K1525" s="7" t="str">
        <f aca="false">IF(COUNTIF($O$2:$O$16,$A1525)&gt;0,"Y","N")</f>
        <v>Y</v>
      </c>
    </row>
    <row r="1526" customFormat="false" ht="15" hidden="false" customHeight="false" outlineLevel="0" collapsed="false">
      <c r="A1526" s="7" t="s">
        <v>43</v>
      </c>
      <c r="B1526" s="7" t="s">
        <v>255</v>
      </c>
      <c r="C1526" s="8" t="n">
        <v>5</v>
      </c>
      <c r="D1526" s="8" t="n">
        <v>138.57</v>
      </c>
      <c r="E1526" s="8" t="n">
        <v>0</v>
      </c>
      <c r="F1526" s="8" t="n">
        <v>0</v>
      </c>
      <c r="G1526" s="7" t="str">
        <f aca="false">IFERROR(INDEX('TRANS'!$B:$B,MATCH($B1526,'TRANS'!$A:$A,0)),IFERROR(INDEX('TRANS'!$B:$B,MATCH(TRIM(SUBSTITUTE($B1526,CHAR(160)," ")),'TRANS'!$D:$D,0)),IFERROR(INDEX('Catalog'!$A:$A,MATCH($B1526,'Catalog'!$B:$B,0)),IFERROR(INDEX('Catalog'!$A:$A,MATCH(TRIM(SUBSTITUTE($B1526,CHAR(160)," ")),'Catalog'!$C:$C,0)),""))))</f>
        <v/>
      </c>
      <c r="H1526" s="7" t="str">
        <f aca="false">IFERROR(INDEX('TRANS'!$C:$C,MATCH($B1526,'TRANS'!$A:$A,0)),IFERROR(INDEX('Catalog'!$B:$B,MATCH($G1526,'Catalog'!$A:$A,0)),$B1526))</f>
        <v>60 XXL</v>
      </c>
      <c r="I1526" s="7" t="str">
        <f aca="false">IF($G1526="","Unmatched","Matched")</f>
        <v>Unmatched</v>
      </c>
      <c r="J1526" s="7" t="str">
        <f aca="false">IF($G1526&lt;&gt;"",$G1526,$B1526)</f>
        <v>60 XXL</v>
      </c>
      <c r="K1526" s="7" t="str">
        <f aca="false">IF(COUNTIF($O$2:$O$16,$A1526)&gt;0,"Y","N")</f>
        <v>Y</v>
      </c>
    </row>
    <row r="1527" customFormat="false" ht="15" hidden="false" customHeight="false" outlineLevel="0" collapsed="false">
      <c r="A1527" s="7" t="s">
        <v>43</v>
      </c>
      <c r="B1527" s="7" t="s">
        <v>221</v>
      </c>
      <c r="C1527" s="8" t="n">
        <v>142</v>
      </c>
      <c r="D1527" s="8" t="n">
        <v>14683.56</v>
      </c>
      <c r="E1527" s="8" t="n">
        <v>0</v>
      </c>
      <c r="F1527" s="8" t="n">
        <v>0</v>
      </c>
      <c r="G1527" s="7" t="str">
        <f aca="false">IFERROR(INDEX('TRANS'!$B:$B,MATCH($B1527,'TRANS'!$A:$A,0)),IFERROR(INDEX('TRANS'!$B:$B,MATCH(TRIM(SUBSTITUTE($B1527,CHAR(160)," ")),'TRANS'!$D:$D,0)),IFERROR(INDEX('Catalog'!$A:$A,MATCH($B1527,'Catalog'!$B:$B,0)),IFERROR(INDEX('Catalog'!$A:$A,MATCH(TRIM(SUBSTITUTE($B1527,CHAR(160)," ")),'Catalog'!$C:$C,0)),""))))</f>
        <v/>
      </c>
      <c r="H1527" s="7" t="str">
        <f aca="false">IFERROR(INDEX('TRANS'!$C:$C,MATCH($B1527,'TRANS'!$A:$A,0)),IFERROR(INDEX('Catalog'!$B:$B,MATCH($G1527,'Catalog'!$A:$A,0)),$B1527))</f>
        <v>67 0</v>
      </c>
      <c r="I1527" s="7" t="str">
        <f aca="false">IF($G1527="","Unmatched","Matched")</f>
        <v>Unmatched</v>
      </c>
      <c r="J1527" s="7" t="str">
        <f aca="false">IF($G1527&lt;&gt;"",$G1527,$B1527)</f>
        <v>67 0</v>
      </c>
      <c r="K1527" s="7" t="str">
        <f aca="false">IF(COUNTIF($O$2:$O$16,$A1527)&gt;0,"Y","N")</f>
        <v>Y</v>
      </c>
    </row>
    <row r="1528" customFormat="false" ht="15" hidden="false" customHeight="false" outlineLevel="0" collapsed="false">
      <c r="A1528" s="7" t="s">
        <v>43</v>
      </c>
      <c r="B1528" s="7" t="s">
        <v>256</v>
      </c>
      <c r="C1528" s="8" t="n">
        <v>1</v>
      </c>
      <c r="D1528" s="8" t="n">
        <v>0.04</v>
      </c>
      <c r="E1528" s="8" t="n">
        <v>0</v>
      </c>
      <c r="F1528" s="8" t="n">
        <v>0</v>
      </c>
      <c r="G1528" s="7" t="str">
        <f aca="false">IFERROR(INDEX('TRANS'!$B:$B,MATCH($B1528,'TRANS'!$A:$A,0)),IFERROR(INDEX('TRANS'!$B:$B,MATCH(TRIM(SUBSTITUTE($B1528,CHAR(160)," ")),'TRANS'!$D:$D,0)),IFERROR(INDEX('Catalog'!$A:$A,MATCH($B1528,'Catalog'!$B:$B,0)),IFERROR(INDEX('Catalog'!$A:$A,MATCH(TRIM(SUBSTITUTE($B1528,CHAR(160)," ")),'Catalog'!$C:$C,0)),""))))</f>
        <v/>
      </c>
      <c r="H1528" s="7" t="str">
        <f aca="false">IFERROR(INDEX('TRANS'!$C:$C,MATCH($B1528,'TRANS'!$A:$A,0)),IFERROR(INDEX('Catalog'!$B:$B,MATCH($G1528,'Catalog'!$A:$A,0)),$B1528))</f>
        <v>70 XS</v>
      </c>
      <c r="I1528" s="7" t="str">
        <f aca="false">IF($G1528="","Unmatched","Matched")</f>
        <v>Unmatched</v>
      </c>
      <c r="J1528" s="7" t="str">
        <f aca="false">IF($G1528&lt;&gt;"",$G1528,$B1528)</f>
        <v>70 XS</v>
      </c>
      <c r="K1528" s="7" t="str">
        <f aca="false">IF(COUNTIF($O$2:$O$16,$A1528)&gt;0,"Y","N")</f>
        <v>Y</v>
      </c>
    </row>
    <row r="1529" customFormat="false" ht="15" hidden="false" customHeight="false" outlineLevel="0" collapsed="false">
      <c r="A1529" s="7" t="s">
        <v>43</v>
      </c>
      <c r="B1529" s="7" t="s">
        <v>682</v>
      </c>
      <c r="C1529" s="8" t="n">
        <v>50</v>
      </c>
      <c r="D1529" s="8" t="n">
        <v>0.03</v>
      </c>
      <c r="E1529" s="8" t="n">
        <v>0</v>
      </c>
      <c r="F1529" s="8" t="n">
        <v>0</v>
      </c>
      <c r="G1529" s="7" t="n">
        <f aca="false">IFERROR(INDEX('TRANS'!$B:$B,MATCH($B1529,'TRANS'!$A:$A,0)),IFERROR(INDEX('TRANS'!$B:$B,MATCH(TRIM(SUBSTITUTE($B1529,CHAR(160)," ")),'TRANS'!$D:$D,0)),IFERROR(INDEX('Catalog'!$A:$A,MATCH($B1529,'Catalog'!$B:$B,0)),IFERROR(INDEX('Catalog'!$A:$A,MATCH(TRIM(SUBSTITUTE($B1529,CHAR(160)," ")),'Catalog'!$C:$C,0)),""))))</f>
        <v>4408274</v>
      </c>
      <c r="H1529" s="7" t="str">
        <f aca="false">IFERROR(INDEX('TRANS'!$C:$C,MATCH($B1529,'TRANS'!$A:$A,0)),IFERROR(INDEX('Catalog'!$B:$B,MATCH($G1529,'Catalog'!$A:$A,0)),$B1529))</f>
        <v>70N L חגורת פאבליק</v>
      </c>
      <c r="I1529" s="7" t="str">
        <f aca="false">IF($G1529="","Unmatched","Matched")</f>
        <v>Matched</v>
      </c>
      <c r="J1529" s="7" t="n">
        <f aca="false">IF($G1529&lt;&gt;"",$G1529,$B1529)</f>
        <v>4408274</v>
      </c>
      <c r="K1529" s="7" t="str">
        <f aca="false">IF(COUNTIF($O$2:$O$16,$A1529)&gt;0,"Y","N")</f>
        <v>Y</v>
      </c>
    </row>
    <row r="1530" customFormat="false" ht="15" hidden="false" customHeight="false" outlineLevel="0" collapsed="false">
      <c r="A1530" s="7" t="s">
        <v>43</v>
      </c>
      <c r="B1530" s="7" t="s">
        <v>683</v>
      </c>
      <c r="C1530" s="8" t="n">
        <v>100</v>
      </c>
      <c r="D1530" s="8" t="n">
        <v>16212.21</v>
      </c>
      <c r="E1530" s="8" t="n">
        <v>0</v>
      </c>
      <c r="F1530" s="8" t="n">
        <v>0</v>
      </c>
      <c r="G1530" s="7" t="n">
        <f aca="false">IFERROR(INDEX('TRANS'!$B:$B,MATCH($B1530,'TRANS'!$A:$A,0)),IFERROR(INDEX('TRANS'!$B:$B,MATCH(TRIM(SUBSTITUTE($B1530,CHAR(160)," ")),'TRANS'!$D:$D,0)),IFERROR(INDEX('Catalog'!$A:$A,MATCH($B1530,'Catalog'!$B:$B,0)),IFERROR(INDEX('Catalog'!$A:$A,MATCH(TRIM(SUBSTITUTE($B1530,CHAR(160)," ")),'Catalog'!$C:$C,0)),""))))</f>
        <v>4408273</v>
      </c>
      <c r="H1530" s="7" t="str">
        <f aca="false">IFERROR(INDEX('TRANS'!$C:$C,MATCH($B1530,'TRANS'!$A:$A,0)),IFERROR(INDEX('Catalog'!$B:$B,MATCH($G1530,'Catalog'!$A:$A,0)),$B1530))</f>
        <v>70N M חגורת פאבליק</v>
      </c>
      <c r="I1530" s="7" t="str">
        <f aca="false">IF($G1530="","Unmatched","Matched")</f>
        <v>Matched</v>
      </c>
      <c r="J1530" s="7" t="n">
        <f aca="false">IF($G1530&lt;&gt;"",$G1530,$B1530)</f>
        <v>4408273</v>
      </c>
      <c r="K1530" s="7" t="str">
        <f aca="false">IF(COUNTIF($O$2:$O$16,$A1530)&gt;0,"Y","N")</f>
        <v>Y</v>
      </c>
    </row>
    <row r="1531" customFormat="false" ht="15" hidden="false" customHeight="false" outlineLevel="0" collapsed="false">
      <c r="A1531" s="7" t="s">
        <v>43</v>
      </c>
      <c r="B1531" s="7" t="s">
        <v>663</v>
      </c>
      <c r="C1531" s="8" t="n">
        <v>200</v>
      </c>
      <c r="D1531" s="8" t="n">
        <v>32424.43</v>
      </c>
      <c r="E1531" s="8" t="n">
        <v>0</v>
      </c>
      <c r="F1531" s="8" t="n">
        <v>0</v>
      </c>
      <c r="G1531" s="7" t="n">
        <f aca="false">IFERROR(INDEX('TRANS'!$B:$B,MATCH($B1531,'TRANS'!$A:$A,0)),IFERROR(INDEX('TRANS'!$B:$B,MATCH(TRIM(SUBSTITUTE($B1531,CHAR(160)," ")),'TRANS'!$D:$D,0)),IFERROR(INDEX('Catalog'!$A:$A,MATCH($B1531,'Catalog'!$B:$B,0)),IFERROR(INDEX('Catalog'!$A:$A,MATCH(TRIM(SUBSTITUTE($B1531,CHAR(160)," ")),'Catalog'!$C:$C,0)),""))))</f>
        <v>4408272</v>
      </c>
      <c r="H1531" s="7" t="str">
        <f aca="false">IFERROR(INDEX('TRANS'!$C:$C,MATCH($B1531,'TRANS'!$A:$A,0)),IFERROR(INDEX('Catalog'!$B:$B,MATCH($G1531,'Catalog'!$A:$A,0)),$B1531))</f>
        <v>70N S חגורת פאבליק</v>
      </c>
      <c r="I1531" s="7" t="str">
        <f aca="false">IF($G1531="","Unmatched","Matched")</f>
        <v>Matched</v>
      </c>
      <c r="J1531" s="7" t="n">
        <f aca="false">IF($G1531&lt;&gt;"",$G1531,$B1531)</f>
        <v>4408272</v>
      </c>
      <c r="K1531" s="7" t="str">
        <f aca="false">IF(COUNTIF($O$2:$O$16,$A1531)&gt;0,"Y","N")</f>
        <v>Y</v>
      </c>
    </row>
    <row r="1532" customFormat="false" ht="15" hidden="false" customHeight="false" outlineLevel="0" collapsed="false">
      <c r="A1532" s="7" t="s">
        <v>43</v>
      </c>
      <c r="B1532" s="7" t="s">
        <v>664</v>
      </c>
      <c r="C1532" s="8" t="n">
        <v>200</v>
      </c>
      <c r="D1532" s="8" t="n">
        <v>32424.43</v>
      </c>
      <c r="E1532" s="8" t="n">
        <v>0</v>
      </c>
      <c r="F1532" s="8" t="n">
        <v>0</v>
      </c>
      <c r="G1532" s="7" t="n">
        <f aca="false">IFERROR(INDEX('TRANS'!$B:$B,MATCH($B1532,'TRANS'!$A:$A,0)),IFERROR(INDEX('TRANS'!$B:$B,MATCH(TRIM(SUBSTITUTE($B1532,CHAR(160)," ")),'TRANS'!$D:$D,0)),IFERROR(INDEX('Catalog'!$A:$A,MATCH($B1532,'Catalog'!$B:$B,0)),IFERROR(INDEX('Catalog'!$A:$A,MATCH(TRIM(SUBSTITUTE($B1532,CHAR(160)," ")),'Catalog'!$C:$C,0)),""))))</f>
        <v>4408271</v>
      </c>
      <c r="H1532" s="7" t="str">
        <f aca="false">IFERROR(INDEX('TRANS'!$C:$C,MATCH($B1532,'TRANS'!$A:$A,0)),IFERROR(INDEX('Catalog'!$B:$B,MATCH($G1532,'Catalog'!$A:$A,0)),$B1532))</f>
        <v>70N XS חגורת פאבליק</v>
      </c>
      <c r="I1532" s="7" t="str">
        <f aca="false">IF($G1532="","Unmatched","Matched")</f>
        <v>Matched</v>
      </c>
      <c r="J1532" s="7" t="n">
        <f aca="false">IF($G1532&lt;&gt;"",$G1532,$B1532)</f>
        <v>4408271</v>
      </c>
      <c r="K1532" s="7" t="str">
        <f aca="false">IF(COUNTIF($O$2:$O$16,$A1532)&gt;0,"Y","N")</f>
        <v>Y</v>
      </c>
    </row>
    <row r="1533" customFormat="false" ht="15" hidden="false" customHeight="false" outlineLevel="0" collapsed="false">
      <c r="A1533" s="7" t="s">
        <v>43</v>
      </c>
      <c r="B1533" s="7" t="s">
        <v>404</v>
      </c>
      <c r="C1533" s="8" t="n">
        <v>550</v>
      </c>
      <c r="D1533" s="8" t="n">
        <v>25232.79</v>
      </c>
      <c r="E1533" s="8" t="n">
        <v>0</v>
      </c>
      <c r="F1533" s="8" t="n">
        <v>0</v>
      </c>
      <c r="G1533" s="7" t="n">
        <f aca="false">IFERROR(INDEX('TRANS'!$B:$B,MATCH($B1533,'TRANS'!$A:$A,0)),IFERROR(INDEX('TRANS'!$B:$B,MATCH(TRIM(SUBSTITUTE($B1533,CHAR(160)," ")),'TRANS'!$D:$D,0)),IFERROR(INDEX('Catalog'!$A:$A,MATCH($B1533,'Catalog'!$B:$B,0)),IFERROR(INDEX('Catalog'!$A:$A,MATCH(TRIM(SUBSTITUTE($B1533,CHAR(160)," ")),'Catalog'!$C:$C,0)),""))))</f>
        <v>4408205</v>
      </c>
      <c r="H1533" s="7" t="str">
        <f aca="false">IFERROR(INDEX('TRANS'!$C:$C,MATCH($B1533,'TRANS'!$A:$A,0)),IFERROR(INDEX('Catalog'!$B:$B,MATCH($G1533,'Catalog'!$A:$A,0)),$B1533))</f>
        <v>AC-07 חגורת גב עם תמיכות</v>
      </c>
      <c r="I1533" s="7" t="str">
        <f aca="false">IF($G1533="","Unmatched","Matched")</f>
        <v>Matched</v>
      </c>
      <c r="J1533" s="7" t="n">
        <f aca="false">IF($G1533&lt;&gt;"",$G1533,$B1533)</f>
        <v>4408205</v>
      </c>
      <c r="K1533" s="7" t="str">
        <f aca="false">IF(COUNTIF($O$2:$O$16,$A1533)&gt;0,"Y","N")</f>
        <v>Y</v>
      </c>
    </row>
    <row r="1534" customFormat="false" ht="15" hidden="false" customHeight="false" outlineLevel="0" collapsed="false">
      <c r="A1534" s="7" t="s">
        <v>43</v>
      </c>
      <c r="B1534" s="7" t="s">
        <v>371</v>
      </c>
      <c r="C1534" s="8" t="n">
        <v>220</v>
      </c>
      <c r="D1534" s="8" t="n">
        <v>3254.87</v>
      </c>
      <c r="E1534" s="8" t="n">
        <v>0</v>
      </c>
      <c r="F1534" s="8" t="n">
        <v>0</v>
      </c>
      <c r="G1534" s="7" t="n">
        <f aca="false">IFERROR(INDEX('TRANS'!$B:$B,MATCH($B1534,'TRANS'!$A:$A,0)),IFERROR(INDEX('TRANS'!$B:$B,MATCH(TRIM(SUBSTITUTE($B1534,CHAR(160)," ")),'TRANS'!$D:$D,0)),IFERROR(INDEX('Catalog'!$A:$A,MATCH($B1534,'Catalog'!$B:$B,0)),IFERROR(INDEX('Catalog'!$A:$A,MATCH(TRIM(SUBSTITUTE($B1534,CHAR(160)," ")),'Catalog'!$C:$C,0)),""))))</f>
        <v>4408207</v>
      </c>
      <c r="H1534" s="7" t="str">
        <f aca="false">IFERROR(INDEX('TRANS'!$C:$C,MATCH($B1534,'TRANS'!$A:$A,0)),IFERROR(INDEX('Catalog'!$B:$B,MATCH($G1534,'Catalog'!$A:$A,0)),$B1534))</f>
        <v>AC-25 חבק לשורש כף היד</v>
      </c>
      <c r="I1534" s="7" t="str">
        <f aca="false">IF($G1534="","Unmatched","Matched")</f>
        <v>Matched</v>
      </c>
      <c r="J1534" s="7" t="n">
        <f aca="false">IF($G1534&lt;&gt;"",$G1534,$B1534)</f>
        <v>4408207</v>
      </c>
      <c r="K1534" s="7" t="str">
        <f aca="false">IF(COUNTIF($O$2:$O$16,$A1534)&gt;0,"Y","N")</f>
        <v>Y</v>
      </c>
    </row>
    <row r="1535" customFormat="false" ht="15" hidden="false" customHeight="false" outlineLevel="0" collapsed="false">
      <c r="A1535" s="7" t="s">
        <v>43</v>
      </c>
      <c r="B1535" s="7" t="s">
        <v>372</v>
      </c>
      <c r="C1535" s="8" t="n">
        <v>330</v>
      </c>
      <c r="D1535" s="8" t="n">
        <v>6453.92</v>
      </c>
      <c r="E1535" s="8" t="n">
        <v>0</v>
      </c>
      <c r="F1535" s="8" t="n">
        <v>0</v>
      </c>
      <c r="G1535" s="7" t="n">
        <f aca="false">IFERROR(INDEX('TRANS'!$B:$B,MATCH($B1535,'TRANS'!$A:$A,0)),IFERROR(INDEX('TRANS'!$B:$B,MATCH(TRIM(SUBSTITUTE($B1535,CHAR(160)," ")),'TRANS'!$D:$D,0)),IFERROR(INDEX('Catalog'!$A:$A,MATCH($B1535,'Catalog'!$B:$B,0)),IFERROR(INDEX('Catalog'!$A:$A,MATCH(TRIM(SUBSTITUTE($B1535,CHAR(160)," ")),'Catalog'!$C:$C,0)),""))))</f>
        <v>4415026</v>
      </c>
      <c r="H1535" s="7" t="str">
        <f aca="false">IFERROR(INDEX('TRANS'!$C:$C,MATCH($B1535,'TRANS'!$A:$A,0)),IFERROR(INDEX('Catalog'!$B:$B,MATCH($G1535,'Catalog'!$A:$A,0)),$B1535))</f>
        <v>AC-27L סד לש.כף יד שמאל</v>
      </c>
      <c r="I1535" s="7" t="str">
        <f aca="false">IF($G1535="","Unmatched","Matched")</f>
        <v>Matched</v>
      </c>
      <c r="J1535" s="7" t="n">
        <f aca="false">IF($G1535&lt;&gt;"",$G1535,$B1535)</f>
        <v>4415026</v>
      </c>
      <c r="K1535" s="7" t="str">
        <f aca="false">IF(COUNTIF($O$2:$O$16,$A1535)&gt;0,"Y","N")</f>
        <v>Y</v>
      </c>
    </row>
    <row r="1536" customFormat="false" ht="15" hidden="false" customHeight="false" outlineLevel="0" collapsed="false">
      <c r="A1536" s="7" t="s">
        <v>43</v>
      </c>
      <c r="B1536" s="7" t="s">
        <v>373</v>
      </c>
      <c r="C1536" s="8" t="n">
        <v>330</v>
      </c>
      <c r="D1536" s="8" t="n">
        <v>6453.92</v>
      </c>
      <c r="E1536" s="8" t="n">
        <v>0</v>
      </c>
      <c r="F1536" s="8" t="n">
        <v>0</v>
      </c>
      <c r="G1536" s="7" t="n">
        <f aca="false">IFERROR(INDEX('TRANS'!$B:$B,MATCH($B1536,'TRANS'!$A:$A,0)),IFERROR(INDEX('TRANS'!$B:$B,MATCH(TRIM(SUBSTITUTE($B1536,CHAR(160)," ")),'TRANS'!$D:$D,0)),IFERROR(INDEX('Catalog'!$A:$A,MATCH($B1536,'Catalog'!$B:$B,0)),IFERROR(INDEX('Catalog'!$A:$A,MATCH(TRIM(SUBSTITUTE($B1536,CHAR(160)," ")),'Catalog'!$C:$C,0)),""))))</f>
        <v>4415027</v>
      </c>
      <c r="H1536" s="7" t="str">
        <f aca="false">IFERROR(INDEX('TRANS'!$C:$C,MATCH($B1536,'TRANS'!$A:$A,0)),IFERROR(INDEX('Catalog'!$B:$B,MATCH($G1536,'Catalog'!$A:$A,0)),$B1536))</f>
        <v>AC-27R סד לש.כף יד ימין</v>
      </c>
      <c r="I1536" s="7" t="str">
        <f aca="false">IF($G1536="","Unmatched","Matched")</f>
        <v>Matched</v>
      </c>
      <c r="J1536" s="7" t="n">
        <f aca="false">IF($G1536&lt;&gt;"",$G1536,$B1536)</f>
        <v>4415027</v>
      </c>
      <c r="K1536" s="7" t="str">
        <f aca="false">IF(COUNTIF($O$2:$O$16,$A1536)&gt;0,"Y","N")</f>
        <v>Y</v>
      </c>
    </row>
    <row r="1537" customFormat="false" ht="15" hidden="false" customHeight="false" outlineLevel="0" collapsed="false">
      <c r="A1537" s="7" t="s">
        <v>43</v>
      </c>
      <c r="B1537" s="7" t="s">
        <v>374</v>
      </c>
      <c r="C1537" s="8" t="n">
        <v>550</v>
      </c>
      <c r="D1537" s="8" t="n">
        <v>7501.67</v>
      </c>
      <c r="E1537" s="8" t="n">
        <v>0</v>
      </c>
      <c r="F1537" s="8" t="n">
        <v>0</v>
      </c>
      <c r="G1537" s="7" t="n">
        <f aca="false">IFERROR(INDEX('TRANS'!$B:$B,MATCH($B1537,'TRANS'!$A:$A,0)),IFERROR(INDEX('TRANS'!$B:$B,MATCH(TRIM(SUBSTITUTE($B1537,CHAR(160)," ")),'TRANS'!$D:$D,0)),IFERROR(INDEX('Catalog'!$A:$A,MATCH($B1537,'Catalog'!$B:$B,0)),IFERROR(INDEX('Catalog'!$A:$A,MATCH(TRIM(SUBSTITUTE($B1537,CHAR(160)," ")),'Catalog'!$C:$C,0)),""))))</f>
        <v>4415028</v>
      </c>
      <c r="H1537" s="7" t="str">
        <f aca="false">IFERROR(INDEX('TRANS'!$C:$C,MATCH($B1537,'TRANS'!$A:$A,0)),IFERROR(INDEX('Catalog'!$B:$B,MATCH($G1537,'Catalog'!$A:$A,0)),$B1537))</f>
        <v>AC-28 סד לאגודל</v>
      </c>
      <c r="I1537" s="7" t="str">
        <f aca="false">IF($G1537="","Unmatched","Matched")</f>
        <v>Matched</v>
      </c>
      <c r="J1537" s="7" t="n">
        <f aca="false">IF($G1537&lt;&gt;"",$G1537,$B1537)</f>
        <v>4415028</v>
      </c>
      <c r="K1537" s="7" t="str">
        <f aca="false">IF(COUNTIF($O$2:$O$16,$A1537)&gt;0,"Y","N")</f>
        <v>Y</v>
      </c>
    </row>
    <row r="1538" customFormat="false" ht="15" hidden="false" customHeight="false" outlineLevel="0" collapsed="false">
      <c r="A1538" s="7" t="s">
        <v>43</v>
      </c>
      <c r="B1538" s="7" t="s">
        <v>375</v>
      </c>
      <c r="C1538" s="8" t="n">
        <v>220</v>
      </c>
      <c r="D1538" s="8" t="n">
        <v>3409.86</v>
      </c>
      <c r="E1538" s="8" t="n">
        <v>0</v>
      </c>
      <c r="F1538" s="8" t="n">
        <v>0</v>
      </c>
      <c r="G1538" s="7" t="n">
        <f aca="false">IFERROR(INDEX('TRANS'!$B:$B,MATCH($B1538,'TRANS'!$A:$A,0)),IFERROR(INDEX('TRANS'!$B:$B,MATCH(TRIM(SUBSTITUTE($B1538,CHAR(160)," ")),'TRANS'!$D:$D,0)),IFERROR(INDEX('Catalog'!$A:$A,MATCH($B1538,'Catalog'!$B:$B,0)),IFERROR(INDEX('Catalog'!$A:$A,MATCH(TRIM(SUBSTITUTE($B1538,CHAR(160)," ")),'Catalog'!$C:$C,0)),""))))</f>
        <v>4413326</v>
      </c>
      <c r="H1538" s="7" t="str">
        <f aca="false">IFERROR(INDEX('TRANS'!$C:$C,MATCH($B1538,'TRANS'!$A:$A,0)),IFERROR(INDEX('Catalog'!$B:$B,MATCH($G1538,'Catalog'!$A:$A,0)),$B1538))</f>
        <v>AC37 מגן קרסול נושם</v>
      </c>
      <c r="I1538" s="7" t="str">
        <f aca="false">IF($G1538="","Unmatched","Matched")</f>
        <v>Matched</v>
      </c>
      <c r="J1538" s="7" t="n">
        <f aca="false">IF($G1538&lt;&gt;"",$G1538,$B1538)</f>
        <v>4413326</v>
      </c>
      <c r="K1538" s="7" t="str">
        <f aca="false">IF(COUNTIF($O$2:$O$16,$A1538)&gt;0,"Y","N")</f>
        <v>Y</v>
      </c>
    </row>
    <row r="1539" customFormat="false" ht="15" hidden="false" customHeight="false" outlineLevel="0" collapsed="false">
      <c r="A1539" s="7" t="s">
        <v>43</v>
      </c>
      <c r="B1539" s="7" t="s">
        <v>376</v>
      </c>
      <c r="C1539" s="8" t="n">
        <v>330</v>
      </c>
      <c r="D1539" s="8" t="n">
        <v>15083.9</v>
      </c>
      <c r="E1539" s="8" t="n">
        <v>0</v>
      </c>
      <c r="F1539" s="8" t="n">
        <v>0</v>
      </c>
      <c r="G1539" s="7" t="n">
        <f aca="false">IFERROR(INDEX('TRANS'!$B:$B,MATCH($B1539,'TRANS'!$A:$A,0)),IFERROR(INDEX('TRANS'!$B:$B,MATCH(TRIM(SUBSTITUTE($B1539,CHAR(160)," ")),'TRANS'!$D:$D,0)),IFERROR(INDEX('Catalog'!$A:$A,MATCH($B1539,'Catalog'!$B:$B,0)),IFERROR(INDEX('Catalog'!$A:$A,MATCH(TRIM(SUBSTITUTE($B1539,CHAR(160)," ")),'Catalog'!$C:$C,0)),""))))</f>
        <v>4413328</v>
      </c>
      <c r="H1539" s="7" t="str">
        <f aca="false">IFERROR(INDEX('TRANS'!$C:$C,MATCH($B1539,'TRANS'!$A:$A,0)),IFERROR(INDEX('Catalog'!$B:$B,MATCH($G1539,'Catalog'!$A:$A,0)),$B1539))</f>
        <v>AC43D מגן ברך + צירים</v>
      </c>
      <c r="I1539" s="7" t="str">
        <f aca="false">IF($G1539="","Unmatched","Matched")</f>
        <v>Matched</v>
      </c>
      <c r="J1539" s="7" t="n">
        <f aca="false">IF($G1539&lt;&gt;"",$G1539,$B1539)</f>
        <v>4413328</v>
      </c>
      <c r="K1539" s="7" t="str">
        <f aca="false">IF(COUNTIF($O$2:$O$16,$A1539)&gt;0,"Y","N")</f>
        <v>Y</v>
      </c>
    </row>
    <row r="1540" customFormat="false" ht="15" hidden="false" customHeight="false" outlineLevel="0" collapsed="false">
      <c r="A1540" s="7" t="s">
        <v>43</v>
      </c>
      <c r="B1540" s="7" t="s">
        <v>377</v>
      </c>
      <c r="C1540" s="8" t="n">
        <v>330</v>
      </c>
      <c r="D1540" s="8" t="n">
        <v>10155.14</v>
      </c>
      <c r="E1540" s="8" t="n">
        <v>0</v>
      </c>
      <c r="F1540" s="8" t="n">
        <v>0</v>
      </c>
      <c r="G1540" s="7" t="n">
        <f aca="false">IFERROR(INDEX('TRANS'!$B:$B,MATCH($B1540,'TRANS'!$A:$A,0)),IFERROR(INDEX('TRANS'!$B:$B,MATCH(TRIM(SUBSTITUTE($B1540,CHAR(160)," ")),'TRANS'!$D:$D,0)),IFERROR(INDEX('Catalog'!$A:$A,MATCH($B1540,'Catalog'!$B:$B,0)),IFERROR(INDEX('Catalog'!$A:$A,MATCH(TRIM(SUBSTITUTE($B1540,CHAR(160)," ")),'Catalog'!$C:$C,0)),""))))</f>
        <v>4413329</v>
      </c>
      <c r="H1540" s="7" t="str">
        <f aca="false">IFERROR(INDEX('TRANS'!$C:$C,MATCH($B1540,'TRANS'!$A:$A,0)),IFERROR(INDEX('Catalog'!$B:$B,MATCH($G1540,'Catalog'!$A:$A,0)),$B1540))</f>
        <v>AC45X מגן ברך עם תמיכות</v>
      </c>
      <c r="I1540" s="7" t="str">
        <f aca="false">IF($G1540="","Unmatched","Matched")</f>
        <v>Matched</v>
      </c>
      <c r="J1540" s="7" t="n">
        <f aca="false">IF($G1540&lt;&gt;"",$G1540,$B1540)</f>
        <v>4413329</v>
      </c>
      <c r="K1540" s="7" t="str">
        <f aca="false">IF(COUNTIF($O$2:$O$16,$A1540)&gt;0,"Y","N")</f>
        <v>Y</v>
      </c>
    </row>
    <row r="1541" customFormat="false" ht="15" hidden="false" customHeight="false" outlineLevel="0" collapsed="false">
      <c r="A1541" s="7" t="s">
        <v>43</v>
      </c>
      <c r="B1541" s="7" t="s">
        <v>379</v>
      </c>
      <c r="C1541" s="8" t="n">
        <v>330</v>
      </c>
      <c r="D1541" s="8" t="n">
        <v>8648.61</v>
      </c>
      <c r="E1541" s="8" t="n">
        <v>0</v>
      </c>
      <c r="F1541" s="8" t="n">
        <v>0</v>
      </c>
      <c r="G1541" s="7" t="n">
        <f aca="false">IFERROR(INDEX('TRANS'!$B:$B,MATCH($B1541,'TRANS'!$A:$A,0)),IFERROR(INDEX('TRANS'!$B:$B,MATCH(TRIM(SUBSTITUTE($B1541,CHAR(160)," ")),'TRANS'!$D:$D,0)),IFERROR(INDEX('Catalog'!$A:$A,MATCH($B1541,'Catalog'!$B:$B,0)),IFERROR(INDEX('Catalog'!$A:$A,MATCH(TRIM(SUBSTITUTE($B1541,CHAR(160)," ")),'Catalog'!$C:$C,0)),""))))</f>
        <v>4413453</v>
      </c>
      <c r="H1541" s="7" t="str">
        <f aca="false">IFERROR(INDEX('TRANS'!$C:$C,MATCH($B1541,'TRANS'!$A:$A,0)),IFERROR(INDEX('Catalog'!$B:$B,MATCH($G1541,'Catalog'!$A:$A,0)),$B1541))</f>
        <v>AC75 מישר כתפיים אקטיב</v>
      </c>
      <c r="I1541" s="7" t="str">
        <f aca="false">IF($G1541="","Unmatched","Matched")</f>
        <v>Matched</v>
      </c>
      <c r="J1541" s="7" t="n">
        <f aca="false">IF($G1541&lt;&gt;"",$G1541,$B1541)</f>
        <v>4413453</v>
      </c>
      <c r="K1541" s="7" t="str">
        <f aca="false">IF(COUNTIF($O$2:$O$16,$A1541)&gt;0,"Y","N")</f>
        <v>Y</v>
      </c>
    </row>
    <row r="1542" customFormat="false" ht="15" hidden="false" customHeight="false" outlineLevel="0" collapsed="false">
      <c r="A1542" s="7" t="s">
        <v>43</v>
      </c>
      <c r="B1542" s="7" t="s">
        <v>380</v>
      </c>
      <c r="C1542" s="8" t="n">
        <v>341</v>
      </c>
      <c r="D1542" s="8" t="n">
        <v>4612.63</v>
      </c>
      <c r="E1542" s="8" t="n">
        <v>0</v>
      </c>
      <c r="F1542" s="8" t="n">
        <v>0</v>
      </c>
      <c r="G1542" s="7" t="n">
        <f aca="false">IFERROR(INDEX('TRANS'!$B:$B,MATCH($B1542,'TRANS'!$A:$A,0)),IFERROR(INDEX('TRANS'!$B:$B,MATCH(TRIM(SUBSTITUTE($B1542,CHAR(160)," ")),'TRANS'!$D:$D,0)),IFERROR(INDEX('Catalog'!$A:$A,MATCH($B1542,'Catalog'!$B:$B,0)),IFERROR(INDEX('Catalog'!$A:$A,MATCH(TRIM(SUBSTITUTE($B1542,CHAR(160)," ")),'Catalog'!$C:$C,0)),""))))</f>
        <v>4408208</v>
      </c>
      <c r="H1542" s="7" t="str">
        <f aca="false">IFERROR(INDEX('TRANS'!$C:$C,MATCH($B1542,'TRANS'!$A:$A,0)),IFERROR(INDEX('Catalog'!$B:$B,MATCH($G1542,'Catalog'!$A:$A,0)),$B1542))</f>
        <v>AC91 חבק טניס</v>
      </c>
      <c r="I1542" s="7" t="str">
        <f aca="false">IF($G1542="","Unmatched","Matched")</f>
        <v>Matched</v>
      </c>
      <c r="J1542" s="7" t="n">
        <f aca="false">IF($G1542&lt;&gt;"",$G1542,$B1542)</f>
        <v>4408208</v>
      </c>
      <c r="K1542" s="7" t="str">
        <f aca="false">IF(COUNTIF($O$2:$O$16,$A1542)&gt;0,"Y","N")</f>
        <v>Y</v>
      </c>
    </row>
    <row r="1543" customFormat="false" ht="15" hidden="false" customHeight="false" outlineLevel="0" collapsed="false">
      <c r="A1543" s="7" t="s">
        <v>43</v>
      </c>
      <c r="B1543" s="7" t="s">
        <v>405</v>
      </c>
      <c r="C1543" s="8" t="n">
        <v>176</v>
      </c>
      <c r="D1543" s="8" t="n">
        <v>3119.76</v>
      </c>
      <c r="E1543" s="8" t="n">
        <v>0</v>
      </c>
      <c r="F1543" s="8" t="n">
        <v>0</v>
      </c>
      <c r="G1543" s="7" t="n">
        <f aca="false">IFERROR(INDEX('TRANS'!$B:$B,MATCH($B1543,'TRANS'!$A:$A,0)),IFERROR(INDEX('TRANS'!$B:$B,MATCH(TRIM(SUBSTITUTE($B1543,CHAR(160)," ")),'TRANS'!$D:$D,0)),IFERROR(INDEX('Catalog'!$A:$A,MATCH($B1543,'Catalog'!$B:$B,0)),IFERROR(INDEX('Catalog'!$A:$A,MATCH(TRIM(SUBSTITUTE($B1543,CHAR(160)," ")),'Catalog'!$C:$C,0)),""))))</f>
        <v>4413331</v>
      </c>
      <c r="H1543" s="7" t="str">
        <f aca="false">IFERROR(INDEX('TRANS'!$C:$C,MATCH($B1543,'TRANS'!$A:$A,0)),IFERROR(INDEX('Catalog'!$B:$B,MATCH($G1543,'Catalog'!$A:$A,0)),$B1543))</f>
        <v>AC95 מגן מרפק</v>
      </c>
      <c r="I1543" s="7" t="str">
        <f aca="false">IF($G1543="","Unmatched","Matched")</f>
        <v>Matched</v>
      </c>
      <c r="J1543" s="7" t="n">
        <f aca="false">IF($G1543&lt;&gt;"",$G1543,$B1543)</f>
        <v>4413331</v>
      </c>
      <c r="K1543" s="7" t="str">
        <f aca="false">IF(COUNTIF($O$2:$O$16,$A1543)&gt;0,"Y","N")</f>
        <v>Y</v>
      </c>
    </row>
    <row r="1544" customFormat="false" ht="15" hidden="false" customHeight="false" outlineLevel="0" collapsed="false">
      <c r="A1544" s="7" t="s">
        <v>44</v>
      </c>
      <c r="B1544" s="7" t="s">
        <v>273</v>
      </c>
      <c r="C1544" s="8" t="n">
        <v>1</v>
      </c>
      <c r="D1544" s="8" t="n">
        <v>0.04</v>
      </c>
      <c r="E1544" s="8" t="n">
        <v>0</v>
      </c>
      <c r="F1544" s="8" t="n">
        <v>0</v>
      </c>
      <c r="G1544" s="7" t="n">
        <f aca="false">IFERROR(INDEX('TRANS'!$B:$B,MATCH($B1544,'TRANS'!$A:$A,0)),IFERROR(INDEX('TRANS'!$B:$B,MATCH(TRIM(SUBSTITUTE($B1544,CHAR(160)," ")),'TRANS'!$D:$D,0)),IFERROR(INDEX('Catalog'!$A:$A,MATCH($B1544,'Catalog'!$B:$B,0)),IFERROR(INDEX('Catalog'!$A:$A,MATCH(TRIM(SUBSTITUTE($B1544,CHAR(160)," ")),'Catalog'!$C:$C,0)),""))))</f>
        <v>4408190</v>
      </c>
      <c r="H1544" s="7" t="str">
        <f aca="false">IFERROR(INDEX('TRANS'!$C:$C,MATCH($B1544,'TRANS'!$A:$A,0)),IFERROR(INDEX('Catalog'!$B:$B,MATCH($G1544,'Catalog'!$A:$A,0)),$B1544))</f>
        <v>M078 חגורת גב +סגירה כפולה</v>
      </c>
      <c r="I1544" s="7" t="str">
        <f aca="false">IF($G1544="","Unmatched","Matched")</f>
        <v>Matched</v>
      </c>
      <c r="J1544" s="7" t="n">
        <f aca="false">IF($G1544&lt;&gt;"",$G1544,$B1544)</f>
        <v>4408190</v>
      </c>
      <c r="K1544" s="7" t="str">
        <f aca="false">IF(COUNTIF($O$2:$O$16,$A1544)&gt;0,"Y","N")</f>
        <v>Y</v>
      </c>
    </row>
    <row r="1545" customFormat="false" ht="15" hidden="false" customHeight="false" outlineLevel="0" collapsed="false">
      <c r="A1545" s="7" t="s">
        <v>44</v>
      </c>
      <c r="B1545" s="7" t="s">
        <v>406</v>
      </c>
      <c r="C1545" s="8" t="n">
        <v>1</v>
      </c>
      <c r="D1545" s="8" t="n">
        <v>53.62</v>
      </c>
      <c r="E1545" s="8" t="n">
        <v>0</v>
      </c>
      <c r="F1545" s="8" t="n">
        <v>0</v>
      </c>
      <c r="G1545" s="7" t="n">
        <f aca="false">IFERROR(INDEX('TRANS'!$B:$B,MATCH($B1545,'TRANS'!$A:$A,0)),IFERROR(INDEX('TRANS'!$B:$B,MATCH(TRIM(SUBSTITUTE($B1545,CHAR(160)," ")),'TRANS'!$D:$D,0)),IFERROR(INDEX('Catalog'!$A:$A,MATCH($B1545,'Catalog'!$B:$B,0)),IFERROR(INDEX('Catalog'!$A:$A,MATCH(TRIM(SUBSTITUTE($B1545,CHAR(160)," ")),'Catalog'!$C:$C,0)),""))))</f>
        <v>4408265</v>
      </c>
      <c r="H1545" s="7" t="str">
        <f aca="false">IFERROR(INDEX('TRANS'!$C:$C,MATCH($B1545,'TRANS'!$A:$A,0)),IFERROR(INDEX('Catalog'!$B:$B,MATCH($G1545,'Catalog'!$A:$A,0)),$B1545))</f>
        <v>078XXL חגורת גב +סגירה כפולה</v>
      </c>
      <c r="I1545" s="7" t="str">
        <f aca="false">IF($G1545="","Unmatched","Matched")</f>
        <v>Matched</v>
      </c>
      <c r="J1545" s="7" t="n">
        <f aca="false">IF($G1545&lt;&gt;"",$G1545,$B1545)</f>
        <v>4408265</v>
      </c>
      <c r="K1545" s="7" t="str">
        <f aca="false">IF(COUNTIF($O$2:$O$16,$A1545)&gt;0,"Y","N")</f>
        <v>Y</v>
      </c>
    </row>
    <row r="1546" customFormat="false" ht="15" hidden="false" customHeight="false" outlineLevel="0" collapsed="false">
      <c r="A1546" s="7" t="s">
        <v>44</v>
      </c>
      <c r="B1546" s="7" t="s">
        <v>594</v>
      </c>
      <c r="C1546" s="8" t="n">
        <v>495</v>
      </c>
      <c r="D1546" s="8" t="n">
        <v>30513.16</v>
      </c>
      <c r="E1546" s="8" t="n">
        <v>397</v>
      </c>
      <c r="F1546" s="8" t="n">
        <v>24523.1</v>
      </c>
      <c r="G1546" s="7" t="n">
        <f aca="false">IFERROR(INDEX('TRANS'!$B:$B,MATCH($B1546,'TRANS'!$A:$A,0)),IFERROR(INDEX('TRANS'!$B:$B,MATCH(TRIM(SUBSTITUTE($B1546,CHAR(160)," ")),'TRANS'!$D:$D,0)),IFERROR(INDEX('Catalog'!$A:$A,MATCH($B1546,'Catalog'!$B:$B,0)),IFERROR(INDEX('Catalog'!$A:$A,MATCH(TRIM(SUBSTITUTE($B1546,CHAR(160)," ")),'Catalog'!$C:$C,0)),""))))</f>
        <v>4408261</v>
      </c>
      <c r="H1546" s="7" t="str">
        <f aca="false">IFERROR(INDEX('TRANS'!$C:$C,MATCH($B1546,'TRANS'!$A:$A,0)),IFERROR(INDEX('Catalog'!$B:$B,MATCH($G1546,'Catalog'!$A:$A,0)),$B1546))</f>
        <v>11STO L חגורה אחרי ניתוח</v>
      </c>
      <c r="I1546" s="7" t="str">
        <f aca="false">IF($G1546="","Unmatched","Matched")</f>
        <v>Matched</v>
      </c>
      <c r="J1546" s="7" t="n">
        <f aca="false">IF($G1546&lt;&gt;"",$G1546,$B1546)</f>
        <v>4408261</v>
      </c>
      <c r="K1546" s="7" t="str">
        <f aca="false">IF(COUNTIF($O$2:$O$16,$A1546)&gt;0,"Y","N")</f>
        <v>Y</v>
      </c>
    </row>
    <row r="1547" customFormat="false" ht="15" hidden="false" customHeight="false" outlineLevel="0" collapsed="false">
      <c r="A1547" s="7" t="s">
        <v>44</v>
      </c>
      <c r="B1547" s="7" t="s">
        <v>595</v>
      </c>
      <c r="C1547" s="8" t="n">
        <v>373</v>
      </c>
      <c r="D1547" s="8" t="n">
        <v>22938.97</v>
      </c>
      <c r="E1547" s="8" t="n">
        <v>250</v>
      </c>
      <c r="F1547" s="8" t="n">
        <v>15564.33</v>
      </c>
      <c r="G1547" s="7" t="n">
        <f aca="false">IFERROR(INDEX('TRANS'!$B:$B,MATCH($B1547,'TRANS'!$A:$A,0)),IFERROR(INDEX('TRANS'!$B:$B,MATCH(TRIM(SUBSTITUTE($B1547,CHAR(160)," ")),'TRANS'!$D:$D,0)),IFERROR(INDEX('Catalog'!$A:$A,MATCH($B1547,'Catalog'!$B:$B,0)),IFERROR(INDEX('Catalog'!$A:$A,MATCH(TRIM(SUBSTITUTE($B1547,CHAR(160)," ")),'Catalog'!$C:$C,0)),""))))</f>
        <v>4408260</v>
      </c>
      <c r="H1547" s="7" t="str">
        <f aca="false">IFERROR(INDEX('TRANS'!$C:$C,MATCH($B1547,'TRANS'!$A:$A,0)),IFERROR(INDEX('Catalog'!$B:$B,MATCH($G1547,'Catalog'!$A:$A,0)),$B1547))</f>
        <v>11STO M חגורה אחרי ניתוח</v>
      </c>
      <c r="I1547" s="7" t="str">
        <f aca="false">IF($G1547="","Unmatched","Matched")</f>
        <v>Matched</v>
      </c>
      <c r="J1547" s="7" t="n">
        <f aca="false">IF($G1547&lt;&gt;"",$G1547,$B1547)</f>
        <v>4408260</v>
      </c>
      <c r="K1547" s="7" t="str">
        <f aca="false">IF(COUNTIF($O$2:$O$16,$A1547)&gt;0,"Y","N")</f>
        <v>Y</v>
      </c>
    </row>
    <row r="1548" customFormat="false" ht="15" hidden="false" customHeight="false" outlineLevel="0" collapsed="false">
      <c r="A1548" s="7" t="s">
        <v>44</v>
      </c>
      <c r="B1548" s="7" t="s">
        <v>684</v>
      </c>
      <c r="C1548" s="8" t="n">
        <v>82</v>
      </c>
      <c r="D1548" s="8" t="n">
        <v>5125.13</v>
      </c>
      <c r="E1548" s="8" t="n">
        <v>37</v>
      </c>
      <c r="F1548" s="8" t="n">
        <v>2282.87</v>
      </c>
      <c r="G1548" s="7" t="n">
        <f aca="false">IFERROR(INDEX('TRANS'!$B:$B,MATCH($B1548,'TRANS'!$A:$A,0)),IFERROR(INDEX('TRANS'!$B:$B,MATCH(TRIM(SUBSTITUTE($B1548,CHAR(160)," ")),'TRANS'!$D:$D,0)),IFERROR(INDEX('Catalog'!$A:$A,MATCH($B1548,'Catalog'!$B:$B,0)),IFERROR(INDEX('Catalog'!$A:$A,MATCH(TRIM(SUBSTITUTE($B1548,CHAR(160)," ")),'Catalog'!$C:$C,0)),""))))</f>
        <v>4408259</v>
      </c>
      <c r="H1548" s="7" t="str">
        <f aca="false">IFERROR(INDEX('TRANS'!$C:$C,MATCH($B1548,'TRANS'!$A:$A,0)),IFERROR(INDEX('Catalog'!$B:$B,MATCH($G1548,'Catalog'!$A:$A,0)),$B1548))</f>
        <v>11STO S חגורה אחרי ניתוח</v>
      </c>
      <c r="I1548" s="7" t="str">
        <f aca="false">IF($G1548="","Unmatched","Matched")</f>
        <v>Matched</v>
      </c>
      <c r="J1548" s="7" t="n">
        <f aca="false">IF($G1548&lt;&gt;"",$G1548,$B1548)</f>
        <v>4408259</v>
      </c>
      <c r="K1548" s="7" t="str">
        <f aca="false">IF(COUNTIF($O$2:$O$16,$A1548)&gt;0,"Y","N")</f>
        <v>Y</v>
      </c>
    </row>
    <row r="1549" customFormat="false" ht="15" hidden="false" customHeight="false" outlineLevel="0" collapsed="false">
      <c r="A1549" s="7" t="s">
        <v>44</v>
      </c>
      <c r="B1549" s="7" t="s">
        <v>596</v>
      </c>
      <c r="C1549" s="8" t="n">
        <v>350</v>
      </c>
      <c r="D1549" s="8" t="n">
        <v>21625.17</v>
      </c>
      <c r="E1549" s="8" t="n">
        <v>255</v>
      </c>
      <c r="F1549" s="8" t="n">
        <v>15856.84</v>
      </c>
      <c r="G1549" s="7" t="n">
        <f aca="false">IFERROR(INDEX('TRANS'!$B:$B,MATCH($B1549,'TRANS'!$A:$A,0)),IFERROR(INDEX('TRANS'!$B:$B,MATCH(TRIM(SUBSTITUTE($B1549,CHAR(160)," ")),'TRANS'!$D:$D,0)),IFERROR(INDEX('Catalog'!$A:$A,MATCH($B1549,'Catalog'!$B:$B,0)),IFERROR(INDEX('Catalog'!$A:$A,MATCH(TRIM(SUBSTITUTE($B1549,CHAR(160)," ")),'Catalog'!$C:$C,0)),""))))</f>
        <v>4408262</v>
      </c>
      <c r="H1549" s="7" t="str">
        <f aca="false">IFERROR(INDEX('TRANS'!$C:$C,MATCH($B1549,'TRANS'!$A:$A,0)),IFERROR(INDEX('Catalog'!$B:$B,MATCH($G1549,'Catalog'!$A:$A,0)),$B1549))</f>
        <v>11STO XL  חגורה אחרי ניתוח</v>
      </c>
      <c r="I1549" s="7" t="str">
        <f aca="false">IF($G1549="","Unmatched","Matched")</f>
        <v>Matched</v>
      </c>
      <c r="J1549" s="7" t="n">
        <f aca="false">IF($G1549&lt;&gt;"",$G1549,$B1549)</f>
        <v>4408262</v>
      </c>
      <c r="K1549" s="7" t="str">
        <f aca="false">IF(COUNTIF($O$2:$O$16,$A1549)&gt;0,"Y","N")</f>
        <v>Y</v>
      </c>
    </row>
    <row r="1550" customFormat="false" ht="15" hidden="false" customHeight="false" outlineLevel="0" collapsed="false">
      <c r="A1550" s="7" t="s">
        <v>44</v>
      </c>
      <c r="B1550" s="7" t="s">
        <v>597</v>
      </c>
      <c r="C1550" s="8" t="n">
        <v>227</v>
      </c>
      <c r="D1550" s="8" t="n">
        <v>13992.86</v>
      </c>
      <c r="E1550" s="8" t="n">
        <v>107</v>
      </c>
      <c r="F1550" s="8" t="n">
        <v>6670.85</v>
      </c>
      <c r="G1550" s="7" t="n">
        <f aca="false">IFERROR(INDEX('TRANS'!$B:$B,MATCH($B1550,'TRANS'!$A:$A,0)),IFERROR(INDEX('TRANS'!$B:$B,MATCH(TRIM(SUBSTITUTE($B1550,CHAR(160)," ")),'TRANS'!$D:$D,0)),IFERROR(INDEX('Catalog'!$A:$A,MATCH($B1550,'Catalog'!$B:$B,0)),IFERROR(INDEX('Catalog'!$A:$A,MATCH(TRIM(SUBSTITUTE($B1550,CHAR(160)," ")),'Catalog'!$C:$C,0)),""))))</f>
        <v>4408263</v>
      </c>
      <c r="H1550" s="7" t="str">
        <f aca="false">IFERROR(INDEX('TRANS'!$C:$C,MATCH($B1550,'TRANS'!$A:$A,0)),IFERROR(INDEX('Catalog'!$B:$B,MATCH($G1550,'Catalog'!$A:$A,0)),$B1550))</f>
        <v>11STO XXL חגורה אחרי ניתוח</v>
      </c>
      <c r="I1550" s="7" t="str">
        <f aca="false">IF($G1550="","Unmatched","Matched")</f>
        <v>Matched</v>
      </c>
      <c r="J1550" s="7" t="n">
        <f aca="false">IF($G1550&lt;&gt;"",$G1550,$B1550)</f>
        <v>4408263</v>
      </c>
      <c r="K1550" s="7" t="str">
        <f aca="false">IF(COUNTIF($O$2:$O$16,$A1550)&gt;0,"Y","N")</f>
        <v>Y</v>
      </c>
    </row>
    <row r="1551" customFormat="false" ht="15" hidden="false" customHeight="false" outlineLevel="0" collapsed="false">
      <c r="A1551" s="7" t="s">
        <v>44</v>
      </c>
      <c r="B1551" s="7" t="s">
        <v>666</v>
      </c>
      <c r="C1551" s="8" t="n">
        <v>1215</v>
      </c>
      <c r="D1551" s="8" t="n">
        <v>97417.62</v>
      </c>
      <c r="E1551" s="8" t="n">
        <v>915</v>
      </c>
      <c r="F1551" s="8" t="n">
        <v>73196.96</v>
      </c>
      <c r="G1551" s="7" t="n">
        <f aca="false">IFERROR(INDEX('TRANS'!$B:$B,MATCH($B1551,'TRANS'!$A:$A,0)),IFERROR(INDEX('TRANS'!$B:$B,MATCH(TRIM(SUBSTITUTE($B1551,CHAR(160)," ")),'TRANS'!$D:$D,0)),IFERROR(INDEX('Catalog'!$A:$A,MATCH($B1551,'Catalog'!$B:$B,0)),IFERROR(INDEX('Catalog'!$A:$A,MATCH(TRIM(SUBSTITUTE($B1551,CHAR(160)," ")),'Catalog'!$C:$C,0)),""))))</f>
        <v>4408203</v>
      </c>
      <c r="H1551" s="7" t="str">
        <f aca="false">IFERROR(INDEX('TRANS'!$C:$C,MATCH($B1551,'TRANS'!$A:$A,0)),IFERROR(INDEX('Catalog'!$B:$B,MATCH($G1551,'Catalog'!$A:$A,0)),$B1551))</f>
        <v>14 0 חגורה למנותחי בית חזה</v>
      </c>
      <c r="I1551" s="7" t="str">
        <f aca="false">IF($G1551="","Unmatched","Matched")</f>
        <v>Matched</v>
      </c>
      <c r="J1551" s="7" t="n">
        <f aca="false">IF($G1551&lt;&gt;"",$G1551,$B1551)</f>
        <v>4408203</v>
      </c>
      <c r="K1551" s="7" t="str">
        <f aca="false">IF(COUNTIF($O$2:$O$16,$A1551)&gt;0,"Y","N")</f>
        <v>Y</v>
      </c>
    </row>
    <row r="1552" customFormat="false" ht="15" hidden="false" customHeight="false" outlineLevel="0" collapsed="false">
      <c r="A1552" s="7" t="s">
        <v>44</v>
      </c>
      <c r="B1552" s="7" t="s">
        <v>291</v>
      </c>
      <c r="C1552" s="8" t="n">
        <v>150</v>
      </c>
      <c r="D1552" s="8" t="n">
        <v>2408.67</v>
      </c>
      <c r="E1552" s="8" t="n">
        <v>115</v>
      </c>
      <c r="F1552" s="8" t="n">
        <v>1865.16</v>
      </c>
      <c r="G1552" s="7" t="n">
        <f aca="false">IFERROR(INDEX('TRANS'!$B:$B,MATCH($B1552,'TRANS'!$A:$A,0)),IFERROR(INDEX('TRANS'!$B:$B,MATCH(TRIM(SUBSTITUTE($B1552,CHAR(160)," ")),'TRANS'!$D:$D,0)),IFERROR(INDEX('Catalog'!$A:$A,MATCH($B1552,'Catalog'!$B:$B,0)),IFERROR(INDEX('Catalog'!$A:$A,MATCH(TRIM(SUBSTITUTE($B1552,CHAR(160)," ")),'Catalog'!$C:$C,0)),""))))</f>
        <v>4408052</v>
      </c>
      <c r="H1552" s="7" t="str">
        <f aca="false">IFERROR(INDEX('TRANS'!$C:$C,MATCH($B1552,'TRANS'!$A:$A,0)),IFERROR(INDEX('Catalog'!$B:$B,MATCH($G1552,'Catalog'!$A:$A,0)),$B1552))</f>
        <v>21 L  חבק יד ארוך</v>
      </c>
      <c r="I1552" s="7" t="str">
        <f aca="false">IF($G1552="","Unmatched","Matched")</f>
        <v>Matched</v>
      </c>
      <c r="J1552" s="7" t="n">
        <f aca="false">IF($G1552&lt;&gt;"",$G1552,$B1552)</f>
        <v>4408052</v>
      </c>
      <c r="K1552" s="7" t="str">
        <f aca="false">IF(COUNTIF($O$2:$O$16,$A1552)&gt;0,"Y","N")</f>
        <v>Y</v>
      </c>
    </row>
    <row r="1553" customFormat="false" ht="15" hidden="false" customHeight="false" outlineLevel="0" collapsed="false">
      <c r="A1553" s="7" t="s">
        <v>44</v>
      </c>
      <c r="B1553" s="7" t="s">
        <v>292</v>
      </c>
      <c r="C1553" s="8" t="n">
        <v>150</v>
      </c>
      <c r="D1553" s="8" t="n">
        <v>2420.36</v>
      </c>
      <c r="E1553" s="8" t="n">
        <v>124</v>
      </c>
      <c r="F1553" s="8" t="n">
        <v>2023.08</v>
      </c>
      <c r="G1553" s="7" t="n">
        <f aca="false">IFERROR(INDEX('TRANS'!$B:$B,MATCH($B1553,'TRANS'!$A:$A,0)),IFERROR(INDEX('TRANS'!$B:$B,MATCH(TRIM(SUBSTITUTE($B1553,CHAR(160)," ")),'TRANS'!$D:$D,0)),IFERROR(INDEX('Catalog'!$A:$A,MATCH($B1553,'Catalog'!$B:$B,0)),IFERROR(INDEX('Catalog'!$A:$A,MATCH(TRIM(SUBSTITUTE($B1553,CHAR(160)," ")),'Catalog'!$C:$C,0)),""))))</f>
        <v>4408053</v>
      </c>
      <c r="H1553" s="7" t="str">
        <f aca="false">IFERROR(INDEX('TRANS'!$C:$C,MATCH($B1553,'TRANS'!$A:$A,0)),IFERROR(INDEX('Catalog'!$B:$B,MATCH($G1553,'Catalog'!$A:$A,0)),$B1553))</f>
        <v>21 M  חבק יד ארוך</v>
      </c>
      <c r="I1553" s="7" t="str">
        <f aca="false">IF($G1553="","Unmatched","Matched")</f>
        <v>Matched</v>
      </c>
      <c r="J1553" s="7" t="n">
        <f aca="false">IF($G1553&lt;&gt;"",$G1553,$B1553)</f>
        <v>4408053</v>
      </c>
      <c r="K1553" s="7" t="str">
        <f aca="false">IF(COUNTIF($O$2:$O$16,$A1553)&gt;0,"Y","N")</f>
        <v>Y</v>
      </c>
    </row>
    <row r="1554" customFormat="false" ht="15" hidden="false" customHeight="false" outlineLevel="0" collapsed="false">
      <c r="A1554" s="7" t="s">
        <v>44</v>
      </c>
      <c r="B1554" s="7" t="s">
        <v>293</v>
      </c>
      <c r="C1554" s="8" t="n">
        <v>83</v>
      </c>
      <c r="D1554" s="8" t="n">
        <v>1334.38</v>
      </c>
      <c r="E1554" s="8" t="n">
        <v>34</v>
      </c>
      <c r="F1554" s="8" t="n">
        <v>555.62</v>
      </c>
      <c r="G1554" s="7" t="n">
        <f aca="false">IFERROR(INDEX('TRANS'!$B:$B,MATCH($B1554,'TRANS'!$A:$A,0)),IFERROR(INDEX('TRANS'!$B:$B,MATCH(TRIM(SUBSTITUTE($B1554,CHAR(160)," ")),'TRANS'!$D:$D,0)),IFERROR(INDEX('Catalog'!$A:$A,MATCH($B1554,'Catalog'!$B:$B,0)),IFERROR(INDEX('Catalog'!$A:$A,MATCH(TRIM(SUBSTITUTE($B1554,CHAR(160)," ")),'Catalog'!$C:$C,0)),""))))</f>
        <v>4408051</v>
      </c>
      <c r="H1554" s="7" t="str">
        <f aca="false">IFERROR(INDEX('TRANS'!$C:$C,MATCH($B1554,'TRANS'!$A:$A,0)),IFERROR(INDEX('Catalog'!$B:$B,MATCH($G1554,'Catalog'!$A:$A,0)),$B1554))</f>
        <v>21 S  חבק יד ארוך</v>
      </c>
      <c r="I1554" s="7" t="str">
        <f aca="false">IF($G1554="","Unmatched","Matched")</f>
        <v>Matched</v>
      </c>
      <c r="J1554" s="7" t="n">
        <f aca="false">IF($G1554&lt;&gt;"",$G1554,$B1554)</f>
        <v>4408051</v>
      </c>
      <c r="K1554" s="7" t="str">
        <f aca="false">IF(COUNTIF($O$2:$O$16,$A1554)&gt;0,"Y","N")</f>
        <v>Y</v>
      </c>
    </row>
    <row r="1555" customFormat="false" ht="15" hidden="false" customHeight="false" outlineLevel="0" collapsed="false">
      <c r="A1555" s="7" t="s">
        <v>44</v>
      </c>
      <c r="B1555" s="7" t="s">
        <v>420</v>
      </c>
      <c r="C1555" s="8" t="n">
        <v>95</v>
      </c>
      <c r="D1555" s="8" t="n">
        <v>1530.29</v>
      </c>
      <c r="E1555" s="8" t="n">
        <v>45</v>
      </c>
      <c r="F1555" s="8" t="n">
        <v>730.21</v>
      </c>
      <c r="G1555" s="7" t="n">
        <f aca="false">IFERROR(INDEX('TRANS'!$B:$B,MATCH($B1555,'TRANS'!$A:$A,0)),IFERROR(INDEX('TRANS'!$B:$B,MATCH(TRIM(SUBSTITUTE($B1555,CHAR(160)," ")),'TRANS'!$D:$D,0)),IFERROR(INDEX('Catalog'!$A:$A,MATCH($B1555,'Catalog'!$B:$B,0)),IFERROR(INDEX('Catalog'!$A:$A,MATCH(TRIM(SUBSTITUTE($B1555,CHAR(160)," ")),'Catalog'!$C:$C,0)),""))))</f>
        <v>4408054</v>
      </c>
      <c r="H1555" s="7" t="str">
        <f aca="false">IFERROR(INDEX('TRANS'!$C:$C,MATCH($B1555,'TRANS'!$A:$A,0)),IFERROR(INDEX('Catalog'!$B:$B,MATCH($G1555,'Catalog'!$A:$A,0)),$B1555))</f>
        <v>21 XL חבק יד ארוך</v>
      </c>
      <c r="I1555" s="7" t="str">
        <f aca="false">IF($G1555="","Unmatched","Matched")</f>
        <v>Matched</v>
      </c>
      <c r="J1555" s="7" t="n">
        <f aca="false">IF($G1555&lt;&gt;"",$G1555,$B1555)</f>
        <v>4408054</v>
      </c>
      <c r="K1555" s="7" t="str">
        <f aca="false">IF(COUNTIF($O$2:$O$16,$A1555)&gt;0,"Y","N")</f>
        <v>Y</v>
      </c>
    </row>
    <row r="1556" customFormat="false" ht="15" hidden="false" customHeight="false" outlineLevel="0" collapsed="false">
      <c r="A1556" s="7" t="s">
        <v>44</v>
      </c>
      <c r="B1556" s="7" t="s">
        <v>421</v>
      </c>
      <c r="C1556" s="8" t="n">
        <v>0</v>
      </c>
      <c r="D1556" s="8" t="n">
        <v>0</v>
      </c>
      <c r="E1556" s="8" t="n">
        <v>20</v>
      </c>
      <c r="F1556" s="8" t="n">
        <v>873.03</v>
      </c>
      <c r="G1556" s="7" t="n">
        <f aca="false">IFERROR(INDEX('TRANS'!$B:$B,MATCH($B1556,'TRANS'!$A:$A,0)),IFERROR(INDEX('TRANS'!$B:$B,MATCH(TRIM(SUBSTITUTE($B1556,CHAR(160)," ")),'TRANS'!$D:$D,0)),IFERROR(INDEX('Catalog'!$A:$A,MATCH($B1556,'Catalog'!$B:$B,0)),IFERROR(INDEX('Catalog'!$A:$A,MATCH(TRIM(SUBSTITUTE($B1556,CHAR(160)," ")),'Catalog'!$C:$C,0)),""))))</f>
        <v>4411026</v>
      </c>
      <c r="H1556" s="7" t="str">
        <f aca="false">IFERROR(INDEX('TRANS'!$C:$C,MATCH($B1556,'TRANS'!$A:$A,0)),IFERROR(INDEX('Catalog'!$B:$B,MATCH($G1556,'Catalog'!$A:$A,0)),$B1556))</f>
        <v>213CTSL L שמאל CTS כפפות</v>
      </c>
      <c r="I1556" s="7" t="str">
        <f aca="false">IF($G1556="","Unmatched","Matched")</f>
        <v>Matched</v>
      </c>
      <c r="J1556" s="7" t="n">
        <f aca="false">IF($G1556&lt;&gt;"",$G1556,$B1556)</f>
        <v>4411026</v>
      </c>
      <c r="K1556" s="7" t="str">
        <f aca="false">IF(COUNTIF($O$2:$O$16,$A1556)&gt;0,"Y","N")</f>
        <v>Y</v>
      </c>
    </row>
    <row r="1557" customFormat="false" ht="15" hidden="false" customHeight="false" outlineLevel="0" collapsed="false">
      <c r="A1557" s="7" t="s">
        <v>44</v>
      </c>
      <c r="B1557" s="7" t="s">
        <v>422</v>
      </c>
      <c r="C1557" s="8" t="n">
        <v>0</v>
      </c>
      <c r="D1557" s="8" t="n">
        <v>0</v>
      </c>
      <c r="E1557" s="8" t="n">
        <v>44</v>
      </c>
      <c r="F1557" s="8" t="n">
        <v>1909.32</v>
      </c>
      <c r="G1557" s="7" t="n">
        <f aca="false">IFERROR(INDEX('TRANS'!$B:$B,MATCH($B1557,'TRANS'!$A:$A,0)),IFERROR(INDEX('TRANS'!$B:$B,MATCH(TRIM(SUBSTITUTE($B1557,CHAR(160)," ")),'TRANS'!$D:$D,0)),IFERROR(INDEX('Catalog'!$A:$A,MATCH($B1557,'Catalog'!$B:$B,0)),IFERROR(INDEX('Catalog'!$A:$A,MATCH(TRIM(SUBSTITUTE($B1557,CHAR(160)," ")),'Catalog'!$C:$C,0)),""))))</f>
        <v>4411027</v>
      </c>
      <c r="H1557" s="7" t="str">
        <f aca="false">IFERROR(INDEX('TRANS'!$C:$C,MATCH($B1557,'TRANS'!$A:$A,0)),IFERROR(INDEX('Catalog'!$B:$B,MATCH($G1557,'Catalog'!$A:$A,0)),$B1557))</f>
        <v>213CTSL M שמאל CTS כפפות</v>
      </c>
      <c r="I1557" s="7" t="str">
        <f aca="false">IF($G1557="","Unmatched","Matched")</f>
        <v>Matched</v>
      </c>
      <c r="J1557" s="7" t="n">
        <f aca="false">IF($G1557&lt;&gt;"",$G1557,$B1557)</f>
        <v>4411027</v>
      </c>
      <c r="K1557" s="7" t="str">
        <f aca="false">IF(COUNTIF($O$2:$O$16,$A1557)&gt;0,"Y","N")</f>
        <v>Y</v>
      </c>
    </row>
    <row r="1558" customFormat="false" ht="15" hidden="false" customHeight="false" outlineLevel="0" collapsed="false">
      <c r="A1558" s="7" t="s">
        <v>44</v>
      </c>
      <c r="B1558" s="7" t="s">
        <v>423</v>
      </c>
      <c r="C1558" s="8" t="n">
        <v>0</v>
      </c>
      <c r="D1558" s="8" t="n">
        <v>0</v>
      </c>
      <c r="E1558" s="8" t="n">
        <v>27</v>
      </c>
      <c r="F1558" s="8" t="n">
        <v>1171.62</v>
      </c>
      <c r="G1558" s="7" t="n">
        <f aca="false">IFERROR(INDEX('TRANS'!$B:$B,MATCH($B1558,'TRANS'!$A:$A,0)),IFERROR(INDEX('TRANS'!$B:$B,MATCH(TRIM(SUBSTITUTE($B1558,CHAR(160)," ")),'TRANS'!$D:$D,0)),IFERROR(INDEX('Catalog'!$A:$A,MATCH($B1558,'Catalog'!$B:$B,0)),IFERROR(INDEX('Catalog'!$A:$A,MATCH(TRIM(SUBSTITUTE($B1558,CHAR(160)," ")),'Catalog'!$C:$C,0)),""))))</f>
        <v>4411028</v>
      </c>
      <c r="H1558" s="7" t="str">
        <f aca="false">IFERROR(INDEX('TRANS'!$C:$C,MATCH($B1558,'TRANS'!$A:$A,0)),IFERROR(INDEX('Catalog'!$B:$B,MATCH($G1558,'Catalog'!$A:$A,0)),$B1558))</f>
        <v>213CTSL S שמאל CTS כפפות</v>
      </c>
      <c r="I1558" s="7" t="str">
        <f aca="false">IF($G1558="","Unmatched","Matched")</f>
        <v>Matched</v>
      </c>
      <c r="J1558" s="7" t="n">
        <f aca="false">IF($G1558&lt;&gt;"",$G1558,$B1558)</f>
        <v>4411028</v>
      </c>
      <c r="K1558" s="7" t="str">
        <f aca="false">IF(COUNTIF($O$2:$O$16,$A1558)&gt;0,"Y","N")</f>
        <v>Y</v>
      </c>
    </row>
    <row r="1559" customFormat="false" ht="15" hidden="false" customHeight="false" outlineLevel="0" collapsed="false">
      <c r="A1559" s="7" t="s">
        <v>44</v>
      </c>
      <c r="B1559" s="7" t="s">
        <v>424</v>
      </c>
      <c r="C1559" s="8" t="n">
        <v>0</v>
      </c>
      <c r="D1559" s="8" t="n">
        <v>0</v>
      </c>
      <c r="E1559" s="8" t="n">
        <v>22</v>
      </c>
      <c r="F1559" s="8" t="n">
        <v>954.85</v>
      </c>
      <c r="G1559" s="7" t="n">
        <f aca="false">IFERROR(INDEX('TRANS'!$B:$B,MATCH($B1559,'TRANS'!$A:$A,0)),IFERROR(INDEX('TRANS'!$B:$B,MATCH(TRIM(SUBSTITUTE($B1559,CHAR(160)," ")),'TRANS'!$D:$D,0)),IFERROR(INDEX('Catalog'!$A:$A,MATCH($B1559,'Catalog'!$B:$B,0)),IFERROR(INDEX('Catalog'!$A:$A,MATCH(TRIM(SUBSTITUTE($B1559,CHAR(160)," ")),'Catalog'!$C:$C,0)),""))))</f>
        <v>4411029</v>
      </c>
      <c r="H1559" s="7" t="str">
        <f aca="false">IFERROR(INDEX('TRANS'!$C:$C,MATCH($B1559,'TRANS'!$A:$A,0)),IFERROR(INDEX('Catalog'!$B:$B,MATCH($G1559,'Catalog'!$A:$A,0)),$B1559))</f>
        <v>213CTSR L ימין CTS כפפות</v>
      </c>
      <c r="I1559" s="7" t="str">
        <f aca="false">IF($G1559="","Unmatched","Matched")</f>
        <v>Matched</v>
      </c>
      <c r="J1559" s="7" t="n">
        <f aca="false">IF($G1559&lt;&gt;"",$G1559,$B1559)</f>
        <v>4411029</v>
      </c>
      <c r="K1559" s="7" t="str">
        <f aca="false">IF(COUNTIF($O$2:$O$16,$A1559)&gt;0,"Y","N")</f>
        <v>Y</v>
      </c>
    </row>
    <row r="1560" customFormat="false" ht="15" hidden="false" customHeight="false" outlineLevel="0" collapsed="false">
      <c r="A1560" s="7" t="s">
        <v>44</v>
      </c>
      <c r="B1560" s="7" t="s">
        <v>425</v>
      </c>
      <c r="C1560" s="8" t="n">
        <v>1</v>
      </c>
      <c r="D1560" s="8" t="n">
        <v>0.04</v>
      </c>
      <c r="E1560" s="8" t="n">
        <v>40</v>
      </c>
      <c r="F1560" s="8" t="n">
        <v>1746.05</v>
      </c>
      <c r="G1560" s="7" t="n">
        <f aca="false">IFERROR(INDEX('TRANS'!$B:$B,MATCH($B1560,'TRANS'!$A:$A,0)),IFERROR(INDEX('TRANS'!$B:$B,MATCH(TRIM(SUBSTITUTE($B1560,CHAR(160)," ")),'TRANS'!$D:$D,0)),IFERROR(INDEX('Catalog'!$A:$A,MATCH($B1560,'Catalog'!$B:$B,0)),IFERROR(INDEX('Catalog'!$A:$A,MATCH(TRIM(SUBSTITUTE($B1560,CHAR(160)," ")),'Catalog'!$C:$C,0)),""))))</f>
        <v>4411030</v>
      </c>
      <c r="H1560" s="7" t="str">
        <f aca="false">IFERROR(INDEX('TRANS'!$C:$C,MATCH($B1560,'TRANS'!$A:$A,0)),IFERROR(INDEX('Catalog'!$B:$B,MATCH($G1560,'Catalog'!$A:$A,0)),$B1560))</f>
        <v>213CTSR M ימין CTS כפפות</v>
      </c>
      <c r="I1560" s="7" t="str">
        <f aca="false">IF($G1560="","Unmatched","Matched")</f>
        <v>Matched</v>
      </c>
      <c r="J1560" s="7" t="n">
        <f aca="false">IF($G1560&lt;&gt;"",$G1560,$B1560)</f>
        <v>4411030</v>
      </c>
      <c r="K1560" s="7" t="str">
        <f aca="false">IF(COUNTIF($O$2:$O$16,$A1560)&gt;0,"Y","N")</f>
        <v>Y</v>
      </c>
    </row>
    <row r="1561" customFormat="false" ht="15" hidden="false" customHeight="false" outlineLevel="0" collapsed="false">
      <c r="A1561" s="7" t="s">
        <v>44</v>
      </c>
      <c r="B1561" s="7" t="s">
        <v>426</v>
      </c>
      <c r="C1561" s="8" t="n">
        <v>0</v>
      </c>
      <c r="D1561" s="8" t="n">
        <v>0</v>
      </c>
      <c r="E1561" s="8" t="n">
        <v>25</v>
      </c>
      <c r="F1561" s="8" t="n">
        <v>1091.28</v>
      </c>
      <c r="G1561" s="7" t="n">
        <f aca="false">IFERROR(INDEX('TRANS'!$B:$B,MATCH($B1561,'TRANS'!$A:$A,0)),IFERROR(INDEX('TRANS'!$B:$B,MATCH(TRIM(SUBSTITUTE($B1561,CHAR(160)," ")),'TRANS'!$D:$D,0)),IFERROR(INDEX('Catalog'!$A:$A,MATCH($B1561,'Catalog'!$B:$B,0)),IFERROR(INDEX('Catalog'!$A:$A,MATCH(TRIM(SUBSTITUTE($B1561,CHAR(160)," ")),'Catalog'!$C:$C,0)),""))))</f>
        <v>4411031</v>
      </c>
      <c r="H1561" s="7" t="str">
        <f aca="false">IFERROR(INDEX('TRANS'!$C:$C,MATCH($B1561,'TRANS'!$A:$A,0)),IFERROR(INDEX('Catalog'!$B:$B,MATCH($G1561,'Catalog'!$A:$A,0)),$B1561))</f>
        <v>213CTS  S ימין CTS כפפות</v>
      </c>
      <c r="I1561" s="7" t="str">
        <f aca="false">IF($G1561="","Unmatched","Matched")</f>
        <v>Matched</v>
      </c>
      <c r="J1561" s="7" t="n">
        <f aca="false">IF($G1561&lt;&gt;"",$G1561,$B1561)</f>
        <v>4411031</v>
      </c>
      <c r="K1561" s="7" t="str">
        <f aca="false">IF(COUNTIF($O$2:$O$16,$A1561)&gt;0,"Y","N")</f>
        <v>Y</v>
      </c>
    </row>
    <row r="1562" customFormat="false" ht="15" hidden="false" customHeight="false" outlineLevel="0" collapsed="false">
      <c r="A1562" s="7" t="s">
        <v>44</v>
      </c>
      <c r="B1562" s="7" t="s">
        <v>427</v>
      </c>
      <c r="C1562" s="8" t="n">
        <v>111</v>
      </c>
      <c r="D1562" s="8" t="n">
        <v>1511.29</v>
      </c>
      <c r="E1562" s="8" t="n">
        <v>120</v>
      </c>
      <c r="F1562" s="8" t="n">
        <v>1638.91</v>
      </c>
      <c r="G1562" s="7" t="n">
        <f aca="false">IFERROR(INDEX('TRANS'!$B:$B,MATCH($B1562,'TRANS'!$A:$A,0)),IFERROR(INDEX('TRANS'!$B:$B,MATCH(TRIM(SUBSTITUTE($B1562,CHAR(160)," ")),'TRANS'!$D:$D,0)),IFERROR(INDEX('Catalog'!$A:$A,MATCH($B1562,'Catalog'!$B:$B,0)),IFERROR(INDEX('Catalog'!$A:$A,MATCH(TRIM(SUBSTITUTE($B1562,CHAR(160)," ")),'Catalog'!$C:$C,0)),""))))</f>
        <v>4415029</v>
      </c>
      <c r="H1562" s="7" t="str">
        <f aca="false">IFERROR(INDEX('TRANS'!$C:$C,MATCH($B1562,'TRANS'!$A:$A,0)),IFERROR(INDEX('Catalog'!$B:$B,MATCH($G1562,'Catalog'!$A:$A,0)),$B1562))</f>
        <v>סד קיבוע לאצבע הדק</v>
      </c>
      <c r="I1562" s="7" t="str">
        <f aca="false">IF($G1562="","Unmatched","Matched")</f>
        <v>Matched</v>
      </c>
      <c r="J1562" s="7" t="n">
        <f aca="false">IF($G1562&lt;&gt;"",$G1562,$B1562)</f>
        <v>4415029</v>
      </c>
      <c r="K1562" s="7" t="str">
        <f aca="false">IF(COUNTIF($O$2:$O$16,$A1562)&gt;0,"Y","N")</f>
        <v>Y</v>
      </c>
    </row>
    <row r="1563" customFormat="false" ht="15" hidden="false" customHeight="false" outlineLevel="0" collapsed="false">
      <c r="A1563" s="7" t="s">
        <v>44</v>
      </c>
      <c r="B1563" s="7" t="s">
        <v>428</v>
      </c>
      <c r="C1563" s="8" t="n">
        <v>320</v>
      </c>
      <c r="D1563" s="8" t="n">
        <v>2685.05</v>
      </c>
      <c r="E1563" s="8" t="n">
        <v>285</v>
      </c>
      <c r="F1563" s="8" t="n">
        <v>2402.49</v>
      </c>
      <c r="G1563" s="7" t="n">
        <f aca="false">IFERROR(INDEX('TRANS'!$B:$B,MATCH($B1563,'TRANS'!$A:$A,0)),IFERROR(INDEX('TRANS'!$B:$B,MATCH(TRIM(SUBSTITUTE($B1563,CHAR(160)," ")),'TRANS'!$D:$D,0)),IFERROR(INDEX('Catalog'!$A:$A,MATCH($B1563,'Catalog'!$B:$B,0)),IFERROR(INDEX('Catalog'!$A:$A,MATCH(TRIM(SUBSTITUTE($B1563,CHAR(160)," ")),'Catalog'!$C:$C,0)),""))))</f>
        <v>4415162</v>
      </c>
      <c r="H1563" s="7" t="str">
        <f aca="false">IFERROR(INDEX('TRANS'!$C:$C,MATCH($B1563,'TRANS'!$A:$A,0)),IFERROR(INDEX('Catalog'!$B:$B,MATCH($G1563,'Catalog'!$A:$A,0)),$B1563))</f>
        <v>238L סד ליישור אצבע</v>
      </c>
      <c r="I1563" s="7" t="str">
        <f aca="false">IF($G1563="","Unmatched","Matched")</f>
        <v>Matched</v>
      </c>
      <c r="J1563" s="7" t="n">
        <f aca="false">IF($G1563&lt;&gt;"",$G1563,$B1563)</f>
        <v>4415162</v>
      </c>
      <c r="K1563" s="7" t="str">
        <f aca="false">IF(COUNTIF($O$2:$O$16,$A1563)&gt;0,"Y","N")</f>
        <v>Y</v>
      </c>
    </row>
    <row r="1564" customFormat="false" ht="15" hidden="false" customHeight="false" outlineLevel="0" collapsed="false">
      <c r="A1564" s="7" t="s">
        <v>44</v>
      </c>
      <c r="B1564" s="7" t="s">
        <v>429</v>
      </c>
      <c r="C1564" s="8" t="n">
        <v>277</v>
      </c>
      <c r="D1564" s="8" t="n">
        <v>2322.18</v>
      </c>
      <c r="E1564" s="8" t="n">
        <v>260</v>
      </c>
      <c r="F1564" s="8" t="n">
        <v>2193.63</v>
      </c>
      <c r="G1564" s="7" t="n">
        <f aca="false">IFERROR(INDEX('TRANS'!$B:$B,MATCH($B1564,'TRANS'!$A:$A,0)),IFERROR(INDEX('TRANS'!$B:$B,MATCH(TRIM(SUBSTITUTE($B1564,CHAR(160)," ")),'TRANS'!$D:$D,0)),IFERROR(INDEX('Catalog'!$A:$A,MATCH($B1564,'Catalog'!$B:$B,0)),IFERROR(INDEX('Catalog'!$A:$A,MATCH(TRIM(SUBSTITUTE($B1564,CHAR(160)," ")),'Catalog'!$C:$C,0)),""))))</f>
        <v>4415161</v>
      </c>
      <c r="H1564" s="7" t="str">
        <f aca="false">IFERROR(INDEX('TRANS'!$C:$C,MATCH($B1564,'TRANS'!$A:$A,0)),IFERROR(INDEX('Catalog'!$B:$B,MATCH($G1564,'Catalog'!$A:$A,0)),$B1564))</f>
        <v>238M סד ליישור אצבע</v>
      </c>
      <c r="I1564" s="7" t="str">
        <f aca="false">IF($G1564="","Unmatched","Matched")</f>
        <v>Matched</v>
      </c>
      <c r="J1564" s="7" t="n">
        <f aca="false">IF($G1564&lt;&gt;"",$G1564,$B1564)</f>
        <v>4415161</v>
      </c>
      <c r="K1564" s="7" t="str">
        <f aca="false">IF(COUNTIF($O$2:$O$16,$A1564)&gt;0,"Y","N")</f>
        <v>Y</v>
      </c>
    </row>
    <row r="1565" customFormat="false" ht="15" hidden="false" customHeight="false" outlineLevel="0" collapsed="false">
      <c r="A1565" s="7" t="s">
        <v>44</v>
      </c>
      <c r="B1565" s="7" t="s">
        <v>430</v>
      </c>
      <c r="C1565" s="8" t="n">
        <v>200</v>
      </c>
      <c r="D1565" s="8" t="n">
        <v>1676.51</v>
      </c>
      <c r="E1565" s="8" t="n">
        <v>205</v>
      </c>
      <c r="F1565" s="8" t="n">
        <v>1720.27</v>
      </c>
      <c r="G1565" s="7" t="n">
        <f aca="false">IFERROR(INDEX('TRANS'!$B:$B,MATCH($B1565,'TRANS'!$A:$A,0)),IFERROR(INDEX('TRANS'!$B:$B,MATCH(TRIM(SUBSTITUTE($B1565,CHAR(160)," ")),'TRANS'!$D:$D,0)),IFERROR(INDEX('Catalog'!$A:$A,MATCH($B1565,'Catalog'!$B:$B,0)),IFERROR(INDEX('Catalog'!$A:$A,MATCH(TRIM(SUBSTITUTE($B1565,CHAR(160)," ")),'Catalog'!$C:$C,0)),""))))</f>
        <v>4415160</v>
      </c>
      <c r="H1565" s="7" t="str">
        <f aca="false">IFERROR(INDEX('TRANS'!$C:$C,MATCH($B1565,'TRANS'!$A:$A,0)),IFERROR(INDEX('Catalog'!$B:$B,MATCH($G1565,'Catalog'!$A:$A,0)),$B1565))</f>
        <v>238S סד ליישור אצבע</v>
      </c>
      <c r="I1565" s="7" t="str">
        <f aca="false">IF($G1565="","Unmatched","Matched")</f>
        <v>Matched</v>
      </c>
      <c r="J1565" s="7" t="n">
        <f aca="false">IF($G1565&lt;&gt;"",$G1565,$B1565)</f>
        <v>4415160</v>
      </c>
      <c r="K1565" s="7" t="str">
        <f aca="false">IF(COUNTIF($O$2:$O$16,$A1565)&gt;0,"Y","N")</f>
        <v>Y</v>
      </c>
    </row>
    <row r="1566" customFormat="false" ht="15" hidden="false" customHeight="false" outlineLevel="0" collapsed="false">
      <c r="A1566" s="7" t="s">
        <v>44</v>
      </c>
      <c r="B1566" s="7" t="s">
        <v>431</v>
      </c>
      <c r="C1566" s="8" t="n">
        <v>177</v>
      </c>
      <c r="D1566" s="8" t="n">
        <v>1496.47</v>
      </c>
      <c r="E1566" s="8" t="n">
        <v>180</v>
      </c>
      <c r="F1566" s="8" t="n">
        <v>1520.43</v>
      </c>
      <c r="G1566" s="7" t="n">
        <f aca="false">IFERROR(INDEX('TRANS'!$B:$B,MATCH($B1566,'TRANS'!$A:$A,0)),IFERROR(INDEX('TRANS'!$B:$B,MATCH(TRIM(SUBSTITUTE($B1566,CHAR(160)," ")),'TRANS'!$D:$D,0)),IFERROR(INDEX('Catalog'!$A:$A,MATCH($B1566,'Catalog'!$B:$B,0)),IFERROR(INDEX('Catalog'!$A:$A,MATCH(TRIM(SUBSTITUTE($B1566,CHAR(160)," ")),'Catalog'!$C:$C,0)),""))))</f>
        <v>4415163</v>
      </c>
      <c r="H1566" s="7" t="str">
        <f aca="false">IFERROR(INDEX('TRANS'!$C:$C,MATCH($B1566,'TRANS'!$A:$A,0)),IFERROR(INDEX('Catalog'!$B:$B,MATCH($G1566,'Catalog'!$A:$A,0)),$B1566))</f>
        <v>238XL סד ליישור אצבע</v>
      </c>
      <c r="I1566" s="7" t="str">
        <f aca="false">IF($G1566="","Unmatched","Matched")</f>
        <v>Matched</v>
      </c>
      <c r="J1566" s="7" t="n">
        <f aca="false">IF($G1566&lt;&gt;"",$G1566,$B1566)</f>
        <v>4415163</v>
      </c>
      <c r="K1566" s="7" t="str">
        <f aca="false">IF(COUNTIF($O$2:$O$16,$A1566)&gt;0,"Y","N")</f>
        <v>Y</v>
      </c>
    </row>
    <row r="1567" customFormat="false" ht="15" hidden="false" customHeight="false" outlineLevel="0" collapsed="false">
      <c r="A1567" s="7" t="s">
        <v>44</v>
      </c>
      <c r="B1567" s="7" t="s">
        <v>599</v>
      </c>
      <c r="C1567" s="8" t="n">
        <v>0</v>
      </c>
      <c r="D1567" s="8" t="n">
        <v>0</v>
      </c>
      <c r="E1567" s="8" t="n">
        <v>2</v>
      </c>
      <c r="F1567" s="8" t="n">
        <v>104.57</v>
      </c>
      <c r="G1567" s="7" t="n">
        <f aca="false">IFERROR(INDEX('TRANS'!$B:$B,MATCH($B1567,'TRANS'!$A:$A,0)),IFERROR(INDEX('TRANS'!$B:$B,MATCH(TRIM(SUBSTITUTE($B1567,CHAR(160)," ")),'TRANS'!$D:$D,0)),IFERROR(INDEX('Catalog'!$A:$A,MATCH($B1567,'Catalog'!$B:$B,0)),IFERROR(INDEX('Catalog'!$A:$A,MATCH(TRIM(SUBSTITUTE($B1567,CHAR(160)," ")),'Catalog'!$C:$C,0)),""))))</f>
        <v>4419013</v>
      </c>
      <c r="H1567" s="7" t="str">
        <f aca="false">IFERROR(INDEX('TRANS'!$C:$C,MATCH($B1567,'TRANS'!$A:$A,0)),IFERROR(INDEX('Catalog'!$B:$B,MATCH($G1567,'Catalog'!$A:$A,0)),$B1567))</f>
        <v>239B L-XL STRAP4U</v>
      </c>
      <c r="I1567" s="7" t="str">
        <f aca="false">IF($G1567="","Unmatched","Matched")</f>
        <v>Matched</v>
      </c>
      <c r="J1567" s="7" t="n">
        <f aca="false">IF($G1567&lt;&gt;"",$G1567,$B1567)</f>
        <v>4419013</v>
      </c>
      <c r="K1567" s="7" t="str">
        <f aca="false">IF(COUNTIF($O$2:$O$16,$A1567)&gt;0,"Y","N")</f>
        <v>Y</v>
      </c>
    </row>
    <row r="1568" customFormat="false" ht="15" hidden="false" customHeight="false" outlineLevel="0" collapsed="false">
      <c r="A1568" s="7" t="s">
        <v>44</v>
      </c>
      <c r="B1568" s="7" t="s">
        <v>600</v>
      </c>
      <c r="C1568" s="8" t="n">
        <v>27</v>
      </c>
      <c r="D1568" s="8" t="n">
        <v>413.35</v>
      </c>
      <c r="E1568" s="8" t="n">
        <v>5</v>
      </c>
      <c r="F1568" s="8" t="n">
        <v>70.5</v>
      </c>
      <c r="G1568" s="7" t="n">
        <f aca="false">IFERROR(INDEX('TRANS'!$B:$B,MATCH($B1568,'TRANS'!$A:$A,0)),IFERROR(INDEX('TRANS'!$B:$B,MATCH(TRIM(SUBSTITUTE($B1568,CHAR(160)," ")),'TRANS'!$D:$D,0)),IFERROR(INDEX('Catalog'!$A:$A,MATCH($B1568,'Catalog'!$B:$B,0)),IFERROR(INDEX('Catalog'!$A:$A,MATCH(TRIM(SUBSTITUTE($B1568,CHAR(160)," ")),'Catalog'!$C:$C,0)),""))))</f>
        <v>4419011</v>
      </c>
      <c r="H1568" s="7" t="str">
        <f aca="false">IFERROR(INDEX('TRANS'!$C:$C,MATCH($B1568,'TRANS'!$A:$A,0)),IFERROR(INDEX('Catalog'!$B:$B,MATCH($G1568,'Catalog'!$A:$A,0)),$B1568))</f>
        <v>239B S-M STRAP4U</v>
      </c>
      <c r="I1568" s="7" t="str">
        <f aca="false">IF($G1568="","Unmatched","Matched")</f>
        <v>Matched</v>
      </c>
      <c r="J1568" s="7" t="n">
        <f aca="false">IF($G1568&lt;&gt;"",$G1568,$B1568)</f>
        <v>4419011</v>
      </c>
      <c r="K1568" s="7" t="str">
        <f aca="false">IF(COUNTIF($O$2:$O$16,$A1568)&gt;0,"Y","N")</f>
        <v>Y</v>
      </c>
    </row>
    <row r="1569" customFormat="false" ht="15" hidden="false" customHeight="false" outlineLevel="0" collapsed="false">
      <c r="A1569" s="7" t="s">
        <v>44</v>
      </c>
      <c r="B1569" s="7" t="s">
        <v>94</v>
      </c>
      <c r="C1569" s="8" t="n">
        <v>0</v>
      </c>
      <c r="D1569" s="8" t="n">
        <v>0</v>
      </c>
      <c r="E1569" s="8" t="n">
        <v>1</v>
      </c>
      <c r="F1569" s="8" t="n">
        <v>0.03</v>
      </c>
      <c r="G1569" s="7" t="str">
        <f aca="false">IFERROR(INDEX('TRANS'!$B:$B,MATCH($B1569,'TRANS'!$A:$A,0)),IFERROR(INDEX('TRANS'!$B:$B,MATCH(TRIM(SUBSTITUTE($B1569,CHAR(160)," ")),'TRANS'!$D:$D,0)),IFERROR(INDEX('Catalog'!$A:$A,MATCH($B1569,'Catalog'!$B:$B,0)),IFERROR(INDEX('Catalog'!$A:$A,MATCH(TRIM(SUBSTITUTE($B1569,CHAR(160)," ")),'Catalog'!$C:$C,0)),""))))</f>
        <v/>
      </c>
      <c r="H1569" s="7" t="str">
        <f aca="false">IFERROR(INDEX('TRANS'!$C:$C,MATCH($B1569,'TRANS'!$A:$A,0)),IFERROR(INDEX('Catalog'!$B:$B,MATCH($G1569,'Catalog'!$A:$A,0)),$B1569))</f>
        <v>239P-S-M</v>
      </c>
      <c r="I1569" s="7" t="str">
        <f aca="false">IF($G1569="","Unmatched","Matched")</f>
        <v>Unmatched</v>
      </c>
      <c r="J1569" s="7" t="str">
        <f aca="false">IF($G1569&lt;&gt;"",$G1569,$B1569)</f>
        <v>239P-S-M</v>
      </c>
      <c r="K1569" s="7" t="str">
        <f aca="false">IF(COUNTIF($O$2:$O$16,$A1569)&gt;0,"Y","N")</f>
        <v>Y</v>
      </c>
    </row>
    <row r="1570" customFormat="false" ht="15" hidden="false" customHeight="false" outlineLevel="0" collapsed="false">
      <c r="A1570" s="7" t="s">
        <v>44</v>
      </c>
      <c r="B1570" s="7" t="s">
        <v>91</v>
      </c>
      <c r="C1570" s="8" t="n">
        <v>86</v>
      </c>
      <c r="D1570" s="8" t="n">
        <v>3010.82</v>
      </c>
      <c r="E1570" s="8" t="n">
        <v>54</v>
      </c>
      <c r="F1570" s="8" t="n">
        <v>1881.45</v>
      </c>
      <c r="G1570" s="7" t="str">
        <f aca="false">IFERROR(INDEX('TRANS'!$B:$B,MATCH($B1570,'TRANS'!$A:$A,0)),IFERROR(INDEX('TRANS'!$B:$B,MATCH(TRIM(SUBSTITUTE($B1570,CHAR(160)," ")),'TRANS'!$D:$D,0)),IFERROR(INDEX('Catalog'!$A:$A,MATCH($B1570,'Catalog'!$B:$B,0)),IFERROR(INDEX('Catalog'!$A:$A,MATCH(TRIM(SUBSTITUTE($B1570,CHAR(160)," ")),'Catalog'!$C:$C,0)),""))))</f>
        <v/>
      </c>
      <c r="H1570" s="7" t="str">
        <f aca="false">IFERROR(INDEX('TRANS'!$C:$C,MATCH($B1570,'TRANS'!$A:$A,0)),IFERROR(INDEX('Catalog'!$B:$B,MATCH($G1570,'Catalog'!$A:$A,0)),$B1570))</f>
        <v>305-35-36</v>
      </c>
      <c r="I1570" s="7" t="str">
        <f aca="false">IF($G1570="","Unmatched","Matched")</f>
        <v>Unmatched</v>
      </c>
      <c r="J1570" s="7" t="str">
        <f aca="false">IF($G1570&lt;&gt;"",$G1570,$B1570)</f>
        <v>305-35-36</v>
      </c>
      <c r="K1570" s="7" t="str">
        <f aca="false">IF(COUNTIF($O$2:$O$16,$A1570)&gt;0,"Y","N")</f>
        <v>Y</v>
      </c>
    </row>
    <row r="1571" customFormat="false" ht="15" hidden="false" customHeight="false" outlineLevel="0" collapsed="false">
      <c r="A1571" s="7" t="s">
        <v>44</v>
      </c>
      <c r="B1571" s="7" t="s">
        <v>74</v>
      </c>
      <c r="C1571" s="8" t="n">
        <v>382</v>
      </c>
      <c r="D1571" s="8" t="n">
        <v>13310.26</v>
      </c>
      <c r="E1571" s="8" t="n">
        <v>238</v>
      </c>
      <c r="F1571" s="8" t="n">
        <v>8295.91</v>
      </c>
      <c r="G1571" s="7" t="str">
        <f aca="false">IFERROR(INDEX('TRANS'!$B:$B,MATCH($B1571,'TRANS'!$A:$A,0)),IFERROR(INDEX('TRANS'!$B:$B,MATCH(TRIM(SUBSTITUTE($B1571,CHAR(160)," ")),'TRANS'!$D:$D,0)),IFERROR(INDEX('Catalog'!$A:$A,MATCH($B1571,'Catalog'!$B:$B,0)),IFERROR(INDEX('Catalog'!$A:$A,MATCH(TRIM(SUBSTITUTE($B1571,CHAR(160)," ")),'Catalog'!$C:$C,0)),""))))</f>
        <v/>
      </c>
      <c r="H1571" s="7" t="str">
        <f aca="false">IFERROR(INDEX('TRANS'!$C:$C,MATCH($B1571,'TRANS'!$A:$A,0)),IFERROR(INDEX('Catalog'!$B:$B,MATCH($G1571,'Catalog'!$A:$A,0)),$B1571))</f>
        <v>305-37-38</v>
      </c>
      <c r="I1571" s="7" t="str">
        <f aca="false">IF($G1571="","Unmatched","Matched")</f>
        <v>Unmatched</v>
      </c>
      <c r="J1571" s="7" t="str">
        <f aca="false">IF($G1571&lt;&gt;"",$G1571,$B1571)</f>
        <v>305-37-38</v>
      </c>
      <c r="K1571" s="7" t="str">
        <f aca="false">IF(COUNTIF($O$2:$O$16,$A1571)&gt;0,"Y","N")</f>
        <v>Y</v>
      </c>
    </row>
    <row r="1572" customFormat="false" ht="15" hidden="false" customHeight="false" outlineLevel="0" collapsed="false">
      <c r="A1572" s="7" t="s">
        <v>44</v>
      </c>
      <c r="B1572" s="7" t="s">
        <v>67</v>
      </c>
      <c r="C1572" s="8" t="n">
        <v>455</v>
      </c>
      <c r="D1572" s="8" t="n">
        <v>15741.91</v>
      </c>
      <c r="E1572" s="8" t="n">
        <v>422</v>
      </c>
      <c r="F1572" s="8" t="n">
        <v>14665.96</v>
      </c>
      <c r="G1572" s="7" t="str">
        <f aca="false">IFERROR(INDEX('TRANS'!$B:$B,MATCH($B1572,'TRANS'!$A:$A,0)),IFERROR(INDEX('TRANS'!$B:$B,MATCH(TRIM(SUBSTITUTE($B1572,CHAR(160)," ")),'TRANS'!$D:$D,0)),IFERROR(INDEX('Catalog'!$A:$A,MATCH($B1572,'Catalog'!$B:$B,0)),IFERROR(INDEX('Catalog'!$A:$A,MATCH(TRIM(SUBSTITUTE($B1572,CHAR(160)," ")),'Catalog'!$C:$C,0)),""))))</f>
        <v/>
      </c>
      <c r="H1572" s="7" t="str">
        <f aca="false">IFERROR(INDEX('TRANS'!$C:$C,MATCH($B1572,'TRANS'!$A:$A,0)),IFERROR(INDEX('Catalog'!$B:$B,MATCH($G1572,'Catalog'!$A:$A,0)),$B1572))</f>
        <v>305-39-40</v>
      </c>
      <c r="I1572" s="7" t="str">
        <f aca="false">IF($G1572="","Unmatched","Matched")</f>
        <v>Unmatched</v>
      </c>
      <c r="J1572" s="7" t="str">
        <f aca="false">IF($G1572&lt;&gt;"",$G1572,$B1572)</f>
        <v>305-39-40</v>
      </c>
      <c r="K1572" s="7" t="str">
        <f aca="false">IF(COUNTIF($O$2:$O$16,$A1572)&gt;0,"Y","N")</f>
        <v>Y</v>
      </c>
    </row>
    <row r="1573" customFormat="false" ht="15" hidden="false" customHeight="false" outlineLevel="0" collapsed="false">
      <c r="A1573" s="7" t="s">
        <v>44</v>
      </c>
      <c r="B1573" s="7" t="s">
        <v>68</v>
      </c>
      <c r="C1573" s="8" t="n">
        <v>415</v>
      </c>
      <c r="D1573" s="8" t="n">
        <v>14378.42</v>
      </c>
      <c r="E1573" s="8" t="n">
        <v>403</v>
      </c>
      <c r="F1573" s="8" t="n">
        <v>14031.05</v>
      </c>
      <c r="G1573" s="7" t="str">
        <f aca="false">IFERROR(INDEX('TRANS'!$B:$B,MATCH($B1573,'TRANS'!$A:$A,0)),IFERROR(INDEX('TRANS'!$B:$B,MATCH(TRIM(SUBSTITUTE($B1573,CHAR(160)," ")),'TRANS'!$D:$D,0)),IFERROR(INDEX('Catalog'!$A:$A,MATCH($B1573,'Catalog'!$B:$B,0)),IFERROR(INDEX('Catalog'!$A:$A,MATCH(TRIM(SUBSTITUTE($B1573,CHAR(160)," ")),'Catalog'!$C:$C,0)),""))))</f>
        <v/>
      </c>
      <c r="H1573" s="7" t="str">
        <f aca="false">IFERROR(INDEX('TRANS'!$C:$C,MATCH($B1573,'TRANS'!$A:$A,0)),IFERROR(INDEX('Catalog'!$B:$B,MATCH($G1573,'Catalog'!$A:$A,0)),$B1573))</f>
        <v>305-41-42</v>
      </c>
      <c r="I1573" s="7" t="str">
        <f aca="false">IF($G1573="","Unmatched","Matched")</f>
        <v>Unmatched</v>
      </c>
      <c r="J1573" s="7" t="str">
        <f aca="false">IF($G1573&lt;&gt;"",$G1573,$B1573)</f>
        <v>305-41-42</v>
      </c>
      <c r="K1573" s="7" t="str">
        <f aca="false">IF(COUNTIF($O$2:$O$16,$A1573)&gt;0,"Y","N")</f>
        <v>Y</v>
      </c>
    </row>
    <row r="1574" customFormat="false" ht="15" hidden="false" customHeight="false" outlineLevel="0" collapsed="false">
      <c r="A1574" s="7" t="s">
        <v>44</v>
      </c>
      <c r="B1574" s="7" t="s">
        <v>66</v>
      </c>
      <c r="C1574" s="8" t="n">
        <v>429</v>
      </c>
      <c r="D1574" s="8" t="n">
        <v>14899.33</v>
      </c>
      <c r="E1574" s="8" t="n">
        <v>400</v>
      </c>
      <c r="F1574" s="8" t="n">
        <v>13866.48</v>
      </c>
      <c r="G1574" s="7" t="str">
        <f aca="false">IFERROR(INDEX('TRANS'!$B:$B,MATCH($B1574,'TRANS'!$A:$A,0)),IFERROR(INDEX('TRANS'!$B:$B,MATCH(TRIM(SUBSTITUTE($B1574,CHAR(160)," ")),'TRANS'!$D:$D,0)),IFERROR(INDEX('Catalog'!$A:$A,MATCH($B1574,'Catalog'!$B:$B,0)),IFERROR(INDEX('Catalog'!$A:$A,MATCH(TRIM(SUBSTITUTE($B1574,CHAR(160)," ")),'Catalog'!$C:$C,0)),""))))</f>
        <v/>
      </c>
      <c r="H1574" s="7" t="str">
        <f aca="false">IFERROR(INDEX('TRANS'!$C:$C,MATCH($B1574,'TRANS'!$A:$A,0)),IFERROR(INDEX('Catalog'!$B:$B,MATCH($G1574,'Catalog'!$A:$A,0)),$B1574))</f>
        <v>305-43-44</v>
      </c>
      <c r="I1574" s="7" t="str">
        <f aca="false">IF($G1574="","Unmatched","Matched")</f>
        <v>Unmatched</v>
      </c>
      <c r="J1574" s="7" t="str">
        <f aca="false">IF($G1574&lt;&gt;"",$G1574,$B1574)</f>
        <v>305-43-44</v>
      </c>
      <c r="K1574" s="7" t="str">
        <f aca="false">IF(COUNTIF($O$2:$O$16,$A1574)&gt;0,"Y","N")</f>
        <v>Y</v>
      </c>
    </row>
    <row r="1575" customFormat="false" ht="15" hidden="false" customHeight="false" outlineLevel="0" collapsed="false">
      <c r="A1575" s="7" t="s">
        <v>44</v>
      </c>
      <c r="B1575" s="7" t="s">
        <v>76</v>
      </c>
      <c r="C1575" s="8" t="n">
        <v>259</v>
      </c>
      <c r="D1575" s="8" t="n">
        <v>9007.37</v>
      </c>
      <c r="E1575" s="8" t="n">
        <v>178</v>
      </c>
      <c r="F1575" s="8" t="n">
        <v>6187.91</v>
      </c>
      <c r="G1575" s="7" t="str">
        <f aca="false">IFERROR(INDEX('TRANS'!$B:$B,MATCH($B1575,'TRANS'!$A:$A,0)),IFERROR(INDEX('TRANS'!$B:$B,MATCH(TRIM(SUBSTITUTE($B1575,CHAR(160)," ")),'TRANS'!$D:$D,0)),IFERROR(INDEX('Catalog'!$A:$A,MATCH($B1575,'Catalog'!$B:$B,0)),IFERROR(INDEX('Catalog'!$A:$A,MATCH(TRIM(SUBSTITUTE($B1575,CHAR(160)," ")),'Catalog'!$C:$C,0)),""))))</f>
        <v/>
      </c>
      <c r="H1575" s="7" t="str">
        <f aca="false">IFERROR(INDEX('TRANS'!$C:$C,MATCH($B1575,'TRANS'!$A:$A,0)),IFERROR(INDEX('Catalog'!$B:$B,MATCH($G1575,'Catalog'!$A:$A,0)),$B1575))</f>
        <v>305-45-46</v>
      </c>
      <c r="I1575" s="7" t="str">
        <f aca="false">IF($G1575="","Unmatched","Matched")</f>
        <v>Unmatched</v>
      </c>
      <c r="J1575" s="7" t="str">
        <f aca="false">IF($G1575&lt;&gt;"",$G1575,$B1575)</f>
        <v>305-45-46</v>
      </c>
      <c r="K1575" s="7" t="str">
        <f aca="false">IF(COUNTIF($O$2:$O$16,$A1575)&gt;0,"Y","N")</f>
        <v>Y</v>
      </c>
    </row>
    <row r="1576" customFormat="false" ht="15" hidden="false" customHeight="false" outlineLevel="0" collapsed="false">
      <c r="A1576" s="7" t="s">
        <v>44</v>
      </c>
      <c r="B1576" s="7" t="s">
        <v>296</v>
      </c>
      <c r="C1576" s="8" t="n">
        <v>496</v>
      </c>
      <c r="D1576" s="8" t="n">
        <v>13689.07</v>
      </c>
      <c r="E1576" s="8" t="n">
        <v>465</v>
      </c>
      <c r="F1576" s="8" t="n">
        <v>12809.29</v>
      </c>
      <c r="G1576" s="7" t="n">
        <f aca="false">IFERROR(INDEX('TRANS'!$B:$B,MATCH($B1576,'TRANS'!$A:$A,0)),IFERROR(INDEX('TRANS'!$B:$B,MATCH(TRIM(SUBSTITUTE($B1576,CHAR(160)," ")),'TRANS'!$D:$D,0)),IFERROR(INDEX('Catalog'!$A:$A,MATCH($B1576,'Catalog'!$B:$B,0)),IFERROR(INDEX('Catalog'!$A:$A,MATCH(TRIM(SUBSTITUTE($B1576,CHAR(160)," ")),'Catalog'!$C:$C,0)),""))))</f>
        <v>4416000</v>
      </c>
      <c r="H1576" s="7" t="str">
        <f aca="false">IFERROR(INDEX('TRANS'!$C:$C,MATCH($B1576,'TRANS'!$A:$A,0)),IFERROR(INDEX('Catalog'!$B:$B,MATCH($G1576,'Catalog'!$A:$A,0)),$B1576))</f>
        <v>307 L עקבים לדורבן-זוג כריות</v>
      </c>
      <c r="I1576" s="7" t="str">
        <f aca="false">IF($G1576="","Unmatched","Matched")</f>
        <v>Matched</v>
      </c>
      <c r="J1576" s="7" t="n">
        <f aca="false">IF($G1576&lt;&gt;"",$G1576,$B1576)</f>
        <v>4416000</v>
      </c>
      <c r="K1576" s="7" t="str">
        <f aca="false">IF(COUNTIF($O$2:$O$16,$A1576)&gt;0,"Y","N")</f>
        <v>Y</v>
      </c>
    </row>
    <row r="1577" customFormat="false" ht="15" hidden="false" customHeight="false" outlineLevel="0" collapsed="false">
      <c r="A1577" s="7" t="s">
        <v>44</v>
      </c>
      <c r="B1577" s="7" t="s">
        <v>297</v>
      </c>
      <c r="C1577" s="8" t="n">
        <v>530</v>
      </c>
      <c r="D1577" s="8" t="n">
        <v>14586.27</v>
      </c>
      <c r="E1577" s="8" t="n">
        <v>440</v>
      </c>
      <c r="F1577" s="8" t="n">
        <v>12128.46</v>
      </c>
      <c r="G1577" s="7" t="n">
        <f aca="false">IFERROR(INDEX('TRANS'!$B:$B,MATCH($B1577,'TRANS'!$A:$A,0)),IFERROR(INDEX('TRANS'!$B:$B,MATCH(TRIM(SUBSTITUTE($B1577,CHAR(160)," ")),'TRANS'!$D:$D,0)),IFERROR(INDEX('Catalog'!$A:$A,MATCH($B1577,'Catalog'!$B:$B,0)),IFERROR(INDEX('Catalog'!$A:$A,MATCH(TRIM(SUBSTITUTE($B1577,CHAR(160)," ")),'Catalog'!$C:$C,0)),""))))</f>
        <v>4416001</v>
      </c>
      <c r="H1577" s="7" t="str">
        <f aca="false">IFERROR(INDEX('TRANS'!$C:$C,MATCH($B1577,'TRANS'!$A:$A,0)),IFERROR(INDEX('Catalog'!$B:$B,MATCH($G1577,'Catalog'!$A:$A,0)),$B1577))</f>
        <v>307 M עקבים לדורבן-זוג כריות</v>
      </c>
      <c r="I1577" s="7" t="str">
        <f aca="false">IF($G1577="","Unmatched","Matched")</f>
        <v>Matched</v>
      </c>
      <c r="J1577" s="7" t="n">
        <f aca="false">IF($G1577&lt;&gt;"",$G1577,$B1577)</f>
        <v>4416001</v>
      </c>
      <c r="K1577" s="7" t="str">
        <f aca="false">IF(COUNTIF($O$2:$O$16,$A1577)&gt;0,"Y","N")</f>
        <v>Y</v>
      </c>
    </row>
    <row r="1578" customFormat="false" ht="15" hidden="false" customHeight="false" outlineLevel="0" collapsed="false">
      <c r="A1578" s="7" t="s">
        <v>44</v>
      </c>
      <c r="B1578" s="7" t="s">
        <v>298</v>
      </c>
      <c r="C1578" s="8" t="n">
        <v>146</v>
      </c>
      <c r="D1578" s="8" t="n">
        <v>4033.74</v>
      </c>
      <c r="E1578" s="8" t="n">
        <v>116</v>
      </c>
      <c r="F1578" s="8" t="n">
        <v>3193.09</v>
      </c>
      <c r="G1578" s="7" t="n">
        <f aca="false">IFERROR(INDEX('TRANS'!$B:$B,MATCH($B1578,'TRANS'!$A:$A,0)),IFERROR(INDEX('TRANS'!$B:$B,MATCH(TRIM(SUBSTITUTE($B1578,CHAR(160)," ")),'TRANS'!$D:$D,0)),IFERROR(INDEX('Catalog'!$A:$A,MATCH($B1578,'Catalog'!$B:$B,0)),IFERROR(INDEX('Catalog'!$A:$A,MATCH(TRIM(SUBSTITUTE($B1578,CHAR(160)," ")),'Catalog'!$C:$C,0)),""))))</f>
        <v>4416002</v>
      </c>
      <c r="H1578" s="7" t="str">
        <f aca="false">IFERROR(INDEX('TRANS'!$C:$C,MATCH($B1578,'TRANS'!$A:$A,0)),IFERROR(INDEX('Catalog'!$B:$B,MATCH($G1578,'Catalog'!$A:$A,0)),$B1578))</f>
        <v>307 S עקבים לדורבן-זוג כריות</v>
      </c>
      <c r="I1578" s="7" t="str">
        <f aca="false">IF($G1578="","Unmatched","Matched")</f>
        <v>Matched</v>
      </c>
      <c r="J1578" s="7" t="n">
        <f aca="false">IF($G1578&lt;&gt;"",$G1578,$B1578)</f>
        <v>4416002</v>
      </c>
      <c r="K1578" s="7" t="str">
        <f aca="false">IF(COUNTIF($O$2:$O$16,$A1578)&gt;0,"Y","N")</f>
        <v>Y</v>
      </c>
    </row>
    <row r="1579" customFormat="false" ht="15" hidden="false" customHeight="false" outlineLevel="0" collapsed="false">
      <c r="A1579" s="7" t="s">
        <v>44</v>
      </c>
      <c r="B1579" s="7" t="s">
        <v>394</v>
      </c>
      <c r="C1579" s="8" t="n">
        <v>187</v>
      </c>
      <c r="D1579" s="8" t="n">
        <v>5139.16</v>
      </c>
      <c r="E1579" s="8" t="n">
        <v>136</v>
      </c>
      <c r="F1579" s="8" t="n">
        <v>3715.9</v>
      </c>
      <c r="G1579" s="7" t="n">
        <f aca="false">IFERROR(INDEX('TRANS'!$B:$B,MATCH($B1579,'TRANS'!$A:$A,0)),IFERROR(INDEX('TRANS'!$B:$B,MATCH(TRIM(SUBSTITUTE($B1579,CHAR(160)," ")),'TRANS'!$D:$D,0)),IFERROR(INDEX('Catalog'!$A:$A,MATCH($B1579,'Catalog'!$B:$B,0)),IFERROR(INDEX('Catalog'!$A:$A,MATCH(TRIM(SUBSTITUTE($B1579,CHAR(160)," ")),'Catalog'!$C:$C,0)),""))))</f>
        <v>4411016</v>
      </c>
      <c r="H1579" s="7" t="str">
        <f aca="false">IFERROR(INDEX('TRANS'!$C:$C,MATCH($B1579,'TRANS'!$A:$A,0)),IFERROR(INDEX('Catalog'!$B:$B,MATCH($G1579,'Catalog'!$A:$A,0)),$B1579))</f>
        <v>307 XL כרית סיליקון לעקב</v>
      </c>
      <c r="I1579" s="7" t="str">
        <f aca="false">IF($G1579="","Unmatched","Matched")</f>
        <v>Matched</v>
      </c>
      <c r="J1579" s="7" t="n">
        <f aca="false">IF($G1579&lt;&gt;"",$G1579,$B1579)</f>
        <v>4411016</v>
      </c>
      <c r="K1579" s="7" t="str">
        <f aca="false">IF(COUNTIF($O$2:$O$16,$A1579)&gt;0,"Y","N")</f>
        <v>Y</v>
      </c>
    </row>
    <row r="1580" customFormat="false" ht="15" hidden="false" customHeight="false" outlineLevel="0" collapsed="false">
      <c r="A1580" s="7" t="s">
        <v>44</v>
      </c>
      <c r="B1580" s="7" t="s">
        <v>299</v>
      </c>
      <c r="C1580" s="8" t="n">
        <v>2</v>
      </c>
      <c r="D1580" s="8" t="n">
        <v>20.05</v>
      </c>
      <c r="E1580" s="8" t="n">
        <v>3</v>
      </c>
      <c r="F1580" s="8" t="n">
        <v>29.23</v>
      </c>
      <c r="G1580" s="7" t="n">
        <f aca="false">IFERROR(INDEX('TRANS'!$B:$B,MATCH($B1580,'TRANS'!$A:$A,0)),IFERROR(INDEX('TRANS'!$B:$B,MATCH(TRIM(SUBSTITUTE($B1580,CHAR(160)," ")),'TRANS'!$D:$D,0)),IFERROR(INDEX('Catalog'!$A:$A,MATCH($B1580,'Catalog'!$B:$B,0)),IFERROR(INDEX('Catalog'!$A:$A,MATCH(TRIM(SUBSTITUTE($B1580,CHAR(160)," ")),'Catalog'!$C:$C,0)),""))))</f>
        <v>4413033</v>
      </c>
      <c r="H1580" s="7" t="str">
        <f aca="false">IFERROR(INDEX('TRANS'!$C:$C,MATCH($B1580,'TRANS'!$A:$A,0)),IFERROR(INDEX('Catalog'!$B:$B,MATCH($G1580,'Catalog'!$A:$A,0)),$B1580))</f>
        <v>311'מדב.ג'ל למניעת שפשוף 5 יח</v>
      </c>
      <c r="I1580" s="7" t="str">
        <f aca="false">IF($G1580="","Unmatched","Matched")</f>
        <v>Matched</v>
      </c>
      <c r="J1580" s="7" t="n">
        <f aca="false">IF($G1580&lt;&gt;"",$G1580,$B1580)</f>
        <v>4413033</v>
      </c>
      <c r="K1580" s="7" t="str">
        <f aca="false">IF(COUNTIF($O$2:$O$16,$A1580)&gt;0,"Y","N")</f>
        <v>Y</v>
      </c>
    </row>
    <row r="1581" customFormat="false" ht="15" hidden="false" customHeight="false" outlineLevel="0" collapsed="false">
      <c r="A1581" s="7" t="s">
        <v>44</v>
      </c>
      <c r="B1581" s="7" t="s">
        <v>300</v>
      </c>
      <c r="C1581" s="8" t="n">
        <v>93</v>
      </c>
      <c r="D1581" s="8" t="n">
        <v>948.26</v>
      </c>
      <c r="E1581" s="8" t="n">
        <v>34</v>
      </c>
      <c r="F1581" s="8" t="n">
        <v>337.87</v>
      </c>
      <c r="G1581" s="7" t="n">
        <f aca="false">IFERROR(INDEX('TRANS'!$B:$B,MATCH($B1581,'TRANS'!$A:$A,0)),IFERROR(INDEX('TRANS'!$B:$B,MATCH(TRIM(SUBSTITUTE($B1581,CHAR(160)," ")),'TRANS'!$D:$D,0)),IFERROR(INDEX('Catalog'!$A:$A,MATCH($B1581,'Catalog'!$B:$B,0)),IFERROR(INDEX('Catalog'!$A:$A,MATCH(TRIM(SUBSTITUTE($B1581,CHAR(160)," ")),'Catalog'!$C:$C,0)),""))))</f>
        <v>4413048</v>
      </c>
      <c r="H1581" s="7" t="str">
        <f aca="false">IFERROR(INDEX('TRANS'!$C:$C,MATCH($B1581,'TRANS'!$A:$A,0)),IFERROR(INDEX('Catalog'!$B:$B,MATCH($G1581,'Catalog'!$A:$A,0)),$B1581))</f>
        <v>35 L מגן קרסול לבן</v>
      </c>
      <c r="I1581" s="7" t="str">
        <f aca="false">IF($G1581="","Unmatched","Matched")</f>
        <v>Matched</v>
      </c>
      <c r="J1581" s="7" t="n">
        <f aca="false">IF($G1581&lt;&gt;"",$G1581,$B1581)</f>
        <v>4413048</v>
      </c>
      <c r="K1581" s="7" t="str">
        <f aca="false">IF(COUNTIF($O$2:$O$16,$A1581)&gt;0,"Y","N")</f>
        <v>Y</v>
      </c>
    </row>
    <row r="1582" customFormat="false" ht="15" hidden="false" customHeight="false" outlineLevel="0" collapsed="false">
      <c r="A1582" s="7" t="s">
        <v>44</v>
      </c>
      <c r="B1582" s="7" t="s">
        <v>301</v>
      </c>
      <c r="C1582" s="8" t="n">
        <v>96</v>
      </c>
      <c r="D1582" s="8" t="n">
        <v>960.18</v>
      </c>
      <c r="E1582" s="8" t="n">
        <v>0</v>
      </c>
      <c r="F1582" s="8" t="n">
        <v>0</v>
      </c>
      <c r="G1582" s="7" t="n">
        <f aca="false">IFERROR(INDEX('TRANS'!$B:$B,MATCH($B1582,'TRANS'!$A:$A,0)),IFERROR(INDEX('TRANS'!$B:$B,MATCH(TRIM(SUBSTITUTE($B1582,CHAR(160)," ")),'TRANS'!$D:$D,0)),IFERROR(INDEX('Catalog'!$A:$A,MATCH($B1582,'Catalog'!$B:$B,0)),IFERROR(INDEX('Catalog'!$A:$A,MATCH(TRIM(SUBSTITUTE($B1582,CHAR(160)," ")),'Catalog'!$C:$C,0)),""))))</f>
        <v>4413049</v>
      </c>
      <c r="H1582" s="7" t="str">
        <f aca="false">IFERROR(INDEX('TRANS'!$C:$C,MATCH($B1582,'TRANS'!$A:$A,0)),IFERROR(INDEX('Catalog'!$B:$B,MATCH($G1582,'Catalog'!$A:$A,0)),$B1582))</f>
        <v>35 M מגן קרסול לבן</v>
      </c>
      <c r="I1582" s="7" t="str">
        <f aca="false">IF($G1582="","Unmatched","Matched")</f>
        <v>Matched</v>
      </c>
      <c r="J1582" s="7" t="n">
        <f aca="false">IF($G1582&lt;&gt;"",$G1582,$B1582)</f>
        <v>4413049</v>
      </c>
      <c r="K1582" s="7" t="str">
        <f aca="false">IF(COUNTIF($O$2:$O$16,$A1582)&gt;0,"Y","N")</f>
        <v>Y</v>
      </c>
    </row>
    <row r="1583" customFormat="false" ht="15" hidden="false" customHeight="false" outlineLevel="0" collapsed="false">
      <c r="A1583" s="7" t="s">
        <v>44</v>
      </c>
      <c r="B1583" s="7" t="s">
        <v>302</v>
      </c>
      <c r="C1583" s="8" t="n">
        <v>31</v>
      </c>
      <c r="D1583" s="8" t="n">
        <v>318.6</v>
      </c>
      <c r="E1583" s="8" t="n">
        <v>6</v>
      </c>
      <c r="F1583" s="8" t="n">
        <v>59.09</v>
      </c>
      <c r="G1583" s="7" t="n">
        <f aca="false">IFERROR(INDEX('TRANS'!$B:$B,MATCH($B1583,'TRANS'!$A:$A,0)),IFERROR(INDEX('TRANS'!$B:$B,MATCH(TRIM(SUBSTITUTE($B1583,CHAR(160)," ")),'TRANS'!$D:$D,0)),IFERROR(INDEX('Catalog'!$A:$A,MATCH($B1583,'Catalog'!$B:$B,0)),IFERROR(INDEX('Catalog'!$A:$A,MATCH(TRIM(SUBSTITUTE($B1583,CHAR(160)," ")),'Catalog'!$C:$C,0)),""))))</f>
        <v>4413047</v>
      </c>
      <c r="H1583" s="7" t="str">
        <f aca="false">IFERROR(INDEX('TRANS'!$C:$C,MATCH($B1583,'TRANS'!$A:$A,0)),IFERROR(INDEX('Catalog'!$B:$B,MATCH($G1583,'Catalog'!$A:$A,0)),$B1583))</f>
        <v>35 S מגן קרסול לבן</v>
      </c>
      <c r="I1583" s="7" t="str">
        <f aca="false">IF($G1583="","Unmatched","Matched")</f>
        <v>Matched</v>
      </c>
      <c r="J1583" s="7" t="n">
        <f aca="false">IF($G1583&lt;&gt;"",$G1583,$B1583)</f>
        <v>4413047</v>
      </c>
      <c r="K1583" s="7" t="str">
        <f aca="false">IF(COUNTIF($O$2:$O$16,$A1583)&gt;0,"Y","N")</f>
        <v>Y</v>
      </c>
    </row>
    <row r="1584" customFormat="false" ht="15" hidden="false" customHeight="false" outlineLevel="0" collapsed="false">
      <c r="A1584" s="7" t="s">
        <v>44</v>
      </c>
      <c r="B1584" s="7" t="s">
        <v>303</v>
      </c>
      <c r="C1584" s="8" t="n">
        <v>91</v>
      </c>
      <c r="D1584" s="8" t="n">
        <v>929.22</v>
      </c>
      <c r="E1584" s="8" t="n">
        <v>20</v>
      </c>
      <c r="F1584" s="8" t="n">
        <v>200.33</v>
      </c>
      <c r="G1584" s="7" t="n">
        <f aca="false">IFERROR(INDEX('TRANS'!$B:$B,MATCH($B1584,'TRANS'!$A:$A,0)),IFERROR(INDEX('TRANS'!$B:$B,MATCH(TRIM(SUBSTITUTE($B1584,CHAR(160)," ")),'TRANS'!$D:$D,0)),IFERROR(INDEX('Catalog'!$A:$A,MATCH($B1584,'Catalog'!$B:$B,0)),IFERROR(INDEX('Catalog'!$A:$A,MATCH(TRIM(SUBSTITUTE($B1584,CHAR(160)," ")),'Catalog'!$C:$C,0)),""))))</f>
        <v>4413050</v>
      </c>
      <c r="H1584" s="7" t="str">
        <f aca="false">IFERROR(INDEX('TRANS'!$C:$C,MATCH($B1584,'TRANS'!$A:$A,0)),IFERROR(INDEX('Catalog'!$B:$B,MATCH($G1584,'Catalog'!$A:$A,0)),$B1584))</f>
        <v>35 XL מגן קרסול לבן</v>
      </c>
      <c r="I1584" s="7" t="str">
        <f aca="false">IF($G1584="","Unmatched","Matched")</f>
        <v>Matched</v>
      </c>
      <c r="J1584" s="7" t="n">
        <f aca="false">IF($G1584&lt;&gt;"",$G1584,$B1584)</f>
        <v>4413050</v>
      </c>
      <c r="K1584" s="7" t="str">
        <f aca="false">IF(COUNTIF($O$2:$O$16,$A1584)&gt;0,"Y","N")</f>
        <v>Y</v>
      </c>
    </row>
    <row r="1585" customFormat="false" ht="15" hidden="false" customHeight="false" outlineLevel="0" collapsed="false">
      <c r="A1585" s="7" t="s">
        <v>44</v>
      </c>
      <c r="B1585" s="7" t="s">
        <v>455</v>
      </c>
      <c r="C1585" s="8" t="n">
        <v>11</v>
      </c>
      <c r="D1585" s="8" t="n">
        <v>357.72</v>
      </c>
      <c r="E1585" s="8" t="n">
        <v>0</v>
      </c>
      <c r="F1585" s="8" t="n">
        <v>0</v>
      </c>
      <c r="G1585" s="7" t="n">
        <f aca="false">IFERROR(INDEX('TRANS'!$B:$B,MATCH($B1585,'TRANS'!$A:$A,0)),IFERROR(INDEX('TRANS'!$B:$B,MATCH(TRIM(SUBSTITUTE($B1585,CHAR(160)," ")),'TRANS'!$D:$D,0)),IFERROR(INDEX('Catalog'!$A:$A,MATCH($B1585,'Catalog'!$B:$B,0)),IFERROR(INDEX('Catalog'!$A:$A,MATCH(TRIM(SUBSTITUTE($B1585,CHAR(160)," ")),'Catalog'!$C:$C,0)),""))))</f>
        <v>4421001</v>
      </c>
      <c r="H1585" s="7" t="str">
        <f aca="false">IFERROR(INDEX('TRANS'!$C:$C,MATCH($B1585,'TRANS'!$A:$A,0)),IFERROR(INDEX('Catalog'!$B:$B,MATCH($G1585,'Catalog'!$A:$A,0)),$B1585))</f>
        <v>3611 שרוול מטטרזלי מסיליקון</v>
      </c>
      <c r="I1585" s="7" t="str">
        <f aca="false">IF($G1585="","Unmatched","Matched")</f>
        <v>Matched</v>
      </c>
      <c r="J1585" s="7" t="n">
        <f aca="false">IF($G1585&lt;&gt;"",$G1585,$B1585)</f>
        <v>4421001</v>
      </c>
      <c r="K1585" s="7" t="str">
        <f aca="false">IF(COUNTIF($O$2:$O$16,$A1585)&gt;0,"Y","N")</f>
        <v>Y</v>
      </c>
    </row>
    <row r="1586" customFormat="false" ht="15" hidden="false" customHeight="false" outlineLevel="0" collapsed="false">
      <c r="A1586" s="7" t="s">
        <v>44</v>
      </c>
      <c r="B1586" s="7" t="s">
        <v>456</v>
      </c>
      <c r="C1586" s="8" t="n">
        <v>137</v>
      </c>
      <c r="D1586" s="8" t="n">
        <v>1950.54</v>
      </c>
      <c r="E1586" s="8" t="n">
        <v>85</v>
      </c>
      <c r="F1586" s="8" t="n">
        <v>1188.7</v>
      </c>
      <c r="G1586" s="7" t="n">
        <f aca="false">IFERROR(INDEX('TRANS'!$B:$B,MATCH($B1586,'TRANS'!$A:$A,0)),IFERROR(INDEX('TRANS'!$B:$B,MATCH(TRIM(SUBSTITUTE($B1586,CHAR(160)," ")),'TRANS'!$D:$D,0)),IFERROR(INDEX('Catalog'!$A:$A,MATCH($B1586,'Catalog'!$B:$B,0)),IFERROR(INDEX('Catalog'!$A:$A,MATCH(TRIM(SUBSTITUTE($B1586,CHAR(160)," ")),'Catalog'!$C:$C,0)),""))))</f>
        <v>4411000</v>
      </c>
      <c r="H1586" s="7" t="str">
        <f aca="false">IFERROR(INDEX('TRANS'!$C:$C,MATCH($B1586,'TRANS'!$A:$A,0)),IFERROR(INDEX('Catalog'!$B:$B,MATCH($G1586,'Catalog'!$A:$A,0)),$B1586))</f>
        <v>כרית מטטרזלי סיליקון362</v>
      </c>
      <c r="I1586" s="7" t="str">
        <f aca="false">IF($G1586="","Unmatched","Matched")</f>
        <v>Matched</v>
      </c>
      <c r="J1586" s="7" t="n">
        <f aca="false">IF($G1586&lt;&gt;"",$G1586,$B1586)</f>
        <v>4411000</v>
      </c>
      <c r="K1586" s="7" t="str">
        <f aca="false">IF(COUNTIF($O$2:$O$16,$A1586)&gt;0,"Y","N")</f>
        <v>Y</v>
      </c>
    </row>
    <row r="1587" customFormat="false" ht="15" hidden="false" customHeight="false" outlineLevel="0" collapsed="false">
      <c r="A1587" s="7" t="s">
        <v>44</v>
      </c>
      <c r="B1587" s="7" t="s">
        <v>312</v>
      </c>
      <c r="C1587" s="8" t="n">
        <v>49</v>
      </c>
      <c r="D1587" s="8" t="n">
        <v>775.84</v>
      </c>
      <c r="E1587" s="8" t="n">
        <v>50</v>
      </c>
      <c r="F1587" s="8" t="n">
        <v>768.58</v>
      </c>
      <c r="G1587" s="7" t="n">
        <f aca="false">IFERROR(INDEX('TRANS'!$B:$B,MATCH($B1587,'TRANS'!$A:$A,0)),IFERROR(INDEX('TRANS'!$B:$B,MATCH(TRIM(SUBSTITUTE($B1587,CHAR(160)," ")),'TRANS'!$D:$D,0)),IFERROR(INDEX('Catalog'!$A:$A,MATCH($B1587,'Catalog'!$B:$B,0)),IFERROR(INDEX('Catalog'!$A:$A,MATCH(TRIM(SUBSTITUTE($B1587,CHAR(160)," ")),'Catalog'!$C:$C,0)),""))))</f>
        <v>4411001</v>
      </c>
      <c r="H1587" s="7" t="str">
        <f aca="false">IFERROR(INDEX('TRANS'!$C:$C,MATCH($B1587,'TRANS'!$A:$A,0)),IFERROR(INDEX('Catalog'!$B:$B,MATCH($G1587,'Catalog'!$A:$A,0)),$B1587))</f>
        <v>3623 כרית ליישור אצבע פטיש</v>
      </c>
      <c r="I1587" s="7" t="str">
        <f aca="false">IF($G1587="","Unmatched","Matched")</f>
        <v>Matched</v>
      </c>
      <c r="J1587" s="7" t="n">
        <f aca="false">IF($G1587&lt;&gt;"",$G1587,$B1587)</f>
        <v>4411001</v>
      </c>
      <c r="K1587" s="7" t="str">
        <f aca="false">IF(COUNTIF($O$2:$O$16,$A1587)&gt;0,"Y","N")</f>
        <v>Y</v>
      </c>
    </row>
    <row r="1588" customFormat="false" ht="15" hidden="false" customHeight="false" outlineLevel="0" collapsed="false">
      <c r="A1588" s="7" t="s">
        <v>44</v>
      </c>
      <c r="B1588" s="7" t="s">
        <v>80</v>
      </c>
      <c r="C1588" s="8" t="n">
        <v>73</v>
      </c>
      <c r="D1588" s="8" t="n">
        <v>851.85</v>
      </c>
      <c r="E1588" s="8" t="n">
        <v>50</v>
      </c>
      <c r="F1588" s="8" t="n">
        <v>584.03</v>
      </c>
      <c r="G1588" s="7" t="str">
        <f aca="false">IFERROR(INDEX('TRANS'!$B:$B,MATCH($B1588,'TRANS'!$A:$A,0)),IFERROR(INDEX('TRANS'!$B:$B,MATCH(TRIM(SUBSTITUTE($B1588,CHAR(160)," ")),'TRANS'!$D:$D,0)),IFERROR(INDEX('Catalog'!$A:$A,MATCH($B1588,'Catalog'!$B:$B,0)),IFERROR(INDEX('Catalog'!$A:$A,MATCH(TRIM(SUBSTITUTE($B1588,CHAR(160)," ")),'Catalog'!$C:$C,0)),""))))</f>
        <v/>
      </c>
      <c r="H1588" s="7" t="str">
        <f aca="false">IFERROR(INDEX('TRANS'!$C:$C,MATCH($B1588,'TRANS'!$A:$A,0)),IFERROR(INDEX('Catalog'!$B:$B,MATCH($G1588,'Catalog'!$A:$A,0)),$B1588))</f>
        <v>363 L/R</v>
      </c>
      <c r="I1588" s="7" t="str">
        <f aca="false">IF($G1588="","Unmatched","Matched")</f>
        <v>Unmatched</v>
      </c>
      <c r="J1588" s="7" t="str">
        <f aca="false">IF($G1588&lt;&gt;"",$G1588,$B1588)</f>
        <v>363 L/R</v>
      </c>
      <c r="K1588" s="7" t="str">
        <f aca="false">IF(COUNTIF($O$2:$O$16,$A1588)&gt;0,"Y","N")</f>
        <v>Y</v>
      </c>
    </row>
    <row r="1589" customFormat="false" ht="15" hidden="false" customHeight="false" outlineLevel="0" collapsed="false">
      <c r="A1589" s="7" t="s">
        <v>44</v>
      </c>
      <c r="B1589" s="7" t="s">
        <v>313</v>
      </c>
      <c r="C1589" s="8" t="n">
        <v>335</v>
      </c>
      <c r="D1589" s="8" t="n">
        <v>2009.52</v>
      </c>
      <c r="E1589" s="8" t="n">
        <v>95</v>
      </c>
      <c r="F1589" s="8" t="n">
        <v>577.79</v>
      </c>
      <c r="G1589" s="7" t="n">
        <f aca="false">IFERROR(INDEX('TRANS'!$B:$B,MATCH($B1589,'TRANS'!$A:$A,0)),IFERROR(INDEX('TRANS'!$B:$B,MATCH(TRIM(SUBSTITUTE($B1589,CHAR(160)," ")),'TRANS'!$D:$D,0)),IFERROR(INDEX('Catalog'!$A:$A,MATCH($B1589,'Catalog'!$B:$B,0)),IFERROR(INDEX('Catalog'!$A:$A,MATCH(TRIM(SUBSTITUTE($B1589,CHAR(160)," ")),'Catalog'!$C:$C,0)),""))))</f>
        <v>4413059</v>
      </c>
      <c r="H1589" s="7" t="str">
        <f aca="false">IFERROR(INDEX('TRANS'!$C:$C,MATCH($B1589,'TRANS'!$A:$A,0)),IFERROR(INDEX('Catalog'!$B:$B,MATCH($G1589,'Catalog'!$A:$A,0)),$B1589))</f>
        <v>364S Lמפר.אצבע סיליק. ליבל.זוג</v>
      </c>
      <c r="I1589" s="7" t="str">
        <f aca="false">IF($G1589="","Unmatched","Matched")</f>
        <v>Matched</v>
      </c>
      <c r="J1589" s="7" t="n">
        <f aca="false">IF($G1589&lt;&gt;"",$G1589,$B1589)</f>
        <v>4413059</v>
      </c>
      <c r="K1589" s="7" t="str">
        <f aca="false">IF(COUNTIF($O$2:$O$16,$A1589)&gt;0,"Y","N")</f>
        <v>Y</v>
      </c>
    </row>
    <row r="1590" customFormat="false" ht="15" hidden="false" customHeight="false" outlineLevel="0" collapsed="false">
      <c r="A1590" s="7" t="s">
        <v>44</v>
      </c>
      <c r="B1590" s="7" t="s">
        <v>314</v>
      </c>
      <c r="C1590" s="8" t="n">
        <v>970</v>
      </c>
      <c r="D1590" s="8" t="n">
        <v>4429.69</v>
      </c>
      <c r="E1590" s="8" t="n">
        <v>620</v>
      </c>
      <c r="F1590" s="8" t="n">
        <v>2815.93</v>
      </c>
      <c r="G1590" s="7" t="n">
        <f aca="false">IFERROR(INDEX('TRANS'!$B:$B,MATCH($B1590,'TRANS'!$A:$A,0)),IFERROR(INDEX('TRANS'!$B:$B,MATCH(TRIM(SUBSTITUTE($B1590,CHAR(160)," ")),'TRANS'!$D:$D,0)),IFERROR(INDEX('Catalog'!$A:$A,MATCH($B1590,'Catalog'!$B:$B,0)),IFERROR(INDEX('Catalog'!$A:$A,MATCH(TRIM(SUBSTITUTE($B1590,CHAR(160)," ")),'Catalog'!$C:$C,0)),""))))</f>
        <v>4413060</v>
      </c>
      <c r="H1590" s="7" t="str">
        <f aca="false">IFERROR(INDEX('TRANS'!$C:$C,MATCH($B1590,'TRANS'!$A:$A,0)),IFERROR(INDEX('Catalog'!$B:$B,MATCH($G1590,'Catalog'!$A:$A,0)),$B1590))</f>
        <v>364 XLמפריד אצבע סיליקון ליבלת</v>
      </c>
      <c r="I1590" s="7" t="str">
        <f aca="false">IF($G1590="","Unmatched","Matched")</f>
        <v>Matched</v>
      </c>
      <c r="J1590" s="7" t="n">
        <f aca="false">IF($G1590&lt;&gt;"",$G1590,$B1590)</f>
        <v>4413060</v>
      </c>
      <c r="K1590" s="7" t="str">
        <f aca="false">IF(COUNTIF($O$2:$O$16,$A1590)&gt;0,"Y","N")</f>
        <v>Y</v>
      </c>
    </row>
    <row r="1591" customFormat="false" ht="15" hidden="false" customHeight="false" outlineLevel="0" collapsed="false">
      <c r="A1591" s="7" t="s">
        <v>44</v>
      </c>
      <c r="B1591" s="7" t="s">
        <v>397</v>
      </c>
      <c r="C1591" s="8" t="n">
        <v>4</v>
      </c>
      <c r="D1591" s="8" t="n">
        <v>26.48</v>
      </c>
      <c r="E1591" s="8" t="n">
        <v>0</v>
      </c>
      <c r="F1591" s="8" t="n">
        <v>0</v>
      </c>
      <c r="G1591" s="7" t="n">
        <f aca="false">IFERROR(INDEX('TRANS'!$B:$B,MATCH($B1591,'TRANS'!$A:$A,0)),IFERROR(INDEX('TRANS'!$B:$B,MATCH(TRIM(SUBSTITUTE($B1591,CHAR(160)," ")),'TRANS'!$D:$D,0)),IFERROR(INDEX('Catalog'!$A:$A,MATCH($B1591,'Catalog'!$B:$B,0)),IFERROR(INDEX('Catalog'!$A:$A,MATCH(TRIM(SUBSTITUTE($B1591,CHAR(160)," ")),'Catalog'!$C:$C,0)),""))))</f>
        <v>4413061</v>
      </c>
      <c r="H1591" s="7" t="str">
        <f aca="false">IFERROR(INDEX('TRANS'!$C:$C,MATCH($B1591,'TRANS'!$A:$A,0)),IFERROR(INDEX('Catalog'!$B:$B,MATCH($G1591,'Catalog'!$A:$A,0)),$B1591))</f>
        <v>3641-מיישר בוהן סיליקון קשיח</v>
      </c>
      <c r="I1591" s="7" t="str">
        <f aca="false">IF($G1591="","Unmatched","Matched")</f>
        <v>Matched</v>
      </c>
      <c r="J1591" s="7" t="n">
        <f aca="false">IF($G1591&lt;&gt;"",$G1591,$B1591)</f>
        <v>4413061</v>
      </c>
      <c r="K1591" s="7" t="str">
        <f aca="false">IF(COUNTIF($O$2:$O$16,$A1591)&gt;0,"Y","N")</f>
        <v>Y</v>
      </c>
    </row>
    <row r="1592" customFormat="false" ht="15" hidden="false" customHeight="false" outlineLevel="0" collapsed="false">
      <c r="A1592" s="7" t="s">
        <v>44</v>
      </c>
      <c r="B1592" s="7" t="s">
        <v>315</v>
      </c>
      <c r="C1592" s="8" t="n">
        <v>4</v>
      </c>
      <c r="D1592" s="8" t="n">
        <v>26.48</v>
      </c>
      <c r="E1592" s="8" t="n">
        <v>0</v>
      </c>
      <c r="F1592" s="8" t="n">
        <v>0</v>
      </c>
      <c r="G1592" s="7" t="n">
        <f aca="false">IFERROR(INDEX('TRANS'!$B:$B,MATCH($B1592,'TRANS'!$A:$A,0)),IFERROR(INDEX('TRANS'!$B:$B,MATCH(TRIM(SUBSTITUTE($B1592,CHAR(160)," ")),'TRANS'!$D:$D,0)),IFERROR(INDEX('Catalog'!$A:$A,MATCH($B1592,'Catalog'!$B:$B,0)),IFERROR(INDEX('Catalog'!$A:$A,MATCH(TRIM(SUBSTITUTE($B1592,CHAR(160)," ")),'Catalog'!$C:$C,0)),""))))</f>
        <v>4409000</v>
      </c>
      <c r="H1592" s="7" t="str">
        <f aca="false">IFERROR(INDEX('TRANS'!$C:$C,MATCH($B1592,'TRANS'!$A:$A,0)),IFERROR(INDEX('Catalog'!$B:$B,MATCH($G1592,'Catalog'!$A:$A,0)),$B1592))</f>
        <v>365 S-Lטבעת אלסטית מסיליקון</v>
      </c>
      <c r="I1592" s="7" t="str">
        <f aca="false">IF($G1592="","Unmatched","Matched")</f>
        <v>Matched</v>
      </c>
      <c r="J1592" s="7" t="n">
        <f aca="false">IF($G1592&lt;&gt;"",$G1592,$B1592)</f>
        <v>4409000</v>
      </c>
      <c r="K1592" s="7" t="str">
        <f aca="false">IF(COUNTIF($O$2:$O$16,$A1592)&gt;0,"Y","N")</f>
        <v>Y</v>
      </c>
    </row>
    <row r="1593" customFormat="false" ht="15" hidden="false" customHeight="false" outlineLevel="0" collapsed="false">
      <c r="A1593" s="7" t="s">
        <v>44</v>
      </c>
      <c r="B1593" s="7" t="s">
        <v>316</v>
      </c>
      <c r="C1593" s="8" t="n">
        <v>19</v>
      </c>
      <c r="D1593" s="8" t="n">
        <v>99.8</v>
      </c>
      <c r="E1593" s="8" t="n">
        <v>0</v>
      </c>
      <c r="F1593" s="8" t="n">
        <v>0</v>
      </c>
      <c r="G1593" s="7" t="n">
        <f aca="false">IFERROR(INDEX('TRANS'!$B:$B,MATCH($B1593,'TRANS'!$A:$A,0)),IFERROR(INDEX('TRANS'!$B:$B,MATCH(TRIM(SUBSTITUTE($B1593,CHAR(160)," ")),'TRANS'!$D:$D,0)),IFERROR(INDEX('Catalog'!$A:$A,MATCH($B1593,'Catalog'!$B:$B,0)),IFERROR(INDEX('Catalog'!$A:$A,MATCH(TRIM(SUBSTITUTE($B1593,CHAR(160)," ")),'Catalog'!$C:$C,0)),""))))</f>
        <v>4409001</v>
      </c>
      <c r="H1593" s="7" t="str">
        <f aca="false">IFERROR(INDEX('TRANS'!$C:$C,MATCH($B1593,'TRANS'!$A:$A,0)),IFERROR(INDEX('Catalog'!$B:$B,MATCH($G1593,'Catalog'!$A:$A,0)),$B1593))</f>
        <v>365  X-Lטבעת אלסטית מסיליקון</v>
      </c>
      <c r="I1593" s="7" t="str">
        <f aca="false">IF($G1593="","Unmatched","Matched")</f>
        <v>Matched</v>
      </c>
      <c r="J1593" s="7" t="n">
        <f aca="false">IF($G1593&lt;&gt;"",$G1593,$B1593)</f>
        <v>4409001</v>
      </c>
      <c r="K1593" s="7" t="str">
        <f aca="false">IF(COUNTIF($O$2:$O$16,$A1593)&gt;0,"Y","N")</f>
        <v>Y</v>
      </c>
    </row>
    <row r="1594" customFormat="false" ht="15" hidden="false" customHeight="false" outlineLevel="0" collapsed="false">
      <c r="A1594" s="7" t="s">
        <v>44</v>
      </c>
      <c r="B1594" s="7" t="s">
        <v>317</v>
      </c>
      <c r="C1594" s="8" t="n">
        <v>180</v>
      </c>
      <c r="D1594" s="8" t="n">
        <v>1530.52</v>
      </c>
      <c r="E1594" s="8" t="n">
        <v>168</v>
      </c>
      <c r="F1594" s="8" t="n">
        <v>1416.58</v>
      </c>
      <c r="G1594" s="7" t="n">
        <f aca="false">IFERROR(INDEX('TRANS'!$B:$B,MATCH($B1594,'TRANS'!$A:$A,0)),IFERROR(INDEX('TRANS'!$B:$B,MATCH(TRIM(SUBSTITUTE($B1594,CHAR(160)," ")),'TRANS'!$D:$D,0)),IFERROR(INDEX('Catalog'!$A:$A,MATCH($B1594,'Catalog'!$B:$B,0)),IFERROR(INDEX('Catalog'!$A:$A,MATCH(TRIM(SUBSTITUTE($B1594,CHAR(160)," ")),'Catalog'!$C:$C,0)),""))))</f>
        <v>4421000</v>
      </c>
      <c r="H1594" s="7" t="str">
        <f aca="false">IFERROR(INDEX('TRANS'!$C:$C,MATCH($B1594,'TRANS'!$A:$A,0)),IFERROR(INDEX('Catalog'!$B:$B,MATCH($G1594,'Catalog'!$A:$A,0)),$B1594))</f>
        <v>3655 שרוול מסיליקון לאצבע</v>
      </c>
      <c r="I1594" s="7" t="str">
        <f aca="false">IF($G1594="","Unmatched","Matched")</f>
        <v>Matched</v>
      </c>
      <c r="J1594" s="7" t="n">
        <f aca="false">IF($G1594&lt;&gt;"",$G1594,$B1594)</f>
        <v>4421000</v>
      </c>
      <c r="K1594" s="7" t="str">
        <f aca="false">IF(COUNTIF($O$2:$O$16,$A1594)&gt;0,"Y","N")</f>
        <v>Y</v>
      </c>
    </row>
    <row r="1595" customFormat="false" ht="15" hidden="false" customHeight="false" outlineLevel="0" collapsed="false">
      <c r="A1595" s="7" t="s">
        <v>44</v>
      </c>
      <c r="B1595" s="7" t="s">
        <v>685</v>
      </c>
      <c r="C1595" s="8" t="n">
        <v>111</v>
      </c>
      <c r="D1595" s="8" t="n">
        <v>2082.05</v>
      </c>
      <c r="E1595" s="8" t="n">
        <v>58</v>
      </c>
      <c r="F1595" s="8" t="n">
        <v>1083.2</v>
      </c>
      <c r="G1595" s="7" t="n">
        <f aca="false">IFERROR(INDEX('TRANS'!$B:$B,MATCH($B1595,'TRANS'!$A:$A,0)),IFERROR(INDEX('TRANS'!$B:$B,MATCH(TRIM(SUBSTITUTE($B1595,CHAR(160)," ")),'TRANS'!$D:$D,0)),IFERROR(INDEX('Catalog'!$A:$A,MATCH($B1595,'Catalog'!$B:$B,0)),IFERROR(INDEX('Catalog'!$A:$A,MATCH(TRIM(SUBSTITUTE($B1595,CHAR(160)," ")),'Catalog'!$C:$C,0)),""))))</f>
        <v>4413340</v>
      </c>
      <c r="H1595" s="7" t="str">
        <f aca="false">IFERROR(INDEX('TRANS'!$C:$C,MATCH($B1595,'TRANS'!$A:$A,0)),IFERROR(INDEX('Catalog'!$B:$B,MATCH($G1595,'Catalog'!$A:$A,0)),$B1595))</f>
        <v>3666 מפריד הלוקס</v>
      </c>
      <c r="I1595" s="7" t="str">
        <f aca="false">IF($G1595="","Unmatched","Matched")</f>
        <v>Matched</v>
      </c>
      <c r="J1595" s="7" t="n">
        <f aca="false">IF($G1595&lt;&gt;"",$G1595,$B1595)</f>
        <v>4413340</v>
      </c>
      <c r="K1595" s="7" t="str">
        <f aca="false">IF(COUNTIF($O$2:$O$16,$A1595)&gt;0,"Y","N")</f>
        <v>Y</v>
      </c>
    </row>
    <row r="1596" customFormat="false" ht="15" hidden="false" customHeight="false" outlineLevel="0" collapsed="false">
      <c r="A1596" s="7" t="s">
        <v>44</v>
      </c>
      <c r="B1596" s="7" t="s">
        <v>398</v>
      </c>
      <c r="C1596" s="8" t="n">
        <v>64</v>
      </c>
      <c r="D1596" s="8" t="n">
        <v>991.77</v>
      </c>
      <c r="E1596" s="8" t="n">
        <v>47</v>
      </c>
      <c r="F1596" s="8" t="n">
        <v>736.27</v>
      </c>
      <c r="G1596" s="7" t="n">
        <f aca="false">IFERROR(INDEX('TRANS'!$B:$B,MATCH($B1596,'TRANS'!$A:$A,0)),IFERROR(INDEX('TRANS'!$B:$B,MATCH(TRIM(SUBSTITUTE($B1596,CHAR(160)," ")),'TRANS'!$D:$D,0)),IFERROR(INDEX('Catalog'!$A:$A,MATCH($B1596,'Catalog'!$B:$B,0)),IFERROR(INDEX('Catalog'!$A:$A,MATCH(TRIM(SUBSTITUTE($B1596,CHAR(160)," ")),'Catalog'!$C:$C,0)),""))))</f>
        <v>4413307</v>
      </c>
      <c r="H1596" s="7" t="str">
        <f aca="false">IFERROR(INDEX('TRANS'!$C:$C,MATCH($B1596,'TRANS'!$A:$A,0)),IFERROR(INDEX('Catalog'!$B:$B,MATCH($G1596,'Catalog'!$A:$A,0)),$B1596))</f>
        <v>URI 3667 מגן בוניון</v>
      </c>
      <c r="I1596" s="7" t="str">
        <f aca="false">IF($G1596="","Unmatched","Matched")</f>
        <v>Matched</v>
      </c>
      <c r="J1596" s="7" t="n">
        <f aca="false">IF($G1596&lt;&gt;"",$G1596,$B1596)</f>
        <v>4413307</v>
      </c>
      <c r="K1596" s="7" t="str">
        <f aca="false">IF(COUNTIF($O$2:$O$16,$A1596)&gt;0,"Y","N")</f>
        <v>Y</v>
      </c>
    </row>
    <row r="1597" customFormat="false" ht="15" hidden="false" customHeight="false" outlineLevel="0" collapsed="false">
      <c r="A1597" s="7" t="s">
        <v>44</v>
      </c>
      <c r="B1597" s="7" t="s">
        <v>318</v>
      </c>
      <c r="C1597" s="8" t="n">
        <v>9</v>
      </c>
      <c r="D1597" s="8" t="n">
        <v>65.79</v>
      </c>
      <c r="E1597" s="8" t="n">
        <v>12</v>
      </c>
      <c r="F1597" s="8" t="n">
        <v>90.98</v>
      </c>
      <c r="G1597" s="7" t="n">
        <f aca="false">IFERROR(INDEX('TRANS'!$B:$B,MATCH($B1597,'TRANS'!$A:$A,0)),IFERROR(INDEX('TRANS'!$B:$B,MATCH(TRIM(SUBSTITUTE($B1597,CHAR(160)," ")),'TRANS'!$D:$D,0)),IFERROR(INDEX('Catalog'!$A:$A,MATCH($B1597,'Catalog'!$B:$B,0)),IFERROR(INDEX('Catalog'!$A:$A,MATCH(TRIM(SUBSTITUTE($B1597,CHAR(160)," ")),'Catalog'!$C:$C,0)),""))))</f>
        <v>4413063</v>
      </c>
      <c r="H1597" s="7" t="str">
        <f aca="false">IFERROR(INDEX('TRANS'!$C:$C,MATCH($B1597,'TRANS'!$A:$A,0)),IFERROR(INDEX('Catalog'!$B:$B,MATCH($G1597,'Catalog'!$A:$A,0)),$B1597))</f>
        <v>366S-'מדבק.לשחרור לחץ מיבלת2יח</v>
      </c>
      <c r="I1597" s="7" t="str">
        <f aca="false">IF($G1597="","Unmatched","Matched")</f>
        <v>Matched</v>
      </c>
      <c r="J1597" s="7" t="n">
        <f aca="false">IF($G1597&lt;&gt;"",$G1597,$B1597)</f>
        <v>4413063</v>
      </c>
      <c r="K1597" s="7" t="str">
        <f aca="false">IF(COUNTIF($O$2:$O$16,$A1597)&gt;0,"Y","N")</f>
        <v>Y</v>
      </c>
    </row>
    <row r="1598" customFormat="false" ht="15" hidden="false" customHeight="false" outlineLevel="0" collapsed="false">
      <c r="A1598" s="7" t="s">
        <v>44</v>
      </c>
      <c r="B1598" s="7" t="s">
        <v>634</v>
      </c>
      <c r="C1598" s="8" t="n">
        <v>8</v>
      </c>
      <c r="D1598" s="8" t="n">
        <v>149.96</v>
      </c>
      <c r="E1598" s="8" t="n">
        <v>0</v>
      </c>
      <c r="F1598" s="8" t="n">
        <v>0</v>
      </c>
      <c r="G1598" s="7" t="n">
        <f aca="false">IFERROR(INDEX('TRANS'!$B:$B,MATCH($B1598,'TRANS'!$A:$A,0)),IFERROR(INDEX('TRANS'!$B:$B,MATCH(TRIM(SUBSTITUTE($B1598,CHAR(160)," ")),'TRANS'!$D:$D,0)),IFERROR(INDEX('Catalog'!$A:$A,MATCH($B1598,'Catalog'!$B:$B,0)),IFERROR(INDEX('Catalog'!$A:$A,MATCH(TRIM(SUBSTITUTE($B1598,CHAR(160)," ")),'Catalog'!$C:$C,0)),""))))</f>
        <v>4421003</v>
      </c>
      <c r="H1598" s="7" t="str">
        <f aca="false">IFERROR(INDEX('TRANS'!$C:$C,MATCH($B1598,'TRANS'!$A:$A,0)),IFERROR(INDEX('Catalog'!$B:$B,MATCH($G1598,'Catalog'!$A:$A,0)),$B1598))</f>
        <v>3672 שרוול מגן לבוניון</v>
      </c>
      <c r="I1598" s="7" t="str">
        <f aca="false">IF($G1598="","Unmatched","Matched")</f>
        <v>Matched</v>
      </c>
      <c r="J1598" s="7" t="n">
        <f aca="false">IF($G1598&lt;&gt;"",$G1598,$B1598)</f>
        <v>4421003</v>
      </c>
      <c r="K1598" s="7" t="str">
        <f aca="false">IF(COUNTIF($O$2:$O$16,$A1598)&gt;0,"Y","N")</f>
        <v>Y</v>
      </c>
    </row>
    <row r="1599" customFormat="false" ht="15" hidden="false" customHeight="false" outlineLevel="0" collapsed="false">
      <c r="A1599" s="7" t="s">
        <v>44</v>
      </c>
      <c r="B1599" s="7" t="s">
        <v>399</v>
      </c>
      <c r="C1599" s="8" t="n">
        <v>490</v>
      </c>
      <c r="D1599" s="8" t="n">
        <v>8035.34</v>
      </c>
      <c r="E1599" s="8" t="n">
        <v>397</v>
      </c>
      <c r="F1599" s="8" t="n">
        <v>6398.51</v>
      </c>
      <c r="G1599" s="7" t="n">
        <f aca="false">IFERROR(INDEX('TRANS'!$B:$B,MATCH($B1599,'TRANS'!$A:$A,0)),IFERROR(INDEX('TRANS'!$B:$B,MATCH(TRIM(SUBSTITUTE($B1599,CHAR(160)," ")),'TRANS'!$D:$D,0)),IFERROR(INDEX('Catalog'!$A:$A,MATCH($B1599,'Catalog'!$B:$B,0)),IFERROR(INDEX('Catalog'!$A:$A,MATCH(TRIM(SUBSTITUTE($B1599,CHAR(160)," ")),'Catalog'!$C:$C,0)),""))))</f>
        <v>4413370</v>
      </c>
      <c r="H1599" s="7" t="str">
        <f aca="false">IFERROR(INDEX('TRANS'!$C:$C,MATCH($B1599,'TRANS'!$A:$A,0)),IFERROR(INDEX('Catalog'!$B:$B,MATCH($G1599,'Catalog'!$A:$A,0)),$B1599))</f>
        <v>3674 0 מ.בוניון+מפריד אצבע</v>
      </c>
      <c r="I1599" s="7" t="str">
        <f aca="false">IF($G1599="","Unmatched","Matched")</f>
        <v>Matched</v>
      </c>
      <c r="J1599" s="7" t="n">
        <f aca="false">IF($G1599&lt;&gt;"",$G1599,$B1599)</f>
        <v>4413370</v>
      </c>
      <c r="K1599" s="7" t="str">
        <f aca="false">IF(COUNTIF($O$2:$O$16,$A1599)&gt;0,"Y","N")</f>
        <v>Y</v>
      </c>
    </row>
    <row r="1600" customFormat="false" ht="15" hidden="false" customHeight="false" outlineLevel="0" collapsed="false">
      <c r="A1600" s="7" t="s">
        <v>44</v>
      </c>
      <c r="B1600" s="7" t="s">
        <v>400</v>
      </c>
      <c r="C1600" s="8" t="n">
        <v>4</v>
      </c>
      <c r="D1600" s="8" t="n">
        <v>55.9</v>
      </c>
      <c r="E1600" s="8" t="n">
        <v>0</v>
      </c>
      <c r="F1600" s="8" t="n">
        <v>0</v>
      </c>
      <c r="G1600" s="7" t="n">
        <f aca="false">IFERROR(INDEX('TRANS'!$B:$B,MATCH($B1600,'TRANS'!$A:$A,0)),IFERROR(INDEX('TRANS'!$B:$B,MATCH(TRIM(SUBSTITUTE($B1600,CHAR(160)," ")),'TRANS'!$D:$D,0)),IFERROR(INDEX('Catalog'!$A:$A,MATCH($B1600,'Catalog'!$B:$B,0)),IFERROR(INDEX('Catalog'!$A:$A,MATCH(TRIM(SUBSTITUTE($B1600,CHAR(160)," ")),'Catalog'!$C:$C,0)),""))))</f>
        <v>4413371</v>
      </c>
      <c r="H1600" s="7" t="str">
        <f aca="false">IFERROR(INDEX('TRANS'!$C:$C,MATCH($B1600,'TRANS'!$A:$A,0)),IFERROR(INDEX('Catalog'!$B:$B,MATCH($G1600,'Catalog'!$A:$A,0)),$B1600))</f>
        <v>3675    מגן זרת מסיליקון</v>
      </c>
      <c r="I1600" s="7" t="str">
        <f aca="false">IF($G1600="","Unmatched","Matched")</f>
        <v>Matched</v>
      </c>
      <c r="J1600" s="7" t="n">
        <f aca="false">IF($G1600&lt;&gt;"",$G1600,$B1600)</f>
        <v>4413371</v>
      </c>
      <c r="K1600" s="7" t="str">
        <f aca="false">IF(COUNTIF($O$2:$O$16,$A1600)&gt;0,"Y","N")</f>
        <v>Y</v>
      </c>
    </row>
    <row r="1601" customFormat="false" ht="15" hidden="false" customHeight="false" outlineLevel="0" collapsed="false">
      <c r="A1601" s="7" t="s">
        <v>44</v>
      </c>
      <c r="B1601" s="7" t="s">
        <v>319</v>
      </c>
      <c r="C1601" s="8" t="n">
        <v>11</v>
      </c>
      <c r="D1601" s="8" t="n">
        <v>107.18</v>
      </c>
      <c r="E1601" s="8" t="n">
        <v>17</v>
      </c>
      <c r="F1601" s="8" t="n">
        <v>160.42</v>
      </c>
      <c r="G1601" s="7" t="n">
        <f aca="false">IFERROR(INDEX('TRANS'!$B:$B,MATCH($B1601,'TRANS'!$A:$A,0)),IFERROR(INDEX('TRANS'!$B:$B,MATCH(TRIM(SUBSTITUTE($B1601,CHAR(160)," ")),'TRANS'!$D:$D,0)),IFERROR(INDEX('Catalog'!$A:$A,MATCH($B1601,'Catalog'!$B:$B,0)),IFERROR(INDEX('Catalog'!$A:$A,MATCH(TRIM(SUBSTITUTE($B1601,CHAR(160)," ")),'Catalog'!$C:$C,0)),""))))</f>
        <v>4413066</v>
      </c>
      <c r="H1601" s="7" t="str">
        <f aca="false">IFERROR(INDEX('TRANS'!$C:$C,MATCH($B1601,'TRANS'!$A:$A,0)),IFERROR(INDEX('Catalog'!$B:$B,MATCH($G1601,'Catalog'!$A:$A,0)),$B1601))</f>
        <v>3677S-מד.לשחרור לחץ א.הבוניון</v>
      </c>
      <c r="I1601" s="7" t="str">
        <f aca="false">IF($G1601="","Unmatched","Matched")</f>
        <v>Matched</v>
      </c>
      <c r="J1601" s="7" t="n">
        <f aca="false">IF($G1601&lt;&gt;"",$G1601,$B1601)</f>
        <v>4413066</v>
      </c>
      <c r="K1601" s="7" t="str">
        <f aca="false">IF(COUNTIF($O$2:$O$16,$A1601)&gt;0,"Y","N")</f>
        <v>Y</v>
      </c>
    </row>
    <row r="1602" customFormat="false" ht="15" hidden="false" customHeight="false" outlineLevel="0" collapsed="false">
      <c r="A1602" s="7" t="s">
        <v>44</v>
      </c>
      <c r="B1602" s="7" t="s">
        <v>320</v>
      </c>
      <c r="C1602" s="8" t="n">
        <v>255</v>
      </c>
      <c r="D1602" s="8" t="n">
        <v>2425.57</v>
      </c>
      <c r="E1602" s="8" t="n">
        <v>147</v>
      </c>
      <c r="F1602" s="8" t="n">
        <v>1384.07</v>
      </c>
      <c r="G1602" s="7" t="n">
        <f aca="false">IFERROR(INDEX('TRANS'!$B:$B,MATCH($B1602,'TRANS'!$A:$A,0)),IFERROR(INDEX('TRANS'!$B:$B,MATCH(TRIM(SUBSTITUTE($B1602,CHAR(160)," ")),'TRANS'!$D:$D,0)),IFERROR(INDEX('Catalog'!$A:$A,MATCH($B1602,'Catalog'!$B:$B,0)),IFERROR(INDEX('Catalog'!$A:$A,MATCH(TRIM(SUBSTITUTE($B1602,CHAR(160)," ")),'Catalog'!$C:$C,0)),""))))</f>
        <v>4401000</v>
      </c>
      <c r="H1602" s="7" t="str">
        <f aca="false">IFERROR(INDEX('TRANS'!$C:$C,MATCH($B1602,'TRANS'!$A:$A,0)),IFERROR(INDEX('Catalog'!$B:$B,MATCH($G1602,'Catalog'!$A:$A,0)),$B1602))</f>
        <v>369  S-L אצבעון מסיליקון יחידה</v>
      </c>
      <c r="I1602" s="7" t="str">
        <f aca="false">IF($G1602="","Unmatched","Matched")</f>
        <v>Matched</v>
      </c>
      <c r="J1602" s="7" t="n">
        <f aca="false">IF($G1602&lt;&gt;"",$G1602,$B1602)</f>
        <v>4401000</v>
      </c>
      <c r="K1602" s="7" t="str">
        <f aca="false">IF(COUNTIF($O$2:$O$16,$A1602)&gt;0,"Y","N")</f>
        <v>Y</v>
      </c>
    </row>
    <row r="1603" customFormat="false" ht="15" hidden="false" customHeight="false" outlineLevel="0" collapsed="false">
      <c r="A1603" s="7" t="s">
        <v>44</v>
      </c>
      <c r="B1603" s="7" t="s">
        <v>321</v>
      </c>
      <c r="C1603" s="8" t="n">
        <v>225</v>
      </c>
      <c r="D1603" s="8" t="n">
        <v>2338.67</v>
      </c>
      <c r="E1603" s="8" t="n">
        <v>121</v>
      </c>
      <c r="F1603" s="8" t="n">
        <v>1257.76</v>
      </c>
      <c r="G1603" s="7" t="n">
        <f aca="false">IFERROR(INDEX('TRANS'!$B:$B,MATCH($B1603,'TRANS'!$A:$A,0)),IFERROR(INDEX('TRANS'!$B:$B,MATCH(TRIM(SUBSTITUTE($B1603,CHAR(160)," ")),'TRANS'!$D:$D,0)),IFERROR(INDEX('Catalog'!$A:$A,MATCH($B1603,'Catalog'!$B:$B,0)),IFERROR(INDEX('Catalog'!$A:$A,MATCH(TRIM(SUBSTITUTE($B1603,CHAR(160)," ")),'Catalog'!$C:$C,0)),""))))</f>
        <v>4401001</v>
      </c>
      <c r="H1603" s="7" t="str">
        <f aca="false">IFERROR(INDEX('TRANS'!$C:$C,MATCH($B1603,'TRANS'!$A:$A,0)),IFERROR(INDEX('Catalog'!$B:$B,MATCH($G1603,'Catalog'!$A:$A,0)),$B1603))</f>
        <v>369   XL אצבעון מסיליקון יחידה</v>
      </c>
      <c r="I1603" s="7" t="str">
        <f aca="false">IF($G1603="","Unmatched","Matched")</f>
        <v>Matched</v>
      </c>
      <c r="J1603" s="7" t="n">
        <f aca="false">IF($G1603&lt;&gt;"",$G1603,$B1603)</f>
        <v>4401001</v>
      </c>
      <c r="K1603" s="7" t="str">
        <f aca="false">IF(COUNTIF($O$2:$O$16,$A1603)&gt;0,"Y","N")</f>
        <v>Y</v>
      </c>
    </row>
    <row r="1604" customFormat="false" ht="15" hidden="false" customHeight="false" outlineLevel="0" collapsed="false">
      <c r="A1604" s="7" t="s">
        <v>44</v>
      </c>
      <c r="B1604" s="7" t="s">
        <v>457</v>
      </c>
      <c r="C1604" s="8" t="n">
        <v>105</v>
      </c>
      <c r="D1604" s="8" t="n">
        <v>4839.78</v>
      </c>
      <c r="E1604" s="8" t="n">
        <v>46</v>
      </c>
      <c r="F1604" s="8" t="n">
        <v>1854.41</v>
      </c>
      <c r="G1604" s="7" t="n">
        <f aca="false">IFERROR(INDEX('TRANS'!$B:$B,MATCH($B1604,'TRANS'!$A:$A,0)),IFERROR(INDEX('TRANS'!$B:$B,MATCH(TRIM(SUBSTITUTE($B1604,CHAR(160)," ")),'TRANS'!$D:$D,0)),IFERROR(INDEX('Catalog'!$A:$A,MATCH($B1604,'Catalog'!$B:$B,0)),IFERROR(INDEX('Catalog'!$A:$A,MATCH(TRIM(SUBSTITUTE($B1604,CHAR(160)," ")),'Catalog'!$C:$C,0)),""))))</f>
        <v>4413523</v>
      </c>
      <c r="H1604" s="7" t="str">
        <f aca="false">IFERROR(INDEX('TRANS'!$C:$C,MATCH($B1604,'TRANS'!$A:$A,0)),IFERROR(INDEX('Catalog'!$B:$B,MATCH($G1604,'Catalog'!$A:$A,0)),$B1604))</f>
        <v>35-38 מדרסי אפיק ג'ל נוחות</v>
      </c>
      <c r="I1604" s="7" t="str">
        <f aca="false">IF($G1604="","Unmatched","Matched")</f>
        <v>Matched</v>
      </c>
      <c r="J1604" s="7" t="n">
        <f aca="false">IF($G1604&lt;&gt;"",$G1604,$B1604)</f>
        <v>4413523</v>
      </c>
      <c r="K1604" s="7" t="str">
        <f aca="false">IF(COUNTIF($O$2:$O$16,$A1604)&gt;0,"Y","N")</f>
        <v>Y</v>
      </c>
    </row>
    <row r="1605" customFormat="false" ht="15" hidden="false" customHeight="false" outlineLevel="0" collapsed="false">
      <c r="A1605" s="7" t="s">
        <v>44</v>
      </c>
      <c r="B1605" s="7" t="s">
        <v>458</v>
      </c>
      <c r="C1605" s="8" t="n">
        <v>125</v>
      </c>
      <c r="D1605" s="8" t="n">
        <v>5731.88</v>
      </c>
      <c r="E1605" s="8" t="n">
        <v>37</v>
      </c>
      <c r="F1605" s="8" t="n">
        <v>1497.79</v>
      </c>
      <c r="G1605" s="7" t="n">
        <f aca="false">IFERROR(INDEX('TRANS'!$B:$B,MATCH($B1605,'TRANS'!$A:$A,0)),IFERROR(INDEX('TRANS'!$B:$B,MATCH(TRIM(SUBSTITUTE($B1605,CHAR(160)," ")),'TRANS'!$D:$D,0)),IFERROR(INDEX('Catalog'!$A:$A,MATCH($B1605,'Catalog'!$B:$B,0)),IFERROR(INDEX('Catalog'!$A:$A,MATCH(TRIM(SUBSTITUTE($B1605,CHAR(160)," ")),'Catalog'!$C:$C,0)),""))))</f>
        <v>4413524</v>
      </c>
      <c r="H1605" s="7" t="str">
        <f aca="false">IFERROR(INDEX('TRANS'!$C:$C,MATCH($B1605,'TRANS'!$A:$A,0)),IFERROR(INDEX('Catalog'!$B:$B,MATCH($G1605,'Catalog'!$A:$A,0)),$B1605))</f>
        <v>39-42 מדרסי אפיק ג'ל נוחות</v>
      </c>
      <c r="I1605" s="7" t="str">
        <f aca="false">IF($G1605="","Unmatched","Matched")</f>
        <v>Matched</v>
      </c>
      <c r="J1605" s="7" t="n">
        <f aca="false">IF($G1605&lt;&gt;"",$G1605,$B1605)</f>
        <v>4413524</v>
      </c>
      <c r="K1605" s="7" t="str">
        <f aca="false">IF(COUNTIF($O$2:$O$16,$A1605)&gt;0,"Y","N")</f>
        <v>Y</v>
      </c>
    </row>
    <row r="1606" customFormat="false" ht="15" hidden="false" customHeight="false" outlineLevel="0" collapsed="false">
      <c r="A1606" s="7" t="s">
        <v>44</v>
      </c>
      <c r="B1606" s="7" t="s">
        <v>459</v>
      </c>
      <c r="C1606" s="8" t="n">
        <v>101</v>
      </c>
      <c r="D1606" s="8" t="n">
        <v>4660.82</v>
      </c>
      <c r="E1606" s="8" t="n">
        <v>11</v>
      </c>
      <c r="F1606" s="8" t="n">
        <v>445.19</v>
      </c>
      <c r="G1606" s="7" t="n">
        <f aca="false">IFERROR(INDEX('TRANS'!$B:$B,MATCH($B1606,'TRANS'!$A:$A,0)),IFERROR(INDEX('TRANS'!$B:$B,MATCH(TRIM(SUBSTITUTE($B1606,CHAR(160)," ")),'TRANS'!$D:$D,0)),IFERROR(INDEX('Catalog'!$A:$A,MATCH($B1606,'Catalog'!$B:$B,0)),IFERROR(INDEX('Catalog'!$A:$A,MATCH(TRIM(SUBSTITUTE($B1606,CHAR(160)," ")),'Catalog'!$C:$C,0)),""))))</f>
        <v>4413525</v>
      </c>
      <c r="H1606" s="7" t="str">
        <f aca="false">IFERROR(INDEX('TRANS'!$C:$C,MATCH($B1606,'TRANS'!$A:$A,0)),IFERROR(INDEX('Catalog'!$B:$B,MATCH($G1606,'Catalog'!$A:$A,0)),$B1606))</f>
        <v>43-47 מדרסי אפיק ג'ל נוחות</v>
      </c>
      <c r="I1606" s="7" t="str">
        <f aca="false">IF($G1606="","Unmatched","Matched")</f>
        <v>Matched</v>
      </c>
      <c r="J1606" s="7" t="n">
        <f aca="false">IF($G1606&lt;&gt;"",$G1606,$B1606)</f>
        <v>4413525</v>
      </c>
      <c r="K1606" s="7" t="str">
        <f aca="false">IF(COUNTIF($O$2:$O$16,$A1606)&gt;0,"Y","N")</f>
        <v>Y</v>
      </c>
    </row>
    <row r="1607" customFormat="false" ht="15" hidden="false" customHeight="false" outlineLevel="0" collapsed="false">
      <c r="A1607" s="7" t="s">
        <v>44</v>
      </c>
      <c r="B1607" s="7" t="s">
        <v>402</v>
      </c>
      <c r="C1607" s="8" t="n">
        <v>1</v>
      </c>
      <c r="D1607" s="8" t="n">
        <v>0.04</v>
      </c>
      <c r="E1607" s="8" t="n">
        <v>0</v>
      </c>
      <c r="F1607" s="8" t="n">
        <v>0</v>
      </c>
      <c r="G1607" s="7" t="n">
        <f aca="false">IFERROR(INDEX('TRANS'!$B:$B,MATCH($B1607,'TRANS'!$A:$A,0)),IFERROR(INDEX('TRANS'!$B:$B,MATCH(TRIM(SUBSTITUTE($B1607,CHAR(160)," ")),'TRANS'!$D:$D,0)),IFERROR(INDEX('Catalog'!$A:$A,MATCH($B1607,'Catalog'!$B:$B,0)),IFERROR(INDEX('Catalog'!$A:$A,MATCH(TRIM(SUBSTITUTE($B1607,CHAR(160)," ")),'Catalog'!$C:$C,0)),""))))</f>
        <v>4413521</v>
      </c>
      <c r="H1607" s="7" t="str">
        <f aca="false">IFERROR(INDEX('TRANS'!$C:$C,MATCH($B1607,'TRANS'!$A:$A,0)),IFERROR(INDEX('Catalog'!$B:$B,MATCH($G1607,'Catalog'!$A:$A,0)),$B1607))</f>
        <v>מדרסי אפיק ג'ל מולטי ספור39-42</v>
      </c>
      <c r="I1607" s="7" t="str">
        <f aca="false">IF($G1607="","Unmatched","Matched")</f>
        <v>Matched</v>
      </c>
      <c r="J1607" s="7" t="n">
        <f aca="false">IF($G1607&lt;&gt;"",$G1607,$B1607)</f>
        <v>4413521</v>
      </c>
      <c r="K1607" s="7" t="str">
        <f aca="false">IF(COUNTIF($O$2:$O$16,$A1607)&gt;0,"Y","N")</f>
        <v>Y</v>
      </c>
    </row>
    <row r="1608" customFormat="false" ht="15" hidden="false" customHeight="false" outlineLevel="0" collapsed="false">
      <c r="A1608" s="7" t="s">
        <v>44</v>
      </c>
      <c r="B1608" s="7" t="s">
        <v>464</v>
      </c>
      <c r="C1608" s="8" t="n">
        <v>337</v>
      </c>
      <c r="D1608" s="8" t="n">
        <v>11873.87</v>
      </c>
      <c r="E1608" s="8" t="n">
        <v>239</v>
      </c>
      <c r="F1608" s="8" t="n">
        <v>7470.49</v>
      </c>
      <c r="G1608" s="7" t="n">
        <f aca="false">IFERROR(INDEX('TRANS'!$B:$B,MATCH($B1608,'TRANS'!$A:$A,0)),IFERROR(INDEX('TRANS'!$B:$B,MATCH(TRIM(SUBSTITUTE($B1608,CHAR(160)," ")),'TRANS'!$D:$D,0)),IFERROR(INDEX('Catalog'!$A:$A,MATCH($B1608,'Catalog'!$B:$B,0)),IFERROR(INDEX('Catalog'!$A:$A,MATCH(TRIM(SUBSTITUTE($B1608,CHAR(160)," ")),'Catalog'!$C:$C,0)),""))))</f>
        <v>4415298</v>
      </c>
      <c r="H1608" s="7" t="str">
        <f aca="false">IFERROR(INDEX('TRANS'!$C:$C,MATCH($B1608,'TRANS'!$A:$A,0)),IFERROR(INDEX('Catalog'!$B:$B,MATCH($G1608,'Catalog'!$A:$A,0)),$B1608))</f>
        <v>388B L סד לילה שחור לבוהן שמאל</v>
      </c>
      <c r="I1608" s="7" t="str">
        <f aca="false">IF($G1608="","Unmatched","Matched")</f>
        <v>Matched</v>
      </c>
      <c r="J1608" s="7" t="n">
        <f aca="false">IF($G1608&lt;&gt;"",$G1608,$B1608)</f>
        <v>4415298</v>
      </c>
      <c r="K1608" s="7" t="str">
        <f aca="false">IF(COUNTIF($O$2:$O$16,$A1608)&gt;0,"Y","N")</f>
        <v>Y</v>
      </c>
    </row>
    <row r="1609" customFormat="false" ht="15" hidden="false" customHeight="false" outlineLevel="0" collapsed="false">
      <c r="A1609" s="7" t="s">
        <v>44</v>
      </c>
      <c r="B1609" s="7" t="s">
        <v>465</v>
      </c>
      <c r="C1609" s="8" t="n">
        <v>336</v>
      </c>
      <c r="D1609" s="8" t="n">
        <v>11888.73</v>
      </c>
      <c r="E1609" s="8" t="n">
        <v>259</v>
      </c>
      <c r="F1609" s="8" t="n">
        <v>8116.07</v>
      </c>
      <c r="G1609" s="7" t="n">
        <f aca="false">IFERROR(INDEX('TRANS'!$B:$B,MATCH($B1609,'TRANS'!$A:$A,0)),IFERROR(INDEX('TRANS'!$B:$B,MATCH(TRIM(SUBSTITUTE($B1609,CHAR(160)," ")),'TRANS'!$D:$D,0)),IFERROR(INDEX('Catalog'!$A:$A,MATCH($B1609,'Catalog'!$B:$B,0)),IFERROR(INDEX('Catalog'!$A:$A,MATCH(TRIM(SUBSTITUTE($B1609,CHAR(160)," ")),'Catalog'!$C:$C,0)),""))))</f>
        <v>4415299</v>
      </c>
      <c r="H1609" s="7" t="str">
        <f aca="false">IFERROR(INDEX('TRANS'!$C:$C,MATCH($B1609,'TRANS'!$A:$A,0)),IFERROR(INDEX('Catalog'!$B:$B,MATCH($G1609,'Catalog'!$A:$A,0)),$B1609))</f>
        <v>388B L סד לילה שחור לבוהן ימין</v>
      </c>
      <c r="I1609" s="7" t="str">
        <f aca="false">IF($G1609="","Unmatched","Matched")</f>
        <v>Matched</v>
      </c>
      <c r="J1609" s="7" t="n">
        <f aca="false">IF($G1609&lt;&gt;"",$G1609,$B1609)</f>
        <v>4415299</v>
      </c>
      <c r="K1609" s="7" t="str">
        <f aca="false">IF(COUNTIF($O$2:$O$16,$A1609)&gt;0,"Y","N")</f>
        <v>Y</v>
      </c>
    </row>
    <row r="1610" customFormat="false" ht="15" hidden="false" customHeight="false" outlineLevel="0" collapsed="false">
      <c r="A1610" s="7" t="s">
        <v>44</v>
      </c>
      <c r="B1610" s="7" t="s">
        <v>182</v>
      </c>
      <c r="C1610" s="8" t="n">
        <v>1</v>
      </c>
      <c r="D1610" s="8" t="n">
        <v>0.04</v>
      </c>
      <c r="E1610" s="8" t="n">
        <v>0</v>
      </c>
      <c r="F1610" s="8" t="n">
        <v>0</v>
      </c>
      <c r="G1610" s="7" t="str">
        <f aca="false">IFERROR(INDEX('TRANS'!$B:$B,MATCH($B1610,'TRANS'!$A:$A,0)),IFERROR(INDEX('TRANS'!$B:$B,MATCH(TRIM(SUBSTITUTE($B1610,CHAR(160)," ")),'TRANS'!$D:$D,0)),IFERROR(INDEX('Catalog'!$A:$A,MATCH($B1610,'Catalog'!$B:$B,0)),IFERROR(INDEX('Catalog'!$A:$A,MATCH(TRIM(SUBSTITUTE($B1610,CHAR(160)," ")),'Catalog'!$C:$C,0)),""))))</f>
        <v/>
      </c>
      <c r="H1610" s="7" t="str">
        <f aca="false">IFERROR(INDEX('TRANS'!$C:$C,MATCH($B1610,'TRANS'!$A:$A,0)),IFERROR(INDEX('Catalog'!$B:$B,MATCH($G1610,'Catalog'!$A:$A,0)),$B1610))</f>
        <v>391W-35-38</v>
      </c>
      <c r="I1610" s="7" t="str">
        <f aca="false">IF($G1610="","Unmatched","Matched")</f>
        <v>Unmatched</v>
      </c>
      <c r="J1610" s="7" t="str">
        <f aca="false">IF($G1610&lt;&gt;"",$G1610,$B1610)</f>
        <v>391W-35-38</v>
      </c>
      <c r="K1610" s="7" t="str">
        <f aca="false">IF(COUNTIF($O$2:$O$16,$A1610)&gt;0,"Y","N")</f>
        <v>Y</v>
      </c>
    </row>
    <row r="1611" customFormat="false" ht="15" hidden="false" customHeight="false" outlineLevel="0" collapsed="false">
      <c r="A1611" s="7" t="s">
        <v>44</v>
      </c>
      <c r="B1611" s="7" t="s">
        <v>472</v>
      </c>
      <c r="C1611" s="8" t="n">
        <v>1</v>
      </c>
      <c r="D1611" s="8" t="n">
        <v>0.04</v>
      </c>
      <c r="E1611" s="8" t="n">
        <v>0</v>
      </c>
      <c r="F1611" s="8" t="n">
        <v>0</v>
      </c>
      <c r="G1611" s="7" t="n">
        <f aca="false">IFERROR(INDEX('TRANS'!$B:$B,MATCH($B1611,'TRANS'!$A:$A,0)),IFERROR(INDEX('TRANS'!$B:$B,MATCH(TRIM(SUBSTITUTE($B1611,CHAR(160)," ")),'TRANS'!$D:$D,0)),IFERROR(INDEX('Catalog'!$A:$A,MATCH($B1611,'Catalog'!$B:$B,0)),IFERROR(INDEX('Catalog'!$A:$A,MATCH(TRIM(SUBSTITUTE($B1611,CHAR(160)," ")),'Catalog'!$C:$C,0)),""))))</f>
        <v>4403045</v>
      </c>
      <c r="H1611" s="7" t="str">
        <f aca="false">IFERROR(INDEX('TRANS'!$C:$C,MATCH($B1611,'TRANS'!$A:$A,0)),IFERROR(INDEX('Catalog'!$B:$B,MATCH($G1611,'Catalog'!$A:$A,0)),$B1611))</f>
        <v>395B גרבי קיץ אנטי בקטריא43-46</v>
      </c>
      <c r="I1611" s="7" t="str">
        <f aca="false">IF($G1611="","Unmatched","Matched")</f>
        <v>Matched</v>
      </c>
      <c r="J1611" s="7" t="n">
        <f aca="false">IF($G1611&lt;&gt;"",$G1611,$B1611)</f>
        <v>4403045</v>
      </c>
      <c r="K1611" s="7" t="str">
        <f aca="false">IF(COUNTIF($O$2:$O$16,$A1611)&gt;0,"Y","N")</f>
        <v>Y</v>
      </c>
    </row>
    <row r="1612" customFormat="false" ht="15" hidden="false" customHeight="false" outlineLevel="0" collapsed="false">
      <c r="A1612" s="7" t="s">
        <v>44</v>
      </c>
      <c r="B1612" s="7" t="s">
        <v>332</v>
      </c>
      <c r="C1612" s="8" t="n">
        <v>1</v>
      </c>
      <c r="D1612" s="8" t="n">
        <v>0.04</v>
      </c>
      <c r="E1612" s="8" t="n">
        <v>0</v>
      </c>
      <c r="F1612" s="8" t="n">
        <v>0</v>
      </c>
      <c r="G1612" s="7" t="n">
        <f aca="false">IFERROR(INDEX('TRANS'!$B:$B,MATCH($B1612,'TRANS'!$A:$A,0)),IFERROR(INDEX('TRANS'!$B:$B,MATCH(TRIM(SUBSTITUTE($B1612,CHAR(160)," ")),'TRANS'!$D:$D,0)),IFERROR(INDEX('Catalog'!$A:$A,MATCH($B1612,'Catalog'!$B:$B,0)),IFERROR(INDEX('Catalog'!$A:$A,MATCH(TRIM(SUBSTITUTE($B1612,CHAR(160)," ")),'Catalog'!$C:$C,0)),""))))</f>
        <v>4403043</v>
      </c>
      <c r="H1612" s="7" t="str">
        <f aca="false">IFERROR(INDEX('TRANS'!$C:$C,MATCH($B1612,'TRANS'!$A:$A,0)),IFERROR(INDEX('Catalog'!$B:$B,MATCH($G1612,'Catalog'!$A:$A,0)),$B1612))</f>
        <v>397A-גרבי טיסה אנטי בקטרי43-46</v>
      </c>
      <c r="I1612" s="7" t="str">
        <f aca="false">IF($G1612="","Unmatched","Matched")</f>
        <v>Matched</v>
      </c>
      <c r="J1612" s="7" t="n">
        <f aca="false">IF($G1612&lt;&gt;"",$G1612,$B1612)</f>
        <v>4403043</v>
      </c>
      <c r="K1612" s="7" t="str">
        <f aca="false">IF(COUNTIF($O$2:$O$16,$A1612)&gt;0,"Y","N")</f>
        <v>Y</v>
      </c>
    </row>
    <row r="1613" customFormat="false" ht="15" hidden="false" customHeight="false" outlineLevel="0" collapsed="false">
      <c r="A1613" s="7" t="s">
        <v>44</v>
      </c>
      <c r="B1613" s="7" t="s">
        <v>334</v>
      </c>
      <c r="C1613" s="8" t="n">
        <v>130</v>
      </c>
      <c r="D1613" s="8" t="n">
        <v>1341.97</v>
      </c>
      <c r="E1613" s="8" t="n">
        <v>29</v>
      </c>
      <c r="F1613" s="8" t="n">
        <v>294.18</v>
      </c>
      <c r="G1613" s="7" t="n">
        <f aca="false">IFERROR(INDEX('TRANS'!$B:$B,MATCH($B1613,'TRANS'!$A:$A,0)),IFERROR(INDEX('TRANS'!$B:$B,MATCH(TRIM(SUBSTITUTE($B1613,CHAR(160)," ")),'TRANS'!$D:$D,0)),IFERROR(INDEX('Catalog'!$A:$A,MATCH($B1613,'Catalog'!$B:$B,0)),IFERROR(INDEX('Catalog'!$A:$A,MATCH(TRIM(SUBSTITUTE($B1613,CHAR(160)," ")),'Catalog'!$C:$C,0)),""))))</f>
        <v>4413092</v>
      </c>
      <c r="H1613" s="7" t="str">
        <f aca="false">IFERROR(INDEX('TRANS'!$C:$C,MATCH($B1613,'TRANS'!$A:$A,0)),IFERROR(INDEX('Catalog'!$B:$B,MATCH($G1613,'Catalog'!$A:$A,0)),$B1613))</f>
        <v>45 L מגן ברך לבן</v>
      </c>
      <c r="I1613" s="7" t="str">
        <f aca="false">IF($G1613="","Unmatched","Matched")</f>
        <v>Matched</v>
      </c>
      <c r="J1613" s="7" t="n">
        <f aca="false">IF($G1613&lt;&gt;"",$G1613,$B1613)</f>
        <v>4413092</v>
      </c>
      <c r="K1613" s="7" t="str">
        <f aca="false">IF(COUNTIF($O$2:$O$16,$A1613)&gt;0,"Y","N")</f>
        <v>Y</v>
      </c>
    </row>
    <row r="1614" customFormat="false" ht="15" hidden="false" customHeight="false" outlineLevel="0" collapsed="false">
      <c r="A1614" s="7" t="s">
        <v>44</v>
      </c>
      <c r="B1614" s="7" t="s">
        <v>335</v>
      </c>
      <c r="C1614" s="8" t="n">
        <v>82</v>
      </c>
      <c r="D1614" s="8" t="n">
        <v>856.66</v>
      </c>
      <c r="E1614" s="8" t="n">
        <v>33</v>
      </c>
      <c r="F1614" s="8" t="n">
        <v>338.39</v>
      </c>
      <c r="G1614" s="7" t="n">
        <f aca="false">IFERROR(INDEX('TRANS'!$B:$B,MATCH($B1614,'TRANS'!$A:$A,0)),IFERROR(INDEX('TRANS'!$B:$B,MATCH(TRIM(SUBSTITUTE($B1614,CHAR(160)," ")),'TRANS'!$D:$D,0)),IFERROR(INDEX('Catalog'!$A:$A,MATCH($B1614,'Catalog'!$B:$B,0)),IFERROR(INDEX('Catalog'!$A:$A,MATCH(TRIM(SUBSTITUTE($B1614,CHAR(160)," ")),'Catalog'!$C:$C,0)),""))))</f>
        <v>4413093</v>
      </c>
      <c r="H1614" s="7" t="str">
        <f aca="false">IFERROR(INDEX('TRANS'!$C:$C,MATCH($B1614,'TRANS'!$A:$A,0)),IFERROR(INDEX('Catalog'!$B:$B,MATCH($G1614,'Catalog'!$A:$A,0)),$B1614))</f>
        <v>45 M מגן ברך לבן</v>
      </c>
      <c r="I1614" s="7" t="str">
        <f aca="false">IF($G1614="","Unmatched","Matched")</f>
        <v>Matched</v>
      </c>
      <c r="J1614" s="7" t="n">
        <f aca="false">IF($G1614&lt;&gt;"",$G1614,$B1614)</f>
        <v>4413093</v>
      </c>
      <c r="K1614" s="7" t="str">
        <f aca="false">IF(COUNTIF($O$2:$O$16,$A1614)&gt;0,"Y","N")</f>
        <v>Y</v>
      </c>
    </row>
    <row r="1615" customFormat="false" ht="15" hidden="false" customHeight="false" outlineLevel="0" collapsed="false">
      <c r="A1615" s="7" t="s">
        <v>44</v>
      </c>
      <c r="B1615" s="7" t="s">
        <v>336</v>
      </c>
      <c r="C1615" s="8" t="n">
        <v>26</v>
      </c>
      <c r="D1615" s="8" t="n">
        <v>269.78</v>
      </c>
      <c r="E1615" s="8" t="n">
        <v>36</v>
      </c>
      <c r="F1615" s="8" t="n">
        <v>370.51</v>
      </c>
      <c r="G1615" s="7" t="n">
        <f aca="false">IFERROR(INDEX('TRANS'!$B:$B,MATCH($B1615,'TRANS'!$A:$A,0)),IFERROR(INDEX('TRANS'!$B:$B,MATCH(TRIM(SUBSTITUTE($B1615,CHAR(160)," ")),'TRANS'!$D:$D,0)),IFERROR(INDEX('Catalog'!$A:$A,MATCH($B1615,'Catalog'!$B:$B,0)),IFERROR(INDEX('Catalog'!$A:$A,MATCH(TRIM(SUBSTITUTE($B1615,CHAR(160)," ")),'Catalog'!$C:$C,0)),""))))</f>
        <v>4413094</v>
      </c>
      <c r="H1615" s="7" t="str">
        <f aca="false">IFERROR(INDEX('TRANS'!$C:$C,MATCH($B1615,'TRANS'!$A:$A,0)),IFERROR(INDEX('Catalog'!$B:$B,MATCH($G1615,'Catalog'!$A:$A,0)),$B1615))</f>
        <v>45 S מגן ברך לבן</v>
      </c>
      <c r="I1615" s="7" t="str">
        <f aca="false">IF($G1615="","Unmatched","Matched")</f>
        <v>Matched</v>
      </c>
      <c r="J1615" s="7" t="n">
        <f aca="false">IF($G1615&lt;&gt;"",$G1615,$B1615)</f>
        <v>4413094</v>
      </c>
      <c r="K1615" s="7" t="str">
        <f aca="false">IF(COUNTIF($O$2:$O$16,$A1615)&gt;0,"Y","N")</f>
        <v>Y</v>
      </c>
    </row>
    <row r="1616" customFormat="false" ht="15" hidden="false" customHeight="false" outlineLevel="0" collapsed="false">
      <c r="A1616" s="7" t="s">
        <v>44</v>
      </c>
      <c r="B1616" s="7" t="s">
        <v>337</v>
      </c>
      <c r="C1616" s="8" t="n">
        <v>148</v>
      </c>
      <c r="D1616" s="8" t="n">
        <v>1528.86</v>
      </c>
      <c r="E1616" s="8" t="n">
        <v>59</v>
      </c>
      <c r="F1616" s="8" t="n">
        <v>610.1</v>
      </c>
      <c r="G1616" s="7" t="n">
        <f aca="false">IFERROR(INDEX('TRANS'!$B:$B,MATCH($B1616,'TRANS'!$A:$A,0)),IFERROR(INDEX('TRANS'!$B:$B,MATCH(TRIM(SUBSTITUTE($B1616,CHAR(160)," ")),'TRANS'!$D:$D,0)),IFERROR(INDEX('Catalog'!$A:$A,MATCH($B1616,'Catalog'!$B:$B,0)),IFERROR(INDEX('Catalog'!$A:$A,MATCH(TRIM(SUBSTITUTE($B1616,CHAR(160)," ")),'Catalog'!$C:$C,0)),""))))</f>
        <v>4413095</v>
      </c>
      <c r="H1616" s="7" t="str">
        <f aca="false">IFERROR(INDEX('TRANS'!$C:$C,MATCH($B1616,'TRANS'!$A:$A,0)),IFERROR(INDEX('Catalog'!$B:$B,MATCH($G1616,'Catalog'!$A:$A,0)),$B1616))</f>
        <v>45 XL מגן ברך לבן</v>
      </c>
      <c r="I1616" s="7" t="str">
        <f aca="false">IF($G1616="","Unmatched","Matched")</f>
        <v>Matched</v>
      </c>
      <c r="J1616" s="7" t="n">
        <f aca="false">IF($G1616&lt;&gt;"",$G1616,$B1616)</f>
        <v>4413095</v>
      </c>
      <c r="K1616" s="7" t="str">
        <f aca="false">IF(COUNTIF($O$2:$O$16,$A1616)&gt;0,"Y","N")</f>
        <v>Y</v>
      </c>
    </row>
    <row r="1617" customFormat="false" ht="15" hidden="false" customHeight="false" outlineLevel="0" collapsed="false">
      <c r="A1617" s="7" t="s">
        <v>44</v>
      </c>
      <c r="B1617" s="7" t="s">
        <v>668</v>
      </c>
      <c r="C1617" s="8" t="n">
        <v>0</v>
      </c>
      <c r="D1617" s="8" t="n">
        <v>0</v>
      </c>
      <c r="E1617" s="8" t="n">
        <v>6</v>
      </c>
      <c r="F1617" s="8" t="n">
        <v>62.44</v>
      </c>
      <c r="G1617" s="7" t="n">
        <f aca="false">IFERROR(INDEX('TRANS'!$B:$B,MATCH($B1617,'TRANS'!$A:$A,0)),IFERROR(INDEX('TRANS'!$B:$B,MATCH(TRIM(SUBSTITUTE($B1617,CHAR(160)," ")),'TRANS'!$D:$D,0)),IFERROR(INDEX('Catalog'!$A:$A,MATCH($B1617,'Catalog'!$B:$B,0)),IFERROR(INDEX('Catalog'!$A:$A,MATCH(TRIM(SUBSTITUTE($B1617,CHAR(160)," ")),'Catalog'!$C:$C,0)),""))))</f>
        <v>4413332</v>
      </c>
      <c r="H1617" s="7" t="str">
        <f aca="false">IFERROR(INDEX('TRANS'!$C:$C,MATCH($B1617,'TRANS'!$A:$A,0)),IFERROR(INDEX('Catalog'!$B:$B,MATCH($G1617,'Catalog'!$A:$A,0)),$B1617))</f>
        <v>45  XS מגן ברך רגיל לבן</v>
      </c>
      <c r="I1617" s="7" t="str">
        <f aca="false">IF($G1617="","Unmatched","Matched")</f>
        <v>Matched</v>
      </c>
      <c r="J1617" s="7" t="n">
        <f aca="false">IF($G1617&lt;&gt;"",$G1617,$B1617)</f>
        <v>4413332</v>
      </c>
      <c r="K1617" s="7" t="str">
        <f aca="false">IF(COUNTIF($O$2:$O$16,$A1617)&gt;0,"Y","N")</f>
        <v>Y</v>
      </c>
    </row>
    <row r="1618" customFormat="false" ht="15" hidden="false" customHeight="false" outlineLevel="0" collapsed="false">
      <c r="A1618" s="7" t="s">
        <v>44</v>
      </c>
      <c r="B1618" s="7" t="s">
        <v>622</v>
      </c>
      <c r="C1618" s="8" t="n">
        <v>145</v>
      </c>
      <c r="D1618" s="8" t="n">
        <v>1506.46</v>
      </c>
      <c r="E1618" s="8" t="n">
        <v>36</v>
      </c>
      <c r="F1618" s="8" t="n">
        <v>369.87</v>
      </c>
      <c r="G1618" s="7" t="n">
        <f aca="false">IFERROR(INDEX('TRANS'!$B:$B,MATCH($B1618,'TRANS'!$A:$A,0)),IFERROR(INDEX('TRANS'!$B:$B,MATCH(TRIM(SUBSTITUTE($B1618,CHAR(160)," ")),'TRANS'!$D:$D,0)),IFERROR(INDEX('Catalog'!$A:$A,MATCH($B1618,'Catalog'!$B:$B,0)),IFERROR(INDEX('Catalog'!$A:$A,MATCH(TRIM(SUBSTITUTE($B1618,CHAR(160)," ")),'Catalog'!$C:$C,0)),""))))</f>
        <v>4413096</v>
      </c>
      <c r="H1618" s="7" t="str">
        <f aca="false">IFERROR(INDEX('TRANS'!$C:$C,MATCH($B1618,'TRANS'!$A:$A,0)),IFERROR(INDEX('Catalog'!$B:$B,MATCH($G1618,'Catalog'!$A:$A,0)),$B1618))</f>
        <v>45 XXL מגן ברך לבן</v>
      </c>
      <c r="I1618" s="7" t="str">
        <f aca="false">IF($G1618="","Unmatched","Matched")</f>
        <v>Matched</v>
      </c>
      <c r="J1618" s="7" t="n">
        <f aca="false">IF($G1618&lt;&gt;"",$G1618,$B1618)</f>
        <v>4413096</v>
      </c>
      <c r="K1618" s="7" t="str">
        <f aca="false">IF(COUNTIF($O$2:$O$16,$A1618)&gt;0,"Y","N")</f>
        <v>Y</v>
      </c>
    </row>
    <row r="1619" customFormat="false" ht="15" hidden="false" customHeight="false" outlineLevel="0" collapsed="false">
      <c r="A1619" s="7" t="s">
        <v>44</v>
      </c>
      <c r="B1619" s="7" t="s">
        <v>664</v>
      </c>
      <c r="C1619" s="8" t="n">
        <v>1</v>
      </c>
      <c r="D1619" s="8" t="n">
        <v>0.04</v>
      </c>
      <c r="E1619" s="8" t="n">
        <v>0</v>
      </c>
      <c r="F1619" s="8" t="n">
        <v>0</v>
      </c>
      <c r="G1619" s="7" t="n">
        <f aca="false">IFERROR(INDEX('TRANS'!$B:$B,MATCH($B1619,'TRANS'!$A:$A,0)),IFERROR(INDEX('TRANS'!$B:$B,MATCH(TRIM(SUBSTITUTE($B1619,CHAR(160)," ")),'TRANS'!$D:$D,0)),IFERROR(INDEX('Catalog'!$A:$A,MATCH($B1619,'Catalog'!$B:$B,0)),IFERROR(INDEX('Catalog'!$A:$A,MATCH(TRIM(SUBSTITUTE($B1619,CHAR(160)," ")),'Catalog'!$C:$C,0)),""))))</f>
        <v>4408271</v>
      </c>
      <c r="H1619" s="7" t="str">
        <f aca="false">IFERROR(INDEX('TRANS'!$C:$C,MATCH($B1619,'TRANS'!$A:$A,0)),IFERROR(INDEX('Catalog'!$B:$B,MATCH($G1619,'Catalog'!$A:$A,0)),$B1619))</f>
        <v>70N XS חגורת פאבליק</v>
      </c>
      <c r="I1619" s="7" t="str">
        <f aca="false">IF($G1619="","Unmatched","Matched")</f>
        <v>Matched</v>
      </c>
      <c r="J1619" s="7" t="n">
        <f aca="false">IF($G1619&lt;&gt;"",$G1619,$B1619)</f>
        <v>4408271</v>
      </c>
      <c r="K1619" s="7" t="str">
        <f aca="false">IF(COUNTIF($O$2:$O$16,$A1619)&gt;0,"Y","N")</f>
        <v>Y</v>
      </c>
    </row>
    <row r="1620" customFormat="false" ht="15" hidden="false" customHeight="false" outlineLevel="0" collapsed="false">
      <c r="A1620" s="7" t="s">
        <v>44</v>
      </c>
      <c r="B1620" s="7" t="s">
        <v>346</v>
      </c>
      <c r="C1620" s="8" t="n">
        <v>40</v>
      </c>
      <c r="D1620" s="8" t="n">
        <v>389.19</v>
      </c>
      <c r="E1620" s="8" t="n">
        <v>55</v>
      </c>
      <c r="F1620" s="8" t="n">
        <v>532.29</v>
      </c>
      <c r="G1620" s="7" t="n">
        <f aca="false">IFERROR(INDEX('TRANS'!$B:$B,MATCH($B1620,'TRANS'!$A:$A,0)),IFERROR(INDEX('TRANS'!$B:$B,MATCH(TRIM(SUBSTITUTE($B1620,CHAR(160)," ")),'TRANS'!$D:$D,0)),IFERROR(INDEX('Catalog'!$A:$A,MATCH($B1620,'Catalog'!$B:$B,0)),IFERROR(INDEX('Catalog'!$A:$A,MATCH(TRIM(SUBSTITUTE($B1620,CHAR(160)," ")),'Catalog'!$C:$C,0)),""))))</f>
        <v>4422000</v>
      </c>
      <c r="H1620" s="7" t="str">
        <f aca="false">IFERROR(INDEX('TRANS'!$C:$C,MATCH($B1620,'TRANS'!$A:$A,0)),IFERROR(INDEX('Catalog'!$B:$B,MATCH($G1620,'Catalog'!$A:$A,0)),$B1620))</f>
        <v>801  תחבושת אלסטית מקררת</v>
      </c>
      <c r="I1620" s="7" t="str">
        <f aca="false">IF($G1620="","Unmatched","Matched")</f>
        <v>Matched</v>
      </c>
      <c r="J1620" s="7" t="n">
        <f aca="false">IF($G1620&lt;&gt;"",$G1620,$B1620)</f>
        <v>4422000</v>
      </c>
      <c r="K1620" s="7" t="str">
        <f aca="false">IF(COUNTIF($O$2:$O$16,$A1620)&gt;0,"Y","N")</f>
        <v>Y</v>
      </c>
    </row>
    <row r="1621" customFormat="false" ht="15" hidden="false" customHeight="false" outlineLevel="0" collapsed="false">
      <c r="A1621" s="7" t="s">
        <v>44</v>
      </c>
      <c r="B1621" s="7" t="s">
        <v>351</v>
      </c>
      <c r="C1621" s="8" t="n">
        <v>120</v>
      </c>
      <c r="D1621" s="8" t="n">
        <v>1473.88</v>
      </c>
      <c r="E1621" s="8" t="n">
        <v>72</v>
      </c>
      <c r="F1621" s="8" t="n">
        <v>886.11</v>
      </c>
      <c r="G1621" s="7" t="n">
        <f aca="false">IFERROR(INDEX('TRANS'!$B:$B,MATCH($B1621,'TRANS'!$A:$A,0)),IFERROR(INDEX('TRANS'!$B:$B,MATCH(TRIM(SUBSTITUTE($B1621,CHAR(160)," ")),'TRANS'!$D:$D,0)),IFERROR(INDEX('Catalog'!$A:$A,MATCH($B1621,'Catalog'!$B:$B,0)),IFERROR(INDEX('Catalog'!$A:$A,MATCH(TRIM(SUBSTITUTE($B1621,CHAR(160)," ")),'Catalog'!$C:$C,0)),""))))</f>
        <v>4409017</v>
      </c>
      <c r="H1621" s="7" t="str">
        <f aca="false">IFERROR(INDEX('TRANS'!$C:$C,MATCH($B1621,'TRANS'!$A:$A,0)),IFERROR(INDEX('Catalog'!$B:$B,MATCH($G1621,'Catalog'!$A:$A,0)),$B1621))</f>
        <v>808KT-B        טייפ קינזיולוגי</v>
      </c>
      <c r="I1621" s="7" t="str">
        <f aca="false">IF($G1621="","Unmatched","Matched")</f>
        <v>Matched</v>
      </c>
      <c r="J1621" s="7" t="n">
        <f aca="false">IF($G1621&lt;&gt;"",$G1621,$B1621)</f>
        <v>4409017</v>
      </c>
      <c r="K1621" s="7" t="str">
        <f aca="false">IF(COUNTIF($O$2:$O$16,$A1621)&gt;0,"Y","N")</f>
        <v>Y</v>
      </c>
    </row>
    <row r="1622" customFormat="false" ht="15" hidden="false" customHeight="false" outlineLevel="0" collapsed="false">
      <c r="A1622" s="7" t="s">
        <v>44</v>
      </c>
      <c r="B1622" s="7" t="s">
        <v>352</v>
      </c>
      <c r="C1622" s="8" t="n">
        <v>84</v>
      </c>
      <c r="D1622" s="8" t="n">
        <v>1050.43</v>
      </c>
      <c r="E1622" s="8" t="n">
        <v>72</v>
      </c>
      <c r="F1622" s="8" t="n">
        <v>896.35</v>
      </c>
      <c r="G1622" s="7" t="n">
        <f aca="false">IFERROR(INDEX('TRANS'!$B:$B,MATCH($B1622,'TRANS'!$A:$A,0)),IFERROR(INDEX('TRANS'!$B:$B,MATCH(TRIM(SUBSTITUTE($B1622,CHAR(160)," ")),'TRANS'!$D:$D,0)),IFERROR(INDEX('Catalog'!$A:$A,MATCH($B1622,'Catalog'!$B:$B,0)),IFERROR(INDEX('Catalog'!$A:$A,MATCH(TRIM(SUBSTITUTE($B1622,CHAR(160)," ")),'Catalog'!$C:$C,0)),""))))</f>
        <v>4409015</v>
      </c>
      <c r="H1622" s="7" t="str">
        <f aca="false">IFERROR(INDEX('TRANS'!$C:$C,MATCH($B1622,'TRANS'!$A:$A,0)),IFERROR(INDEX('Catalog'!$B:$B,MATCH($G1622,'Catalog'!$A:$A,0)),$B1622))</f>
        <v>808KT-BL       טייפ קינזיולוגי</v>
      </c>
      <c r="I1622" s="7" t="str">
        <f aca="false">IF($G1622="","Unmatched","Matched")</f>
        <v>Matched</v>
      </c>
      <c r="J1622" s="7" t="n">
        <f aca="false">IF($G1622&lt;&gt;"",$G1622,$B1622)</f>
        <v>4409015</v>
      </c>
      <c r="K1622" s="7" t="str">
        <f aca="false">IF(COUNTIF($O$2:$O$16,$A1622)&gt;0,"Y","N")</f>
        <v>Y</v>
      </c>
    </row>
    <row r="1623" customFormat="false" ht="15" hidden="false" customHeight="false" outlineLevel="0" collapsed="false">
      <c r="A1623" s="7" t="s">
        <v>44</v>
      </c>
      <c r="B1623" s="7" t="s">
        <v>353</v>
      </c>
      <c r="C1623" s="8" t="n">
        <v>132</v>
      </c>
      <c r="D1623" s="8" t="n">
        <v>1652.51</v>
      </c>
      <c r="E1623" s="8" t="n">
        <v>111</v>
      </c>
      <c r="F1623" s="8" t="n">
        <v>1379.88</v>
      </c>
      <c r="G1623" s="7" t="n">
        <f aca="false">IFERROR(INDEX('TRANS'!$B:$B,MATCH($B1623,'TRANS'!$A:$A,0)),IFERROR(INDEX('TRANS'!$B:$B,MATCH(TRIM(SUBSTITUTE($B1623,CHAR(160)," ")),'TRANS'!$D:$D,0)),IFERROR(INDEX('Catalog'!$A:$A,MATCH($B1623,'Catalog'!$B:$B,0)),IFERROR(INDEX('Catalog'!$A:$A,MATCH(TRIM(SUBSTITUTE($B1623,CHAR(160)," ")),'Catalog'!$C:$C,0)),""))))</f>
        <v>4409016</v>
      </c>
      <c r="H1623" s="7" t="str">
        <f aca="false">IFERROR(INDEX('TRANS'!$C:$C,MATCH($B1623,'TRANS'!$A:$A,0)),IFERROR(INDEX('Catalog'!$B:$B,MATCH($G1623,'Catalog'!$A:$A,0)),$B1623))</f>
        <v>808KT-C        טייפ קינזיולוגי</v>
      </c>
      <c r="I1623" s="7" t="str">
        <f aca="false">IF($G1623="","Unmatched","Matched")</f>
        <v>Matched</v>
      </c>
      <c r="J1623" s="7" t="n">
        <f aca="false">IF($G1623&lt;&gt;"",$G1623,$B1623)</f>
        <v>4409016</v>
      </c>
      <c r="K1623" s="7" t="str">
        <f aca="false">IF(COUNTIF($O$2:$O$16,$A1623)&gt;0,"Y","N")</f>
        <v>Y</v>
      </c>
    </row>
    <row r="1624" customFormat="false" ht="15" hidden="false" customHeight="false" outlineLevel="0" collapsed="false">
      <c r="A1624" s="7" t="s">
        <v>44</v>
      </c>
      <c r="B1624" s="7" t="s">
        <v>354</v>
      </c>
      <c r="C1624" s="8" t="n">
        <v>96</v>
      </c>
      <c r="D1624" s="8" t="n">
        <v>1190.84</v>
      </c>
      <c r="E1624" s="8" t="n">
        <v>48</v>
      </c>
      <c r="F1624" s="8" t="n">
        <v>588.26</v>
      </c>
      <c r="G1624" s="7" t="n">
        <f aca="false">IFERROR(INDEX('TRANS'!$B:$B,MATCH($B1624,'TRANS'!$A:$A,0)),IFERROR(INDEX('TRANS'!$B:$B,MATCH(TRIM(SUBSTITUTE($B1624,CHAR(160)," ")),'TRANS'!$D:$D,0)),IFERROR(INDEX('Catalog'!$A:$A,MATCH($B1624,'Catalog'!$B:$B,0)),IFERROR(INDEX('Catalog'!$A:$A,MATCH(TRIM(SUBSTITUTE($B1624,CHAR(160)," ")),'Catalog'!$C:$C,0)),""))))</f>
        <v>4409014</v>
      </c>
      <c r="H1624" s="7" t="str">
        <f aca="false">IFERROR(INDEX('TRANS'!$C:$C,MATCH($B1624,'TRANS'!$A:$A,0)),IFERROR(INDEX('Catalog'!$B:$B,MATCH($G1624,'Catalog'!$A:$A,0)),$B1624))</f>
        <v>808KT-P        טייפ קינזיולוגי</v>
      </c>
      <c r="I1624" s="7" t="str">
        <f aca="false">IF($G1624="","Unmatched","Matched")</f>
        <v>Matched</v>
      </c>
      <c r="J1624" s="7" t="n">
        <f aca="false">IF($G1624&lt;&gt;"",$G1624,$B1624)</f>
        <v>4409014</v>
      </c>
      <c r="K1624" s="7" t="str">
        <f aca="false">IF(COUNTIF($O$2:$O$16,$A1624)&gt;0,"Y","N")</f>
        <v>Y</v>
      </c>
    </row>
    <row r="1625" customFormat="false" ht="15" hidden="false" customHeight="false" outlineLevel="0" collapsed="false">
      <c r="A1625" s="7" t="s">
        <v>44</v>
      </c>
      <c r="B1625" s="7" t="s">
        <v>360</v>
      </c>
      <c r="C1625" s="8" t="n">
        <v>40</v>
      </c>
      <c r="D1625" s="8" t="n">
        <v>417.89</v>
      </c>
      <c r="E1625" s="8" t="n">
        <v>27</v>
      </c>
      <c r="F1625" s="8" t="n">
        <v>279.78</v>
      </c>
      <c r="G1625" s="7" t="n">
        <f aca="false">IFERROR(INDEX('TRANS'!$B:$B,MATCH($B1625,'TRANS'!$A:$A,0)),IFERROR(INDEX('TRANS'!$B:$B,MATCH(TRIM(SUBSTITUTE($B1625,CHAR(160)," ")),'TRANS'!$D:$D,0)),IFERROR(INDEX('Catalog'!$A:$A,MATCH($B1625,'Catalog'!$B:$B,0)),IFERROR(INDEX('Catalog'!$A:$A,MATCH(TRIM(SUBSTITUTE($B1625,CHAR(160)," ")),'Catalog'!$C:$C,0)),""))))</f>
        <v>4413139</v>
      </c>
      <c r="H1625" s="7" t="str">
        <f aca="false">IFERROR(INDEX('TRANS'!$C:$C,MATCH($B1625,'TRANS'!$A:$A,0)),IFERROR(INDEX('Catalog'!$B:$B,MATCH($G1625,'Catalog'!$A:$A,0)),$B1625))</f>
        <v>95 L מגן מרפק רגיל לבן</v>
      </c>
      <c r="I1625" s="7" t="str">
        <f aca="false">IF($G1625="","Unmatched","Matched")</f>
        <v>Matched</v>
      </c>
      <c r="J1625" s="7" t="n">
        <f aca="false">IF($G1625&lt;&gt;"",$G1625,$B1625)</f>
        <v>4413139</v>
      </c>
      <c r="K1625" s="7" t="str">
        <f aca="false">IF(COUNTIF($O$2:$O$16,$A1625)&gt;0,"Y","N")</f>
        <v>Y</v>
      </c>
    </row>
    <row r="1626" customFormat="false" ht="15" hidden="false" customHeight="false" outlineLevel="0" collapsed="false">
      <c r="A1626" s="7" t="s">
        <v>44</v>
      </c>
      <c r="B1626" s="7" t="s">
        <v>361</v>
      </c>
      <c r="C1626" s="8" t="n">
        <v>65</v>
      </c>
      <c r="D1626" s="8" t="n">
        <v>667.38</v>
      </c>
      <c r="E1626" s="8" t="n">
        <v>35</v>
      </c>
      <c r="F1626" s="8" t="n">
        <v>354.62</v>
      </c>
      <c r="G1626" s="7" t="n">
        <f aca="false">IFERROR(INDEX('TRANS'!$B:$B,MATCH($B1626,'TRANS'!$A:$A,0)),IFERROR(INDEX('TRANS'!$B:$B,MATCH(TRIM(SUBSTITUTE($B1626,CHAR(160)," ")),'TRANS'!$D:$D,0)),IFERROR(INDEX('Catalog'!$A:$A,MATCH($B1626,'Catalog'!$B:$B,0)),IFERROR(INDEX('Catalog'!$A:$A,MATCH(TRIM(SUBSTITUTE($B1626,CHAR(160)," ")),'Catalog'!$C:$C,0)),""))))</f>
        <v>4413140</v>
      </c>
      <c r="H1626" s="7" t="str">
        <f aca="false">IFERROR(INDEX('TRANS'!$C:$C,MATCH($B1626,'TRANS'!$A:$A,0)),IFERROR(INDEX('Catalog'!$B:$B,MATCH($G1626,'Catalog'!$A:$A,0)),$B1626))</f>
        <v>95 M מגן מרפק רגיל לבן</v>
      </c>
      <c r="I1626" s="7" t="str">
        <f aca="false">IF($G1626="","Unmatched","Matched")</f>
        <v>Matched</v>
      </c>
      <c r="J1626" s="7" t="n">
        <f aca="false">IF($G1626&lt;&gt;"",$G1626,$B1626)</f>
        <v>4413140</v>
      </c>
      <c r="K1626" s="7" t="str">
        <f aca="false">IF(COUNTIF($O$2:$O$16,$A1626)&gt;0,"Y","N")</f>
        <v>Y</v>
      </c>
    </row>
    <row r="1627" customFormat="false" ht="15" hidden="false" customHeight="false" outlineLevel="0" collapsed="false">
      <c r="A1627" s="7" t="s">
        <v>44</v>
      </c>
      <c r="B1627" s="7" t="s">
        <v>362</v>
      </c>
      <c r="C1627" s="8" t="n">
        <v>59</v>
      </c>
      <c r="D1627" s="8" t="n">
        <v>613.19</v>
      </c>
      <c r="E1627" s="8" t="n">
        <v>37</v>
      </c>
      <c r="F1627" s="8" t="n">
        <v>378.12</v>
      </c>
      <c r="G1627" s="7" t="n">
        <f aca="false">IFERROR(INDEX('TRANS'!$B:$B,MATCH($B1627,'TRANS'!$A:$A,0)),IFERROR(INDEX('TRANS'!$B:$B,MATCH(TRIM(SUBSTITUTE($B1627,CHAR(160)," ")),'TRANS'!$D:$D,0)),IFERROR(INDEX('Catalog'!$A:$A,MATCH($B1627,'Catalog'!$B:$B,0)),IFERROR(INDEX('Catalog'!$A:$A,MATCH(TRIM(SUBSTITUTE($B1627,CHAR(160)," ")),'Catalog'!$C:$C,0)),""))))</f>
        <v>4413141</v>
      </c>
      <c r="H1627" s="7" t="str">
        <f aca="false">IFERROR(INDEX('TRANS'!$C:$C,MATCH($B1627,'TRANS'!$A:$A,0)),IFERROR(INDEX('Catalog'!$B:$B,MATCH($G1627,'Catalog'!$A:$A,0)),$B1627))</f>
        <v>95 S מגן מרפק רגיל לבן</v>
      </c>
      <c r="I1627" s="7" t="str">
        <f aca="false">IF($G1627="","Unmatched","Matched")</f>
        <v>Matched</v>
      </c>
      <c r="J1627" s="7" t="n">
        <f aca="false">IF($G1627&lt;&gt;"",$G1627,$B1627)</f>
        <v>4413141</v>
      </c>
      <c r="K1627" s="7" t="str">
        <f aca="false">IF(COUNTIF($O$2:$O$16,$A1627)&gt;0,"Y","N")</f>
        <v>Y</v>
      </c>
    </row>
    <row r="1628" customFormat="false" ht="15" hidden="false" customHeight="false" outlineLevel="0" collapsed="false">
      <c r="A1628" s="7" t="s">
        <v>44</v>
      </c>
      <c r="B1628" s="7" t="s">
        <v>611</v>
      </c>
      <c r="C1628" s="8" t="n">
        <v>22</v>
      </c>
      <c r="D1628" s="8" t="n">
        <v>226.6</v>
      </c>
      <c r="E1628" s="8" t="n">
        <v>17</v>
      </c>
      <c r="F1628" s="8" t="n">
        <v>173.34</v>
      </c>
      <c r="G1628" s="7" t="n">
        <f aca="false">IFERROR(INDEX('TRANS'!$B:$B,MATCH($B1628,'TRANS'!$A:$A,0)),IFERROR(INDEX('TRANS'!$B:$B,MATCH(TRIM(SUBSTITUTE($B1628,CHAR(160)," ")),'TRANS'!$D:$D,0)),IFERROR(INDEX('Catalog'!$A:$A,MATCH($B1628,'Catalog'!$B:$B,0)),IFERROR(INDEX('Catalog'!$A:$A,MATCH(TRIM(SUBSTITUTE($B1628,CHAR(160)," ")),'Catalog'!$C:$C,0)),""))))</f>
        <v>4413142</v>
      </c>
      <c r="H1628" s="7" t="str">
        <f aca="false">IFERROR(INDEX('TRANS'!$C:$C,MATCH($B1628,'TRANS'!$A:$A,0)),IFERROR(INDEX('Catalog'!$B:$B,MATCH($G1628,'Catalog'!$A:$A,0)),$B1628))</f>
        <v>95 XL מגן מרפק רגיל לבן</v>
      </c>
      <c r="I1628" s="7" t="str">
        <f aca="false">IF($G1628="","Unmatched","Matched")</f>
        <v>Matched</v>
      </c>
      <c r="J1628" s="7" t="n">
        <f aca="false">IF($G1628&lt;&gt;"",$G1628,$B1628)</f>
        <v>4413142</v>
      </c>
      <c r="K1628" s="7" t="str">
        <f aca="false">IF(COUNTIF($O$2:$O$16,$A1628)&gt;0,"Y","N")</f>
        <v>Y</v>
      </c>
    </row>
    <row r="1629" customFormat="false" ht="15" hidden="false" customHeight="false" outlineLevel="0" collapsed="false">
      <c r="A1629" s="7" t="s">
        <v>44</v>
      </c>
      <c r="B1629" s="7" t="s">
        <v>686</v>
      </c>
      <c r="C1629" s="8" t="n">
        <v>20</v>
      </c>
      <c r="D1629" s="8" t="n">
        <v>205.48</v>
      </c>
      <c r="E1629" s="8" t="n">
        <v>0</v>
      </c>
      <c r="F1629" s="8" t="n">
        <v>0</v>
      </c>
      <c r="G1629" s="7" t="n">
        <f aca="false">IFERROR(INDEX('TRANS'!$B:$B,MATCH($B1629,'TRANS'!$A:$A,0)),IFERROR(INDEX('TRANS'!$B:$B,MATCH(TRIM(SUBSTITUTE($B1629,CHAR(160)," ")),'TRANS'!$D:$D,0)),IFERROR(INDEX('Catalog'!$A:$A,MATCH($B1629,'Catalog'!$B:$B,0)),IFERROR(INDEX('Catalog'!$A:$A,MATCH(TRIM(SUBSTITUTE($B1629,CHAR(160)," ")),'Catalog'!$C:$C,0)),""))))</f>
        <v>4413143</v>
      </c>
      <c r="H1629" s="7" t="str">
        <f aca="false">IFERROR(INDEX('TRANS'!$C:$C,MATCH($B1629,'TRANS'!$A:$A,0)),IFERROR(INDEX('Catalog'!$B:$B,MATCH($G1629,'Catalog'!$A:$A,0)),$B1629))</f>
        <v>95 XS מגן מרפק רגיל לבן</v>
      </c>
      <c r="I1629" s="7" t="str">
        <f aca="false">IF($G1629="","Unmatched","Matched")</f>
        <v>Matched</v>
      </c>
      <c r="J1629" s="7" t="n">
        <f aca="false">IF($G1629&lt;&gt;"",$G1629,$B1629)</f>
        <v>4413143</v>
      </c>
      <c r="K1629" s="7" t="str">
        <f aca="false">IF(COUNTIF($O$2:$O$16,$A1629)&gt;0,"Y","N")</f>
        <v>Y</v>
      </c>
    </row>
    <row r="1630" customFormat="false" ht="15" hidden="false" customHeight="false" outlineLevel="0" collapsed="false">
      <c r="A1630" s="7" t="s">
        <v>44</v>
      </c>
      <c r="B1630" s="7" t="s">
        <v>496</v>
      </c>
      <c r="C1630" s="8" t="n">
        <v>12</v>
      </c>
      <c r="D1630" s="8" t="n">
        <v>123.47</v>
      </c>
      <c r="E1630" s="8" t="n">
        <v>4</v>
      </c>
      <c r="F1630" s="8" t="n">
        <v>41.9</v>
      </c>
      <c r="G1630" s="7" t="n">
        <f aca="false">IFERROR(INDEX('TRANS'!$B:$B,MATCH($B1630,'TRANS'!$A:$A,0)),IFERROR(INDEX('TRANS'!$B:$B,MATCH(TRIM(SUBSTITUTE($B1630,CHAR(160)," ")),'TRANS'!$D:$D,0)),IFERROR(INDEX('Catalog'!$A:$A,MATCH($B1630,'Catalog'!$B:$B,0)),IFERROR(INDEX('Catalog'!$A:$A,MATCH(TRIM(SUBSTITUTE($B1630,CHAR(160)," ")),'Catalog'!$C:$C,0)),""))))</f>
        <v>4413144</v>
      </c>
      <c r="H1630" s="7" t="str">
        <f aca="false">IFERROR(INDEX('TRANS'!$C:$C,MATCH($B1630,'TRANS'!$A:$A,0)),IFERROR(INDEX('Catalog'!$B:$B,MATCH($G1630,'Catalog'!$A:$A,0)),$B1630))</f>
        <v>95 XXL מגן מרפק רגיל לבן</v>
      </c>
      <c r="I1630" s="7" t="str">
        <f aca="false">IF($G1630="","Unmatched","Matched")</f>
        <v>Matched</v>
      </c>
      <c r="J1630" s="7" t="n">
        <f aca="false">IF($G1630&lt;&gt;"",$G1630,$B1630)</f>
        <v>4413144</v>
      </c>
      <c r="K1630" s="7" t="str">
        <f aca="false">IF(COUNTIF($O$2:$O$16,$A1630)&gt;0,"Y","N")</f>
        <v>Y</v>
      </c>
    </row>
    <row r="1631" customFormat="false" ht="15" hidden="false" customHeight="false" outlineLevel="0" collapsed="false">
      <c r="A1631" s="7" t="s">
        <v>44</v>
      </c>
      <c r="B1631" s="7" t="s">
        <v>379</v>
      </c>
      <c r="C1631" s="8" t="n">
        <v>148</v>
      </c>
      <c r="D1631" s="8" t="n">
        <v>4740.72</v>
      </c>
      <c r="E1631" s="8" t="n">
        <v>89</v>
      </c>
      <c r="F1631" s="8" t="n">
        <v>2850.39</v>
      </c>
      <c r="G1631" s="7" t="n">
        <f aca="false">IFERROR(INDEX('TRANS'!$B:$B,MATCH($B1631,'TRANS'!$A:$A,0)),IFERROR(INDEX('TRANS'!$B:$B,MATCH(TRIM(SUBSTITUTE($B1631,CHAR(160)," ")),'TRANS'!$D:$D,0)),IFERROR(INDEX('Catalog'!$A:$A,MATCH($B1631,'Catalog'!$B:$B,0)),IFERROR(INDEX('Catalog'!$A:$A,MATCH(TRIM(SUBSTITUTE($B1631,CHAR(160)," ")),'Catalog'!$C:$C,0)),""))))</f>
        <v>4413453</v>
      </c>
      <c r="H1631" s="7" t="str">
        <f aca="false">IFERROR(INDEX('TRANS'!$C:$C,MATCH($B1631,'TRANS'!$A:$A,0)),IFERROR(INDEX('Catalog'!$B:$B,MATCH($G1631,'Catalog'!$A:$A,0)),$B1631))</f>
        <v>AC75 מישר כתפיים אקטיב</v>
      </c>
      <c r="I1631" s="7" t="str">
        <f aca="false">IF($G1631="","Unmatched","Matched")</f>
        <v>Matched</v>
      </c>
      <c r="J1631" s="7" t="n">
        <f aca="false">IF($G1631&lt;&gt;"",$G1631,$B1631)</f>
        <v>4413453</v>
      </c>
      <c r="K1631" s="7" t="str">
        <f aca="false">IF(COUNTIF($O$2:$O$16,$A1631)&gt;0,"Y","N")</f>
        <v>Y</v>
      </c>
    </row>
    <row r="1632" customFormat="false" ht="15" hidden="false" customHeight="false" outlineLevel="0" collapsed="false">
      <c r="A1632" s="7" t="s">
        <v>44</v>
      </c>
      <c r="B1632" s="7" t="s">
        <v>381</v>
      </c>
      <c r="C1632" s="8" t="n">
        <v>98</v>
      </c>
      <c r="D1632" s="8" t="n">
        <v>1072.66</v>
      </c>
      <c r="E1632" s="8" t="n">
        <v>48</v>
      </c>
      <c r="F1632" s="8" t="n">
        <v>513.87</v>
      </c>
      <c r="G1632" s="7" t="n">
        <f aca="false">IFERROR(INDEX('TRANS'!$B:$B,MATCH($B1632,'TRANS'!$A:$A,0)),IFERROR(INDEX('TRANS'!$B:$B,MATCH(TRIM(SUBSTITUTE($B1632,CHAR(160)," ")),'TRANS'!$D:$D,0)),IFERROR(INDEX('Catalog'!$A:$A,MATCH($B1632,'Catalog'!$B:$B,0)),IFERROR(INDEX('Catalog'!$A:$A,MATCH(TRIM(SUBSTITUTE($B1632,CHAR(160)," ")),'Catalog'!$C:$C,0)),""))))</f>
        <v>4413056</v>
      </c>
      <c r="H1632" s="7" t="str">
        <f aca="false">IFERROR(INDEX('TRANS'!$C:$C,MATCH($B1632,'TRANS'!$A:$A,0)),IFERROR(INDEX('Catalog'!$B:$B,MATCH($G1632,'Catalog'!$A:$A,0)),$B1632))</f>
        <v>LF360 מדרס מטטרזלי לנעלי עקב</v>
      </c>
      <c r="I1632" s="7" t="str">
        <f aca="false">IF($G1632="","Unmatched","Matched")</f>
        <v>Matched</v>
      </c>
      <c r="J1632" s="7" t="n">
        <f aca="false">IF($G1632&lt;&gt;"",$G1632,$B1632)</f>
        <v>4413056</v>
      </c>
      <c r="K1632" s="7" t="str">
        <f aca="false">IF(COUNTIF($O$2:$O$16,$A1632)&gt;0,"Y","N")</f>
        <v>Y</v>
      </c>
    </row>
    <row r="1633" customFormat="false" ht="15" hidden="false" customHeight="false" outlineLevel="0" collapsed="false">
      <c r="A1633" s="7" t="s">
        <v>44</v>
      </c>
      <c r="B1633" s="7" t="s">
        <v>511</v>
      </c>
      <c r="C1633" s="8" t="n">
        <v>1</v>
      </c>
      <c r="D1633" s="8" t="n">
        <v>0.04</v>
      </c>
      <c r="E1633" s="8" t="n">
        <v>0</v>
      </c>
      <c r="F1633" s="8" t="n">
        <v>0</v>
      </c>
      <c r="G1633" s="7" t="n">
        <f aca="false">IFERROR(INDEX('TRANS'!$B:$B,MATCH($B1633,'TRANS'!$A:$A,0)),IFERROR(INDEX('TRANS'!$B:$B,MATCH(TRIM(SUBSTITUTE($B1633,CHAR(160)," ")),'TRANS'!$D:$D,0)),IFERROR(INDEX('Catalog'!$A:$A,MATCH($B1633,'Catalog'!$B:$B,0)),IFERROR(INDEX('Catalog'!$A:$A,MATCH(TRIM(SUBSTITUTE($B1633,CHAR(160)," ")),'Catalog'!$C:$C,0)),""))))</f>
        <v>4422040</v>
      </c>
      <c r="H1633" s="7" t="str">
        <f aca="false">IFERROR(INDEX('TRANS'!$C:$C,MATCH($B1633,'TRANS'!$A:$A,0)),IFERROR(INDEX('Catalog'!$B:$B,MATCH($G1633,'Catalog'!$A:$A,0)),$B1633))</f>
        <v>SH422 4 תומך ברך גנושילד</v>
      </c>
      <c r="I1633" s="7" t="str">
        <f aca="false">IF($G1633="","Unmatched","Matched")</f>
        <v>Matched</v>
      </c>
      <c r="J1633" s="7" t="n">
        <f aca="false">IF($G1633&lt;&gt;"",$G1633,$B1633)</f>
        <v>4422040</v>
      </c>
      <c r="K1633" s="7" t="str">
        <f aca="false">IF(COUNTIF($O$2:$O$16,$A1633)&gt;0,"Y","N")</f>
        <v>Y</v>
      </c>
    </row>
    <row r="1634" customFormat="false" ht="15" hidden="false" customHeight="false" outlineLevel="0" collapsed="false">
      <c r="A1634" s="7" t="s">
        <v>44</v>
      </c>
      <c r="B1634" s="7" t="s">
        <v>516</v>
      </c>
      <c r="C1634" s="8" t="n">
        <v>10</v>
      </c>
      <c r="D1634" s="8" t="n">
        <v>162.83</v>
      </c>
      <c r="E1634" s="8" t="n">
        <v>0</v>
      </c>
      <c r="F1634" s="8" t="n">
        <v>0</v>
      </c>
      <c r="G1634" s="7" t="n">
        <f aca="false">IFERROR(INDEX('TRANS'!$B:$B,MATCH($B1634,'TRANS'!$A:$A,0)),IFERROR(INDEX('TRANS'!$B:$B,MATCH(TRIM(SUBSTITUTE($B1634,CHAR(160)," ")),'TRANS'!$D:$D,0)),IFERROR(INDEX('Catalog'!$A:$A,MATCH($B1634,'Catalog'!$B:$B,0)),IFERROR(INDEX('Catalog'!$A:$A,MATCH(TRIM(SUBSTITUTE($B1634,CHAR(160)," ")),'Catalog'!$C:$C,0)),""))))</f>
        <v>4408269</v>
      </c>
      <c r="H1634" s="7" t="str">
        <f aca="false">IFERROR(INDEX('TRANS'!$C:$C,MATCH($B1634,'TRANS'!$A:$A,0)),IFERROR(INDEX('Catalog'!$B:$B,MATCH($G1634,'Catalog'!$A:$A,0)),$B1634))</f>
        <v>ST37 חבק לקרסול</v>
      </c>
      <c r="I1634" s="7" t="str">
        <f aca="false">IF($G1634="","Unmatched","Matched")</f>
        <v>Matched</v>
      </c>
      <c r="J1634" s="7" t="n">
        <f aca="false">IF($G1634&lt;&gt;"",$G1634,$B1634)</f>
        <v>4408269</v>
      </c>
      <c r="K1634" s="7" t="str">
        <f aca="false">IF(COUNTIF($O$2:$O$16,$A1634)&gt;0,"Y","N")</f>
        <v>Y</v>
      </c>
    </row>
  </sheetData>
  <mergeCells count="1"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0"/>
  </cols>
  <sheetData>
    <row r="1" customFormat="false" ht="16.15" hidden="false" customHeight="false" outlineLevel="0" collapsed="false">
      <c r="A1" s="11" t="s">
        <v>687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22.35" hidden="false" customHeight="true" outlineLevel="0" collapsed="false">
      <c r="A3" s="5" t="s">
        <v>688</v>
      </c>
      <c r="B3" s="5"/>
      <c r="C3" s="5"/>
      <c r="D3" s="5"/>
    </row>
    <row r="5" customFormat="false" ht="15" hidden="false" customHeight="false" outlineLevel="0" collapsed="false">
      <c r="A5" s="17" t="s">
        <v>50</v>
      </c>
      <c r="B5" s="17" t="s">
        <v>689</v>
      </c>
      <c r="C5" s="17" t="s">
        <v>690</v>
      </c>
      <c r="D5" s="17" t="s">
        <v>691</v>
      </c>
    </row>
    <row r="6" customFormat="false" ht="15" hidden="false" customHeight="false" outlineLevel="0" collapsed="false">
      <c r="A6" s="7" t="s">
        <v>473</v>
      </c>
      <c r="B6" s="7" t="n">
        <v>4420016</v>
      </c>
      <c r="C6" s="7" t="s">
        <v>692</v>
      </c>
      <c r="D6" s="7" t="str">
        <f aca="false">TRIM(SUBSTITUTE($A6,CHAR(160)," "))</f>
        <v>40 0</v>
      </c>
    </row>
    <row r="7" customFormat="false" ht="15" hidden="false" customHeight="false" outlineLevel="0" collapsed="false">
      <c r="A7" s="7" t="s">
        <v>333</v>
      </c>
      <c r="B7" s="7" t="n">
        <v>4420017</v>
      </c>
      <c r="C7" s="7" t="s">
        <v>693</v>
      </c>
      <c r="D7" s="7" t="str">
        <f aca="false">TRIM(SUBSTITUTE($A7,CHAR(160)," "))</f>
        <v>4022 0</v>
      </c>
    </row>
    <row r="8" customFormat="false" ht="15" hidden="false" customHeight="false" outlineLevel="0" collapsed="false">
      <c r="A8" s="7" t="s">
        <v>638</v>
      </c>
      <c r="B8" s="7" t="n">
        <v>4413074</v>
      </c>
      <c r="C8" s="7" t="s">
        <v>694</v>
      </c>
      <c r="D8" s="7" t="str">
        <f aca="false">TRIM(SUBSTITUTE($A8,CHAR(160)," "))</f>
        <v>41 XL</v>
      </c>
    </row>
    <row r="9" customFormat="false" ht="15" hidden="false" customHeight="false" outlineLevel="0" collapsed="false">
      <c r="A9" s="7" t="s">
        <v>635</v>
      </c>
      <c r="B9" s="7" t="n">
        <v>4413072</v>
      </c>
      <c r="C9" s="7" t="s">
        <v>695</v>
      </c>
      <c r="D9" s="7" t="str">
        <f aca="false">TRIM(SUBSTITUTE($A9,CHAR(160)," "))</f>
        <v>41 L</v>
      </c>
    </row>
    <row r="10" customFormat="false" ht="15" hidden="false" customHeight="false" outlineLevel="0" collapsed="false">
      <c r="A10" s="7" t="s">
        <v>636</v>
      </c>
      <c r="B10" s="7" t="n">
        <v>4413073</v>
      </c>
      <c r="C10" s="7" t="s">
        <v>696</v>
      </c>
      <c r="D10" s="7" t="str">
        <f aca="false">TRIM(SUBSTITUTE($A10,CHAR(160)," "))</f>
        <v>41 M</v>
      </c>
    </row>
    <row r="11" customFormat="false" ht="15" hidden="false" customHeight="false" outlineLevel="0" collapsed="false">
      <c r="A11" s="7" t="s">
        <v>637</v>
      </c>
      <c r="B11" s="7" t="n">
        <v>4413071</v>
      </c>
      <c r="C11" s="7" t="s">
        <v>697</v>
      </c>
      <c r="D11" s="7" t="str">
        <f aca="false">TRIM(SUBSTITUTE($A11,CHAR(160)," "))</f>
        <v>41 S</v>
      </c>
    </row>
    <row r="12" customFormat="false" ht="15" hidden="false" customHeight="false" outlineLevel="0" collapsed="false">
      <c r="A12" s="7" t="s">
        <v>698</v>
      </c>
      <c r="B12" s="7" t="n">
        <v>4413076</v>
      </c>
      <c r="C12" s="7" t="s">
        <v>699</v>
      </c>
      <c r="D12" s="7" t="str">
        <f aca="false">TRIM(SUBSTITUTE($A12,CHAR(160)," "))</f>
        <v>41X L</v>
      </c>
    </row>
    <row r="13" customFormat="false" ht="15" hidden="false" customHeight="false" outlineLevel="0" collapsed="false">
      <c r="A13" s="7" t="s">
        <v>700</v>
      </c>
      <c r="B13" s="7" t="n">
        <v>4413079</v>
      </c>
      <c r="C13" s="7" t="s">
        <v>701</v>
      </c>
      <c r="D13" s="7" t="str">
        <f aca="false">TRIM(SUBSTITUTE($A13,CHAR(160)," "))</f>
        <v>41X XL</v>
      </c>
    </row>
    <row r="14" customFormat="false" ht="15" hidden="false" customHeight="false" outlineLevel="0" collapsed="false">
      <c r="A14" s="7" t="s">
        <v>702</v>
      </c>
      <c r="B14" s="7" t="n">
        <v>4413089</v>
      </c>
      <c r="C14" s="7" t="s">
        <v>703</v>
      </c>
      <c r="D14" s="7" t="str">
        <f aca="false">TRIM(SUBSTITUTE($A14,CHAR(160)," "))</f>
        <v>422 S</v>
      </c>
    </row>
    <row r="15" customFormat="false" ht="15" hidden="false" customHeight="false" outlineLevel="0" collapsed="false">
      <c r="A15" s="7" t="s">
        <v>704</v>
      </c>
      <c r="B15" s="7" t="n">
        <v>4413284</v>
      </c>
      <c r="C15" s="7" t="s">
        <v>705</v>
      </c>
      <c r="D15" s="7" t="str">
        <f aca="false">TRIM(SUBSTITUTE($A15,CHAR(160)," "))</f>
        <v>422E XXXL</v>
      </c>
    </row>
    <row r="16" customFormat="false" ht="15" hidden="false" customHeight="false" outlineLevel="0" collapsed="false">
      <c r="A16" s="7" t="s">
        <v>668</v>
      </c>
      <c r="B16" s="7" t="n">
        <v>4413332</v>
      </c>
      <c r="C16" s="7" t="s">
        <v>706</v>
      </c>
      <c r="D16" s="7" t="str">
        <f aca="false">TRIM(SUBSTITUTE($A16,CHAR(160)," "))</f>
        <v>45 XS</v>
      </c>
    </row>
    <row r="17" customFormat="false" ht="15" hidden="false" customHeight="false" outlineLevel="0" collapsed="false">
      <c r="A17" s="7" t="s">
        <v>334</v>
      </c>
      <c r="B17" s="7" t="n">
        <v>4413092</v>
      </c>
      <c r="C17" s="7" t="s">
        <v>707</v>
      </c>
      <c r="D17" s="7" t="str">
        <f aca="false">TRIM(SUBSTITUTE($A17,CHAR(160)," "))</f>
        <v>45 L</v>
      </c>
    </row>
    <row r="18" customFormat="false" ht="15" hidden="false" customHeight="false" outlineLevel="0" collapsed="false">
      <c r="A18" s="7" t="s">
        <v>335</v>
      </c>
      <c r="B18" s="7" t="n">
        <v>4413093</v>
      </c>
      <c r="C18" s="7" t="s">
        <v>708</v>
      </c>
      <c r="D18" s="7" t="str">
        <f aca="false">TRIM(SUBSTITUTE($A18,CHAR(160)," "))</f>
        <v>45 M</v>
      </c>
    </row>
    <row r="19" customFormat="false" ht="15" hidden="false" customHeight="false" outlineLevel="0" collapsed="false">
      <c r="A19" s="7" t="s">
        <v>336</v>
      </c>
      <c r="B19" s="7" t="n">
        <v>4413094</v>
      </c>
      <c r="C19" s="7" t="s">
        <v>709</v>
      </c>
      <c r="D19" s="7" t="str">
        <f aca="false">TRIM(SUBSTITUTE($A19,CHAR(160)," "))</f>
        <v>45 S</v>
      </c>
    </row>
    <row r="20" customFormat="false" ht="15" hidden="false" customHeight="false" outlineLevel="0" collapsed="false">
      <c r="A20" s="7" t="s">
        <v>337</v>
      </c>
      <c r="B20" s="7" t="n">
        <v>4413095</v>
      </c>
      <c r="C20" s="7" t="s">
        <v>710</v>
      </c>
      <c r="D20" s="7" t="str">
        <f aca="false">TRIM(SUBSTITUTE($A20,CHAR(160)," "))</f>
        <v>45 XL</v>
      </c>
    </row>
    <row r="21" customFormat="false" ht="15" hidden="false" customHeight="false" outlineLevel="0" collapsed="false">
      <c r="A21" s="7" t="s">
        <v>622</v>
      </c>
      <c r="B21" s="7" t="n">
        <v>4413096</v>
      </c>
      <c r="C21" s="7" t="s">
        <v>711</v>
      </c>
      <c r="D21" s="7" t="str">
        <f aca="false">TRIM(SUBSTITUTE($A21,CHAR(160)," "))</f>
        <v>45 XXL</v>
      </c>
    </row>
    <row r="22" customFormat="false" ht="15" hidden="false" customHeight="false" outlineLevel="0" collapsed="false">
      <c r="A22" s="7" t="s">
        <v>338</v>
      </c>
      <c r="B22" s="7" t="n">
        <v>4413495</v>
      </c>
      <c r="C22" s="7" t="s">
        <v>712</v>
      </c>
      <c r="D22" s="7" t="str">
        <f aca="false">TRIM(SUBSTITUTE($A22,CHAR(160)," "))</f>
        <v>45B L</v>
      </c>
    </row>
    <row r="23" customFormat="false" ht="15" hidden="false" customHeight="false" outlineLevel="0" collapsed="false">
      <c r="A23" s="7" t="s">
        <v>339</v>
      </c>
      <c r="B23" s="7" t="n">
        <v>4413497</v>
      </c>
      <c r="C23" s="7" t="s">
        <v>713</v>
      </c>
      <c r="D23" s="7" t="str">
        <f aca="false">TRIM(SUBSTITUTE($A23,CHAR(160)," "))</f>
        <v>45B M</v>
      </c>
    </row>
    <row r="24" customFormat="false" ht="15" hidden="false" customHeight="false" outlineLevel="0" collapsed="false">
      <c r="A24" s="7" t="s">
        <v>340</v>
      </c>
      <c r="B24" s="7" t="n">
        <v>4413498</v>
      </c>
      <c r="C24" s="7" t="s">
        <v>714</v>
      </c>
      <c r="D24" s="7" t="str">
        <f aca="false">TRIM(SUBSTITUTE($A24,CHAR(160)," "))</f>
        <v>45B S</v>
      </c>
    </row>
    <row r="25" customFormat="false" ht="15" hidden="false" customHeight="false" outlineLevel="0" collapsed="false">
      <c r="A25" s="7" t="s">
        <v>341</v>
      </c>
      <c r="B25" s="7" t="n">
        <v>4413496</v>
      </c>
      <c r="C25" s="7" t="s">
        <v>715</v>
      </c>
      <c r="D25" s="7" t="str">
        <f aca="false">TRIM(SUBSTITUTE($A25,CHAR(160)," "))</f>
        <v>45B XL</v>
      </c>
    </row>
    <row r="26" customFormat="false" ht="15" hidden="false" customHeight="false" outlineLevel="0" collapsed="false">
      <c r="A26" s="7" t="s">
        <v>403</v>
      </c>
      <c r="B26" s="7" t="n">
        <v>4413499</v>
      </c>
      <c r="C26" s="7" t="s">
        <v>716</v>
      </c>
      <c r="D26" s="7" t="str">
        <f aca="false">TRIM(SUBSTITUTE($A26,CHAR(160)," "))</f>
        <v>45B XXL</v>
      </c>
    </row>
    <row r="27" customFormat="false" ht="15" hidden="false" customHeight="false" outlineLevel="0" collapsed="false">
      <c r="A27" s="7" t="s">
        <v>342</v>
      </c>
      <c r="B27" s="7" t="n">
        <v>4413098</v>
      </c>
      <c r="C27" s="7" t="s">
        <v>717</v>
      </c>
      <c r="D27" s="7" t="str">
        <f aca="false">TRIM(SUBSTITUTE($A27,CHAR(160)," "))</f>
        <v>45C L</v>
      </c>
    </row>
    <row r="28" customFormat="false" ht="15" hidden="false" customHeight="false" outlineLevel="0" collapsed="false">
      <c r="A28" s="7" t="s">
        <v>343</v>
      </c>
      <c r="B28" s="7" t="n">
        <v>4413099</v>
      </c>
      <c r="C28" s="7" t="s">
        <v>718</v>
      </c>
      <c r="D28" s="7" t="str">
        <f aca="false">TRIM(SUBSTITUTE($A28,CHAR(160)," "))</f>
        <v>45C M</v>
      </c>
    </row>
    <row r="29" customFormat="false" ht="15" hidden="false" customHeight="false" outlineLevel="0" collapsed="false">
      <c r="A29" s="7" t="s">
        <v>344</v>
      </c>
      <c r="B29" s="7" t="n">
        <v>4413097</v>
      </c>
      <c r="C29" s="7" t="s">
        <v>719</v>
      </c>
      <c r="D29" s="7" t="str">
        <f aca="false">TRIM(SUBSTITUTE($A29,CHAR(160)," "))</f>
        <v>45C S</v>
      </c>
    </row>
    <row r="30" customFormat="false" ht="15" hidden="false" customHeight="false" outlineLevel="0" collapsed="false">
      <c r="A30" s="7" t="s">
        <v>345</v>
      </c>
      <c r="B30" s="7" t="n">
        <v>4413100</v>
      </c>
      <c r="C30" s="7" t="s">
        <v>720</v>
      </c>
      <c r="D30" s="7" t="str">
        <f aca="false">TRIM(SUBSTITUTE($A30,CHAR(160)," "))</f>
        <v>45C XL</v>
      </c>
    </row>
    <row r="31" customFormat="false" ht="15" hidden="false" customHeight="false" outlineLevel="0" collapsed="false">
      <c r="A31" s="7" t="s">
        <v>603</v>
      </c>
      <c r="B31" s="7" t="n">
        <v>4413102</v>
      </c>
      <c r="C31" s="7" t="s">
        <v>721</v>
      </c>
      <c r="D31" s="7" t="str">
        <f aca="false">TRIM(SUBSTITUTE($A31,CHAR(160)," "))</f>
        <v>45E L</v>
      </c>
    </row>
    <row r="32" customFormat="false" ht="15" hidden="false" customHeight="false" outlineLevel="0" collapsed="false">
      <c r="A32" s="7" t="s">
        <v>474</v>
      </c>
      <c r="B32" s="7" t="n">
        <v>4413103</v>
      </c>
      <c r="C32" s="7" t="s">
        <v>722</v>
      </c>
      <c r="D32" s="7" t="str">
        <f aca="false">TRIM(SUBSTITUTE($A32,CHAR(160)," "))</f>
        <v>45E M</v>
      </c>
    </row>
    <row r="33" customFormat="false" ht="15" hidden="false" customHeight="false" outlineLevel="0" collapsed="false">
      <c r="A33" s="7" t="s">
        <v>604</v>
      </c>
      <c r="B33" s="7" t="n">
        <v>4413101</v>
      </c>
      <c r="C33" s="7" t="s">
        <v>723</v>
      </c>
      <c r="D33" s="7" t="str">
        <f aca="false">TRIM(SUBSTITUTE($A33,CHAR(160)," "))</f>
        <v>45E S</v>
      </c>
    </row>
    <row r="34" customFormat="false" ht="15" hidden="false" customHeight="false" outlineLevel="0" collapsed="false">
      <c r="A34" s="7" t="s">
        <v>605</v>
      </c>
      <c r="B34" s="7" t="n">
        <v>4413104</v>
      </c>
      <c r="C34" s="7" t="s">
        <v>724</v>
      </c>
      <c r="D34" s="7" t="str">
        <f aca="false">TRIM(SUBSTITUTE($A34,CHAR(160)," "))</f>
        <v>45E XL</v>
      </c>
    </row>
    <row r="35" customFormat="false" ht="15" hidden="false" customHeight="false" outlineLevel="0" collapsed="false">
      <c r="A35" s="7" t="s">
        <v>606</v>
      </c>
      <c r="B35" s="7" t="n">
        <v>4413105</v>
      </c>
      <c r="C35" s="7" t="s">
        <v>725</v>
      </c>
      <c r="D35" s="7" t="str">
        <f aca="false">TRIM(SUBSTITUTE($A35,CHAR(160)," "))</f>
        <v>45E XXL</v>
      </c>
    </row>
    <row r="36" customFormat="false" ht="15" hidden="false" customHeight="false" outlineLevel="0" collapsed="false">
      <c r="A36" s="7" t="s">
        <v>475</v>
      </c>
      <c r="B36" s="7" t="n">
        <v>4413396</v>
      </c>
      <c r="C36" s="7" t="s">
        <v>726</v>
      </c>
      <c r="D36" s="7" t="str">
        <f aca="false">TRIM(SUBSTITUTE($A36,CHAR(160)," "))</f>
        <v>45EC L</v>
      </c>
    </row>
    <row r="37" customFormat="false" ht="15" hidden="false" customHeight="false" outlineLevel="0" collapsed="false">
      <c r="A37" s="7" t="s">
        <v>476</v>
      </c>
      <c r="B37" s="7" t="n">
        <v>4413395</v>
      </c>
      <c r="C37" s="7" t="s">
        <v>727</v>
      </c>
      <c r="D37" s="7" t="str">
        <f aca="false">TRIM(SUBSTITUTE($A37,CHAR(160)," "))</f>
        <v>45EC M</v>
      </c>
    </row>
    <row r="38" customFormat="false" ht="15" hidden="false" customHeight="false" outlineLevel="0" collapsed="false">
      <c r="A38" s="7" t="s">
        <v>477</v>
      </c>
      <c r="B38" s="7" t="n">
        <v>4413394</v>
      </c>
      <c r="C38" s="7" t="s">
        <v>728</v>
      </c>
      <c r="D38" s="7" t="str">
        <f aca="false">TRIM(SUBSTITUTE($A38,CHAR(160)," "))</f>
        <v>45EC S</v>
      </c>
    </row>
    <row r="39" customFormat="false" ht="15" hidden="false" customHeight="false" outlineLevel="0" collapsed="false">
      <c r="A39" s="7" t="s">
        <v>478</v>
      </c>
      <c r="B39" s="7" t="n">
        <v>4413397</v>
      </c>
      <c r="C39" s="7" t="s">
        <v>729</v>
      </c>
      <c r="D39" s="7" t="str">
        <f aca="false">TRIM(SUBSTITUTE($A39,CHAR(160)," "))</f>
        <v>45EC XL</v>
      </c>
    </row>
    <row r="40" customFormat="false" ht="15" hidden="false" customHeight="false" outlineLevel="0" collapsed="false">
      <c r="A40" s="7" t="s">
        <v>730</v>
      </c>
      <c r="B40" s="7" t="n">
        <v>4413398</v>
      </c>
      <c r="C40" s="7" t="s">
        <v>731</v>
      </c>
      <c r="D40" s="7" t="str">
        <f aca="false">TRIM(SUBSTITUTE($A40,CHAR(160)," "))</f>
        <v>45EC XXL</v>
      </c>
    </row>
    <row r="41" customFormat="false" ht="15" hidden="false" customHeight="false" outlineLevel="0" collapsed="false">
      <c r="A41" s="7" t="s">
        <v>732</v>
      </c>
      <c r="B41" s="7" t="n">
        <v>4413107</v>
      </c>
      <c r="C41" s="7" t="s">
        <v>733</v>
      </c>
      <c r="D41" s="7" t="str">
        <f aca="false">TRIM(SUBSTITUTE($A41,CHAR(160)," "))</f>
        <v>48 L</v>
      </c>
    </row>
    <row r="42" customFormat="false" ht="15" hidden="false" customHeight="false" outlineLevel="0" collapsed="false">
      <c r="A42" s="7" t="s">
        <v>734</v>
      </c>
      <c r="B42" s="7" t="n">
        <v>4413108</v>
      </c>
      <c r="C42" s="7" t="s">
        <v>735</v>
      </c>
      <c r="D42" s="7" t="str">
        <f aca="false">TRIM(SUBSTITUTE($A42,CHAR(160)," "))</f>
        <v>48 M</v>
      </c>
    </row>
    <row r="43" customFormat="false" ht="15" hidden="false" customHeight="false" outlineLevel="0" collapsed="false">
      <c r="A43" s="7" t="s">
        <v>648</v>
      </c>
      <c r="B43" s="7" t="n">
        <v>4420026</v>
      </c>
      <c r="C43" s="7" t="s">
        <v>736</v>
      </c>
      <c r="D43" s="7" t="str">
        <f aca="false">TRIM(SUBSTITUTE($A43,CHAR(160)," "))</f>
        <v>AC40 0</v>
      </c>
    </row>
    <row r="44" customFormat="false" ht="15" hidden="false" customHeight="false" outlineLevel="0" collapsed="false">
      <c r="A44" s="7" t="s">
        <v>376</v>
      </c>
      <c r="B44" s="7" t="n">
        <v>4413328</v>
      </c>
      <c r="C44" s="7" t="s">
        <v>737</v>
      </c>
      <c r="D44" s="7" t="str">
        <f aca="false">TRIM(SUBSTITUTE($A44,CHAR(160)," "))</f>
        <v>AC43D 0</v>
      </c>
    </row>
    <row r="45" customFormat="false" ht="15" hidden="false" customHeight="false" outlineLevel="0" collapsed="false">
      <c r="A45" s="7" t="s">
        <v>377</v>
      </c>
      <c r="B45" s="7" t="n">
        <v>4413329</v>
      </c>
      <c r="C45" s="7" t="s">
        <v>738</v>
      </c>
      <c r="D45" s="7" t="str">
        <f aca="false">TRIM(SUBSTITUTE($A45,CHAR(160)," "))</f>
        <v>AC45X 0</v>
      </c>
    </row>
    <row r="46" customFormat="false" ht="15" hidden="false" customHeight="false" outlineLevel="0" collapsed="false">
      <c r="A46" s="7" t="s">
        <v>389</v>
      </c>
      <c r="B46" s="7" t="n">
        <v>4402011</v>
      </c>
      <c r="C46" s="7" t="s">
        <v>739</v>
      </c>
      <c r="D46" s="7" t="str">
        <f aca="false">TRIM(SUBSTITUTE($A46,CHAR(160)," "))</f>
        <v>ST422 0</v>
      </c>
    </row>
    <row r="47" customFormat="false" ht="15" hidden="false" customHeight="false" outlineLevel="0" collapsed="false">
      <c r="A47" s="7" t="s">
        <v>740</v>
      </c>
      <c r="B47" s="7" t="n">
        <v>4413438</v>
      </c>
      <c r="C47" s="7" t="s">
        <v>741</v>
      </c>
      <c r="D47" s="7" t="str">
        <f aca="false">TRIM(SUBSTITUTE($A47,CHAR(160)," "))</f>
        <v>SC422 S</v>
      </c>
    </row>
    <row r="48" customFormat="false" ht="15" hidden="false" customHeight="false" outlineLevel="0" collapsed="false">
      <c r="A48" s="7" t="s">
        <v>742</v>
      </c>
      <c r="B48" s="7" t="n">
        <v>4413442</v>
      </c>
      <c r="C48" s="7" t="s">
        <v>743</v>
      </c>
      <c r="D48" s="7" t="str">
        <f aca="false">TRIM(SUBSTITUTE($A48,CHAR(160)," "))</f>
        <v>SC422 XXL</v>
      </c>
    </row>
    <row r="49" customFormat="false" ht="15" hidden="false" customHeight="false" outlineLevel="0" collapsed="false">
      <c r="A49" s="7" t="s">
        <v>508</v>
      </c>
      <c r="B49" s="7" t="n">
        <v>4422037</v>
      </c>
      <c r="C49" s="7" t="s">
        <v>744</v>
      </c>
      <c r="D49" s="7" t="str">
        <f aca="false">TRIM(SUBSTITUTE($A49,CHAR(160)," "))</f>
        <v>SH422 1</v>
      </c>
    </row>
    <row r="50" customFormat="false" ht="15" hidden="false" customHeight="false" outlineLevel="0" collapsed="false">
      <c r="A50" s="7" t="s">
        <v>509</v>
      </c>
      <c r="B50" s="7" t="n">
        <v>4422038</v>
      </c>
      <c r="C50" s="7" t="s">
        <v>745</v>
      </c>
      <c r="D50" s="7" t="str">
        <f aca="false">TRIM(SUBSTITUTE($A50,CHAR(160)," "))</f>
        <v>SH422 2</v>
      </c>
    </row>
    <row r="51" customFormat="false" ht="15" hidden="false" customHeight="false" outlineLevel="0" collapsed="false">
      <c r="A51" s="7" t="s">
        <v>510</v>
      </c>
      <c r="B51" s="7" t="n">
        <v>4422039</v>
      </c>
      <c r="C51" s="7" t="s">
        <v>746</v>
      </c>
      <c r="D51" s="7" t="str">
        <f aca="false">TRIM(SUBSTITUTE($A51,CHAR(160)," "))</f>
        <v>SH422 3</v>
      </c>
    </row>
    <row r="52" customFormat="false" ht="15" hidden="false" customHeight="false" outlineLevel="0" collapsed="false">
      <c r="A52" s="7" t="s">
        <v>511</v>
      </c>
      <c r="B52" s="7" t="n">
        <v>4422040</v>
      </c>
      <c r="C52" s="7" t="s">
        <v>747</v>
      </c>
      <c r="D52" s="7" t="str">
        <f aca="false">TRIM(SUBSTITUTE($A52,CHAR(160)," "))</f>
        <v>SH422 4</v>
      </c>
    </row>
    <row r="53" customFormat="false" ht="15" hidden="false" customHeight="false" outlineLevel="0" collapsed="false">
      <c r="A53" s="7" t="s">
        <v>512</v>
      </c>
      <c r="B53" s="7" t="n">
        <v>4422041</v>
      </c>
      <c r="C53" s="7" t="s">
        <v>748</v>
      </c>
      <c r="D53" s="7" t="str">
        <f aca="false">TRIM(SUBSTITUTE($A53,CHAR(160)," "))</f>
        <v>SH422 5</v>
      </c>
    </row>
    <row r="54" customFormat="false" ht="15" hidden="false" customHeight="false" outlineLevel="0" collapsed="false">
      <c r="A54" s="7" t="s">
        <v>625</v>
      </c>
      <c r="B54" s="7" t="n">
        <v>4422042</v>
      </c>
      <c r="C54" s="7" t="s">
        <v>749</v>
      </c>
      <c r="D54" s="7" t="str">
        <f aca="false">TRIM(SUBSTITUTE($A54,CHAR(160)," "))</f>
        <v>SH422 6</v>
      </c>
    </row>
    <row r="55" customFormat="false" ht="15" hidden="false" customHeight="false" outlineLevel="0" collapsed="false">
      <c r="A55" s="7" t="s">
        <v>651</v>
      </c>
      <c r="B55" s="7" t="n">
        <v>4413532</v>
      </c>
      <c r="C55" s="7" t="s">
        <v>750</v>
      </c>
      <c r="D55" s="7" t="str">
        <f aca="false">TRIM(SUBSTITUTE($A55,CHAR(160)," "))</f>
        <v>ST433 0</v>
      </c>
    </row>
    <row r="56" customFormat="false" ht="15" hidden="false" customHeight="false" outlineLevel="0" collapsed="false">
      <c r="A56" s="7" t="s">
        <v>659</v>
      </c>
      <c r="B56" s="7" t="n">
        <v>4413184</v>
      </c>
      <c r="C56" s="7" t="s">
        <v>751</v>
      </c>
      <c r="D56" s="7" t="str">
        <f aca="false">TRIM(SUBSTITUTE($A56,CHAR(160)," "))</f>
        <v>T45 L</v>
      </c>
    </row>
    <row r="57" customFormat="false" ht="15" hidden="false" customHeight="false" outlineLevel="0" collapsed="false">
      <c r="A57" s="7" t="s">
        <v>660</v>
      </c>
      <c r="B57" s="7" t="n">
        <v>4413183</v>
      </c>
      <c r="C57" s="7" t="s">
        <v>752</v>
      </c>
      <c r="D57" s="7" t="str">
        <f aca="false">TRIM(SUBSTITUTE($A57,CHAR(160)," "))</f>
        <v>T45 M</v>
      </c>
    </row>
    <row r="58" customFormat="false" ht="15" hidden="false" customHeight="false" outlineLevel="0" collapsed="false">
      <c r="A58" s="7" t="s">
        <v>662</v>
      </c>
      <c r="B58" s="7" t="n">
        <v>4413185</v>
      </c>
      <c r="C58" s="7" t="s">
        <v>753</v>
      </c>
      <c r="D58" s="7" t="str">
        <f aca="false">TRIM(SUBSTITUTE($A58,CHAR(160)," "))</f>
        <v>T45 XL</v>
      </c>
    </row>
    <row r="59" customFormat="false" ht="15" hidden="false" customHeight="false" outlineLevel="0" collapsed="false">
      <c r="A59" s="7" t="s">
        <v>661</v>
      </c>
      <c r="B59" s="7" t="n">
        <v>4413182</v>
      </c>
      <c r="C59" s="7" t="s">
        <v>754</v>
      </c>
      <c r="D59" s="7" t="str">
        <f aca="false">TRIM(SUBSTITUTE($A59,CHAR(160)," "))</f>
        <v>T45 S</v>
      </c>
    </row>
    <row r="60" customFormat="false" ht="15" hidden="false" customHeight="false" outlineLevel="0" collapsed="false">
      <c r="A60" s="7" t="s">
        <v>755</v>
      </c>
      <c r="B60" s="7" t="n">
        <v>4413286</v>
      </c>
      <c r="C60" s="7" t="s">
        <v>756</v>
      </c>
      <c r="D60" s="7" t="str">
        <f aca="false">TRIM(SUBSTITUTE($A60,CHAR(160)," "))</f>
        <v>T45 XXL</v>
      </c>
    </row>
    <row r="61" customFormat="false" ht="15" hidden="false" customHeight="false" outlineLevel="0" collapsed="false">
      <c r="A61" s="7" t="s">
        <v>757</v>
      </c>
      <c r="B61" s="7" t="n">
        <v>4413260</v>
      </c>
      <c r="C61" s="7" t="s">
        <v>758</v>
      </c>
      <c r="D61" s="7" t="str">
        <f aca="false">TRIM(SUBSTITUTE($A61,CHAR(160)," "))</f>
        <v>T45X XXL</v>
      </c>
    </row>
    <row r="62" customFormat="false" ht="15" hidden="false" customHeight="false" outlineLevel="0" collapsed="false">
      <c r="A62" s="7" t="s">
        <v>665</v>
      </c>
      <c r="B62" s="7" t="n">
        <v>4413224</v>
      </c>
      <c r="C62" s="7" t="s">
        <v>759</v>
      </c>
      <c r="D62" s="7" t="str">
        <f aca="false">TRIM(SUBSTITUTE($A62,CHAR(160)," "))</f>
        <v>T45X XL</v>
      </c>
    </row>
    <row r="63" customFormat="false" ht="15" hidden="false" customHeight="false" outlineLevel="0" collapsed="false">
      <c r="A63" s="7" t="s">
        <v>526</v>
      </c>
      <c r="B63" s="7" t="n">
        <v>4403040</v>
      </c>
      <c r="C63" s="7" t="s">
        <v>760</v>
      </c>
      <c r="D63" s="7" t="str">
        <f aca="false">TRIM(SUBSTITUTE($A63,CHAR(160)," "))</f>
        <v>3444B 0</v>
      </c>
    </row>
    <row r="64" customFormat="false" ht="15" hidden="false" customHeight="false" outlineLevel="0" collapsed="false">
      <c r="A64" s="7" t="s">
        <v>529</v>
      </c>
      <c r="B64" s="7" t="n">
        <v>4403001</v>
      </c>
      <c r="C64" s="7" t="s">
        <v>761</v>
      </c>
      <c r="D64" s="7" t="str">
        <f aca="false">TRIM(SUBSTITUTE($A64,CHAR(160)," "))</f>
        <v>390B-39-42</v>
      </c>
    </row>
    <row r="65" customFormat="false" ht="15" hidden="false" customHeight="false" outlineLevel="0" collapsed="false">
      <c r="A65" s="7" t="s">
        <v>530</v>
      </c>
      <c r="B65" s="7" t="n">
        <v>4403002</v>
      </c>
      <c r="C65" s="7" t="s">
        <v>762</v>
      </c>
      <c r="D65" s="7" t="str">
        <f aca="false">TRIM(SUBSTITUTE($A65,CHAR(160)," "))</f>
        <v>390B-43-46</v>
      </c>
    </row>
    <row r="66" customFormat="false" ht="15" hidden="false" customHeight="false" outlineLevel="0" collapsed="false">
      <c r="A66" s="7" t="s">
        <v>763</v>
      </c>
      <c r="B66" s="7" t="n">
        <v>4403000</v>
      </c>
      <c r="C66" s="7" t="s">
        <v>764</v>
      </c>
      <c r="D66" s="7" t="str">
        <f aca="false">TRIM(SUBSTITUTE($A66,CHAR(160)," "))</f>
        <v>390B-35-38</v>
      </c>
    </row>
    <row r="67" customFormat="false" ht="15" hidden="false" customHeight="false" outlineLevel="0" collapsed="false">
      <c r="A67" s="7" t="s">
        <v>765</v>
      </c>
      <c r="B67" s="7" t="n">
        <v>4403003</v>
      </c>
      <c r="C67" s="7" t="s">
        <v>766</v>
      </c>
      <c r="D67" s="7" t="str">
        <f aca="false">TRIM(SUBSTITUTE($A67,CHAR(160)," "))</f>
        <v>390G-35-38</v>
      </c>
    </row>
    <row r="68" customFormat="false" ht="15" hidden="false" customHeight="false" outlineLevel="0" collapsed="false">
      <c r="A68" s="7" t="s">
        <v>467</v>
      </c>
      <c r="B68" s="7" t="n">
        <v>4403006</v>
      </c>
      <c r="C68" s="7" t="s">
        <v>767</v>
      </c>
      <c r="D68" s="7" t="str">
        <f aca="false">TRIM(SUBSTITUTE($A68,CHAR(160)," "))</f>
        <v>390W-35-38</v>
      </c>
    </row>
    <row r="69" customFormat="false" ht="15" hidden="false" customHeight="false" outlineLevel="0" collapsed="false">
      <c r="A69" s="7" t="s">
        <v>768</v>
      </c>
      <c r="B69" s="7" t="n">
        <v>4403007</v>
      </c>
      <c r="C69" s="7" t="s">
        <v>769</v>
      </c>
      <c r="D69" s="7" t="str">
        <f aca="false">TRIM(SUBSTITUTE($A69,CHAR(160)," "))</f>
        <v>390W-39-42</v>
      </c>
    </row>
    <row r="70" customFormat="false" ht="15" hidden="false" customHeight="false" outlineLevel="0" collapsed="false">
      <c r="A70" s="7" t="s">
        <v>468</v>
      </c>
      <c r="B70" s="7" t="n">
        <v>4403008</v>
      </c>
      <c r="C70" s="7" t="s">
        <v>770</v>
      </c>
      <c r="D70" s="7" t="str">
        <f aca="false">TRIM(SUBSTITUTE($A70,CHAR(160)," "))</f>
        <v>390W-43-46</v>
      </c>
    </row>
    <row r="71" customFormat="false" ht="15" hidden="false" customHeight="false" outlineLevel="0" collapsed="false">
      <c r="A71" s="7" t="s">
        <v>469</v>
      </c>
      <c r="B71" s="7" t="n">
        <v>4403017</v>
      </c>
      <c r="C71" s="7" t="s">
        <v>771</v>
      </c>
      <c r="D71" s="7" t="str">
        <f aca="false">TRIM(SUBSTITUTE($A71,CHAR(160)," "))</f>
        <v>394B-35-38</v>
      </c>
    </row>
    <row r="72" customFormat="false" ht="15" hidden="false" customHeight="false" outlineLevel="0" collapsed="false">
      <c r="A72" s="7" t="s">
        <v>470</v>
      </c>
      <c r="B72" s="7" t="n">
        <v>4403018</v>
      </c>
      <c r="C72" s="7" t="s">
        <v>772</v>
      </c>
      <c r="D72" s="7" t="str">
        <f aca="false">TRIM(SUBSTITUTE($A72,CHAR(160)," "))</f>
        <v>394B-39-42</v>
      </c>
    </row>
    <row r="73" customFormat="false" ht="15" hidden="false" customHeight="false" outlineLevel="0" collapsed="false">
      <c r="A73" s="7" t="s">
        <v>471</v>
      </c>
      <c r="B73" s="7" t="n">
        <v>4403019</v>
      </c>
      <c r="C73" s="7" t="s">
        <v>773</v>
      </c>
      <c r="D73" s="7" t="str">
        <f aca="false">TRIM(SUBSTITUTE($A73,CHAR(160)," "))</f>
        <v>394B-43-46</v>
      </c>
    </row>
    <row r="74" customFormat="false" ht="15" hidden="false" customHeight="false" outlineLevel="0" collapsed="false">
      <c r="A74" s="7" t="s">
        <v>774</v>
      </c>
      <c r="B74" s="7" t="n">
        <v>4403023</v>
      </c>
      <c r="C74" s="7" t="s">
        <v>775</v>
      </c>
      <c r="D74" s="7" t="str">
        <f aca="false">TRIM(SUBSTITUTE($A74,CHAR(160)," "))</f>
        <v>394W-35-38</v>
      </c>
    </row>
    <row r="75" customFormat="false" ht="15" hidden="false" customHeight="false" outlineLevel="0" collapsed="false">
      <c r="A75" s="7" t="s">
        <v>776</v>
      </c>
      <c r="B75" s="7" t="n">
        <v>4403024</v>
      </c>
      <c r="C75" s="7" t="s">
        <v>777</v>
      </c>
      <c r="D75" s="7" t="str">
        <f aca="false">TRIM(SUBSTITUTE($A75,CHAR(160)," "))</f>
        <v>394W-39-42</v>
      </c>
    </row>
    <row r="76" customFormat="false" ht="15" hidden="false" customHeight="false" outlineLevel="0" collapsed="false">
      <c r="A76" s="7" t="s">
        <v>778</v>
      </c>
      <c r="B76" s="7" t="n">
        <v>4403025</v>
      </c>
      <c r="C76" s="7" t="s">
        <v>779</v>
      </c>
      <c r="D76" s="7" t="str">
        <f aca="false">TRIM(SUBSTITUTE($A76,CHAR(160)," "))</f>
        <v>394W-43-46</v>
      </c>
    </row>
    <row r="77" customFormat="false" ht="15" hidden="false" customHeight="false" outlineLevel="0" collapsed="false">
      <c r="A77" s="7" t="s">
        <v>328</v>
      </c>
      <c r="B77" s="7" t="n">
        <v>4403044</v>
      </c>
      <c r="C77" s="7" t="s">
        <v>780</v>
      </c>
      <c r="D77" s="7" t="str">
        <f aca="false">TRIM(SUBSTITUTE($A77,CHAR(160)," "))</f>
        <v>395B-39-42</v>
      </c>
    </row>
    <row r="78" customFormat="false" ht="15" hidden="false" customHeight="false" outlineLevel="0" collapsed="false">
      <c r="A78" s="7" t="s">
        <v>472</v>
      </c>
      <c r="B78" s="7" t="n">
        <v>4403045</v>
      </c>
      <c r="C78" s="7" t="s">
        <v>781</v>
      </c>
      <c r="D78" s="7" t="str">
        <f aca="false">TRIM(SUBSTITUTE($A78,CHAR(160)," "))</f>
        <v>395B-43-46</v>
      </c>
    </row>
    <row r="79" customFormat="false" ht="15" hidden="false" customHeight="false" outlineLevel="0" collapsed="false">
      <c r="A79" s="7" t="s">
        <v>329</v>
      </c>
      <c r="B79" s="7" t="n">
        <v>4403029</v>
      </c>
      <c r="C79" s="7" t="s">
        <v>782</v>
      </c>
      <c r="D79" s="7" t="str">
        <f aca="false">TRIM(SUBSTITUTE($A79,CHAR(160)," "))</f>
        <v>397-39-42</v>
      </c>
    </row>
    <row r="80" customFormat="false" ht="15" hidden="false" customHeight="false" outlineLevel="0" collapsed="false">
      <c r="A80" s="7" t="s">
        <v>330</v>
      </c>
      <c r="B80" s="7" t="n">
        <v>4403041</v>
      </c>
      <c r="C80" s="7" t="s">
        <v>783</v>
      </c>
      <c r="D80" s="7" t="str">
        <f aca="false">TRIM(SUBSTITUTE($A80,CHAR(160)," "))</f>
        <v>397A-35-38</v>
      </c>
    </row>
    <row r="81" customFormat="false" ht="15" hidden="false" customHeight="false" outlineLevel="0" collapsed="false">
      <c r="A81" s="7" t="s">
        <v>331</v>
      </c>
      <c r="B81" s="7" t="n">
        <v>4403042</v>
      </c>
      <c r="C81" s="7" t="s">
        <v>784</v>
      </c>
      <c r="D81" s="7" t="str">
        <f aca="false">TRIM(SUBSTITUTE($A81,CHAR(160)," "))</f>
        <v>397A-39-42</v>
      </c>
    </row>
    <row r="82" customFormat="false" ht="15" hidden="false" customHeight="false" outlineLevel="0" collapsed="false">
      <c r="A82" s="7" t="s">
        <v>332</v>
      </c>
      <c r="B82" s="7" t="n">
        <v>4403043</v>
      </c>
      <c r="C82" s="7" t="s">
        <v>785</v>
      </c>
      <c r="D82" s="7" t="str">
        <f aca="false">TRIM(SUBSTITUTE($A82,CHAR(160)," "))</f>
        <v>397A-43-46</v>
      </c>
    </row>
    <row r="83" customFormat="false" ht="15" hidden="false" customHeight="false" outlineLevel="0" collapsed="false">
      <c r="A83" s="7" t="s">
        <v>466</v>
      </c>
      <c r="B83" s="7" t="n">
        <v>4403005</v>
      </c>
      <c r="C83" s="7" t="s">
        <v>786</v>
      </c>
      <c r="D83" s="7" t="str">
        <f aca="false">TRIM(SUBSTITUTE($A83,CHAR(160)," "))</f>
        <v>390G-43-46</v>
      </c>
    </row>
    <row r="84" customFormat="false" ht="15" hidden="false" customHeight="false" outlineLevel="0" collapsed="false">
      <c r="A84" s="7" t="s">
        <v>650</v>
      </c>
      <c r="B84" s="7" t="n">
        <v>4403034</v>
      </c>
      <c r="C84" s="7" t="s">
        <v>787</v>
      </c>
      <c r="D84" s="7" t="str">
        <f aca="false">TRIM(SUBSTITUTE($A84,CHAR(160)," "))</f>
        <v>ST3555-S-M</v>
      </c>
    </row>
    <row r="85" customFormat="false" ht="15" hidden="false" customHeight="false" outlineLevel="0" collapsed="false">
      <c r="A85" s="7" t="s">
        <v>649</v>
      </c>
      <c r="B85" s="7" t="n">
        <v>4403035</v>
      </c>
      <c r="C85" s="7" t="s">
        <v>788</v>
      </c>
      <c r="D85" s="7" t="str">
        <f aca="false">TRIM(SUBSTITUTE($A85,CHAR(160)," "))</f>
        <v>ST3555-L-XL</v>
      </c>
    </row>
    <row r="86" customFormat="false" ht="15" hidden="false" customHeight="false" outlineLevel="0" collapsed="false">
      <c r="A86" s="7" t="s">
        <v>789</v>
      </c>
      <c r="B86" s="7" t="n">
        <v>4408119</v>
      </c>
      <c r="C86" s="7" t="s">
        <v>790</v>
      </c>
      <c r="D86" s="7" t="str">
        <f aca="false">TRIM(SUBSTITUTE($A86,CHAR(160)," "))</f>
        <v>06U L</v>
      </c>
    </row>
    <row r="87" customFormat="false" ht="15" hidden="false" customHeight="false" outlineLevel="0" collapsed="false">
      <c r="A87" s="7" t="s">
        <v>791</v>
      </c>
      <c r="B87" s="7" t="n">
        <v>4408120</v>
      </c>
      <c r="C87" s="7" t="s">
        <v>792</v>
      </c>
      <c r="D87" s="7" t="str">
        <f aca="false">TRIM(SUBSTITUTE($A87,CHAR(160)," "))</f>
        <v>06U XL</v>
      </c>
    </row>
    <row r="88" customFormat="false" ht="15" hidden="false" customHeight="false" outlineLevel="0" collapsed="false">
      <c r="A88" s="7" t="s">
        <v>591</v>
      </c>
      <c r="B88" s="7" t="n">
        <v>4408245</v>
      </c>
      <c r="C88" s="7" t="s">
        <v>793</v>
      </c>
      <c r="D88" s="7" t="str">
        <f aca="false">TRIM(SUBSTITUTE($A88,CHAR(160)," "))</f>
        <v>077A XXL</v>
      </c>
    </row>
    <row r="89" customFormat="false" ht="15" hidden="false" customHeight="false" outlineLevel="0" collapsed="false">
      <c r="A89" s="7" t="s">
        <v>592</v>
      </c>
      <c r="B89" s="7" t="n">
        <v>4408135</v>
      </c>
      <c r="C89" s="7" t="s">
        <v>794</v>
      </c>
      <c r="D89" s="7" t="str">
        <f aca="false">TRIM(SUBSTITUTE($A89,CHAR(160)," "))</f>
        <v>077A-L-XL</v>
      </c>
    </row>
    <row r="90" customFormat="false" ht="15" hidden="false" customHeight="false" outlineLevel="0" collapsed="false">
      <c r="A90" s="7" t="s">
        <v>593</v>
      </c>
      <c r="B90" s="7" t="n">
        <v>4408134</v>
      </c>
      <c r="C90" s="7" t="s">
        <v>795</v>
      </c>
      <c r="D90" s="7" t="str">
        <f aca="false">TRIM(SUBSTITUTE($A90,CHAR(160)," "))</f>
        <v>077A-S-M</v>
      </c>
    </row>
    <row r="91" customFormat="false" ht="15" hidden="false" customHeight="false" outlineLevel="0" collapsed="false">
      <c r="A91" s="7" t="s">
        <v>272</v>
      </c>
      <c r="B91" s="7" t="n">
        <v>4408192</v>
      </c>
      <c r="C91" s="7" t="s">
        <v>796</v>
      </c>
      <c r="D91" s="7" t="str">
        <f aca="false">TRIM(SUBSTITUTE($A91,CHAR(160)," "))</f>
        <v>078 L</v>
      </c>
    </row>
    <row r="92" customFormat="false" ht="15" hidden="false" customHeight="false" outlineLevel="0" collapsed="false">
      <c r="A92" s="7" t="s">
        <v>276</v>
      </c>
      <c r="B92" s="7" t="n">
        <v>4408221</v>
      </c>
      <c r="C92" s="7" t="s">
        <v>797</v>
      </c>
      <c r="D92" s="7" t="str">
        <f aca="false">TRIM(SUBSTITUTE($A92,CHAR(160)," "))</f>
        <v>078G L</v>
      </c>
    </row>
    <row r="93" customFormat="false" ht="15" hidden="false" customHeight="false" outlineLevel="0" collapsed="false">
      <c r="A93" s="7" t="s">
        <v>277</v>
      </c>
      <c r="B93" s="7" t="n">
        <v>4408220</v>
      </c>
      <c r="C93" s="7" t="s">
        <v>798</v>
      </c>
      <c r="D93" s="7" t="str">
        <f aca="false">TRIM(SUBSTITUTE($A93,CHAR(160)," "))</f>
        <v>078G M</v>
      </c>
    </row>
    <row r="94" customFormat="false" ht="15" hidden="false" customHeight="false" outlineLevel="0" collapsed="false">
      <c r="A94" s="7" t="s">
        <v>278</v>
      </c>
      <c r="B94" s="7" t="n">
        <v>4408219</v>
      </c>
      <c r="C94" s="7" t="s">
        <v>799</v>
      </c>
      <c r="D94" s="7" t="str">
        <f aca="false">TRIM(SUBSTITUTE($A94,CHAR(160)," "))</f>
        <v>078G S</v>
      </c>
    </row>
    <row r="95" customFormat="false" ht="15" hidden="false" customHeight="false" outlineLevel="0" collapsed="false">
      <c r="A95" s="7" t="s">
        <v>279</v>
      </c>
      <c r="B95" s="7" t="n">
        <v>4408222</v>
      </c>
      <c r="C95" s="7" t="s">
        <v>800</v>
      </c>
      <c r="D95" s="7" t="str">
        <f aca="false">TRIM(SUBSTITUTE($A95,CHAR(160)," "))</f>
        <v>078G XL</v>
      </c>
    </row>
    <row r="96" customFormat="false" ht="15" hidden="false" customHeight="false" outlineLevel="0" collapsed="false">
      <c r="A96" s="7" t="s">
        <v>280</v>
      </c>
      <c r="B96" s="7" t="n">
        <v>4408223</v>
      </c>
      <c r="C96" s="7" t="s">
        <v>801</v>
      </c>
      <c r="D96" s="7" t="str">
        <f aca="false">TRIM(SUBSTITUTE($A96,CHAR(160)," "))</f>
        <v>078G XXL</v>
      </c>
    </row>
    <row r="97" customFormat="false" ht="15" hidden="false" customHeight="false" outlineLevel="0" collapsed="false">
      <c r="A97" s="7" t="s">
        <v>275</v>
      </c>
      <c r="B97" s="7" t="n">
        <v>4408218</v>
      </c>
      <c r="C97" s="7" t="s">
        <v>802</v>
      </c>
      <c r="D97" s="7" t="str">
        <f aca="false">TRIM(SUBSTITUTE($A97,CHAR(160)," "))</f>
        <v>078 XL</v>
      </c>
    </row>
    <row r="98" customFormat="false" ht="15" hidden="false" customHeight="false" outlineLevel="0" collapsed="false">
      <c r="A98" s="7" t="s">
        <v>406</v>
      </c>
      <c r="B98" s="7" t="n">
        <v>4408265</v>
      </c>
      <c r="C98" s="7" t="s">
        <v>803</v>
      </c>
      <c r="D98" s="7" t="str">
        <f aca="false">TRIM(SUBSTITUTE($A98,CHAR(160)," "))</f>
        <v>078 XXL</v>
      </c>
    </row>
    <row r="99" customFormat="false" ht="15" hidden="false" customHeight="false" outlineLevel="0" collapsed="false">
      <c r="A99" s="7" t="s">
        <v>407</v>
      </c>
      <c r="B99" s="7" t="n">
        <v>4408015</v>
      </c>
      <c r="C99" s="7" t="s">
        <v>804</v>
      </c>
      <c r="D99" s="7" t="str">
        <f aca="false">TRIM(SUBSTITUTE($A99,CHAR(160)," "))</f>
        <v>07AU L</v>
      </c>
    </row>
    <row r="100" customFormat="false" ht="15" hidden="false" customHeight="false" outlineLevel="0" collapsed="false">
      <c r="A100" s="7" t="s">
        <v>408</v>
      </c>
      <c r="B100" s="7" t="n">
        <v>4408016</v>
      </c>
      <c r="C100" s="7" t="s">
        <v>805</v>
      </c>
      <c r="D100" s="7" t="str">
        <f aca="false">TRIM(SUBSTITUTE($A100,CHAR(160)," "))</f>
        <v>07AU M</v>
      </c>
    </row>
    <row r="101" customFormat="false" ht="15" hidden="false" customHeight="false" outlineLevel="0" collapsed="false">
      <c r="A101" s="7" t="s">
        <v>409</v>
      </c>
      <c r="B101" s="7" t="n">
        <v>4408014</v>
      </c>
      <c r="C101" s="7" t="s">
        <v>806</v>
      </c>
      <c r="D101" s="7" t="str">
        <f aca="false">TRIM(SUBSTITUTE($A101,CHAR(160)," "))</f>
        <v>07AU S</v>
      </c>
    </row>
    <row r="102" customFormat="false" ht="15" hidden="false" customHeight="false" outlineLevel="0" collapsed="false">
      <c r="A102" s="7" t="s">
        <v>410</v>
      </c>
      <c r="B102" s="7" t="n">
        <v>4408017</v>
      </c>
      <c r="C102" s="7" t="s">
        <v>807</v>
      </c>
      <c r="D102" s="7" t="str">
        <f aca="false">TRIM(SUBSTITUTE($A102,CHAR(160)," "))</f>
        <v>07AU XL</v>
      </c>
    </row>
    <row r="103" customFormat="false" ht="15" hidden="false" customHeight="false" outlineLevel="0" collapsed="false">
      <c r="A103" s="7" t="s">
        <v>411</v>
      </c>
      <c r="B103" s="7" t="n">
        <v>4408018</v>
      </c>
      <c r="C103" s="7" t="s">
        <v>808</v>
      </c>
      <c r="D103" s="7" t="str">
        <f aca="false">TRIM(SUBSTITUTE($A103,CHAR(160)," "))</f>
        <v>07AU XXL</v>
      </c>
    </row>
    <row r="104" customFormat="false" ht="15" hidden="false" customHeight="false" outlineLevel="0" collapsed="false">
      <c r="A104" s="7" t="s">
        <v>628</v>
      </c>
      <c r="B104" s="7" t="n">
        <v>4408027</v>
      </c>
      <c r="C104" s="7" t="s">
        <v>809</v>
      </c>
      <c r="D104" s="7" t="str">
        <f aca="false">TRIM(SUBSTITUTE($A104,CHAR(160)," "))</f>
        <v>10 L</v>
      </c>
    </row>
    <row r="105" customFormat="false" ht="15" hidden="false" customHeight="false" outlineLevel="0" collapsed="false">
      <c r="A105" s="7" t="s">
        <v>412</v>
      </c>
      <c r="B105" s="7" t="n">
        <v>4408028</v>
      </c>
      <c r="C105" s="7" t="s">
        <v>810</v>
      </c>
      <c r="D105" s="7" t="str">
        <f aca="false">TRIM(SUBSTITUTE($A105,CHAR(160)," "))</f>
        <v>10 M</v>
      </c>
    </row>
    <row r="106" customFormat="false" ht="15" hidden="false" customHeight="false" outlineLevel="0" collapsed="false">
      <c r="A106" s="7" t="s">
        <v>629</v>
      </c>
      <c r="B106" s="7" t="n">
        <v>4408029</v>
      </c>
      <c r="C106" s="7" t="s">
        <v>811</v>
      </c>
      <c r="D106" s="7" t="str">
        <f aca="false">TRIM(SUBSTITUTE($A106,CHAR(160)," "))</f>
        <v>10 XL</v>
      </c>
    </row>
    <row r="107" customFormat="false" ht="15" hidden="false" customHeight="false" outlineLevel="0" collapsed="false">
      <c r="A107" s="7" t="s">
        <v>281</v>
      </c>
      <c r="B107" s="7" t="n">
        <v>4408032</v>
      </c>
      <c r="C107" s="7" t="s">
        <v>812</v>
      </c>
      <c r="D107" s="7" t="str">
        <f aca="false">TRIM(SUBSTITUTE($A107,CHAR(160)," "))</f>
        <v>11 L</v>
      </c>
    </row>
    <row r="108" customFormat="false" ht="15" hidden="false" customHeight="false" outlineLevel="0" collapsed="false">
      <c r="A108" s="7" t="s">
        <v>282</v>
      </c>
      <c r="B108" s="7" t="n">
        <v>4408033</v>
      </c>
      <c r="C108" s="7" t="s">
        <v>813</v>
      </c>
      <c r="D108" s="7" t="str">
        <f aca="false">TRIM(SUBSTITUTE($A108,CHAR(160)," "))</f>
        <v>11 M</v>
      </c>
    </row>
    <row r="109" customFormat="false" ht="15" hidden="false" customHeight="false" outlineLevel="0" collapsed="false">
      <c r="A109" s="7" t="s">
        <v>283</v>
      </c>
      <c r="B109" s="7" t="n">
        <v>4408031</v>
      </c>
      <c r="C109" s="7" t="s">
        <v>814</v>
      </c>
      <c r="D109" s="7" t="str">
        <f aca="false">TRIM(SUBSTITUTE($A109,CHAR(160)," "))</f>
        <v>11 S</v>
      </c>
    </row>
    <row r="110" customFormat="false" ht="15" hidden="false" customHeight="false" outlineLevel="0" collapsed="false">
      <c r="A110" s="7" t="s">
        <v>284</v>
      </c>
      <c r="B110" s="7" t="n">
        <v>4408034</v>
      </c>
      <c r="C110" s="7" t="s">
        <v>815</v>
      </c>
      <c r="D110" s="7" t="str">
        <f aca="false">TRIM(SUBSTITUTE($A110,CHAR(160)," "))</f>
        <v>11 XL</v>
      </c>
    </row>
    <row r="111" customFormat="false" ht="15" hidden="false" customHeight="false" outlineLevel="0" collapsed="false">
      <c r="A111" s="7" t="s">
        <v>413</v>
      </c>
      <c r="B111" s="7" t="n">
        <v>4408035</v>
      </c>
      <c r="C111" s="7" t="s">
        <v>816</v>
      </c>
      <c r="D111" s="7" t="str">
        <f aca="false">TRIM(SUBSTITUTE($A111,CHAR(160)," "))</f>
        <v>11 XXL</v>
      </c>
    </row>
    <row r="112" customFormat="false" ht="15" hidden="false" customHeight="false" outlineLevel="0" collapsed="false">
      <c r="A112" s="7" t="s">
        <v>414</v>
      </c>
      <c r="B112" s="7" t="n">
        <v>4408115</v>
      </c>
      <c r="C112" s="7" t="s">
        <v>817</v>
      </c>
      <c r="D112" s="7" t="str">
        <f aca="false">TRIM(SUBSTITUTE($A112,CHAR(160)," "))</f>
        <v>11EU L</v>
      </c>
    </row>
    <row r="113" customFormat="false" ht="15" hidden="false" customHeight="false" outlineLevel="0" collapsed="false">
      <c r="A113" s="7" t="s">
        <v>415</v>
      </c>
      <c r="B113" s="7" t="n">
        <v>4408114</v>
      </c>
      <c r="C113" s="7" t="s">
        <v>818</v>
      </c>
      <c r="D113" s="7" t="str">
        <f aca="false">TRIM(SUBSTITUTE($A113,CHAR(160)," "))</f>
        <v>11EU M</v>
      </c>
    </row>
    <row r="114" customFormat="false" ht="15" hidden="false" customHeight="false" outlineLevel="0" collapsed="false">
      <c r="A114" s="7" t="s">
        <v>416</v>
      </c>
      <c r="B114" s="7" t="n">
        <v>4408116</v>
      </c>
      <c r="C114" s="7" t="s">
        <v>819</v>
      </c>
      <c r="D114" s="7" t="str">
        <f aca="false">TRIM(SUBSTITUTE($A114,CHAR(160)," "))</f>
        <v>11EU XL</v>
      </c>
    </row>
    <row r="115" customFormat="false" ht="15" hidden="false" customHeight="false" outlineLevel="0" collapsed="false">
      <c r="A115" s="7" t="s">
        <v>417</v>
      </c>
      <c r="B115" s="7" t="n">
        <v>4408132</v>
      </c>
      <c r="C115" s="7" t="s">
        <v>820</v>
      </c>
      <c r="D115" s="7" t="str">
        <f aca="false">TRIM(SUBSTITUTE($A115,CHAR(160)," "))</f>
        <v>11EU XXL</v>
      </c>
    </row>
    <row r="116" customFormat="false" ht="15" hidden="false" customHeight="false" outlineLevel="0" collapsed="false">
      <c r="A116" s="7" t="s">
        <v>612</v>
      </c>
      <c r="B116" s="7" t="n">
        <v>4408147</v>
      </c>
      <c r="C116" s="7" t="s">
        <v>821</v>
      </c>
      <c r="D116" s="7" t="str">
        <f aca="false">TRIM(SUBSTITUTE($A116,CHAR(160)," "))</f>
        <v>11PS L</v>
      </c>
    </row>
    <row r="117" customFormat="false" ht="15" hidden="false" customHeight="false" outlineLevel="0" collapsed="false">
      <c r="A117" s="7" t="s">
        <v>613</v>
      </c>
      <c r="B117" s="7" t="n">
        <v>4408145</v>
      </c>
      <c r="C117" s="7" t="s">
        <v>822</v>
      </c>
      <c r="D117" s="7" t="str">
        <f aca="false">TRIM(SUBSTITUTE($A117,CHAR(160)," "))</f>
        <v>11PS S</v>
      </c>
    </row>
    <row r="118" customFormat="false" ht="15" hidden="false" customHeight="false" outlineLevel="0" collapsed="false">
      <c r="A118" s="7" t="s">
        <v>614</v>
      </c>
      <c r="B118" s="7" t="n">
        <v>4408148</v>
      </c>
      <c r="C118" s="7" t="s">
        <v>823</v>
      </c>
      <c r="D118" s="7" t="str">
        <f aca="false">TRIM(SUBSTITUTE($A118,CHAR(160)," "))</f>
        <v>11PS XL</v>
      </c>
    </row>
    <row r="119" customFormat="false" ht="15" hidden="false" customHeight="false" outlineLevel="0" collapsed="false">
      <c r="A119" s="7" t="s">
        <v>615</v>
      </c>
      <c r="B119" s="7" t="n">
        <v>4408149</v>
      </c>
      <c r="C119" s="7" t="s">
        <v>824</v>
      </c>
      <c r="D119" s="7" t="str">
        <f aca="false">TRIM(SUBSTITUTE($A119,CHAR(160)," "))</f>
        <v>11PS XXL</v>
      </c>
    </row>
    <row r="120" customFormat="false" ht="15" hidden="false" customHeight="false" outlineLevel="0" collapsed="false">
      <c r="A120" s="7" t="s">
        <v>594</v>
      </c>
      <c r="B120" s="7" t="n">
        <v>4408261</v>
      </c>
      <c r="C120" s="7" t="s">
        <v>825</v>
      </c>
      <c r="D120" s="7" t="str">
        <f aca="false">TRIM(SUBSTITUTE($A120,CHAR(160)," "))</f>
        <v>11STO L</v>
      </c>
    </row>
    <row r="121" customFormat="false" ht="15" hidden="false" customHeight="false" outlineLevel="0" collapsed="false">
      <c r="A121" s="7" t="s">
        <v>595</v>
      </c>
      <c r="B121" s="7" t="n">
        <v>4408260</v>
      </c>
      <c r="C121" s="7" t="s">
        <v>826</v>
      </c>
      <c r="D121" s="7" t="str">
        <f aca="false">TRIM(SUBSTITUTE($A121,CHAR(160)," "))</f>
        <v>11STO M</v>
      </c>
    </row>
    <row r="122" customFormat="false" ht="15" hidden="false" customHeight="false" outlineLevel="0" collapsed="false">
      <c r="A122" s="7" t="s">
        <v>684</v>
      </c>
      <c r="B122" s="7" t="n">
        <v>4408259</v>
      </c>
      <c r="C122" s="7" t="s">
        <v>827</v>
      </c>
      <c r="D122" s="7" t="str">
        <f aca="false">TRIM(SUBSTITUTE($A122,CHAR(160)," "))</f>
        <v>11STO S</v>
      </c>
    </row>
    <row r="123" customFormat="false" ht="15" hidden="false" customHeight="false" outlineLevel="0" collapsed="false">
      <c r="A123" s="7" t="s">
        <v>596</v>
      </c>
      <c r="B123" s="7" t="n">
        <v>4408262</v>
      </c>
      <c r="C123" s="7" t="s">
        <v>828</v>
      </c>
      <c r="D123" s="7" t="str">
        <f aca="false">TRIM(SUBSTITUTE($A123,CHAR(160)," "))</f>
        <v>11STO XL</v>
      </c>
    </row>
    <row r="124" customFormat="false" ht="15" hidden="false" customHeight="false" outlineLevel="0" collapsed="false">
      <c r="A124" s="7" t="s">
        <v>597</v>
      </c>
      <c r="B124" s="7" t="n">
        <v>4408263</v>
      </c>
      <c r="C124" s="7" t="s">
        <v>829</v>
      </c>
      <c r="D124" s="7" t="str">
        <f aca="false">TRIM(SUBSTITUTE($A124,CHAR(160)," "))</f>
        <v>11STO XXL</v>
      </c>
    </row>
    <row r="125" customFormat="false" ht="15" hidden="false" customHeight="false" outlineLevel="0" collapsed="false">
      <c r="A125" s="7" t="s">
        <v>830</v>
      </c>
      <c r="B125" s="7" t="n">
        <v>4408152</v>
      </c>
      <c r="C125" s="7" t="s">
        <v>831</v>
      </c>
      <c r="D125" s="7" t="str">
        <f aca="false">TRIM(SUBSTITUTE($A125,CHAR(160)," "))</f>
        <v>11TO L</v>
      </c>
    </row>
    <row r="126" customFormat="false" ht="15" hidden="false" customHeight="false" outlineLevel="0" collapsed="false">
      <c r="A126" s="7" t="s">
        <v>832</v>
      </c>
      <c r="B126" s="7" t="n">
        <v>4408151</v>
      </c>
      <c r="C126" s="7" t="s">
        <v>833</v>
      </c>
      <c r="D126" s="7" t="str">
        <f aca="false">TRIM(SUBSTITUTE($A126,CHAR(160)," "))</f>
        <v>11TO M</v>
      </c>
    </row>
    <row r="127" customFormat="false" ht="15" hidden="false" customHeight="false" outlineLevel="0" collapsed="false">
      <c r="A127" s="7" t="s">
        <v>834</v>
      </c>
      <c r="B127" s="7" t="n">
        <v>4408150</v>
      </c>
      <c r="C127" s="7" t="s">
        <v>835</v>
      </c>
      <c r="D127" s="7" t="str">
        <f aca="false">TRIM(SUBSTITUTE($A127,CHAR(160)," "))</f>
        <v>11TO S</v>
      </c>
    </row>
    <row r="128" customFormat="false" ht="15" hidden="false" customHeight="false" outlineLevel="0" collapsed="false">
      <c r="A128" s="7" t="s">
        <v>836</v>
      </c>
      <c r="B128" s="7" t="n">
        <v>4408153</v>
      </c>
      <c r="C128" s="7" t="s">
        <v>837</v>
      </c>
      <c r="D128" s="7" t="str">
        <f aca="false">TRIM(SUBSTITUTE($A128,CHAR(160)," "))</f>
        <v>11TO XL</v>
      </c>
    </row>
    <row r="129" customFormat="false" ht="15" hidden="false" customHeight="false" outlineLevel="0" collapsed="false">
      <c r="A129" s="7" t="s">
        <v>838</v>
      </c>
      <c r="B129" s="7" t="n">
        <v>4408154</v>
      </c>
      <c r="C129" s="7" t="s">
        <v>839</v>
      </c>
      <c r="D129" s="7" t="str">
        <f aca="false">TRIM(SUBSTITUTE($A129,CHAR(160)," "))</f>
        <v>11TO XXL</v>
      </c>
    </row>
    <row r="130" customFormat="false" ht="15" hidden="false" customHeight="false" outlineLevel="0" collapsed="false">
      <c r="A130" s="7" t="s">
        <v>630</v>
      </c>
      <c r="B130" s="7" t="n">
        <v>4408179</v>
      </c>
      <c r="C130" s="7" t="s">
        <v>840</v>
      </c>
      <c r="D130" s="7" t="str">
        <f aca="false">TRIM(SUBSTITUTE($A130,CHAR(160)," "))</f>
        <v>13 XL</v>
      </c>
    </row>
    <row r="131" customFormat="false" ht="15" hidden="false" customHeight="false" outlineLevel="0" collapsed="false">
      <c r="A131" s="7" t="s">
        <v>631</v>
      </c>
      <c r="B131" s="7" t="n">
        <v>4408180</v>
      </c>
      <c r="C131" s="7" t="s">
        <v>841</v>
      </c>
      <c r="D131" s="7" t="str">
        <f aca="false">TRIM(SUBSTITUTE($A131,CHAR(160)," "))</f>
        <v>13 XXL</v>
      </c>
    </row>
    <row r="132" customFormat="false" ht="15" hidden="false" customHeight="false" outlineLevel="0" collapsed="false">
      <c r="A132" s="7" t="s">
        <v>666</v>
      </c>
      <c r="B132" s="7" t="n">
        <v>4408203</v>
      </c>
      <c r="C132" s="7" t="s">
        <v>842</v>
      </c>
      <c r="D132" s="7" t="str">
        <f aca="false">TRIM(SUBSTITUTE($A132,CHAR(160)," "))</f>
        <v>14 0</v>
      </c>
    </row>
    <row r="133" customFormat="false" ht="15" hidden="false" customHeight="false" outlineLevel="0" collapsed="false">
      <c r="A133" s="7" t="s">
        <v>616</v>
      </c>
      <c r="B133" s="7" t="n">
        <v>4408131</v>
      </c>
      <c r="C133" s="7" t="s">
        <v>843</v>
      </c>
      <c r="D133" s="7" t="str">
        <f aca="false">TRIM(SUBSTITUTE($A133,CHAR(160)," "))</f>
        <v>15W L</v>
      </c>
    </row>
    <row r="134" customFormat="false" ht="15" hidden="false" customHeight="false" outlineLevel="0" collapsed="false">
      <c r="A134" s="7" t="s">
        <v>285</v>
      </c>
      <c r="B134" s="7" t="n">
        <v>4408230</v>
      </c>
      <c r="C134" s="7" t="s">
        <v>844</v>
      </c>
      <c r="D134" s="7" t="str">
        <f aca="false">TRIM(SUBSTITUTE($A134,CHAR(160)," "))</f>
        <v>16-L-XL</v>
      </c>
    </row>
    <row r="135" customFormat="false" ht="15" hidden="false" customHeight="false" outlineLevel="0" collapsed="false">
      <c r="A135" s="7" t="s">
        <v>286</v>
      </c>
      <c r="B135" s="7" t="n">
        <v>4408231</v>
      </c>
      <c r="C135" s="7" t="s">
        <v>845</v>
      </c>
      <c r="D135" s="7" t="str">
        <f aca="false">TRIM(SUBSTITUTE($A135,CHAR(160)," "))</f>
        <v>16-S-M</v>
      </c>
    </row>
    <row r="136" customFormat="false" ht="15" hidden="false" customHeight="false" outlineLevel="0" collapsed="false">
      <c r="A136" s="7" t="s">
        <v>418</v>
      </c>
      <c r="B136" s="7" t="n">
        <v>4408232</v>
      </c>
      <c r="C136" s="7" t="s">
        <v>846</v>
      </c>
      <c r="D136" s="7" t="str">
        <f aca="false">TRIM(SUBSTITUTE($A136,CHAR(160)," "))</f>
        <v>16 XXL</v>
      </c>
    </row>
    <row r="137" customFormat="false" ht="15" hidden="false" customHeight="false" outlineLevel="0" collapsed="false">
      <c r="A137" s="7" t="s">
        <v>682</v>
      </c>
      <c r="B137" s="7" t="n">
        <v>4408274</v>
      </c>
      <c r="C137" s="7" t="s">
        <v>847</v>
      </c>
      <c r="D137" s="7" t="str">
        <f aca="false">TRIM(SUBSTITUTE($A137,CHAR(160)," "))</f>
        <v>70N L</v>
      </c>
    </row>
    <row r="138" customFormat="false" ht="15" hidden="false" customHeight="false" outlineLevel="0" collapsed="false">
      <c r="A138" s="7" t="s">
        <v>683</v>
      </c>
      <c r="B138" s="7" t="n">
        <v>4408273</v>
      </c>
      <c r="C138" s="7" t="s">
        <v>848</v>
      </c>
      <c r="D138" s="7" t="str">
        <f aca="false">TRIM(SUBSTITUTE($A138,CHAR(160)," "))</f>
        <v>70N M</v>
      </c>
    </row>
    <row r="139" customFormat="false" ht="15" hidden="false" customHeight="false" outlineLevel="0" collapsed="false">
      <c r="A139" s="7" t="s">
        <v>663</v>
      </c>
      <c r="B139" s="7" t="n">
        <v>4408272</v>
      </c>
      <c r="C139" s="7" t="s">
        <v>849</v>
      </c>
      <c r="D139" s="7" t="str">
        <f aca="false">TRIM(SUBSTITUTE($A139,CHAR(160)," "))</f>
        <v>70N S</v>
      </c>
    </row>
    <row r="140" customFormat="false" ht="15" hidden="false" customHeight="false" outlineLevel="0" collapsed="false">
      <c r="A140" s="7" t="s">
        <v>664</v>
      </c>
      <c r="B140" s="7" t="n">
        <v>4408271</v>
      </c>
      <c r="C140" s="7" t="s">
        <v>850</v>
      </c>
      <c r="D140" s="7" t="str">
        <f aca="false">TRIM(SUBSTITUTE($A140,CHAR(160)," "))</f>
        <v>70N XS</v>
      </c>
    </row>
    <row r="141" customFormat="false" ht="15" hidden="false" customHeight="false" outlineLevel="0" collapsed="false">
      <c r="A141" s="7" t="s">
        <v>404</v>
      </c>
      <c r="B141" s="7" t="n">
        <v>4408205</v>
      </c>
      <c r="C141" s="7" t="s">
        <v>851</v>
      </c>
      <c r="D141" s="7" t="str">
        <f aca="false">TRIM(SUBSTITUTE($A141,CHAR(160)," "))</f>
        <v>AC07 0</v>
      </c>
    </row>
    <row r="142" customFormat="false" ht="15" hidden="false" customHeight="false" outlineLevel="0" collapsed="false">
      <c r="A142" s="7" t="s">
        <v>497</v>
      </c>
      <c r="B142" s="7" t="n">
        <v>4408206</v>
      </c>
      <c r="C142" s="7" t="s">
        <v>852</v>
      </c>
      <c r="D142" s="7" t="str">
        <f aca="false">TRIM(SUBSTITUTE($A142,CHAR(160)," "))</f>
        <v>AC11 0</v>
      </c>
    </row>
    <row r="143" customFormat="false" ht="15" hidden="false" customHeight="false" outlineLevel="0" collapsed="false">
      <c r="A143" s="7" t="s">
        <v>598</v>
      </c>
      <c r="B143" s="7" t="n">
        <v>4408226</v>
      </c>
      <c r="C143" s="7" t="s">
        <v>853</v>
      </c>
      <c r="D143" s="7" t="str">
        <f aca="false">TRIM(SUBSTITUTE($A143,CHAR(160)," "))</f>
        <v>11UG L</v>
      </c>
    </row>
    <row r="144" customFormat="false" ht="15" hidden="false" customHeight="false" outlineLevel="0" collapsed="false">
      <c r="A144" s="7" t="s">
        <v>273</v>
      </c>
      <c r="B144" s="7" t="n">
        <v>4408190</v>
      </c>
      <c r="C144" s="7" t="s">
        <v>854</v>
      </c>
      <c r="D144" s="7" t="str">
        <f aca="false">TRIM(SUBSTITUTE($A144,CHAR(160)," "))</f>
        <v>078 M</v>
      </c>
    </row>
    <row r="145" customFormat="false" ht="15" hidden="false" customHeight="false" outlineLevel="0" collapsed="false">
      <c r="A145" s="7" t="s">
        <v>274</v>
      </c>
      <c r="B145" s="7" t="n">
        <v>4408217</v>
      </c>
      <c r="C145" s="7" t="s">
        <v>855</v>
      </c>
      <c r="D145" s="7" t="str">
        <f aca="false">TRIM(SUBSTITUTE($A145,CHAR(160)," "))</f>
        <v>078 S</v>
      </c>
    </row>
    <row r="146" customFormat="false" ht="15" hidden="false" customHeight="false" outlineLevel="0" collapsed="false">
      <c r="A146" s="7" t="s">
        <v>513</v>
      </c>
      <c r="B146" s="7" t="n">
        <v>4408270</v>
      </c>
      <c r="C146" s="7" t="s">
        <v>856</v>
      </c>
      <c r="D146" s="7" t="str">
        <f aca="false">TRIM(SUBSTITUTE($A146,CHAR(160)," "))</f>
        <v>ST11 0</v>
      </c>
    </row>
    <row r="147" customFormat="false" ht="15" hidden="false" customHeight="false" outlineLevel="0" collapsed="false">
      <c r="A147" s="7" t="s">
        <v>857</v>
      </c>
      <c r="B147" s="7" t="n">
        <v>4408090</v>
      </c>
      <c r="C147" s="7" t="s">
        <v>858</v>
      </c>
      <c r="D147" s="7" t="str">
        <f aca="false">TRIM(SUBSTITUTE($A147,CHAR(160)," "))</f>
        <v>T11C L</v>
      </c>
    </row>
    <row r="148" customFormat="false" ht="15" hidden="false" customHeight="false" outlineLevel="0" collapsed="false">
      <c r="A148" s="7" t="s">
        <v>859</v>
      </c>
      <c r="B148" s="7" t="n">
        <v>4408091</v>
      </c>
      <c r="C148" s="7" t="s">
        <v>860</v>
      </c>
      <c r="D148" s="7" t="str">
        <f aca="false">TRIM(SUBSTITUTE($A148,CHAR(160)," "))</f>
        <v>T11C M</v>
      </c>
    </row>
    <row r="149" customFormat="false" ht="15" hidden="false" customHeight="false" outlineLevel="0" collapsed="false">
      <c r="A149" s="7" t="s">
        <v>861</v>
      </c>
      <c r="B149" s="7" t="n">
        <v>4408089</v>
      </c>
      <c r="C149" s="7" t="s">
        <v>862</v>
      </c>
      <c r="D149" s="7" t="str">
        <f aca="false">TRIM(SUBSTITUTE($A149,CHAR(160)," "))</f>
        <v>T11C S</v>
      </c>
    </row>
    <row r="150" customFormat="false" ht="15" hidden="false" customHeight="false" outlineLevel="0" collapsed="false">
      <c r="A150" s="7" t="s">
        <v>863</v>
      </c>
      <c r="B150" s="7" t="n">
        <v>4408092</v>
      </c>
      <c r="C150" s="7" t="s">
        <v>864</v>
      </c>
      <c r="D150" s="7" t="str">
        <f aca="false">TRIM(SUBSTITUTE($A150,CHAR(160)," "))</f>
        <v>T11C XL</v>
      </c>
    </row>
    <row r="151" customFormat="false" ht="15" hidden="false" customHeight="false" outlineLevel="0" collapsed="false">
      <c r="A151" s="7" t="s">
        <v>865</v>
      </c>
      <c r="B151" s="7" t="n">
        <v>4408093</v>
      </c>
      <c r="C151" s="7" t="s">
        <v>866</v>
      </c>
      <c r="D151" s="7" t="str">
        <f aca="false">TRIM(SUBSTITUTE($A151,CHAR(160)," "))</f>
        <v>T11C XXL</v>
      </c>
    </row>
    <row r="152" customFormat="false" ht="15" hidden="false" customHeight="false" outlineLevel="0" collapsed="false">
      <c r="A152" s="7" t="s">
        <v>488</v>
      </c>
      <c r="B152" s="7" t="n">
        <v>4409011</v>
      </c>
      <c r="C152" s="7" t="s">
        <v>867</v>
      </c>
      <c r="D152" s="7" t="str">
        <f aca="false">TRIM(SUBSTITUTE($A152,CHAR(160)," "))</f>
        <v>804AT-B</v>
      </c>
    </row>
    <row r="153" customFormat="false" ht="15" hidden="false" customHeight="false" outlineLevel="0" collapsed="false">
      <c r="A153" s="7" t="s">
        <v>489</v>
      </c>
      <c r="B153" s="7" t="n">
        <v>4409013</v>
      </c>
      <c r="C153" s="7" t="s">
        <v>868</v>
      </c>
      <c r="D153" s="7" t="str">
        <f aca="false">TRIM(SUBSTITUTE($A153,CHAR(160)," "))</f>
        <v>804AT-BL</v>
      </c>
    </row>
    <row r="154" customFormat="false" ht="15" hidden="false" customHeight="false" outlineLevel="0" collapsed="false">
      <c r="A154" s="7" t="s">
        <v>490</v>
      </c>
      <c r="B154" s="7" t="n">
        <v>4409012</v>
      </c>
      <c r="C154" s="7" t="s">
        <v>869</v>
      </c>
      <c r="D154" s="7" t="str">
        <f aca="false">TRIM(SUBSTITUTE($A154,CHAR(160)," "))</f>
        <v>804AT-C</v>
      </c>
    </row>
    <row r="155" customFormat="false" ht="15" hidden="false" customHeight="false" outlineLevel="0" collapsed="false">
      <c r="A155" s="7" t="s">
        <v>870</v>
      </c>
      <c r="B155" s="7" t="n">
        <v>4409010</v>
      </c>
      <c r="C155" s="7" t="s">
        <v>871</v>
      </c>
      <c r="D155" s="7" t="str">
        <f aca="false">TRIM(SUBSTITUTE($A155,CHAR(160)," "))</f>
        <v>804AT-W</v>
      </c>
    </row>
    <row r="156" customFormat="false" ht="15" hidden="false" customHeight="false" outlineLevel="0" collapsed="false">
      <c r="A156" s="7" t="s">
        <v>491</v>
      </c>
      <c r="B156" s="7" t="n">
        <v>4401012</v>
      </c>
      <c r="C156" s="7" t="s">
        <v>872</v>
      </c>
      <c r="D156" s="7" t="str">
        <f aca="false">TRIM(SUBSTITUTE($A156,CHAR(160)," "))</f>
        <v>805AT-B</v>
      </c>
    </row>
    <row r="157" customFormat="false" ht="15" hidden="false" customHeight="false" outlineLevel="0" collapsed="false">
      <c r="A157" s="7" t="s">
        <v>492</v>
      </c>
      <c r="B157" s="7" t="n">
        <v>4401013</v>
      </c>
      <c r="C157" s="7" t="s">
        <v>873</v>
      </c>
      <c r="D157" s="7" t="str">
        <f aca="false">TRIM(SUBSTITUTE($A157,CHAR(160)," "))</f>
        <v>805AT-BL</v>
      </c>
    </row>
    <row r="158" customFormat="false" ht="15" hidden="false" customHeight="false" outlineLevel="0" collapsed="false">
      <c r="A158" s="7" t="s">
        <v>493</v>
      </c>
      <c r="B158" s="7" t="n">
        <v>4401011</v>
      </c>
      <c r="C158" s="7" t="s">
        <v>874</v>
      </c>
      <c r="D158" s="7" t="str">
        <f aca="false">TRIM(SUBSTITUTE($A158,CHAR(160)," "))</f>
        <v>805AT-C</v>
      </c>
    </row>
    <row r="159" customFormat="false" ht="15" hidden="false" customHeight="false" outlineLevel="0" collapsed="false">
      <c r="A159" s="7" t="s">
        <v>494</v>
      </c>
      <c r="B159" s="7" t="n">
        <v>4401014</v>
      </c>
      <c r="C159" s="7" t="s">
        <v>875</v>
      </c>
      <c r="D159" s="7" t="str">
        <f aca="false">TRIM(SUBSTITUTE($A159,CHAR(160)," "))</f>
        <v>805AT-W</v>
      </c>
    </row>
    <row r="160" customFormat="false" ht="15" hidden="false" customHeight="false" outlineLevel="0" collapsed="false">
      <c r="A160" s="7" t="s">
        <v>351</v>
      </c>
      <c r="B160" s="7" t="n">
        <v>4409017</v>
      </c>
      <c r="C160" s="7" t="s">
        <v>876</v>
      </c>
      <c r="D160" s="7" t="str">
        <f aca="false">TRIM(SUBSTITUTE($A160,CHAR(160)," "))</f>
        <v>808KT-B</v>
      </c>
    </row>
    <row r="161" customFormat="false" ht="15" hidden="false" customHeight="false" outlineLevel="0" collapsed="false">
      <c r="A161" s="7" t="s">
        <v>352</v>
      </c>
      <c r="B161" s="7" t="n">
        <v>4409015</v>
      </c>
      <c r="C161" s="7" t="s">
        <v>877</v>
      </c>
      <c r="D161" s="7" t="str">
        <f aca="false">TRIM(SUBSTITUTE($A161,CHAR(160)," "))</f>
        <v>808KT-BL</v>
      </c>
    </row>
    <row r="162" customFormat="false" ht="15" hidden="false" customHeight="false" outlineLevel="0" collapsed="false">
      <c r="A162" s="7" t="s">
        <v>353</v>
      </c>
      <c r="B162" s="7" t="n">
        <v>4409016</v>
      </c>
      <c r="C162" s="7" t="s">
        <v>878</v>
      </c>
      <c r="D162" s="7" t="str">
        <f aca="false">TRIM(SUBSTITUTE($A162,CHAR(160)," "))</f>
        <v>808KT-C</v>
      </c>
    </row>
    <row r="163" customFormat="false" ht="15" hidden="false" customHeight="false" outlineLevel="0" collapsed="false">
      <c r="A163" s="7" t="s">
        <v>354</v>
      </c>
      <c r="B163" s="7" t="n">
        <v>4409014</v>
      </c>
      <c r="C163" s="7" t="s">
        <v>879</v>
      </c>
      <c r="D163" s="7" t="str">
        <f aca="false">TRIM(SUBSTITUTE($A163,CHAR(160)," "))</f>
        <v>808KT-P</v>
      </c>
    </row>
    <row r="164" customFormat="false" ht="15" hidden="false" customHeight="false" outlineLevel="0" collapsed="false">
      <c r="A164" s="7" t="s">
        <v>599</v>
      </c>
      <c r="B164" s="7" t="n">
        <v>4419013</v>
      </c>
      <c r="C164" s="7" t="s">
        <v>880</v>
      </c>
      <c r="D164" s="7" t="str">
        <f aca="false">TRIM(SUBSTITUTE($A164,CHAR(160)," "))</f>
        <v>239B-L-XL</v>
      </c>
    </row>
    <row r="165" customFormat="false" ht="15" hidden="false" customHeight="false" outlineLevel="0" collapsed="false">
      <c r="A165" s="7" t="s">
        <v>600</v>
      </c>
      <c r="B165" s="7" t="n">
        <v>4419011</v>
      </c>
      <c r="C165" s="7" t="s">
        <v>881</v>
      </c>
      <c r="D165" s="7" t="str">
        <f aca="false">TRIM(SUBSTITUTE($A165,CHAR(160)," "))</f>
        <v>239B-S-M</v>
      </c>
    </row>
    <row r="166" customFormat="false" ht="15" hidden="false" customHeight="false" outlineLevel="0" collapsed="false">
      <c r="A166" s="7" t="s">
        <v>601</v>
      </c>
      <c r="B166" s="7" t="n">
        <v>4419014</v>
      </c>
      <c r="C166" s="7" t="s">
        <v>882</v>
      </c>
      <c r="D166" s="7" t="str">
        <f aca="false">TRIM(SUBSTITUTE($A166,CHAR(160)," "))</f>
        <v>239TR-L-XL</v>
      </c>
    </row>
    <row r="167" customFormat="false" ht="15" hidden="false" customHeight="false" outlineLevel="0" collapsed="false">
      <c r="A167" s="7" t="s">
        <v>498</v>
      </c>
      <c r="B167" s="7" t="n">
        <v>4414000</v>
      </c>
      <c r="C167" s="7" t="s">
        <v>883</v>
      </c>
      <c r="D167" s="7" t="str">
        <f aca="false">TRIM(SUBSTITUTE($A167,CHAR(160)," "))</f>
        <v>FC342 0</v>
      </c>
    </row>
    <row r="168" customFormat="false" ht="15" hidden="false" customHeight="false" outlineLevel="0" collapsed="false">
      <c r="A168" s="7" t="s">
        <v>454</v>
      </c>
      <c r="B168" s="7" t="n">
        <v>4421008</v>
      </c>
      <c r="C168" s="7" t="s">
        <v>884</v>
      </c>
      <c r="D168" s="7" t="str">
        <f aca="false">TRIM(SUBSTITUTE($A168,CHAR(160)," "))</f>
        <v>351 0</v>
      </c>
    </row>
    <row r="169" customFormat="false" ht="15" hidden="false" customHeight="false" outlineLevel="0" collapsed="false">
      <c r="A169" s="7" t="s">
        <v>453</v>
      </c>
      <c r="B169" s="7" t="n">
        <v>4421007</v>
      </c>
      <c r="C169" s="7" t="s">
        <v>885</v>
      </c>
      <c r="D169" s="7" t="str">
        <f aca="false">TRIM(SUBSTITUTE($A169,CHAR(160)," "))</f>
        <v>350 0</v>
      </c>
    </row>
    <row r="170" customFormat="false" ht="15" hidden="false" customHeight="false" outlineLevel="0" collapsed="false">
      <c r="A170" s="7" t="s">
        <v>886</v>
      </c>
      <c r="B170" s="7" t="n">
        <v>4413149</v>
      </c>
      <c r="C170" s="7" t="s">
        <v>887</v>
      </c>
      <c r="D170" s="7" t="str">
        <f aca="false">TRIM(SUBSTITUTE($A170,CHAR(160)," "))</f>
        <v>FC321 0</v>
      </c>
    </row>
    <row r="171" customFormat="false" ht="15" hidden="false" customHeight="false" outlineLevel="0" collapsed="false">
      <c r="A171" s="7" t="s">
        <v>679</v>
      </c>
      <c r="B171" s="7" t="n">
        <v>4422036</v>
      </c>
      <c r="C171" s="7" t="s">
        <v>888</v>
      </c>
      <c r="D171" s="7" t="str">
        <f aca="false">TRIM(SUBSTITUTE($A171,CHAR(160)," "))</f>
        <v>FC334 0</v>
      </c>
    </row>
    <row r="172" customFormat="false" ht="15" hidden="false" customHeight="false" outlineLevel="0" collapsed="false">
      <c r="A172" s="7" t="s">
        <v>889</v>
      </c>
      <c r="B172" s="7" t="n">
        <v>4409004</v>
      </c>
      <c r="C172" s="7" t="s">
        <v>890</v>
      </c>
      <c r="D172" s="7" t="str">
        <f aca="false">TRIM(SUBSTITUTE($A172,CHAR(160)," "))</f>
        <v>FC335 0</v>
      </c>
    </row>
    <row r="173" customFormat="false" ht="15" hidden="false" customHeight="false" outlineLevel="0" collapsed="false">
      <c r="A173" s="7" t="s">
        <v>678</v>
      </c>
      <c r="B173" s="7" t="n">
        <v>4422035</v>
      </c>
      <c r="C173" s="7" t="s">
        <v>891</v>
      </c>
      <c r="D173" s="7" t="str">
        <f aca="false">TRIM(SUBSTITUTE($A173,CHAR(160)," "))</f>
        <v>FC333 0</v>
      </c>
    </row>
    <row r="174" customFormat="false" ht="15" hidden="false" customHeight="false" outlineLevel="0" collapsed="false">
      <c r="A174" s="7" t="s">
        <v>433</v>
      </c>
      <c r="B174" s="7" t="n">
        <v>4421006</v>
      </c>
      <c r="C174" s="7" t="s">
        <v>892</v>
      </c>
      <c r="D174" s="7" t="str">
        <f aca="false">TRIM(SUBSTITUTE($A174,CHAR(160)," "))</f>
        <v>251 0</v>
      </c>
    </row>
    <row r="175" customFormat="false" ht="15" hidden="false" customHeight="false" outlineLevel="0" collapsed="false">
      <c r="A175" s="7" t="s">
        <v>432</v>
      </c>
      <c r="B175" s="7" t="n">
        <v>4421005</v>
      </c>
      <c r="C175" s="7" t="s">
        <v>893</v>
      </c>
      <c r="D175" s="7" t="str">
        <f aca="false">TRIM(SUBSTITUTE($A175,CHAR(160)," "))</f>
        <v>250 0</v>
      </c>
    </row>
    <row r="176" customFormat="false" ht="15" hidden="false" customHeight="false" outlineLevel="0" collapsed="false">
      <c r="A176" s="7" t="s">
        <v>623</v>
      </c>
      <c r="B176" s="7" t="n">
        <v>4413165</v>
      </c>
      <c r="C176" s="7" t="s">
        <v>894</v>
      </c>
      <c r="D176" s="7" t="str">
        <f aca="false">TRIM(SUBSTITUTE($A176,CHAR(160)," "))</f>
        <v>74-L-XL</v>
      </c>
    </row>
    <row r="177" customFormat="false" ht="15" hidden="false" customHeight="false" outlineLevel="0" collapsed="false">
      <c r="A177" s="7" t="s">
        <v>895</v>
      </c>
      <c r="B177" s="7" t="n">
        <v>4413130</v>
      </c>
      <c r="C177" s="7" t="s">
        <v>896</v>
      </c>
      <c r="D177" s="7" t="str">
        <f aca="false">TRIM(SUBSTITUTE($A177,CHAR(160)," "))</f>
        <v>75 XXL</v>
      </c>
    </row>
    <row r="178" customFormat="false" ht="15" hidden="false" customHeight="false" outlineLevel="0" collapsed="false">
      <c r="A178" s="7" t="s">
        <v>657</v>
      </c>
      <c r="B178" s="7" t="n">
        <v>4413127</v>
      </c>
      <c r="C178" s="7" t="s">
        <v>897</v>
      </c>
      <c r="D178" s="7" t="str">
        <f aca="false">TRIM(SUBSTITUTE($A178,CHAR(160)," "))</f>
        <v>75 L</v>
      </c>
    </row>
    <row r="179" customFormat="false" ht="15" hidden="false" customHeight="false" outlineLevel="0" collapsed="false">
      <c r="A179" s="7" t="s">
        <v>674</v>
      </c>
      <c r="B179" s="7" t="n">
        <v>4413128</v>
      </c>
      <c r="C179" s="7" t="s">
        <v>898</v>
      </c>
      <c r="D179" s="7" t="str">
        <f aca="false">TRIM(SUBSTITUTE($A179,CHAR(160)," "))</f>
        <v>75 M</v>
      </c>
    </row>
    <row r="180" customFormat="false" ht="15" hidden="false" customHeight="false" outlineLevel="0" collapsed="false">
      <c r="A180" s="7" t="s">
        <v>675</v>
      </c>
      <c r="B180" s="7" t="n">
        <v>4413126</v>
      </c>
      <c r="C180" s="7" t="s">
        <v>899</v>
      </c>
      <c r="D180" s="7" t="str">
        <f aca="false">TRIM(SUBSTITUTE($A180,CHAR(160)," "))</f>
        <v>75 S</v>
      </c>
    </row>
    <row r="181" customFormat="false" ht="15" hidden="false" customHeight="false" outlineLevel="0" collapsed="false">
      <c r="A181" s="7" t="s">
        <v>676</v>
      </c>
      <c r="B181" s="7" t="n">
        <v>4413129</v>
      </c>
      <c r="C181" s="7" t="s">
        <v>900</v>
      </c>
      <c r="D181" s="7" t="str">
        <f aca="false">TRIM(SUBSTITUTE($A181,CHAR(160)," "))</f>
        <v>75 XL</v>
      </c>
    </row>
    <row r="182" customFormat="false" ht="15" hidden="false" customHeight="false" outlineLevel="0" collapsed="false">
      <c r="A182" s="7" t="s">
        <v>644</v>
      </c>
      <c r="B182" s="7" t="n">
        <v>4413132</v>
      </c>
      <c r="C182" s="7" t="s">
        <v>901</v>
      </c>
      <c r="D182" s="7" t="str">
        <f aca="false">TRIM(SUBSTITUTE($A182,CHAR(160)," "))</f>
        <v>76 L</v>
      </c>
    </row>
    <row r="183" customFormat="false" ht="15" hidden="false" customHeight="false" outlineLevel="0" collapsed="false">
      <c r="A183" s="7" t="s">
        <v>645</v>
      </c>
      <c r="B183" s="7" t="n">
        <v>4413133</v>
      </c>
      <c r="C183" s="7" t="s">
        <v>902</v>
      </c>
      <c r="D183" s="7" t="str">
        <f aca="false">TRIM(SUBSTITUTE($A183,CHAR(160)," "))</f>
        <v>76 M</v>
      </c>
    </row>
    <row r="184" customFormat="false" ht="15" hidden="false" customHeight="false" outlineLevel="0" collapsed="false">
      <c r="A184" s="7" t="s">
        <v>646</v>
      </c>
      <c r="B184" s="7" t="n">
        <v>4413131</v>
      </c>
      <c r="C184" s="7" t="s">
        <v>903</v>
      </c>
      <c r="D184" s="7" t="str">
        <f aca="false">TRIM(SUBSTITUTE($A184,CHAR(160)," "))</f>
        <v>76 S</v>
      </c>
    </row>
    <row r="185" customFormat="false" ht="15" hidden="false" customHeight="false" outlineLevel="0" collapsed="false">
      <c r="A185" s="7" t="s">
        <v>647</v>
      </c>
      <c r="B185" s="7" t="n">
        <v>4413134</v>
      </c>
      <c r="C185" s="7" t="s">
        <v>904</v>
      </c>
      <c r="D185" s="7" t="str">
        <f aca="false">TRIM(SUBSTITUTE($A185,CHAR(160)," "))</f>
        <v>76 XL</v>
      </c>
    </row>
    <row r="186" customFormat="false" ht="15" hidden="false" customHeight="false" outlineLevel="0" collapsed="false">
      <c r="A186" s="7" t="s">
        <v>905</v>
      </c>
      <c r="B186" s="7" t="n">
        <v>4413197</v>
      </c>
      <c r="C186" s="7" t="s">
        <v>906</v>
      </c>
      <c r="D186" s="7" t="str">
        <f aca="false">TRIM(SUBSTITUTE($A186,CHAR(160)," "))</f>
        <v>87 L</v>
      </c>
    </row>
    <row r="187" customFormat="false" ht="15" hidden="false" customHeight="false" outlineLevel="0" collapsed="false">
      <c r="A187" s="7" t="s">
        <v>907</v>
      </c>
      <c r="B187" s="7" t="n">
        <v>4413196</v>
      </c>
      <c r="C187" s="7" t="s">
        <v>908</v>
      </c>
      <c r="D187" s="7" t="str">
        <f aca="false">TRIM(SUBSTITUTE($A187,CHAR(160)," "))</f>
        <v>87 M</v>
      </c>
    </row>
    <row r="188" customFormat="false" ht="15" hidden="false" customHeight="false" outlineLevel="0" collapsed="false">
      <c r="A188" s="7" t="s">
        <v>909</v>
      </c>
      <c r="B188" s="7" t="n">
        <v>4413195</v>
      </c>
      <c r="C188" s="7" t="s">
        <v>910</v>
      </c>
      <c r="D188" s="7" t="str">
        <f aca="false">TRIM(SUBSTITUTE($A188,CHAR(160)," "))</f>
        <v>87 S</v>
      </c>
    </row>
    <row r="189" customFormat="false" ht="15" hidden="false" customHeight="false" outlineLevel="0" collapsed="false">
      <c r="A189" s="7" t="s">
        <v>911</v>
      </c>
      <c r="B189" s="7" t="n">
        <v>4413198</v>
      </c>
      <c r="C189" s="7" t="s">
        <v>912</v>
      </c>
      <c r="D189" s="7" t="str">
        <f aca="false">TRIM(SUBSTITUTE($A189,CHAR(160)," "))</f>
        <v>87 XL</v>
      </c>
    </row>
    <row r="190" customFormat="false" ht="15" hidden="false" customHeight="false" outlineLevel="0" collapsed="false">
      <c r="A190" s="7" t="s">
        <v>913</v>
      </c>
      <c r="B190" s="7" t="n">
        <v>4413204</v>
      </c>
      <c r="C190" s="7" t="s">
        <v>914</v>
      </c>
      <c r="D190" s="7" t="str">
        <f aca="false">TRIM(SUBSTITUTE($A190,CHAR(160)," "))</f>
        <v>87 XXL</v>
      </c>
    </row>
    <row r="191" customFormat="false" ht="15" hidden="false" customHeight="false" outlineLevel="0" collapsed="false">
      <c r="A191" s="7" t="s">
        <v>378</v>
      </c>
      <c r="B191" s="7" t="n">
        <v>4413456</v>
      </c>
      <c r="C191" s="7" t="s">
        <v>915</v>
      </c>
      <c r="D191" s="7" t="str">
        <f aca="false">TRIM(SUBSTITUTE($A191,CHAR(160)," "))</f>
        <v>AC75 XXL</v>
      </c>
    </row>
    <row r="192" customFormat="false" ht="15" hidden="false" customHeight="false" outlineLevel="0" collapsed="false">
      <c r="A192" s="7" t="s">
        <v>379</v>
      </c>
      <c r="B192" s="7" t="n">
        <v>4413453</v>
      </c>
      <c r="C192" s="7" t="s">
        <v>916</v>
      </c>
      <c r="D192" s="7" t="str">
        <f aca="false">TRIM(SUBSTITUTE($A192,CHAR(160)," "))</f>
        <v>AC75-S-XL</v>
      </c>
    </row>
    <row r="193" customFormat="false" ht="15" hidden="false" customHeight="false" outlineLevel="0" collapsed="false">
      <c r="A193" s="7" t="s">
        <v>520</v>
      </c>
      <c r="B193" s="7" t="n">
        <v>4422006</v>
      </c>
      <c r="C193" s="7" t="s">
        <v>917</v>
      </c>
      <c r="D193" s="7" t="str">
        <f aca="false">TRIM(SUBSTITUTE($A193,CHAR(160)," "))</f>
        <v>T78 L</v>
      </c>
    </row>
    <row r="194" customFormat="false" ht="15" hidden="false" customHeight="false" outlineLevel="0" collapsed="false">
      <c r="A194" s="7" t="s">
        <v>521</v>
      </c>
      <c r="B194" s="7" t="n">
        <v>4422005</v>
      </c>
      <c r="C194" s="7" t="s">
        <v>918</v>
      </c>
      <c r="D194" s="7" t="str">
        <f aca="false">TRIM(SUBSTITUTE($A194,CHAR(160)," "))</f>
        <v>T78 M</v>
      </c>
    </row>
    <row r="195" customFormat="false" ht="15" hidden="false" customHeight="false" outlineLevel="0" collapsed="false">
      <c r="A195" s="7" t="s">
        <v>652</v>
      </c>
      <c r="B195" s="7" t="n">
        <v>4422004</v>
      </c>
      <c r="C195" s="7" t="s">
        <v>919</v>
      </c>
      <c r="D195" s="7" t="str">
        <f aca="false">TRIM(SUBSTITUTE($A195,CHAR(160)," "))</f>
        <v>T78 S</v>
      </c>
    </row>
    <row r="196" customFormat="false" ht="15" hidden="false" customHeight="false" outlineLevel="0" collapsed="false">
      <c r="A196" s="7" t="s">
        <v>522</v>
      </c>
      <c r="B196" s="7" t="n">
        <v>4422007</v>
      </c>
      <c r="C196" s="7" t="s">
        <v>920</v>
      </c>
      <c r="D196" s="7" t="str">
        <f aca="false">TRIM(SUBSTITUTE($A196,CHAR(160)," "))</f>
        <v>T78 XL</v>
      </c>
    </row>
    <row r="197" customFormat="false" ht="15" hidden="false" customHeight="false" outlineLevel="0" collapsed="false">
      <c r="A197" s="7" t="s">
        <v>523</v>
      </c>
      <c r="B197" s="7" t="n">
        <v>4422009</v>
      </c>
      <c r="C197" s="7" t="s">
        <v>921</v>
      </c>
      <c r="D197" s="7" t="str">
        <f aca="false">TRIM(SUBSTITUTE($A197,CHAR(160)," "))</f>
        <v>T78 XXL</v>
      </c>
    </row>
    <row r="198" customFormat="false" ht="15" hidden="false" customHeight="false" outlineLevel="0" collapsed="false">
      <c r="A198" s="7" t="s">
        <v>381</v>
      </c>
      <c r="B198" s="7" t="n">
        <v>4413056</v>
      </c>
      <c r="C198" s="7" t="s">
        <v>922</v>
      </c>
      <c r="D198" s="7" t="str">
        <f aca="false">TRIM(SUBSTITUTE($A198,CHAR(160)," "))</f>
        <v>LF360 0</v>
      </c>
    </row>
    <row r="199" customFormat="false" ht="15" hidden="false" customHeight="false" outlineLevel="0" collapsed="false">
      <c r="A199" s="7" t="s">
        <v>382</v>
      </c>
      <c r="B199" s="7" t="n">
        <v>4420022</v>
      </c>
      <c r="C199" s="7" t="s">
        <v>923</v>
      </c>
      <c r="D199" s="7" t="str">
        <f aca="false">TRIM(SUBSTITUTE($A199,CHAR(160)," "))</f>
        <v>LF370 0</v>
      </c>
    </row>
    <row r="200" customFormat="false" ht="15" hidden="false" customHeight="false" outlineLevel="0" collapsed="false">
      <c r="A200" s="7" t="s">
        <v>383</v>
      </c>
      <c r="B200" s="7" t="n">
        <v>4420023</v>
      </c>
      <c r="C200" s="7" t="s">
        <v>924</v>
      </c>
      <c r="D200" s="7" t="str">
        <f aca="false">TRIM(SUBSTITUTE($A200,CHAR(160)," "))</f>
        <v>LF371 0</v>
      </c>
    </row>
    <row r="201" customFormat="false" ht="15" hidden="false" customHeight="false" outlineLevel="0" collapsed="false">
      <c r="A201" s="7" t="s">
        <v>385</v>
      </c>
      <c r="B201" s="7" t="n">
        <v>4420025</v>
      </c>
      <c r="C201" s="7" t="s">
        <v>925</v>
      </c>
      <c r="D201" s="7" t="str">
        <f aca="false">TRIM(SUBSTITUTE($A201,CHAR(160)," "))</f>
        <v>LF374 0</v>
      </c>
    </row>
    <row r="202" customFormat="false" ht="15" hidden="false" customHeight="false" outlineLevel="0" collapsed="false">
      <c r="A202" s="7" t="s">
        <v>386</v>
      </c>
      <c r="B202" s="7" t="n">
        <v>4413276</v>
      </c>
      <c r="C202" s="7" t="s">
        <v>926</v>
      </c>
      <c r="D202" s="7" t="str">
        <f aca="false">TRIM(SUBSTITUTE($A202,CHAR(160)," "))</f>
        <v>LF377 L</v>
      </c>
    </row>
    <row r="203" customFormat="false" ht="15" hidden="false" customHeight="false" outlineLevel="0" collapsed="false">
      <c r="A203" s="7" t="s">
        <v>387</v>
      </c>
      <c r="B203" s="7" t="n">
        <v>4413277</v>
      </c>
      <c r="C203" s="7" t="s">
        <v>927</v>
      </c>
      <c r="D203" s="7" t="str">
        <f aca="false">TRIM(SUBSTITUTE($A203,CHAR(160)," "))</f>
        <v>LF377 M</v>
      </c>
    </row>
    <row r="204" customFormat="false" ht="15" hidden="false" customHeight="false" outlineLevel="0" collapsed="false">
      <c r="A204" s="7" t="s">
        <v>388</v>
      </c>
      <c r="B204" s="7" t="n">
        <v>4413278</v>
      </c>
      <c r="C204" s="7" t="s">
        <v>928</v>
      </c>
      <c r="D204" s="7" t="str">
        <f aca="false">TRIM(SUBSTITUTE($A204,CHAR(160)," "))</f>
        <v>LF377 S</v>
      </c>
    </row>
    <row r="205" customFormat="false" ht="15" hidden="false" customHeight="false" outlineLevel="0" collapsed="false">
      <c r="A205" s="7" t="s">
        <v>929</v>
      </c>
      <c r="B205" s="7" t="n">
        <v>4413451</v>
      </c>
      <c r="C205" s="7" t="s">
        <v>930</v>
      </c>
      <c r="D205" s="7" t="str">
        <f aca="false">TRIM(SUBSTITUTE($A205,CHAR(160)," "))</f>
        <v>LF378 L</v>
      </c>
    </row>
    <row r="206" customFormat="false" ht="15" hidden="false" customHeight="false" outlineLevel="0" collapsed="false">
      <c r="A206" s="7" t="s">
        <v>384</v>
      </c>
      <c r="B206" s="7" t="n">
        <v>4420024</v>
      </c>
      <c r="C206" s="7" t="s">
        <v>931</v>
      </c>
      <c r="D206" s="7" t="str">
        <f aca="false">TRIM(SUBSTITUTE($A206,CHAR(160)," "))</f>
        <v>LF373 0</v>
      </c>
    </row>
    <row r="207" customFormat="false" ht="15" hidden="false" customHeight="false" outlineLevel="0" collapsed="false">
      <c r="A207" s="7" t="s">
        <v>295</v>
      </c>
      <c r="B207" s="7" t="n">
        <v>4413372</v>
      </c>
      <c r="C207" s="7" t="s">
        <v>932</v>
      </c>
      <c r="D207" s="7" t="str">
        <f aca="false">TRIM(SUBSTITUTE($A207,CHAR(160)," "))</f>
        <v>302W 0</v>
      </c>
    </row>
    <row r="208" customFormat="false" ht="15" hidden="false" customHeight="false" outlineLevel="0" collapsed="false">
      <c r="A208" s="7" t="s">
        <v>294</v>
      </c>
      <c r="B208" s="7" t="n">
        <v>4413348</v>
      </c>
      <c r="C208" s="7" t="s">
        <v>933</v>
      </c>
      <c r="D208" s="7" t="str">
        <f aca="false">TRIM(SUBSTITUTE($A208,CHAR(160)," "))</f>
        <v>302M 0</v>
      </c>
    </row>
    <row r="209" customFormat="false" ht="15" hidden="false" customHeight="false" outlineLevel="0" collapsed="false">
      <c r="A209" s="7" t="s">
        <v>934</v>
      </c>
      <c r="B209" s="7" t="n">
        <v>4413018</v>
      </c>
      <c r="C209" s="7" t="s">
        <v>935</v>
      </c>
      <c r="D209" s="7" t="str">
        <f aca="false">TRIM(SUBSTITUTE($A209,CHAR(160)," "))</f>
        <v>303-37-38</v>
      </c>
    </row>
    <row r="210" customFormat="false" ht="15" hidden="false" customHeight="false" outlineLevel="0" collapsed="false">
      <c r="A210" s="7" t="s">
        <v>936</v>
      </c>
      <c r="B210" s="7" t="n">
        <v>4413020</v>
      </c>
      <c r="C210" s="7" t="s">
        <v>937</v>
      </c>
      <c r="D210" s="7" t="str">
        <f aca="false">TRIM(SUBSTITUTE($A210,CHAR(160)," "))</f>
        <v>303-41-42</v>
      </c>
    </row>
    <row r="211" customFormat="false" ht="15" hidden="false" customHeight="false" outlineLevel="0" collapsed="false">
      <c r="A211" s="7" t="s">
        <v>938</v>
      </c>
      <c r="B211" s="7" t="n">
        <v>4413022</v>
      </c>
      <c r="C211" s="7" t="s">
        <v>939</v>
      </c>
      <c r="D211" s="7" t="str">
        <f aca="false">TRIM(SUBSTITUTE($A211,CHAR(160)," "))</f>
        <v>303-45-46</v>
      </c>
    </row>
    <row r="212" customFormat="false" ht="15" hidden="false" customHeight="false" outlineLevel="0" collapsed="false">
      <c r="A212" s="7" t="s">
        <v>940</v>
      </c>
      <c r="B212" s="7" t="n">
        <v>4413154</v>
      </c>
      <c r="C212" s="7" t="s">
        <v>941</v>
      </c>
      <c r="D212" s="7" t="str">
        <f aca="false">TRIM(SUBSTITUTE($A212,CHAR(160)," "))</f>
        <v>305GA-37-38</v>
      </c>
    </row>
    <row r="213" customFormat="false" ht="15" hidden="false" customHeight="false" outlineLevel="0" collapsed="false">
      <c r="A213" s="7" t="s">
        <v>942</v>
      </c>
      <c r="B213" s="7" t="n">
        <v>4413155</v>
      </c>
      <c r="C213" s="7" t="s">
        <v>943</v>
      </c>
      <c r="D213" s="7" t="str">
        <f aca="false">TRIM(SUBSTITUTE($A213,CHAR(160)," "))</f>
        <v>305GA-39-40</v>
      </c>
    </row>
    <row r="214" customFormat="false" ht="15" hidden="false" customHeight="false" outlineLevel="0" collapsed="false">
      <c r="A214" s="7" t="s">
        <v>944</v>
      </c>
      <c r="B214" s="7" t="n">
        <v>4413156</v>
      </c>
      <c r="C214" s="7" t="s">
        <v>945</v>
      </c>
      <c r="D214" s="7" t="str">
        <f aca="false">TRIM(SUBSTITUTE($A214,CHAR(160)," "))</f>
        <v>305GA-41-42</v>
      </c>
    </row>
    <row r="215" customFormat="false" ht="15" hidden="false" customHeight="false" outlineLevel="0" collapsed="false">
      <c r="A215" s="7" t="s">
        <v>946</v>
      </c>
      <c r="B215" s="7" t="n">
        <v>4413157</v>
      </c>
      <c r="C215" s="7" t="s">
        <v>947</v>
      </c>
      <c r="D215" s="7" t="str">
        <f aca="false">TRIM(SUBSTITUTE($A215,CHAR(160)," "))</f>
        <v>305GA-43-44</v>
      </c>
    </row>
    <row r="216" customFormat="false" ht="15" hidden="false" customHeight="false" outlineLevel="0" collapsed="false">
      <c r="A216" s="7" t="s">
        <v>948</v>
      </c>
      <c r="B216" s="7" t="n">
        <v>4413158</v>
      </c>
      <c r="C216" s="7" t="s">
        <v>949</v>
      </c>
      <c r="D216" s="7" t="str">
        <f aca="false">TRIM(SUBSTITUTE($A216,CHAR(160)," "))</f>
        <v>305GA-45-46</v>
      </c>
    </row>
    <row r="217" customFormat="false" ht="15" hidden="false" customHeight="false" outlineLevel="0" collapsed="false">
      <c r="A217" s="7" t="s">
        <v>457</v>
      </c>
      <c r="B217" s="7" t="n">
        <v>4413523</v>
      </c>
      <c r="C217" s="7" t="s">
        <v>950</v>
      </c>
      <c r="D217" s="7" t="str">
        <f aca="false">TRIM(SUBSTITUTE($A217,CHAR(160)," "))</f>
        <v>379COM-35-38</v>
      </c>
    </row>
    <row r="218" customFormat="false" ht="15" hidden="false" customHeight="false" outlineLevel="0" collapsed="false">
      <c r="A218" s="7" t="s">
        <v>461</v>
      </c>
      <c r="B218" s="7" t="n">
        <v>4413527</v>
      </c>
      <c r="C218" s="7" t="s">
        <v>951</v>
      </c>
      <c r="D218" s="7" t="str">
        <f aca="false">TRIM(SUBSTITUTE($A218,CHAR(160)," "))</f>
        <v>379WRK-35-38</v>
      </c>
    </row>
    <row r="219" customFormat="false" ht="15" hidden="false" customHeight="false" outlineLevel="0" collapsed="false">
      <c r="A219" s="7" t="s">
        <v>458</v>
      </c>
      <c r="B219" s="7" t="n">
        <v>4413524</v>
      </c>
      <c r="C219" s="7" t="s">
        <v>952</v>
      </c>
      <c r="D219" s="7" t="str">
        <f aca="false">TRIM(SUBSTITUTE($A219,CHAR(160)," "))</f>
        <v>379COM-39-42</v>
      </c>
    </row>
    <row r="220" customFormat="false" ht="15" hidden="false" customHeight="false" outlineLevel="0" collapsed="false">
      <c r="A220" s="7" t="s">
        <v>462</v>
      </c>
      <c r="B220" s="7" t="n">
        <v>4413528</v>
      </c>
      <c r="C220" s="7" t="s">
        <v>953</v>
      </c>
      <c r="D220" s="7" t="str">
        <f aca="false">TRIM(SUBSTITUTE($A220,CHAR(160)," "))</f>
        <v>379WRK-39-42</v>
      </c>
    </row>
    <row r="221" customFormat="false" ht="15" hidden="false" customHeight="false" outlineLevel="0" collapsed="false">
      <c r="A221" s="7" t="s">
        <v>459</v>
      </c>
      <c r="B221" s="7" t="n">
        <v>4413525</v>
      </c>
      <c r="C221" s="7" t="s">
        <v>954</v>
      </c>
      <c r="D221" s="7" t="str">
        <f aca="false">TRIM(SUBSTITUTE($A221,CHAR(160)," "))</f>
        <v>379COM-43-46</v>
      </c>
    </row>
    <row r="222" customFormat="false" ht="15" hidden="false" customHeight="false" outlineLevel="0" collapsed="false">
      <c r="A222" s="7" t="s">
        <v>463</v>
      </c>
      <c r="B222" s="7" t="n">
        <v>4413529</v>
      </c>
      <c r="C222" s="7" t="s">
        <v>955</v>
      </c>
      <c r="D222" s="7" t="str">
        <f aca="false">TRIM(SUBSTITUTE($A222,CHAR(160)," "))</f>
        <v>379WRK-43-46</v>
      </c>
    </row>
    <row r="223" customFormat="false" ht="15" hidden="false" customHeight="false" outlineLevel="0" collapsed="false">
      <c r="A223" s="7" t="s">
        <v>956</v>
      </c>
      <c r="B223" s="7" t="n">
        <v>4413450</v>
      </c>
      <c r="C223" s="7" t="s">
        <v>957</v>
      </c>
      <c r="D223" s="7" t="str">
        <f aca="false">TRIM(SUBSTITUTE($A223,CHAR(160)," "))</f>
        <v>LF378 M</v>
      </c>
    </row>
    <row r="224" customFormat="false" ht="15" hidden="false" customHeight="false" outlineLevel="0" collapsed="false">
      <c r="A224" s="7" t="s">
        <v>958</v>
      </c>
      <c r="B224" s="7" t="n">
        <v>4413449</v>
      </c>
      <c r="C224" s="7" t="s">
        <v>959</v>
      </c>
      <c r="D224" s="7" t="str">
        <f aca="false">TRIM(SUBSTITUTE($A224,CHAR(160)," "))</f>
        <v>LF378 S</v>
      </c>
    </row>
    <row r="225" customFormat="false" ht="15" hidden="false" customHeight="false" outlineLevel="0" collapsed="false">
      <c r="A225" s="7" t="s">
        <v>401</v>
      </c>
      <c r="B225" s="7" t="n">
        <v>4413520</v>
      </c>
      <c r="C225" s="7" t="s">
        <v>960</v>
      </c>
      <c r="D225" s="7" t="str">
        <f aca="false">TRIM(SUBSTITUTE($A225,CHAR(160)," "))</f>
        <v>379MSP-35-38</v>
      </c>
    </row>
    <row r="226" customFormat="false" ht="15" hidden="false" customHeight="false" outlineLevel="0" collapsed="false">
      <c r="A226" s="7" t="s">
        <v>460</v>
      </c>
      <c r="B226" s="7" t="n">
        <v>4413522</v>
      </c>
      <c r="C226" s="7" t="s">
        <v>961</v>
      </c>
      <c r="D226" s="7" t="str">
        <f aca="false">TRIM(SUBSTITUTE($A226,CHAR(160)," "))</f>
        <v>379MSP-43-46</v>
      </c>
    </row>
    <row r="227" customFormat="false" ht="15" hidden="false" customHeight="false" outlineLevel="0" collapsed="false">
      <c r="A227" s="7" t="s">
        <v>402</v>
      </c>
      <c r="B227" s="7" t="n">
        <v>4413521</v>
      </c>
      <c r="C227" s="7" t="s">
        <v>962</v>
      </c>
      <c r="D227" s="7" t="str">
        <f aca="false">TRIM(SUBSTITUTE($A227,CHAR(160)," "))</f>
        <v>379MSP-39-42</v>
      </c>
    </row>
    <row r="228" customFormat="false" ht="15" hidden="false" customHeight="false" outlineLevel="0" collapsed="false">
      <c r="A228" s="7" t="s">
        <v>639</v>
      </c>
      <c r="B228" s="7" t="n">
        <v>4413117</v>
      </c>
      <c r="C228" s="7" t="s">
        <v>963</v>
      </c>
      <c r="D228" s="7" t="str">
        <f aca="false">TRIM(SUBSTITUTE($A228,CHAR(160)," "))</f>
        <v>50 L</v>
      </c>
    </row>
    <row r="229" customFormat="false" ht="15" hidden="false" customHeight="false" outlineLevel="0" collapsed="false">
      <c r="A229" s="7" t="s">
        <v>640</v>
      </c>
      <c r="B229" s="7" t="n">
        <v>4413118</v>
      </c>
      <c r="C229" s="7" t="s">
        <v>964</v>
      </c>
      <c r="D229" s="7" t="str">
        <f aca="false">TRIM(SUBSTITUTE($A229,CHAR(160)," "))</f>
        <v>50 M</v>
      </c>
    </row>
    <row r="230" customFormat="false" ht="15" hidden="false" customHeight="false" outlineLevel="0" collapsed="false">
      <c r="A230" s="7" t="s">
        <v>641</v>
      </c>
      <c r="B230" s="7" t="n">
        <v>4413119</v>
      </c>
      <c r="C230" s="7" t="s">
        <v>965</v>
      </c>
      <c r="D230" s="7" t="str">
        <f aca="false">TRIM(SUBSTITUTE($A230,CHAR(160)," "))</f>
        <v>50 XL</v>
      </c>
    </row>
    <row r="231" customFormat="false" ht="15" hidden="false" customHeight="false" outlineLevel="0" collapsed="false">
      <c r="A231" s="7" t="s">
        <v>655</v>
      </c>
      <c r="B231" s="7" t="n">
        <v>4413122</v>
      </c>
      <c r="C231" s="7" t="s">
        <v>966</v>
      </c>
      <c r="D231" s="7" t="str">
        <f aca="false">TRIM(SUBSTITUTE($A231,CHAR(160)," "))</f>
        <v>55 L</v>
      </c>
    </row>
    <row r="232" customFormat="false" ht="15" hidden="false" customHeight="false" outlineLevel="0" collapsed="false">
      <c r="A232" s="7" t="s">
        <v>656</v>
      </c>
      <c r="B232" s="7" t="n">
        <v>4413124</v>
      </c>
      <c r="C232" s="7" t="s">
        <v>967</v>
      </c>
      <c r="D232" s="7" t="str">
        <f aca="false">TRIM(SUBSTITUTE($A232,CHAR(160)," "))</f>
        <v>55 XL</v>
      </c>
    </row>
    <row r="233" customFormat="false" ht="15" hidden="false" customHeight="false" outlineLevel="0" collapsed="false">
      <c r="A233" s="7" t="s">
        <v>479</v>
      </c>
      <c r="B233" s="7" t="n">
        <v>4408071</v>
      </c>
      <c r="C233" s="7" t="s">
        <v>968</v>
      </c>
      <c r="D233" s="7" t="str">
        <f aca="false">TRIM(SUBSTITUTE($A233,CHAR(160)," "))</f>
        <v>59D L</v>
      </c>
    </row>
    <row r="234" customFormat="false" ht="15" hidden="false" customHeight="false" outlineLevel="0" collapsed="false">
      <c r="A234" s="7" t="s">
        <v>642</v>
      </c>
      <c r="B234" s="7" t="n">
        <v>4408072</v>
      </c>
      <c r="C234" s="7" t="s">
        <v>969</v>
      </c>
      <c r="D234" s="7" t="str">
        <f aca="false">TRIM(SUBSTITUTE($A234,CHAR(160)," "))</f>
        <v>59D M</v>
      </c>
    </row>
    <row r="235" customFormat="false" ht="15" hidden="false" customHeight="false" outlineLevel="0" collapsed="false">
      <c r="A235" s="7" t="s">
        <v>643</v>
      </c>
      <c r="B235" s="7" t="n">
        <v>4408070</v>
      </c>
      <c r="C235" s="7" t="s">
        <v>970</v>
      </c>
      <c r="D235" s="7" t="str">
        <f aca="false">TRIM(SUBSTITUTE($A235,CHAR(160)," "))</f>
        <v>59D S</v>
      </c>
    </row>
    <row r="236" customFormat="false" ht="15" hidden="false" customHeight="false" outlineLevel="0" collapsed="false">
      <c r="A236" s="7" t="s">
        <v>480</v>
      </c>
      <c r="B236" s="7" t="n">
        <v>4408073</v>
      </c>
      <c r="C236" s="7" t="s">
        <v>971</v>
      </c>
      <c r="D236" s="7" t="str">
        <f aca="false">TRIM(SUBSTITUTE($A236,CHAR(160)," "))</f>
        <v>59D XL</v>
      </c>
    </row>
    <row r="237" customFormat="false" ht="15" hidden="false" customHeight="false" outlineLevel="0" collapsed="false">
      <c r="A237" s="7" t="s">
        <v>972</v>
      </c>
      <c r="B237" s="7" t="n">
        <v>4408076</v>
      </c>
      <c r="C237" s="7" t="s">
        <v>973</v>
      </c>
      <c r="D237" s="7" t="str">
        <f aca="false">TRIM(SUBSTITUTE($A237,CHAR(160)," "))</f>
        <v>59L L</v>
      </c>
    </row>
    <row r="238" customFormat="false" ht="15" hidden="false" customHeight="false" outlineLevel="0" collapsed="false">
      <c r="A238" s="7" t="s">
        <v>481</v>
      </c>
      <c r="B238" s="7" t="n">
        <v>4408077</v>
      </c>
      <c r="C238" s="7" t="s">
        <v>974</v>
      </c>
      <c r="D238" s="7" t="str">
        <f aca="false">TRIM(SUBSTITUTE($A238,CHAR(160)," "))</f>
        <v>59L M</v>
      </c>
    </row>
    <row r="239" customFormat="false" ht="15" hidden="false" customHeight="false" outlineLevel="0" collapsed="false">
      <c r="A239" s="7" t="s">
        <v>975</v>
      </c>
      <c r="B239" s="7" t="n">
        <v>4408075</v>
      </c>
      <c r="C239" s="7" t="s">
        <v>976</v>
      </c>
      <c r="D239" s="7" t="str">
        <f aca="false">TRIM(SUBSTITUTE($A239,CHAR(160)," "))</f>
        <v>59L S</v>
      </c>
    </row>
    <row r="240" customFormat="false" ht="15" hidden="false" customHeight="false" outlineLevel="0" collapsed="false">
      <c r="A240" s="7" t="s">
        <v>482</v>
      </c>
      <c r="B240" s="7" t="n">
        <v>4408078</v>
      </c>
      <c r="C240" s="7" t="s">
        <v>977</v>
      </c>
      <c r="D240" s="7" t="str">
        <f aca="false">TRIM(SUBSTITUTE($A240,CHAR(160)," "))</f>
        <v>59L XL</v>
      </c>
    </row>
    <row r="241" customFormat="false" ht="15" hidden="false" customHeight="false" outlineLevel="0" collapsed="false">
      <c r="A241" s="7" t="s">
        <v>483</v>
      </c>
      <c r="B241" s="7" t="n">
        <v>4408080</v>
      </c>
      <c r="C241" s="7" t="s">
        <v>978</v>
      </c>
      <c r="D241" s="7" t="str">
        <f aca="false">TRIM(SUBSTITUTE($A241,CHAR(160)," "))</f>
        <v>59R L</v>
      </c>
    </row>
    <row r="242" customFormat="false" ht="15" hidden="false" customHeight="false" outlineLevel="0" collapsed="false">
      <c r="A242" s="7" t="s">
        <v>484</v>
      </c>
      <c r="B242" s="7" t="n">
        <v>4408081</v>
      </c>
      <c r="C242" s="7" t="s">
        <v>979</v>
      </c>
      <c r="D242" s="7" t="str">
        <f aca="false">TRIM(SUBSTITUTE($A242,CHAR(160)," "))</f>
        <v>59R M</v>
      </c>
    </row>
    <row r="243" customFormat="false" ht="15" hidden="false" customHeight="false" outlineLevel="0" collapsed="false">
      <c r="A243" s="7" t="s">
        <v>980</v>
      </c>
      <c r="B243" s="7" t="n">
        <v>4408079</v>
      </c>
      <c r="C243" s="7" t="s">
        <v>981</v>
      </c>
      <c r="D243" s="7" t="str">
        <f aca="false">TRIM(SUBSTITUTE($A243,CHAR(160)," "))</f>
        <v>59R S</v>
      </c>
    </row>
    <row r="244" customFormat="false" ht="15" hidden="false" customHeight="false" outlineLevel="0" collapsed="false">
      <c r="A244" s="7" t="s">
        <v>982</v>
      </c>
      <c r="B244" s="7" t="n">
        <v>4408082</v>
      </c>
      <c r="C244" s="7" t="s">
        <v>983</v>
      </c>
      <c r="D244" s="7" t="str">
        <f aca="false">TRIM(SUBSTITUTE($A244,CHAR(160)," "))</f>
        <v>59R XL</v>
      </c>
    </row>
    <row r="245" customFormat="false" ht="15" hidden="false" customHeight="false" outlineLevel="0" collapsed="false">
      <c r="A245" s="7" t="s">
        <v>495</v>
      </c>
      <c r="B245" s="7" t="n">
        <v>4408266</v>
      </c>
      <c r="C245" s="7" t="s">
        <v>984</v>
      </c>
      <c r="D245" s="7" t="str">
        <f aca="false">TRIM(SUBSTITUTE($A245,CHAR(160)," "))</f>
        <v>91B 0</v>
      </c>
    </row>
    <row r="246" customFormat="false" ht="15" hidden="false" customHeight="false" outlineLevel="0" collapsed="false">
      <c r="A246" s="7" t="s">
        <v>985</v>
      </c>
      <c r="B246" s="7" t="n">
        <v>4408084</v>
      </c>
      <c r="C246" s="7" t="s">
        <v>986</v>
      </c>
      <c r="D246" s="7" t="str">
        <f aca="false">TRIM(SUBSTITUTE($A246,CHAR(160)," "))</f>
        <v>922 L</v>
      </c>
    </row>
    <row r="247" customFormat="false" ht="15" hidden="false" customHeight="false" outlineLevel="0" collapsed="false">
      <c r="A247" s="7" t="s">
        <v>987</v>
      </c>
      <c r="B247" s="7" t="n">
        <v>4408087</v>
      </c>
      <c r="C247" s="7" t="s">
        <v>988</v>
      </c>
      <c r="D247" s="7" t="str">
        <f aca="false">TRIM(SUBSTITUTE($A247,CHAR(160)," "))</f>
        <v>922 XL</v>
      </c>
    </row>
    <row r="248" customFormat="false" ht="15" hidden="false" customHeight="false" outlineLevel="0" collapsed="false">
      <c r="A248" s="7" t="s">
        <v>360</v>
      </c>
      <c r="B248" s="7" t="n">
        <v>4413139</v>
      </c>
      <c r="C248" s="7" t="s">
        <v>989</v>
      </c>
      <c r="D248" s="7" t="str">
        <f aca="false">TRIM(SUBSTITUTE($A248,CHAR(160)," "))</f>
        <v>95 L</v>
      </c>
    </row>
    <row r="249" customFormat="false" ht="15" hidden="false" customHeight="false" outlineLevel="0" collapsed="false">
      <c r="A249" s="7" t="s">
        <v>361</v>
      </c>
      <c r="B249" s="7" t="n">
        <v>4413140</v>
      </c>
      <c r="C249" s="7" t="s">
        <v>990</v>
      </c>
      <c r="D249" s="7" t="str">
        <f aca="false">TRIM(SUBSTITUTE($A249,CHAR(160)," "))</f>
        <v>95 M</v>
      </c>
    </row>
    <row r="250" customFormat="false" ht="15" hidden="false" customHeight="false" outlineLevel="0" collapsed="false">
      <c r="A250" s="7" t="s">
        <v>362</v>
      </c>
      <c r="B250" s="7" t="n">
        <v>4413141</v>
      </c>
      <c r="C250" s="7" t="s">
        <v>991</v>
      </c>
      <c r="D250" s="7" t="str">
        <f aca="false">TRIM(SUBSTITUTE($A250,CHAR(160)," "))</f>
        <v>95 S</v>
      </c>
    </row>
    <row r="251" customFormat="false" ht="15" hidden="false" customHeight="false" outlineLevel="0" collapsed="false">
      <c r="A251" s="7" t="s">
        <v>611</v>
      </c>
      <c r="B251" s="7" t="n">
        <v>4413142</v>
      </c>
      <c r="C251" s="7" t="s">
        <v>992</v>
      </c>
      <c r="D251" s="7" t="str">
        <f aca="false">TRIM(SUBSTITUTE($A251,CHAR(160)," "))</f>
        <v>95 XL</v>
      </c>
    </row>
    <row r="252" customFormat="false" ht="15" hidden="false" customHeight="false" outlineLevel="0" collapsed="false">
      <c r="A252" s="7" t="s">
        <v>686</v>
      </c>
      <c r="B252" s="7" t="n">
        <v>4413143</v>
      </c>
      <c r="C252" s="7" t="s">
        <v>993</v>
      </c>
      <c r="D252" s="7" t="str">
        <f aca="false">TRIM(SUBSTITUTE($A252,CHAR(160)," "))</f>
        <v>95 XS</v>
      </c>
    </row>
    <row r="253" customFormat="false" ht="15" hidden="false" customHeight="false" outlineLevel="0" collapsed="false">
      <c r="A253" s="7" t="s">
        <v>496</v>
      </c>
      <c r="B253" s="7" t="n">
        <v>4413144</v>
      </c>
      <c r="C253" s="7" t="s">
        <v>994</v>
      </c>
      <c r="D253" s="7" t="str">
        <f aca="false">TRIM(SUBSTITUTE($A253,CHAR(160)," "))</f>
        <v>95 XXL</v>
      </c>
    </row>
    <row r="254" customFormat="false" ht="15" hidden="false" customHeight="false" outlineLevel="0" collapsed="false">
      <c r="A254" s="7" t="s">
        <v>363</v>
      </c>
      <c r="B254" s="7" t="n">
        <v>4413500</v>
      </c>
      <c r="C254" s="7" t="s">
        <v>995</v>
      </c>
      <c r="D254" s="7" t="str">
        <f aca="false">TRIM(SUBSTITUTE($A254,CHAR(160)," "))</f>
        <v>95B L</v>
      </c>
    </row>
    <row r="255" customFormat="false" ht="15" hidden="false" customHeight="false" outlineLevel="0" collapsed="false">
      <c r="A255" s="7" t="s">
        <v>364</v>
      </c>
      <c r="B255" s="7" t="n">
        <v>4413501</v>
      </c>
      <c r="C255" s="7" t="s">
        <v>996</v>
      </c>
      <c r="D255" s="7" t="str">
        <f aca="false">TRIM(SUBSTITUTE($A255,CHAR(160)," "))</f>
        <v>95B M</v>
      </c>
    </row>
    <row r="256" customFormat="false" ht="15" hidden="false" customHeight="false" outlineLevel="0" collapsed="false">
      <c r="A256" s="7" t="s">
        <v>365</v>
      </c>
      <c r="B256" s="7" t="n">
        <v>4413502</v>
      </c>
      <c r="C256" s="7" t="s">
        <v>997</v>
      </c>
      <c r="D256" s="7" t="str">
        <f aca="false">TRIM(SUBSTITUTE($A256,CHAR(160)," "))</f>
        <v>95B S</v>
      </c>
    </row>
    <row r="257" customFormat="false" ht="15" hidden="false" customHeight="false" outlineLevel="0" collapsed="false">
      <c r="A257" s="7" t="s">
        <v>366</v>
      </c>
      <c r="B257" s="7" t="n">
        <v>4413503</v>
      </c>
      <c r="C257" s="7" t="s">
        <v>998</v>
      </c>
      <c r="D257" s="7" t="str">
        <f aca="false">TRIM(SUBSTITUTE($A257,CHAR(160)," "))</f>
        <v>95B XL</v>
      </c>
    </row>
    <row r="258" customFormat="false" ht="15" hidden="false" customHeight="false" outlineLevel="0" collapsed="false">
      <c r="A258" s="7" t="s">
        <v>658</v>
      </c>
      <c r="B258" s="7" t="n">
        <v>4413504</v>
      </c>
      <c r="C258" s="7" t="s">
        <v>999</v>
      </c>
      <c r="D258" s="7" t="str">
        <f aca="false">TRIM(SUBSTITUTE($A258,CHAR(160)," "))</f>
        <v>95B XXL</v>
      </c>
    </row>
    <row r="259" customFormat="false" ht="15" hidden="false" customHeight="false" outlineLevel="0" collapsed="false">
      <c r="A259" s="7" t="s">
        <v>367</v>
      </c>
      <c r="B259" s="7" t="n">
        <v>4413365</v>
      </c>
      <c r="C259" s="7" t="s">
        <v>1000</v>
      </c>
      <c r="D259" s="7" t="str">
        <f aca="false">TRIM(SUBSTITUTE($A259,CHAR(160)," "))</f>
        <v>95C L</v>
      </c>
    </row>
    <row r="260" customFormat="false" ht="15" hidden="false" customHeight="false" outlineLevel="0" collapsed="false">
      <c r="A260" s="7" t="s">
        <v>368</v>
      </c>
      <c r="B260" s="7" t="n">
        <v>4413364</v>
      </c>
      <c r="C260" s="7" t="s">
        <v>1001</v>
      </c>
      <c r="D260" s="7" t="str">
        <f aca="false">TRIM(SUBSTITUTE($A260,CHAR(160)," "))</f>
        <v>95C M</v>
      </c>
    </row>
    <row r="261" customFormat="false" ht="15" hidden="false" customHeight="false" outlineLevel="0" collapsed="false">
      <c r="A261" s="7" t="s">
        <v>369</v>
      </c>
      <c r="B261" s="7" t="n">
        <v>4413366</v>
      </c>
      <c r="C261" s="7" t="s">
        <v>1002</v>
      </c>
      <c r="D261" s="7" t="str">
        <f aca="false">TRIM(SUBSTITUTE($A261,CHAR(160)," "))</f>
        <v>95C S</v>
      </c>
    </row>
    <row r="262" customFormat="false" ht="15" hidden="false" customHeight="false" outlineLevel="0" collapsed="false">
      <c r="A262" s="7" t="s">
        <v>370</v>
      </c>
      <c r="B262" s="7" t="n">
        <v>4413367</v>
      </c>
      <c r="C262" s="7" t="s">
        <v>1003</v>
      </c>
      <c r="D262" s="7" t="str">
        <f aca="false">TRIM(SUBSTITUTE($A262,CHAR(160)," "))</f>
        <v>95C XL</v>
      </c>
    </row>
    <row r="263" customFormat="false" ht="15" hidden="false" customHeight="false" outlineLevel="0" collapsed="false">
      <c r="A263" s="7" t="s">
        <v>1004</v>
      </c>
      <c r="B263" s="7" t="n">
        <v>4413368</v>
      </c>
      <c r="C263" s="7" t="s">
        <v>1005</v>
      </c>
      <c r="D263" s="7" t="str">
        <f aca="false">TRIM(SUBSTITUTE($A263,CHAR(160)," "))</f>
        <v>95C XS</v>
      </c>
    </row>
    <row r="264" customFormat="false" ht="15" hidden="false" customHeight="false" outlineLevel="0" collapsed="false">
      <c r="A264" s="7" t="s">
        <v>1006</v>
      </c>
      <c r="B264" s="7" t="n">
        <v>4413369</v>
      </c>
      <c r="C264" s="7" t="s">
        <v>1007</v>
      </c>
      <c r="D264" s="7" t="str">
        <f aca="false">TRIM(SUBSTITUTE($A264,CHAR(160)," "))</f>
        <v>95C XXL</v>
      </c>
    </row>
    <row r="265" customFormat="false" ht="15" hidden="false" customHeight="false" outlineLevel="0" collapsed="false">
      <c r="A265" s="7" t="s">
        <v>380</v>
      </c>
      <c r="B265" s="7" t="n">
        <v>4408208</v>
      </c>
      <c r="C265" s="7" t="s">
        <v>1008</v>
      </c>
      <c r="D265" s="7" t="str">
        <f aca="false">TRIM(SUBSTITUTE($A265,CHAR(160)," "))</f>
        <v>AC91 0</v>
      </c>
    </row>
    <row r="266" customFormat="false" ht="15" hidden="false" customHeight="false" outlineLevel="0" collapsed="false">
      <c r="A266" s="7" t="s">
        <v>405</v>
      </c>
      <c r="B266" s="7" t="n">
        <v>4413331</v>
      </c>
      <c r="C266" s="7" t="s">
        <v>1009</v>
      </c>
      <c r="D266" s="7" t="str">
        <f aca="false">TRIM(SUBSTITUTE($A266,CHAR(160)," "))</f>
        <v>AC95 0</v>
      </c>
    </row>
    <row r="267" customFormat="false" ht="15" hidden="false" customHeight="false" outlineLevel="0" collapsed="false">
      <c r="A267" s="7" t="s">
        <v>1010</v>
      </c>
      <c r="B267" s="7" t="n">
        <v>4413405</v>
      </c>
      <c r="C267" s="7" t="s">
        <v>1011</v>
      </c>
      <c r="D267" s="7" t="str">
        <f aca="false">TRIM(SUBSTITUTE($A267,CHAR(160)," "))</f>
        <v>SC95 S</v>
      </c>
    </row>
    <row r="268" customFormat="false" ht="15" hidden="false" customHeight="false" outlineLevel="0" collapsed="false">
      <c r="A268" s="7" t="s">
        <v>518</v>
      </c>
      <c r="B268" s="7" t="n">
        <v>4413531</v>
      </c>
      <c r="C268" s="7" t="s">
        <v>1012</v>
      </c>
      <c r="D268" s="7" t="str">
        <f aca="false">TRIM(SUBSTITUTE($A268,CHAR(160)," "))</f>
        <v>ST91 0</v>
      </c>
    </row>
    <row r="269" customFormat="false" ht="15" hidden="false" customHeight="false" outlineLevel="0" collapsed="false">
      <c r="A269" s="7" t="s">
        <v>1013</v>
      </c>
      <c r="B269" s="7" t="n">
        <v>4420018</v>
      </c>
      <c r="C269" s="7" t="s">
        <v>1014</v>
      </c>
      <c r="D269" s="7" t="str">
        <f aca="false">TRIM(SUBSTITUTE($A269,CHAR(160)," "))</f>
        <v>(missing in TRANS source - cell was blank/error)</v>
      </c>
    </row>
    <row r="270" customFormat="false" ht="15" hidden="false" customHeight="false" outlineLevel="0" collapsed="false">
      <c r="A270" s="7" t="s">
        <v>627</v>
      </c>
      <c r="B270" s="7" t="n">
        <v>4413210</v>
      </c>
      <c r="C270" s="7" t="s">
        <v>1015</v>
      </c>
      <c r="D270" s="7" t="str">
        <f aca="false">TRIM(SUBSTITUTE($A270,CHAR(160)," "))</f>
        <v>T95 S</v>
      </c>
    </row>
    <row r="271" customFormat="false" ht="15" hidden="false" customHeight="false" outlineLevel="0" collapsed="false">
      <c r="A271" s="7" t="s">
        <v>355</v>
      </c>
      <c r="B271" s="7" t="n">
        <v>4413135</v>
      </c>
      <c r="C271" s="7" t="s">
        <v>1016</v>
      </c>
      <c r="D271" s="7" t="str">
        <f aca="false">TRIM(SUBSTITUTE($A271,CHAR(160)," "))</f>
        <v>85 L</v>
      </c>
    </row>
    <row r="272" customFormat="false" ht="15" hidden="false" customHeight="false" outlineLevel="0" collapsed="false">
      <c r="A272" s="7" t="s">
        <v>356</v>
      </c>
      <c r="B272" s="7" t="n">
        <v>4413136</v>
      </c>
      <c r="C272" s="7" t="s">
        <v>1017</v>
      </c>
      <c r="D272" s="7" t="str">
        <f aca="false">TRIM(SUBSTITUTE($A272,CHAR(160)," "))</f>
        <v>85 M</v>
      </c>
    </row>
    <row r="273" customFormat="false" ht="15" hidden="false" customHeight="false" outlineLevel="0" collapsed="false">
      <c r="A273" s="7" t="s">
        <v>357</v>
      </c>
      <c r="B273" s="7" t="n">
        <v>4413137</v>
      </c>
      <c r="C273" s="7" t="s">
        <v>1018</v>
      </c>
      <c r="D273" s="7" t="str">
        <f aca="false">TRIM(SUBSTITUTE($A273,CHAR(160)," "))</f>
        <v>85 S</v>
      </c>
    </row>
    <row r="274" customFormat="false" ht="15" hidden="false" customHeight="false" outlineLevel="0" collapsed="false">
      <c r="A274" s="7" t="s">
        <v>358</v>
      </c>
      <c r="B274" s="7" t="n">
        <v>4413138</v>
      </c>
      <c r="C274" s="7" t="s">
        <v>1019</v>
      </c>
      <c r="D274" s="7" t="str">
        <f aca="false">TRIM(SUBSTITUTE($A274,CHAR(160)," "))</f>
        <v>85 XL</v>
      </c>
    </row>
    <row r="275" customFormat="false" ht="15" hidden="false" customHeight="false" outlineLevel="0" collapsed="false">
      <c r="A275" s="7" t="s">
        <v>608</v>
      </c>
      <c r="B275" s="7" t="n">
        <v>4413176</v>
      </c>
      <c r="C275" s="7" t="s">
        <v>1020</v>
      </c>
      <c r="D275" s="7" t="str">
        <f aca="false">TRIM(SUBSTITUTE($A275,CHAR(160)," "))</f>
        <v>85+ L</v>
      </c>
    </row>
    <row r="276" customFormat="false" ht="15" hidden="false" customHeight="false" outlineLevel="0" collapsed="false">
      <c r="A276" s="7" t="s">
        <v>609</v>
      </c>
      <c r="B276" s="7" t="n">
        <v>4413175</v>
      </c>
      <c r="C276" s="7" t="s">
        <v>1021</v>
      </c>
      <c r="D276" s="7" t="str">
        <f aca="false">TRIM(SUBSTITUTE($A276,CHAR(160)," "))</f>
        <v>85+ M</v>
      </c>
    </row>
    <row r="277" customFormat="false" ht="15" hidden="false" customHeight="false" outlineLevel="0" collapsed="false">
      <c r="A277" s="7" t="s">
        <v>610</v>
      </c>
      <c r="B277" s="7" t="n">
        <v>4413177</v>
      </c>
      <c r="C277" s="7" t="s">
        <v>1022</v>
      </c>
      <c r="D277" s="7" t="str">
        <f aca="false">TRIM(SUBSTITUTE($A277,CHAR(160)," "))</f>
        <v>85+ XL</v>
      </c>
    </row>
    <row r="278" customFormat="false" ht="15" hidden="false" customHeight="false" outlineLevel="0" collapsed="false">
      <c r="A278" s="7" t="s">
        <v>1023</v>
      </c>
      <c r="B278" s="7" t="n">
        <v>4413516</v>
      </c>
      <c r="C278" s="7" t="s">
        <v>1024</v>
      </c>
      <c r="D278" s="7" t="str">
        <f aca="false">TRIM(SUBSTITUTE($A278,CHAR(160)," "))</f>
        <v>85B L</v>
      </c>
    </row>
    <row r="279" customFormat="false" ht="15" hidden="false" customHeight="false" outlineLevel="0" collapsed="false">
      <c r="A279" s="7" t="s">
        <v>1025</v>
      </c>
      <c r="B279" s="7" t="n">
        <v>4413517</v>
      </c>
      <c r="C279" s="7" t="s">
        <v>1026</v>
      </c>
      <c r="D279" s="7" t="str">
        <f aca="false">TRIM(SUBSTITUTE($A279,CHAR(160)," "))</f>
        <v>85B M</v>
      </c>
    </row>
    <row r="280" customFormat="false" ht="15" hidden="false" customHeight="false" outlineLevel="0" collapsed="false">
      <c r="A280" s="7" t="s">
        <v>1027</v>
      </c>
      <c r="B280" s="7" t="n">
        <v>4413519</v>
      </c>
      <c r="C280" s="7" t="s">
        <v>1028</v>
      </c>
      <c r="D280" s="7" t="str">
        <f aca="false">TRIM(SUBSTITUTE($A280,CHAR(160)," "))</f>
        <v>85B S</v>
      </c>
    </row>
    <row r="281" customFormat="false" ht="15" hidden="false" customHeight="false" outlineLevel="0" collapsed="false">
      <c r="A281" s="7" t="s">
        <v>1029</v>
      </c>
      <c r="B281" s="7" t="n">
        <v>4413518</v>
      </c>
      <c r="C281" s="7" t="s">
        <v>1030</v>
      </c>
      <c r="D281" s="7" t="str">
        <f aca="false">TRIM(SUBSTITUTE($A281,CHAR(160)," "))</f>
        <v>85B XL</v>
      </c>
    </row>
    <row r="282" customFormat="false" ht="15" hidden="false" customHeight="false" outlineLevel="0" collapsed="false">
      <c r="A282" s="7" t="s">
        <v>359</v>
      </c>
      <c r="B282" s="7" t="n">
        <v>4413455</v>
      </c>
      <c r="C282" s="7" t="s">
        <v>1031</v>
      </c>
      <c r="D282" s="7" t="str">
        <f aca="false">TRIM(SUBSTITUTE($A282,CHAR(160)," "))</f>
        <v>85K 0</v>
      </c>
    </row>
    <row r="283" customFormat="false" ht="15" hidden="false" customHeight="false" outlineLevel="0" collapsed="false">
      <c r="A283" s="7" t="s">
        <v>296</v>
      </c>
      <c r="B283" s="7" t="n">
        <v>4416000</v>
      </c>
      <c r="C283" s="7" t="s">
        <v>1032</v>
      </c>
      <c r="D283" s="7" t="str">
        <f aca="false">TRIM(SUBSTITUTE($A283,CHAR(160)," "))</f>
        <v>307 L</v>
      </c>
    </row>
    <row r="284" customFormat="false" ht="15" hidden="false" customHeight="false" outlineLevel="0" collapsed="false">
      <c r="A284" s="7" t="s">
        <v>297</v>
      </c>
      <c r="B284" s="7" t="n">
        <v>4416001</v>
      </c>
      <c r="C284" s="7" t="s">
        <v>1033</v>
      </c>
      <c r="D284" s="7" t="str">
        <f aca="false">TRIM(SUBSTITUTE($A284,CHAR(160)," "))</f>
        <v>307 M</v>
      </c>
    </row>
    <row r="285" customFormat="false" ht="15" hidden="false" customHeight="false" outlineLevel="0" collapsed="false">
      <c r="A285" s="7" t="s">
        <v>298</v>
      </c>
      <c r="B285" s="7" t="n">
        <v>4416002</v>
      </c>
      <c r="C285" s="7" t="s">
        <v>1034</v>
      </c>
      <c r="D285" s="7" t="str">
        <f aca="false">TRIM(SUBSTITUTE($A285,CHAR(160)," "))</f>
        <v>307 S</v>
      </c>
    </row>
    <row r="286" customFormat="false" ht="15" hidden="false" customHeight="false" outlineLevel="0" collapsed="false">
      <c r="A286" s="7" t="s">
        <v>394</v>
      </c>
      <c r="B286" s="7" t="n">
        <v>4411016</v>
      </c>
      <c r="C286" s="7" t="s">
        <v>1035</v>
      </c>
      <c r="D286" s="7" t="str">
        <f aca="false">TRIM(SUBSTITUTE($A286,CHAR(160)," "))</f>
        <v>307 XL</v>
      </c>
    </row>
    <row r="287" customFormat="false" ht="15" hidden="false" customHeight="false" outlineLevel="0" collapsed="false">
      <c r="A287" s="7" t="s">
        <v>524</v>
      </c>
      <c r="B287" s="7" t="n">
        <v>4416003</v>
      </c>
      <c r="C287" s="7" t="s">
        <v>1036</v>
      </c>
      <c r="D287" s="7" t="str">
        <f aca="false">TRIM(SUBSTITUTE($A287,CHAR(160)," "))</f>
        <v>308 L</v>
      </c>
    </row>
    <row r="288" customFormat="false" ht="15" hidden="false" customHeight="false" outlineLevel="0" collapsed="false">
      <c r="A288" s="7" t="s">
        <v>525</v>
      </c>
      <c r="B288" s="7" t="n">
        <v>4416005</v>
      </c>
      <c r="C288" s="7" t="s">
        <v>1037</v>
      </c>
      <c r="D288" s="7" t="str">
        <f aca="false">TRIM(SUBSTITUTE($A288,CHAR(160)," "))</f>
        <v>308 M</v>
      </c>
    </row>
    <row r="289" customFormat="false" ht="15" hidden="false" customHeight="false" outlineLevel="0" collapsed="false">
      <c r="A289" s="7" t="s">
        <v>299</v>
      </c>
      <c r="B289" s="7" t="n">
        <v>4413033</v>
      </c>
      <c r="C289" s="7" t="s">
        <v>1038</v>
      </c>
      <c r="D289" s="7" t="str">
        <f aca="false">TRIM(SUBSTITUTE($A289,CHAR(160)," "))</f>
        <v>311 0</v>
      </c>
    </row>
    <row r="290" customFormat="false" ht="15" hidden="false" customHeight="false" outlineLevel="0" collapsed="false">
      <c r="A290" s="7" t="s">
        <v>395</v>
      </c>
      <c r="B290" s="7" t="n">
        <v>4413034</v>
      </c>
      <c r="C290" s="7" t="s">
        <v>1039</v>
      </c>
      <c r="D290" s="7" t="str">
        <f aca="false">TRIM(SUBSTITUTE($A290,CHAR(160)," "))</f>
        <v>312 0</v>
      </c>
    </row>
    <row r="291" customFormat="false" ht="15" hidden="false" customHeight="false" outlineLevel="0" collapsed="false">
      <c r="A291" s="7" t="s">
        <v>441</v>
      </c>
      <c r="B291" s="7" t="n">
        <v>4415297</v>
      </c>
      <c r="C291" s="7" t="s">
        <v>1040</v>
      </c>
      <c r="D291" s="7" t="str">
        <f aca="false">TRIM(SUBSTITUTE($A291,CHAR(160)," "))</f>
        <v>313 0</v>
      </c>
    </row>
    <row r="292" customFormat="false" ht="15" hidden="false" customHeight="false" outlineLevel="0" collapsed="false">
      <c r="A292" s="7" t="s">
        <v>442</v>
      </c>
      <c r="B292" s="7" t="n">
        <v>4402007</v>
      </c>
      <c r="C292" s="7" t="s">
        <v>1041</v>
      </c>
      <c r="D292" s="7" t="str">
        <f aca="false">TRIM(SUBSTITUTE($A292,CHAR(160)," "))</f>
        <v>320 0</v>
      </c>
    </row>
    <row r="293" customFormat="false" ht="15" hidden="false" customHeight="false" outlineLevel="0" collapsed="false">
      <c r="A293" s="7" t="s">
        <v>455</v>
      </c>
      <c r="B293" s="7" t="n">
        <v>4421001</v>
      </c>
      <c r="C293" s="7" t="s">
        <v>1042</v>
      </c>
      <c r="D293" s="7" t="str">
        <f aca="false">TRIM(SUBSTITUTE($A293,CHAR(160)," "))</f>
        <v>3611 0</v>
      </c>
    </row>
    <row r="294" customFormat="false" ht="15" hidden="false" customHeight="false" outlineLevel="0" collapsed="false">
      <c r="A294" s="7" t="s">
        <v>527</v>
      </c>
      <c r="B294" s="7" t="n">
        <v>4413058</v>
      </c>
      <c r="C294" s="7" t="s">
        <v>1043</v>
      </c>
      <c r="D294" s="7" t="str">
        <f aca="false">TRIM(SUBSTITUTE($A294,CHAR(160)," "))</f>
        <v>3622S 0</v>
      </c>
    </row>
    <row r="295" customFormat="false" ht="15" hidden="false" customHeight="false" outlineLevel="0" collapsed="false">
      <c r="A295" s="7" t="s">
        <v>312</v>
      </c>
      <c r="B295" s="7" t="n">
        <v>4411001</v>
      </c>
      <c r="C295" s="7" t="s">
        <v>1044</v>
      </c>
      <c r="D295" s="7" t="str">
        <f aca="false">TRIM(SUBSTITUTE($A295,CHAR(160)," "))</f>
        <v>3623 0</v>
      </c>
    </row>
    <row r="296" customFormat="false" ht="15" hidden="false" customHeight="false" outlineLevel="0" collapsed="false">
      <c r="A296" s="7" t="s">
        <v>1045</v>
      </c>
      <c r="B296" s="7" t="n">
        <v>4402000</v>
      </c>
      <c r="C296" s="7" t="s">
        <v>1046</v>
      </c>
      <c r="D296" s="7" t="str">
        <f aca="false">TRIM(SUBSTITUTE($A296,CHAR(160)," "))</f>
        <v>363-L-R</v>
      </c>
    </row>
    <row r="297" customFormat="false" ht="15" hidden="false" customHeight="false" outlineLevel="0" collapsed="false">
      <c r="A297" s="7" t="s">
        <v>314</v>
      </c>
      <c r="B297" s="7" t="n">
        <v>4413060</v>
      </c>
      <c r="C297" s="7" t="s">
        <v>1047</v>
      </c>
      <c r="D297" s="7" t="str">
        <f aca="false">TRIM(SUBSTITUTE($A297,CHAR(160)," "))</f>
        <v>364 XL</v>
      </c>
    </row>
    <row r="298" customFormat="false" ht="15" hidden="false" customHeight="false" outlineLevel="0" collapsed="false">
      <c r="A298" s="7" t="s">
        <v>397</v>
      </c>
      <c r="B298" s="7" t="n">
        <v>4413061</v>
      </c>
      <c r="C298" s="7" t="s">
        <v>1048</v>
      </c>
      <c r="D298" s="7" t="str">
        <f aca="false">TRIM(SUBSTITUTE($A298,CHAR(160)," "))</f>
        <v>3641 0</v>
      </c>
    </row>
    <row r="299" customFormat="false" ht="15" hidden="false" customHeight="false" outlineLevel="0" collapsed="false">
      <c r="A299" s="7" t="s">
        <v>313</v>
      </c>
      <c r="B299" s="7" t="n">
        <v>4413059</v>
      </c>
      <c r="C299" s="7" t="s">
        <v>1049</v>
      </c>
      <c r="D299" s="7" t="str">
        <f aca="false">TRIM(SUBSTITUTE($A299,CHAR(160)," "))</f>
        <v>364-S-L</v>
      </c>
    </row>
    <row r="300" customFormat="false" ht="15" hidden="false" customHeight="false" outlineLevel="0" collapsed="false">
      <c r="A300" s="7" t="s">
        <v>316</v>
      </c>
      <c r="B300" s="7" t="n">
        <v>4409001</v>
      </c>
      <c r="C300" s="7" t="s">
        <v>1050</v>
      </c>
      <c r="D300" s="7" t="str">
        <f aca="false">TRIM(SUBSTITUTE($A300,CHAR(160)," "))</f>
        <v>365-XL</v>
      </c>
    </row>
    <row r="301" customFormat="false" ht="15" hidden="false" customHeight="false" outlineLevel="0" collapsed="false">
      <c r="A301" s="7" t="s">
        <v>315</v>
      </c>
      <c r="B301" s="7" t="n">
        <v>4409000</v>
      </c>
      <c r="C301" s="7" t="s">
        <v>1051</v>
      </c>
      <c r="D301" s="7" t="str">
        <f aca="false">TRIM(SUBSTITUTE($A301,CHAR(160)," "))</f>
        <v>365-S-L</v>
      </c>
    </row>
    <row r="302" customFormat="false" ht="15" hidden="false" customHeight="false" outlineLevel="0" collapsed="false">
      <c r="A302" s="7" t="s">
        <v>317</v>
      </c>
      <c r="B302" s="7" t="n">
        <v>4421000</v>
      </c>
      <c r="C302" s="7" t="s">
        <v>1052</v>
      </c>
      <c r="D302" s="7" t="str">
        <f aca="false">TRIM(SUBSTITUTE($A302,CHAR(160)," "))</f>
        <v>3655 0</v>
      </c>
    </row>
    <row r="303" customFormat="false" ht="15" hidden="false" customHeight="false" outlineLevel="0" collapsed="false">
      <c r="A303" s="7" t="s">
        <v>685</v>
      </c>
      <c r="B303" s="7" t="n">
        <v>4413340</v>
      </c>
      <c r="C303" s="7" t="s">
        <v>1053</v>
      </c>
      <c r="D303" s="7" t="str">
        <f aca="false">TRIM(SUBSTITUTE($A303,CHAR(160)," "))</f>
        <v>3666 0</v>
      </c>
    </row>
    <row r="304" customFormat="false" ht="15" hidden="false" customHeight="false" outlineLevel="0" collapsed="false">
      <c r="A304" s="7" t="s">
        <v>318</v>
      </c>
      <c r="B304" s="7" t="n">
        <v>4413063</v>
      </c>
      <c r="C304" s="7" t="s">
        <v>1054</v>
      </c>
      <c r="D304" s="7" t="str">
        <f aca="false">TRIM(SUBSTITUTE($A304,CHAR(160)," "))</f>
        <v>366S 0</v>
      </c>
    </row>
    <row r="305" customFormat="false" ht="15" hidden="false" customHeight="false" outlineLevel="0" collapsed="false">
      <c r="A305" s="7" t="s">
        <v>634</v>
      </c>
      <c r="B305" s="7" t="n">
        <v>4421003</v>
      </c>
      <c r="C305" s="7" t="s">
        <v>1055</v>
      </c>
      <c r="D305" s="7" t="str">
        <f aca="false">TRIM(SUBSTITUTE($A305,CHAR(160)," "))</f>
        <v>3672 0</v>
      </c>
    </row>
    <row r="306" customFormat="false" ht="15" hidden="false" customHeight="false" outlineLevel="0" collapsed="false">
      <c r="A306" s="7" t="s">
        <v>399</v>
      </c>
      <c r="B306" s="7" t="n">
        <v>4413370</v>
      </c>
      <c r="C306" s="7" t="s">
        <v>1056</v>
      </c>
      <c r="D306" s="7" t="str">
        <f aca="false">TRIM(SUBSTITUTE($A306,CHAR(160)," "))</f>
        <v>3674 0</v>
      </c>
    </row>
    <row r="307" customFormat="false" ht="15" hidden="false" customHeight="false" outlineLevel="0" collapsed="false">
      <c r="A307" s="7" t="s">
        <v>400</v>
      </c>
      <c r="B307" s="7" t="n">
        <v>4413371</v>
      </c>
      <c r="C307" s="7" t="s">
        <v>1057</v>
      </c>
      <c r="D307" s="7" t="str">
        <f aca="false">TRIM(SUBSTITUTE($A307,CHAR(160)," "))</f>
        <v>3675 0</v>
      </c>
    </row>
    <row r="308" customFormat="false" ht="15" hidden="false" customHeight="false" outlineLevel="0" collapsed="false">
      <c r="A308" s="7" t="s">
        <v>319</v>
      </c>
      <c r="B308" s="7" t="n">
        <v>4413066</v>
      </c>
      <c r="C308" s="7" t="s">
        <v>1058</v>
      </c>
      <c r="D308" s="7" t="str">
        <f aca="false">TRIM(SUBSTITUTE($A308,CHAR(160)," "))</f>
        <v>3677S 0</v>
      </c>
    </row>
    <row r="309" customFormat="false" ht="15" hidden="false" customHeight="false" outlineLevel="0" collapsed="false">
      <c r="A309" s="7" t="s">
        <v>321</v>
      </c>
      <c r="B309" s="7" t="n">
        <v>4401001</v>
      </c>
      <c r="C309" s="7" t="s">
        <v>1059</v>
      </c>
      <c r="D309" s="7" t="str">
        <f aca="false">TRIM(SUBSTITUTE($A309,CHAR(160)," "))</f>
        <v>369-XL</v>
      </c>
    </row>
    <row r="310" customFormat="false" ht="15" hidden="false" customHeight="false" outlineLevel="0" collapsed="false">
      <c r="A310" s="7" t="s">
        <v>320</v>
      </c>
      <c r="B310" s="7" t="n">
        <v>4401000</v>
      </c>
      <c r="C310" s="7" t="s">
        <v>1060</v>
      </c>
      <c r="D310" s="7" t="str">
        <f aca="false">TRIM(SUBSTITUTE($A310,CHAR(160)," "))</f>
        <v>369-S-L</v>
      </c>
    </row>
    <row r="311" customFormat="false" ht="15" hidden="false" customHeight="false" outlineLevel="0" collapsed="false">
      <c r="A311" s="7" t="s">
        <v>528</v>
      </c>
      <c r="B311" s="7" t="n">
        <v>4408069</v>
      </c>
      <c r="C311" s="7" t="s">
        <v>1061</v>
      </c>
      <c r="D311" s="7" t="str">
        <f aca="false">TRIM(SUBSTITUTE($A311,CHAR(160)," "))</f>
        <v>38 0</v>
      </c>
    </row>
    <row r="312" customFormat="false" ht="15" hidden="false" customHeight="false" outlineLevel="0" collapsed="false">
      <c r="A312" s="7" t="s">
        <v>327</v>
      </c>
      <c r="B312" s="7" t="n">
        <v>4413452</v>
      </c>
      <c r="C312" s="7" t="s">
        <v>1062</v>
      </c>
      <c r="D312" s="7" t="str">
        <f aca="false">TRIM(SUBSTITUTE($A312,CHAR(160)," "))</f>
        <v>386 0</v>
      </c>
    </row>
    <row r="313" customFormat="false" ht="15" hidden="false" customHeight="false" outlineLevel="0" collapsed="false">
      <c r="A313" s="7" t="s">
        <v>607</v>
      </c>
      <c r="B313" s="7" t="n">
        <v>4411015</v>
      </c>
      <c r="C313" s="7" t="s">
        <v>1063</v>
      </c>
      <c r="D313" s="7" t="str">
        <f aca="false">TRIM(SUBSTITUTE($A313,CHAR(160)," "))</f>
        <v>820 0</v>
      </c>
    </row>
    <row r="314" customFormat="false" ht="15" hidden="false" customHeight="false" outlineLevel="0" collapsed="false">
      <c r="A314" s="7" t="s">
        <v>398</v>
      </c>
      <c r="B314" s="7" t="n">
        <v>4413307</v>
      </c>
      <c r="C314" s="7" t="s">
        <v>1064</v>
      </c>
      <c r="D314" s="7" t="str">
        <f aca="false">TRIM(SUBSTITUTE($A314,CHAR(160)," "))</f>
        <v>3667 0</v>
      </c>
    </row>
    <row r="315" customFormat="false" ht="15" hidden="false" customHeight="false" outlineLevel="0" collapsed="false">
      <c r="A315" s="7" t="s">
        <v>456</v>
      </c>
      <c r="B315" s="7" t="n">
        <v>4411000</v>
      </c>
      <c r="C315" s="7" t="s">
        <v>1065</v>
      </c>
      <c r="D315" s="7" t="str">
        <f aca="false">TRIM(SUBSTITUTE($A315,CHAR(160)," "))</f>
        <v>362-L-R</v>
      </c>
    </row>
    <row r="316" customFormat="false" ht="15" hidden="false" customHeight="false" outlineLevel="0" collapsed="false">
      <c r="A316" s="7" t="s">
        <v>533</v>
      </c>
      <c r="B316" s="7" t="n">
        <v>4401002</v>
      </c>
      <c r="C316" s="7" t="s">
        <v>1066</v>
      </c>
      <c r="D316" s="7" t="str">
        <f aca="false">TRIM(SUBSTITUTE($A316,CHAR(160)," "))</f>
        <v>PD344 0</v>
      </c>
    </row>
    <row r="317" customFormat="false" ht="15" hidden="false" customHeight="false" outlineLevel="0" collapsed="false">
      <c r="A317" s="7" t="s">
        <v>531</v>
      </c>
      <c r="B317" s="7" t="n">
        <v>4419006</v>
      </c>
      <c r="C317" s="7" t="s">
        <v>1067</v>
      </c>
      <c r="D317" s="7" t="str">
        <f aca="false">TRIM(SUBSTITUTE($A317,CHAR(160)," "))</f>
        <v>PD340 0</v>
      </c>
    </row>
    <row r="318" customFormat="false" ht="15" hidden="false" customHeight="false" outlineLevel="0" collapsed="false">
      <c r="A318" s="7" t="s">
        <v>1068</v>
      </c>
      <c r="B318" s="7" t="n">
        <v>4413150</v>
      </c>
      <c r="C318" s="7" t="s">
        <v>1069</v>
      </c>
      <c r="D318" s="7" t="str">
        <f aca="false">TRIM(SUBSTITUTE($A318,CHAR(160)," "))</f>
        <v>PD341 0</v>
      </c>
    </row>
    <row r="319" customFormat="false" ht="15" hidden="false" customHeight="false" outlineLevel="0" collapsed="false">
      <c r="A319" s="7" t="s">
        <v>532</v>
      </c>
      <c r="B319" s="7" t="n">
        <v>4417000</v>
      </c>
      <c r="C319" s="7" t="s">
        <v>1070</v>
      </c>
      <c r="D319" s="7" t="str">
        <f aca="false">TRIM(SUBSTITUTE($A319,CHAR(160)," "))</f>
        <v>PD342 0</v>
      </c>
    </row>
    <row r="320" customFormat="false" ht="15" hidden="false" customHeight="false" outlineLevel="0" collapsed="false">
      <c r="A320" s="7" t="s">
        <v>1071</v>
      </c>
      <c r="B320" s="7" t="n">
        <v>4415080</v>
      </c>
      <c r="C320" s="7" t="s">
        <v>1072</v>
      </c>
      <c r="D320" s="7" t="str">
        <f aca="false">TRIM(SUBSTITUTE($A320,CHAR(160)," "))</f>
        <v>PD346 0</v>
      </c>
    </row>
    <row r="321" customFormat="false" ht="15" hidden="false" customHeight="false" outlineLevel="0" collapsed="false">
      <c r="A321" s="7" t="s">
        <v>424</v>
      </c>
      <c r="B321" s="7" t="n">
        <v>4411029</v>
      </c>
      <c r="C321" s="7" t="s">
        <v>1073</v>
      </c>
      <c r="D321" s="7" t="str">
        <f aca="false">TRIM(SUBSTITUTE($A321,CHAR(160)," "))</f>
        <v>213CTSR L</v>
      </c>
    </row>
    <row r="322" customFormat="false" ht="15" hidden="false" customHeight="false" outlineLevel="0" collapsed="false">
      <c r="A322" s="7" t="s">
        <v>287</v>
      </c>
      <c r="B322" s="7" t="n">
        <v>4408046</v>
      </c>
      <c r="C322" s="7" t="s">
        <v>1074</v>
      </c>
      <c r="D322" s="7" t="str">
        <f aca="false">TRIM(SUBSTITUTE($A322,CHAR(160)," "))</f>
        <v>20 L</v>
      </c>
    </row>
    <row r="323" customFormat="false" ht="15" hidden="false" customHeight="false" outlineLevel="0" collapsed="false">
      <c r="A323" s="7" t="s">
        <v>288</v>
      </c>
      <c r="B323" s="7" t="n">
        <v>4408047</v>
      </c>
      <c r="C323" s="7" t="s">
        <v>1075</v>
      </c>
      <c r="D323" s="7" t="str">
        <f aca="false">TRIM(SUBSTITUTE($A323,CHAR(160)," "))</f>
        <v>20 M</v>
      </c>
    </row>
    <row r="324" customFormat="false" ht="15" hidden="false" customHeight="false" outlineLevel="0" collapsed="false">
      <c r="A324" s="7" t="s">
        <v>289</v>
      </c>
      <c r="B324" s="7" t="n">
        <v>4408048</v>
      </c>
      <c r="C324" s="7" t="s">
        <v>1076</v>
      </c>
      <c r="D324" s="7" t="str">
        <f aca="false">TRIM(SUBSTITUTE($A324,CHAR(160)," "))</f>
        <v>20 S</v>
      </c>
    </row>
    <row r="325" customFormat="false" ht="15" hidden="false" customHeight="false" outlineLevel="0" collapsed="false">
      <c r="A325" s="7" t="s">
        <v>290</v>
      </c>
      <c r="B325" s="7" t="n">
        <v>4408049</v>
      </c>
      <c r="C325" s="7" t="s">
        <v>1077</v>
      </c>
      <c r="D325" s="7" t="str">
        <f aca="false">TRIM(SUBSTITUTE($A325,CHAR(160)," "))</f>
        <v>20 XL</v>
      </c>
    </row>
    <row r="326" customFormat="false" ht="15" hidden="false" customHeight="false" outlineLevel="0" collapsed="false">
      <c r="A326" s="7" t="s">
        <v>419</v>
      </c>
      <c r="B326" s="7" t="n">
        <v>4408050</v>
      </c>
      <c r="C326" s="7" t="s">
        <v>1078</v>
      </c>
      <c r="D326" s="7" t="str">
        <f aca="false">TRIM(SUBSTITUTE($A326,CHAR(160)," "))</f>
        <v>20 XXL</v>
      </c>
    </row>
    <row r="327" customFormat="false" ht="15" hidden="false" customHeight="false" outlineLevel="0" collapsed="false">
      <c r="A327" s="7" t="s">
        <v>653</v>
      </c>
      <c r="B327" s="7" t="n">
        <v>4408275</v>
      </c>
      <c r="C327" s="7" t="s">
        <v>1079</v>
      </c>
      <c r="D327" s="7" t="str">
        <f aca="false">TRIM(SUBSTITUTE($A327,CHAR(160)," "))</f>
        <v>202 0</v>
      </c>
    </row>
    <row r="328" customFormat="false" ht="15" hidden="false" customHeight="false" outlineLevel="0" collapsed="false">
      <c r="A328" s="7" t="s">
        <v>291</v>
      </c>
      <c r="B328" s="7" t="n">
        <v>4408052</v>
      </c>
      <c r="C328" s="7" t="s">
        <v>1080</v>
      </c>
      <c r="D328" s="7" t="str">
        <f aca="false">TRIM(SUBSTITUTE($A328,CHAR(160)," "))</f>
        <v>21 L</v>
      </c>
    </row>
    <row r="329" customFormat="false" ht="15" hidden="false" customHeight="false" outlineLevel="0" collapsed="false">
      <c r="A329" s="7" t="s">
        <v>292</v>
      </c>
      <c r="B329" s="7" t="n">
        <v>4408053</v>
      </c>
      <c r="C329" s="7" t="s">
        <v>1081</v>
      </c>
      <c r="D329" s="7" t="str">
        <f aca="false">TRIM(SUBSTITUTE($A329,CHAR(160)," "))</f>
        <v>21 M</v>
      </c>
    </row>
    <row r="330" customFormat="false" ht="15" hidden="false" customHeight="false" outlineLevel="0" collapsed="false">
      <c r="A330" s="7" t="s">
        <v>293</v>
      </c>
      <c r="B330" s="7" t="n">
        <v>4408051</v>
      </c>
      <c r="C330" s="7" t="s">
        <v>1082</v>
      </c>
      <c r="D330" s="7" t="str">
        <f aca="false">TRIM(SUBSTITUTE($A330,CHAR(160)," "))</f>
        <v>21 S</v>
      </c>
    </row>
    <row r="331" customFormat="false" ht="15" hidden="false" customHeight="false" outlineLevel="0" collapsed="false">
      <c r="A331" s="7" t="s">
        <v>420</v>
      </c>
      <c r="B331" s="7" t="n">
        <v>4408054</v>
      </c>
      <c r="C331" s="7" t="s">
        <v>1083</v>
      </c>
      <c r="D331" s="7" t="str">
        <f aca="false">TRIM(SUBSTITUTE($A331,CHAR(160)," "))</f>
        <v>21 XL</v>
      </c>
    </row>
    <row r="332" customFormat="false" ht="15" hidden="false" customHeight="false" outlineLevel="0" collapsed="false">
      <c r="A332" s="7" t="s">
        <v>1084</v>
      </c>
      <c r="B332" s="7" t="n">
        <v>4413399</v>
      </c>
      <c r="C332" s="7" t="s">
        <v>1085</v>
      </c>
      <c r="D332" s="7" t="str">
        <f aca="false">TRIM(SUBSTITUTE($A332,CHAR(160)," "))</f>
        <v>21 XS</v>
      </c>
    </row>
    <row r="333" customFormat="false" ht="15" hidden="false" customHeight="false" outlineLevel="0" collapsed="false">
      <c r="A333" s="7" t="s">
        <v>1086</v>
      </c>
      <c r="B333" s="7" t="n">
        <v>4411017</v>
      </c>
      <c r="C333" s="7" t="s">
        <v>1087</v>
      </c>
      <c r="D333" s="7" t="str">
        <f aca="false">TRIM(SUBSTITUTE($A333,CHAR(160)," "))</f>
        <v>211 L</v>
      </c>
    </row>
    <row r="334" customFormat="false" ht="15" hidden="false" customHeight="false" outlineLevel="0" collapsed="false">
      <c r="A334" s="7" t="s">
        <v>1088</v>
      </c>
      <c r="B334" s="7" t="n">
        <v>4411018</v>
      </c>
      <c r="C334" s="7" t="s">
        <v>1089</v>
      </c>
      <c r="D334" s="7" t="str">
        <f aca="false">TRIM(SUBSTITUTE($A334,CHAR(160)," "))</f>
        <v>211 M</v>
      </c>
    </row>
    <row r="335" customFormat="false" ht="15" hidden="false" customHeight="false" outlineLevel="0" collapsed="false">
      <c r="A335" s="7" t="s">
        <v>1090</v>
      </c>
      <c r="B335" s="7" t="n">
        <v>4411019</v>
      </c>
      <c r="C335" s="7" t="s">
        <v>1091</v>
      </c>
      <c r="D335" s="7" t="str">
        <f aca="false">TRIM(SUBSTITUTE($A335,CHAR(160)," "))</f>
        <v>211 S</v>
      </c>
    </row>
    <row r="336" customFormat="false" ht="15" hidden="false" customHeight="false" outlineLevel="0" collapsed="false">
      <c r="A336" s="7" t="s">
        <v>1092</v>
      </c>
      <c r="B336" s="7" t="n">
        <v>4411020</v>
      </c>
      <c r="C336" s="7" t="s">
        <v>1093</v>
      </c>
      <c r="D336" s="7" t="str">
        <f aca="false">TRIM(SUBSTITUTE($A336,CHAR(160)," "))</f>
        <v>211 XL</v>
      </c>
    </row>
    <row r="337" customFormat="false" ht="15" hidden="false" customHeight="false" outlineLevel="0" collapsed="false">
      <c r="A337" s="7" t="s">
        <v>1094</v>
      </c>
      <c r="B337" s="7" t="n">
        <v>4411021</v>
      </c>
      <c r="C337" s="7" t="s">
        <v>1095</v>
      </c>
      <c r="D337" s="7" t="str">
        <f aca="false">TRIM(SUBSTITUTE($A337,CHAR(160)," "))</f>
        <v>212 L</v>
      </c>
    </row>
    <row r="338" customFormat="false" ht="15" hidden="false" customHeight="false" outlineLevel="0" collapsed="false">
      <c r="A338" s="7" t="s">
        <v>1096</v>
      </c>
      <c r="B338" s="7" t="n">
        <v>4411022</v>
      </c>
      <c r="C338" s="7" t="s">
        <v>1097</v>
      </c>
      <c r="D338" s="7" t="str">
        <f aca="false">TRIM(SUBSTITUTE($A338,CHAR(160)," "))</f>
        <v>212 M</v>
      </c>
    </row>
    <row r="339" customFormat="false" ht="15" hidden="false" customHeight="false" outlineLevel="0" collapsed="false">
      <c r="A339" s="7" t="s">
        <v>1098</v>
      </c>
      <c r="B339" s="7" t="n">
        <v>4411023</v>
      </c>
      <c r="C339" s="7" t="s">
        <v>1099</v>
      </c>
      <c r="D339" s="7" t="str">
        <f aca="false">TRIM(SUBSTITUTE($A339,CHAR(160)," "))</f>
        <v>212 S</v>
      </c>
    </row>
    <row r="340" customFormat="false" ht="15" hidden="false" customHeight="false" outlineLevel="0" collapsed="false">
      <c r="A340" s="7" t="s">
        <v>1100</v>
      </c>
      <c r="B340" s="7" t="n">
        <v>4411024</v>
      </c>
      <c r="C340" s="7" t="s">
        <v>1101</v>
      </c>
      <c r="D340" s="7" t="str">
        <f aca="false">TRIM(SUBSTITUTE($A340,CHAR(160)," "))</f>
        <v>212 XL</v>
      </c>
    </row>
    <row r="341" customFormat="false" ht="15" hidden="false" customHeight="false" outlineLevel="0" collapsed="false">
      <c r="A341" s="7" t="s">
        <v>426</v>
      </c>
      <c r="B341" s="7" t="n">
        <v>4411031</v>
      </c>
      <c r="C341" s="7" t="s">
        <v>1102</v>
      </c>
      <c r="D341" s="7" t="str">
        <f aca="false">TRIM(SUBSTITUTE($A341,CHAR(160)," "))</f>
        <v>213CTSR S</v>
      </c>
    </row>
    <row r="342" customFormat="false" ht="15" hidden="false" customHeight="false" outlineLevel="0" collapsed="false">
      <c r="A342" s="7" t="s">
        <v>421</v>
      </c>
      <c r="B342" s="7" t="n">
        <v>4411026</v>
      </c>
      <c r="C342" s="7" t="s">
        <v>1103</v>
      </c>
      <c r="D342" s="7" t="str">
        <f aca="false">TRIM(SUBSTITUTE($A342,CHAR(160)," "))</f>
        <v>213CTSL L</v>
      </c>
    </row>
    <row r="343" customFormat="false" ht="15" hidden="false" customHeight="false" outlineLevel="0" collapsed="false">
      <c r="A343" s="7" t="s">
        <v>422</v>
      </c>
      <c r="B343" s="7" t="n">
        <v>4411027</v>
      </c>
      <c r="C343" s="7" t="s">
        <v>1104</v>
      </c>
      <c r="D343" s="7" t="str">
        <f aca="false">TRIM(SUBSTITUTE($A343,CHAR(160)," "))</f>
        <v>213CTSL M</v>
      </c>
    </row>
    <row r="344" customFormat="false" ht="15" hidden="false" customHeight="false" outlineLevel="0" collapsed="false">
      <c r="A344" s="7" t="s">
        <v>423</v>
      </c>
      <c r="B344" s="7" t="n">
        <v>4411028</v>
      </c>
      <c r="C344" s="7" t="s">
        <v>1105</v>
      </c>
      <c r="D344" s="7" t="str">
        <f aca="false">TRIM(SUBSTITUTE($A344,CHAR(160)," "))</f>
        <v>213CTSL S</v>
      </c>
    </row>
    <row r="345" customFormat="false" ht="15" hidden="false" customHeight="false" outlineLevel="0" collapsed="false">
      <c r="A345" s="7" t="s">
        <v>425</v>
      </c>
      <c r="B345" s="7" t="n">
        <v>4411030</v>
      </c>
      <c r="C345" s="7" t="s">
        <v>1106</v>
      </c>
      <c r="D345" s="7" t="str">
        <f aca="false">TRIM(SUBSTITUTE($A345,CHAR(160)," "))</f>
        <v>213CTSR M</v>
      </c>
    </row>
    <row r="346" customFormat="false" ht="15" hidden="false" customHeight="false" outlineLevel="0" collapsed="false">
      <c r="A346" s="7" t="s">
        <v>428</v>
      </c>
      <c r="B346" s="7" t="n">
        <v>4415162</v>
      </c>
      <c r="C346" s="7" t="s">
        <v>1107</v>
      </c>
      <c r="D346" s="7" t="str">
        <f aca="false">TRIM(SUBSTITUTE($A346,CHAR(160)," "))</f>
        <v>238 L</v>
      </c>
    </row>
    <row r="347" customFormat="false" ht="15" hidden="false" customHeight="false" outlineLevel="0" collapsed="false">
      <c r="A347" s="7" t="s">
        <v>429</v>
      </c>
      <c r="B347" s="7" t="n">
        <v>4415161</v>
      </c>
      <c r="C347" s="7" t="s">
        <v>1108</v>
      </c>
      <c r="D347" s="7" t="str">
        <f aca="false">TRIM(SUBSTITUTE($A347,CHAR(160)," "))</f>
        <v>238 M</v>
      </c>
    </row>
    <row r="348" customFormat="false" ht="15" hidden="false" customHeight="false" outlineLevel="0" collapsed="false">
      <c r="A348" s="7" t="s">
        <v>430</v>
      </c>
      <c r="B348" s="7" t="n">
        <v>4415160</v>
      </c>
      <c r="C348" s="7" t="s">
        <v>1109</v>
      </c>
      <c r="D348" s="7" t="str">
        <f aca="false">TRIM(SUBSTITUTE($A348,CHAR(160)," "))</f>
        <v>238 S</v>
      </c>
    </row>
    <row r="349" customFormat="false" ht="15" hidden="false" customHeight="false" outlineLevel="0" collapsed="false">
      <c r="A349" s="7" t="s">
        <v>431</v>
      </c>
      <c r="B349" s="7" t="n">
        <v>4415163</v>
      </c>
      <c r="C349" s="7" t="s">
        <v>1110</v>
      </c>
      <c r="D349" s="7" t="str">
        <f aca="false">TRIM(SUBSTITUTE($A349,CHAR(160)," "))</f>
        <v>238 XL</v>
      </c>
    </row>
    <row r="350" customFormat="false" ht="15" hidden="false" customHeight="false" outlineLevel="0" collapsed="false">
      <c r="A350" s="7" t="s">
        <v>617</v>
      </c>
      <c r="B350" s="7" t="n">
        <v>4415000</v>
      </c>
      <c r="C350" s="7" t="s">
        <v>1111</v>
      </c>
      <c r="D350" s="7" t="str">
        <f aca="false">TRIM(SUBSTITUTE($A350,CHAR(160)," "))</f>
        <v>26 L</v>
      </c>
    </row>
    <row r="351" customFormat="false" ht="15" hidden="false" customHeight="false" outlineLevel="0" collapsed="false">
      <c r="A351" s="7" t="s">
        <v>618</v>
      </c>
      <c r="B351" s="7" t="n">
        <v>4415001</v>
      </c>
      <c r="C351" s="7" t="s">
        <v>1112</v>
      </c>
      <c r="D351" s="7" t="str">
        <f aca="false">TRIM(SUBSTITUTE($A351,CHAR(160)," "))</f>
        <v>26 M</v>
      </c>
    </row>
    <row r="352" customFormat="false" ht="15" hidden="false" customHeight="false" outlineLevel="0" collapsed="false">
      <c r="A352" s="7" t="s">
        <v>619</v>
      </c>
      <c r="B352" s="7" t="n">
        <v>4415002</v>
      </c>
      <c r="C352" s="7" t="s">
        <v>1113</v>
      </c>
      <c r="D352" s="7" t="str">
        <f aca="false">TRIM(SUBSTITUTE($A352,CHAR(160)," "))</f>
        <v>26 S</v>
      </c>
    </row>
    <row r="353" customFormat="false" ht="15" hidden="false" customHeight="false" outlineLevel="0" collapsed="false">
      <c r="A353" s="7" t="s">
        <v>620</v>
      </c>
      <c r="B353" s="7" t="n">
        <v>4415003</v>
      </c>
      <c r="C353" s="7" t="s">
        <v>1114</v>
      </c>
      <c r="D353" s="7" t="str">
        <f aca="false">TRIM(SUBSTITUTE($A353,CHAR(160)," "))</f>
        <v>26 XL</v>
      </c>
    </row>
    <row r="354" customFormat="false" ht="15" hidden="false" customHeight="false" outlineLevel="0" collapsed="false">
      <c r="A354" s="7" t="s">
        <v>621</v>
      </c>
      <c r="B354" s="7" t="n">
        <v>4415004</v>
      </c>
      <c r="C354" s="7" t="s">
        <v>1115</v>
      </c>
      <c r="D354" s="7" t="str">
        <f aca="false">TRIM(SUBSTITUTE($A354,CHAR(160)," "))</f>
        <v>26 XXL</v>
      </c>
    </row>
    <row r="355" customFormat="false" ht="15" hidden="false" customHeight="false" outlineLevel="0" collapsed="false">
      <c r="A355" s="7" t="s">
        <v>393</v>
      </c>
      <c r="B355" s="7" t="n">
        <v>4415158</v>
      </c>
      <c r="C355" s="7" t="s">
        <v>1116</v>
      </c>
      <c r="D355" s="7" t="str">
        <f aca="false">TRIM(SUBSTITUTE($A355,CHAR(160)," "))</f>
        <v>266 0</v>
      </c>
    </row>
    <row r="356" customFormat="false" ht="15" hidden="false" customHeight="false" outlineLevel="0" collapsed="false">
      <c r="A356" s="7" t="s">
        <v>434</v>
      </c>
      <c r="B356" s="7" t="n">
        <v>4415159</v>
      </c>
      <c r="C356" s="7" t="s">
        <v>1117</v>
      </c>
      <c r="D356" s="7" t="str">
        <f aca="false">TRIM(SUBSTITUTE($A356,CHAR(160)," "))</f>
        <v>268 0</v>
      </c>
    </row>
    <row r="357" customFormat="false" ht="15" hidden="false" customHeight="false" outlineLevel="0" collapsed="false">
      <c r="A357" s="7" t="s">
        <v>439</v>
      </c>
      <c r="B357" s="7" t="n">
        <v>4415025</v>
      </c>
      <c r="C357" s="7" t="s">
        <v>1118</v>
      </c>
      <c r="D357" s="7" t="str">
        <f aca="false">TRIM(SUBSTITUTE($A357,CHAR(160)," "))</f>
        <v>28 XS</v>
      </c>
    </row>
    <row r="358" customFormat="false" ht="15" hidden="false" customHeight="false" outlineLevel="0" collapsed="false">
      <c r="A358" s="7" t="s">
        <v>435</v>
      </c>
      <c r="B358" s="7" t="n">
        <v>4415005</v>
      </c>
      <c r="C358" s="7" t="s">
        <v>1119</v>
      </c>
      <c r="D358" s="7" t="str">
        <f aca="false">TRIM(SUBSTITUTE($A358,CHAR(160)," "))</f>
        <v>28 L</v>
      </c>
    </row>
    <row r="359" customFormat="false" ht="15" hidden="false" customHeight="false" outlineLevel="0" collapsed="false">
      <c r="A359" s="7" t="s">
        <v>436</v>
      </c>
      <c r="B359" s="7" t="n">
        <v>4415006</v>
      </c>
      <c r="C359" s="7" t="s">
        <v>1120</v>
      </c>
      <c r="D359" s="7" t="str">
        <f aca="false">TRIM(SUBSTITUTE($A359,CHAR(160)," "))</f>
        <v>28 M</v>
      </c>
    </row>
    <row r="360" customFormat="false" ht="15" hidden="false" customHeight="false" outlineLevel="0" collapsed="false">
      <c r="A360" s="7" t="s">
        <v>437</v>
      </c>
      <c r="B360" s="7" t="n">
        <v>4415007</v>
      </c>
      <c r="C360" s="7" t="s">
        <v>1121</v>
      </c>
      <c r="D360" s="7" t="str">
        <f aca="false">TRIM(SUBSTITUTE($A360,CHAR(160)," "))</f>
        <v>28 S</v>
      </c>
    </row>
    <row r="361" customFormat="false" ht="15" hidden="false" customHeight="false" outlineLevel="0" collapsed="false">
      <c r="A361" s="7" t="s">
        <v>438</v>
      </c>
      <c r="B361" s="7" t="n">
        <v>4415008</v>
      </c>
      <c r="C361" s="7" t="s">
        <v>1122</v>
      </c>
      <c r="D361" s="7" t="str">
        <f aca="false">TRIM(SUBSTITUTE($A361,CHAR(160)," "))</f>
        <v>28 XL</v>
      </c>
    </row>
    <row r="362" customFormat="false" ht="15" hidden="false" customHeight="false" outlineLevel="0" collapsed="false">
      <c r="A362" s="7" t="s">
        <v>374</v>
      </c>
      <c r="B362" s="7" t="n">
        <v>4415028</v>
      </c>
      <c r="C362" s="7" t="s">
        <v>1123</v>
      </c>
      <c r="D362" s="7" t="str">
        <f aca="false">TRIM(SUBSTITUTE($A362,CHAR(160)," "))</f>
        <v>AC28 0</v>
      </c>
    </row>
    <row r="363" customFormat="false" ht="15" hidden="false" customHeight="false" outlineLevel="0" collapsed="false">
      <c r="A363" s="7" t="s">
        <v>626</v>
      </c>
      <c r="B363" s="7" t="n">
        <v>4408268</v>
      </c>
      <c r="C363" s="7" t="s">
        <v>1124</v>
      </c>
      <c r="D363" s="7" t="str">
        <f aca="false">TRIM(SUBSTITUTE($A363,CHAR(160)," "))</f>
        <v>ST20 0</v>
      </c>
    </row>
    <row r="364" customFormat="false" ht="15" hidden="false" customHeight="false" outlineLevel="0" collapsed="false">
      <c r="A364" s="7" t="s">
        <v>514</v>
      </c>
      <c r="B364" s="7" t="n">
        <v>4408267</v>
      </c>
      <c r="C364" s="7" t="s">
        <v>1125</v>
      </c>
      <c r="D364" s="7" t="str">
        <f aca="false">TRIM(SUBSTITUTE($A364,CHAR(160)," "))</f>
        <v>ST25 0</v>
      </c>
    </row>
    <row r="365" customFormat="false" ht="15" hidden="false" customHeight="false" outlineLevel="0" collapsed="false">
      <c r="A365" s="7" t="s">
        <v>515</v>
      </c>
      <c r="B365" s="7" t="n">
        <v>4415177</v>
      </c>
      <c r="C365" s="7" t="s">
        <v>1126</v>
      </c>
      <c r="D365" s="7" t="str">
        <f aca="false">TRIM(SUBSTITUTE($A365,CHAR(160)," "))</f>
        <v>ST28 0</v>
      </c>
    </row>
    <row r="366" customFormat="false" ht="15" hidden="false" customHeight="false" outlineLevel="0" collapsed="false">
      <c r="A366" s="7" t="s">
        <v>1127</v>
      </c>
      <c r="B366" s="7" t="n">
        <v>4408095</v>
      </c>
      <c r="C366" s="7" t="s">
        <v>1128</v>
      </c>
      <c r="D366" s="7" t="str">
        <f aca="false">TRIM(SUBSTITUTE($A366,CHAR(160)," "))</f>
        <v>T20-L-XL</v>
      </c>
    </row>
    <row r="367" customFormat="false" ht="15" hidden="false" customHeight="false" outlineLevel="0" collapsed="false">
      <c r="A367" s="7" t="s">
        <v>1129</v>
      </c>
      <c r="B367" s="7" t="n">
        <v>4408094</v>
      </c>
      <c r="C367" s="7" t="s">
        <v>1130</v>
      </c>
      <c r="D367" s="7" t="str">
        <f aca="false">TRIM(SUBSTITUTE($A367,CHAR(160)," "))</f>
        <v>T20-S-M</v>
      </c>
    </row>
    <row r="368" customFormat="false" ht="15" hidden="false" customHeight="false" outlineLevel="0" collapsed="false">
      <c r="A368" s="7" t="s">
        <v>1131</v>
      </c>
      <c r="B368" s="7" t="n">
        <v>4408097</v>
      </c>
      <c r="C368" s="7" t="s">
        <v>1132</v>
      </c>
      <c r="D368" s="7" t="str">
        <f aca="false">TRIM(SUBSTITUTE($A368,CHAR(160)," "))</f>
        <v>T20C-L-XL</v>
      </c>
    </row>
    <row r="369" customFormat="false" ht="15" hidden="false" customHeight="false" outlineLevel="0" collapsed="false">
      <c r="A369" s="7" t="s">
        <v>1133</v>
      </c>
      <c r="B369" s="7" t="n">
        <v>4408096</v>
      </c>
      <c r="C369" s="7" t="s">
        <v>1134</v>
      </c>
      <c r="D369" s="7" t="str">
        <f aca="false">TRIM(SUBSTITUTE($A369,CHAR(160)," "))</f>
        <v>T20C-S-M</v>
      </c>
    </row>
    <row r="370" customFormat="false" ht="15" hidden="false" customHeight="false" outlineLevel="0" collapsed="false">
      <c r="A370" s="7" t="s">
        <v>390</v>
      </c>
      <c r="B370" s="7" t="n">
        <v>4408098</v>
      </c>
      <c r="C370" s="7" t="s">
        <v>1135</v>
      </c>
      <c r="D370" s="7" t="str">
        <f aca="false">TRIM(SUBSTITUTE($A370,CHAR(160)," "))</f>
        <v>T25 0</v>
      </c>
    </row>
    <row r="371" customFormat="false" ht="15" hidden="false" customHeight="false" outlineLevel="0" collapsed="false">
      <c r="A371" s="7" t="s">
        <v>1136</v>
      </c>
      <c r="B371" s="7" t="n">
        <v>4408264</v>
      </c>
      <c r="C371" s="7" t="s">
        <v>1137</v>
      </c>
      <c r="D371" s="7" t="str">
        <f aca="false">TRIM(SUBSTITUTE($A371,CHAR(160)," "))</f>
        <v>T25B 0</v>
      </c>
    </row>
    <row r="372" customFormat="false" ht="15" hidden="false" customHeight="false" outlineLevel="0" collapsed="false">
      <c r="A372" s="7" t="s">
        <v>519</v>
      </c>
      <c r="B372" s="7" t="n">
        <v>4408099</v>
      </c>
      <c r="C372" s="7" t="s">
        <v>1138</v>
      </c>
      <c r="D372" s="7" t="str">
        <f aca="false">TRIM(SUBSTITUTE($A372,CHAR(160)," "))</f>
        <v>T25C 0</v>
      </c>
    </row>
    <row r="373" customFormat="false" ht="15" hidden="false" customHeight="false" outlineLevel="0" collapsed="false">
      <c r="A373" s="7" t="s">
        <v>1139</v>
      </c>
      <c r="B373" s="7" t="n">
        <v>4415067</v>
      </c>
      <c r="C373" s="7" t="s">
        <v>1140</v>
      </c>
      <c r="D373" s="7" t="str">
        <f aca="false">TRIM(SUBSTITUTE($A373,CHAR(160)," "))</f>
        <v>T28 XL</v>
      </c>
    </row>
    <row r="374" customFormat="false" ht="15" hidden="false" customHeight="false" outlineLevel="0" collapsed="false">
      <c r="A374" s="7" t="s">
        <v>391</v>
      </c>
      <c r="B374" s="7" t="n">
        <v>4415073</v>
      </c>
      <c r="C374" s="7" t="s">
        <v>1141</v>
      </c>
      <c r="D374" s="7" t="str">
        <f aca="false">TRIM(SUBSTITUTE($A374,CHAR(160)," "))</f>
        <v>T28A-L-XL</v>
      </c>
    </row>
    <row r="375" customFormat="false" ht="15" hidden="false" customHeight="false" outlineLevel="0" collapsed="false">
      <c r="A375" s="7" t="s">
        <v>392</v>
      </c>
      <c r="B375" s="7" t="n">
        <v>4415072</v>
      </c>
      <c r="C375" s="7" t="s">
        <v>1142</v>
      </c>
      <c r="D375" s="7" t="str">
        <f aca="false">TRIM(SUBSTITUTE($A375,CHAR(160)," "))</f>
        <v>T28A-S-M</v>
      </c>
    </row>
    <row r="376" customFormat="false" ht="15" hidden="false" customHeight="false" outlineLevel="0" collapsed="false">
      <c r="A376" s="7" t="s">
        <v>1143</v>
      </c>
      <c r="B376" s="7" t="n">
        <v>4415075</v>
      </c>
      <c r="C376" s="7" t="s">
        <v>1144</v>
      </c>
      <c r="D376" s="7" t="str">
        <f aca="false">TRIM(SUBSTITUTE($A376,CHAR(160)," "))</f>
        <v>T28AC-L-XL</v>
      </c>
    </row>
    <row r="377" customFormat="false" ht="15" hidden="false" customHeight="false" outlineLevel="0" collapsed="false">
      <c r="A377" s="7" t="s">
        <v>1145</v>
      </c>
      <c r="B377" s="7" t="n">
        <v>4415074</v>
      </c>
      <c r="C377" s="7" t="s">
        <v>1146</v>
      </c>
      <c r="D377" s="7" t="str">
        <f aca="false">TRIM(SUBSTITUTE($A377,CHAR(160)," "))</f>
        <v>T28AC-S-M</v>
      </c>
    </row>
    <row r="378" customFormat="false" ht="15" hidden="false" customHeight="false" outlineLevel="0" collapsed="false">
      <c r="A378" s="7" t="s">
        <v>1147</v>
      </c>
      <c r="B378" s="7" t="n">
        <v>4415071</v>
      </c>
      <c r="C378" s="7" t="s">
        <v>1148</v>
      </c>
      <c r="D378" s="7" t="str">
        <f aca="false">TRIM(SUBSTITUTE($A378,CHAR(160)," "))</f>
        <v>T28C XL</v>
      </c>
    </row>
    <row r="379" customFormat="false" ht="15" hidden="false" customHeight="false" outlineLevel="0" collapsed="false">
      <c r="A379" s="7" t="s">
        <v>1149</v>
      </c>
      <c r="B379" s="7" t="n">
        <v>4415069</v>
      </c>
      <c r="C379" s="7" t="s">
        <v>1150</v>
      </c>
      <c r="D379" s="7" t="str">
        <f aca="false">TRIM(SUBSTITUTE($A379,CHAR(160)," "))</f>
        <v>T28C L</v>
      </c>
    </row>
    <row r="380" customFormat="false" ht="15" hidden="false" customHeight="false" outlineLevel="0" collapsed="false">
      <c r="A380" s="7" t="s">
        <v>427</v>
      </c>
      <c r="B380" s="7" t="n">
        <v>4415029</v>
      </c>
      <c r="C380" s="7" t="s">
        <v>1151</v>
      </c>
      <c r="D380" s="7" t="str">
        <f aca="false">TRIM(SUBSTITUTE($A380,CHAR(160)," "))</f>
        <v>237 0</v>
      </c>
    </row>
    <row r="381" customFormat="false" ht="15" hidden="false" customHeight="false" outlineLevel="0" collapsed="false">
      <c r="A381" s="7" t="s">
        <v>485</v>
      </c>
      <c r="B381" s="7" t="n">
        <v>4418000</v>
      </c>
      <c r="C381" s="7" t="s">
        <v>1152</v>
      </c>
      <c r="D381" s="7" t="str">
        <f aca="false">TRIM(SUBSTITUTE($A381,CHAR(160)," "))</f>
        <v>60 L</v>
      </c>
    </row>
    <row r="382" customFormat="false" ht="15" hidden="false" customHeight="false" outlineLevel="0" collapsed="false">
      <c r="A382" s="7" t="s">
        <v>486</v>
      </c>
      <c r="B382" s="7" t="n">
        <v>4418001</v>
      </c>
      <c r="C382" s="7" t="s">
        <v>1153</v>
      </c>
      <c r="D382" s="7" t="str">
        <f aca="false">TRIM(SUBSTITUTE($A382,CHAR(160)," "))</f>
        <v>60 M</v>
      </c>
    </row>
    <row r="383" customFormat="false" ht="15" hidden="false" customHeight="false" outlineLevel="0" collapsed="false">
      <c r="A383" s="7" t="s">
        <v>487</v>
      </c>
      <c r="B383" s="7" t="n">
        <v>4418002</v>
      </c>
      <c r="C383" s="7" t="s">
        <v>1154</v>
      </c>
      <c r="D383" s="7" t="str">
        <f aca="false">TRIM(SUBSTITUTE($A383,CHAR(160)," "))</f>
        <v>60 S</v>
      </c>
    </row>
    <row r="384" customFormat="false" ht="15" hidden="false" customHeight="false" outlineLevel="0" collapsed="false">
      <c r="A384" s="7" t="s">
        <v>681</v>
      </c>
      <c r="B384" s="7" t="n">
        <v>4418003</v>
      </c>
      <c r="C384" s="7" t="s">
        <v>1155</v>
      </c>
      <c r="D384" s="7" t="str">
        <f aca="false">TRIM(SUBSTITUTE($A384,CHAR(160)," "))</f>
        <v>60 XL</v>
      </c>
    </row>
    <row r="385" customFormat="false" ht="15" hidden="false" customHeight="false" outlineLevel="0" collapsed="false">
      <c r="A385" s="7" t="s">
        <v>667</v>
      </c>
      <c r="B385" s="7" t="n">
        <v>4415013</v>
      </c>
      <c r="C385" s="7" t="s">
        <v>1156</v>
      </c>
      <c r="D385" s="7" t="str">
        <f aca="false">TRIM(SUBSTITUTE($A385,CHAR(160)," "))</f>
        <v>32 XL</v>
      </c>
    </row>
    <row r="386" customFormat="false" ht="15" hidden="false" customHeight="false" outlineLevel="0" collapsed="false">
      <c r="A386" s="7" t="s">
        <v>1157</v>
      </c>
      <c r="B386" s="7" t="n">
        <v>4413347</v>
      </c>
      <c r="C386" s="7" t="s">
        <v>1158</v>
      </c>
      <c r="D386" s="7" t="str">
        <f aca="false">TRIM(SUBSTITUTE($A386,CHAR(160)," "))</f>
        <v>322 L</v>
      </c>
    </row>
    <row r="387" customFormat="false" ht="15" hidden="false" customHeight="false" outlineLevel="0" collapsed="false">
      <c r="A387" s="7" t="s">
        <v>1159</v>
      </c>
      <c r="B387" s="7" t="n">
        <v>4413337</v>
      </c>
      <c r="C387" s="7" t="s">
        <v>1160</v>
      </c>
      <c r="D387" s="7" t="str">
        <f aca="false">TRIM(SUBSTITUTE($A387,CHAR(160)," "))</f>
        <v>322 XL</v>
      </c>
    </row>
    <row r="388" customFormat="false" ht="15" hidden="false" customHeight="false" outlineLevel="0" collapsed="false">
      <c r="A388" s="7" t="s">
        <v>602</v>
      </c>
      <c r="B388" s="7" t="n">
        <v>4415019</v>
      </c>
      <c r="C388" s="7" t="s">
        <v>1161</v>
      </c>
      <c r="D388" s="7" t="str">
        <f aca="false">TRIM(SUBSTITUTE($A388,CHAR(160)," "))</f>
        <v>333 0</v>
      </c>
    </row>
    <row r="389" customFormat="false" ht="15" hidden="false" customHeight="false" outlineLevel="0" collapsed="false">
      <c r="A389" s="7" t="s">
        <v>443</v>
      </c>
      <c r="B389" s="7" t="n">
        <v>4413043</v>
      </c>
      <c r="C389" s="7" t="s">
        <v>1162</v>
      </c>
      <c r="D389" s="7" t="str">
        <f aca="false">TRIM(SUBSTITUTE($A389,CHAR(160)," "))</f>
        <v>34 L</v>
      </c>
    </row>
    <row r="390" customFormat="false" ht="15" hidden="false" customHeight="false" outlineLevel="0" collapsed="false">
      <c r="A390" s="7" t="s">
        <v>444</v>
      </c>
      <c r="B390" s="7" t="n">
        <v>4413041</v>
      </c>
      <c r="C390" s="7" t="s">
        <v>1163</v>
      </c>
      <c r="D390" s="7" t="str">
        <f aca="false">TRIM(SUBSTITUTE($A390,CHAR(160)," "))</f>
        <v>34 M</v>
      </c>
    </row>
    <row r="391" customFormat="false" ht="15" hidden="false" customHeight="false" outlineLevel="0" collapsed="false">
      <c r="A391" s="7" t="s">
        <v>445</v>
      </c>
      <c r="B391" s="7" t="n">
        <v>4413042</v>
      </c>
      <c r="C391" s="7" t="s">
        <v>1164</v>
      </c>
      <c r="D391" s="7" t="str">
        <f aca="false">TRIM(SUBSTITUTE($A391,CHAR(160)," "))</f>
        <v>34 S</v>
      </c>
    </row>
    <row r="392" customFormat="false" ht="15" hidden="false" customHeight="false" outlineLevel="0" collapsed="false">
      <c r="A392" s="7" t="s">
        <v>446</v>
      </c>
      <c r="B392" s="7" t="n">
        <v>4413044</v>
      </c>
      <c r="C392" s="7" t="s">
        <v>1165</v>
      </c>
      <c r="D392" s="7" t="str">
        <f aca="false">TRIM(SUBSTITUTE($A392,CHAR(160)," "))</f>
        <v>34 XL</v>
      </c>
    </row>
    <row r="393" customFormat="false" ht="15" hidden="false" customHeight="false" outlineLevel="0" collapsed="false">
      <c r="A393" s="7" t="s">
        <v>447</v>
      </c>
      <c r="B393" s="7" t="n">
        <v>4413046</v>
      </c>
      <c r="C393" s="7" t="s">
        <v>1166</v>
      </c>
      <c r="D393" s="7" t="str">
        <f aca="false">TRIM(SUBSTITUTE($A393,CHAR(160)," "))</f>
        <v>34 XXL</v>
      </c>
    </row>
    <row r="394" customFormat="false" ht="15" hidden="false" customHeight="false" outlineLevel="0" collapsed="false">
      <c r="A394" s="7" t="s">
        <v>448</v>
      </c>
      <c r="B394" s="7" t="n">
        <v>4413161</v>
      </c>
      <c r="C394" s="7" t="s">
        <v>1167</v>
      </c>
      <c r="D394" s="7" t="str">
        <f aca="false">TRIM(SUBSTITUTE($A394,CHAR(160)," "))</f>
        <v>34+ L</v>
      </c>
    </row>
    <row r="395" customFormat="false" ht="15" hidden="false" customHeight="false" outlineLevel="0" collapsed="false">
      <c r="A395" s="7" t="s">
        <v>449</v>
      </c>
      <c r="B395" s="7" t="n">
        <v>4413160</v>
      </c>
      <c r="C395" s="7" t="s">
        <v>1168</v>
      </c>
      <c r="D395" s="7" t="str">
        <f aca="false">TRIM(SUBSTITUTE($A395,CHAR(160)," "))</f>
        <v>34+ M</v>
      </c>
    </row>
    <row r="396" customFormat="false" ht="15" hidden="false" customHeight="false" outlineLevel="0" collapsed="false">
      <c r="A396" s="7" t="s">
        <v>450</v>
      </c>
      <c r="B396" s="7" t="n">
        <v>4413159</v>
      </c>
      <c r="C396" s="7" t="s">
        <v>1169</v>
      </c>
      <c r="D396" s="7" t="str">
        <f aca="false">TRIM(SUBSTITUTE($A396,CHAR(160)," "))</f>
        <v>34+ S</v>
      </c>
    </row>
    <row r="397" customFormat="false" ht="15" hidden="false" customHeight="false" outlineLevel="0" collapsed="false">
      <c r="A397" s="7" t="s">
        <v>451</v>
      </c>
      <c r="B397" s="7" t="n">
        <v>4413162</v>
      </c>
      <c r="C397" s="7" t="s">
        <v>1170</v>
      </c>
      <c r="D397" s="7" t="str">
        <f aca="false">TRIM(SUBSTITUTE($A397,CHAR(160)," "))</f>
        <v>34+ XL</v>
      </c>
    </row>
    <row r="398" customFormat="false" ht="15" hidden="false" customHeight="false" outlineLevel="0" collapsed="false">
      <c r="A398" s="7" t="s">
        <v>680</v>
      </c>
      <c r="B398" s="7" t="n">
        <v>4413303</v>
      </c>
      <c r="C398" s="7" t="s">
        <v>1171</v>
      </c>
      <c r="D398" s="7" t="str">
        <f aca="false">TRIM(SUBSTITUTE($A398,CHAR(160)," "))</f>
        <v>34+ XXL</v>
      </c>
    </row>
    <row r="399" customFormat="false" ht="15" hidden="false" customHeight="false" outlineLevel="0" collapsed="false">
      <c r="A399" s="7" t="s">
        <v>300</v>
      </c>
      <c r="B399" s="7" t="n">
        <v>4413048</v>
      </c>
      <c r="C399" s="7" t="s">
        <v>1172</v>
      </c>
      <c r="D399" s="7" t="str">
        <f aca="false">TRIM(SUBSTITUTE($A399,CHAR(160)," "))</f>
        <v>35 L</v>
      </c>
    </row>
    <row r="400" customFormat="false" ht="15" hidden="false" customHeight="false" outlineLevel="0" collapsed="false">
      <c r="A400" s="7" t="s">
        <v>301</v>
      </c>
      <c r="B400" s="7" t="n">
        <v>4413049</v>
      </c>
      <c r="C400" s="7" t="s">
        <v>1173</v>
      </c>
      <c r="D400" s="7" t="str">
        <f aca="false">TRIM(SUBSTITUTE($A400,CHAR(160)," "))</f>
        <v>35 M</v>
      </c>
    </row>
    <row r="401" customFormat="false" ht="15" hidden="false" customHeight="false" outlineLevel="0" collapsed="false">
      <c r="A401" s="7" t="s">
        <v>302</v>
      </c>
      <c r="B401" s="7" t="n">
        <v>4413047</v>
      </c>
      <c r="C401" s="7" t="s">
        <v>1174</v>
      </c>
      <c r="D401" s="7" t="str">
        <f aca="false">TRIM(SUBSTITUTE($A401,CHAR(160)," "))</f>
        <v>35 S</v>
      </c>
    </row>
    <row r="402" customFormat="false" ht="15" hidden="false" customHeight="false" outlineLevel="0" collapsed="false">
      <c r="A402" s="7" t="s">
        <v>303</v>
      </c>
      <c r="B402" s="7" t="n">
        <v>4413050</v>
      </c>
      <c r="C402" s="7" t="s">
        <v>1175</v>
      </c>
      <c r="D402" s="7" t="str">
        <f aca="false">TRIM(SUBSTITUTE($A402,CHAR(160)," "))</f>
        <v>35 XL</v>
      </c>
    </row>
    <row r="403" customFormat="false" ht="15" hidden="false" customHeight="false" outlineLevel="0" collapsed="false">
      <c r="A403" s="7" t="s">
        <v>452</v>
      </c>
      <c r="B403" s="7" t="n">
        <v>4413051</v>
      </c>
      <c r="C403" s="7" t="s">
        <v>1176</v>
      </c>
      <c r="D403" s="7" t="str">
        <f aca="false">TRIM(SUBSTITUTE($A403,CHAR(160)," "))</f>
        <v>35 XXL</v>
      </c>
    </row>
    <row r="404" customFormat="false" ht="15" hidden="false" customHeight="false" outlineLevel="0" collapsed="false">
      <c r="A404" s="7" t="s">
        <v>304</v>
      </c>
      <c r="B404" s="7" t="n">
        <v>4413490</v>
      </c>
      <c r="C404" s="7" t="s">
        <v>1177</v>
      </c>
      <c r="D404" s="7" t="str">
        <f aca="false">TRIM(SUBSTITUTE($A404,CHAR(160)," "))</f>
        <v>35B L</v>
      </c>
    </row>
    <row r="405" customFormat="false" ht="15" hidden="false" customHeight="false" outlineLevel="0" collapsed="false">
      <c r="A405" s="7" t="s">
        <v>305</v>
      </c>
      <c r="B405" s="7" t="n">
        <v>4413492</v>
      </c>
      <c r="C405" s="7" t="s">
        <v>1178</v>
      </c>
      <c r="D405" s="7" t="str">
        <f aca="false">TRIM(SUBSTITUTE($A405,CHAR(160)," "))</f>
        <v>35B M</v>
      </c>
    </row>
    <row r="406" customFormat="false" ht="15" hidden="false" customHeight="false" outlineLevel="0" collapsed="false">
      <c r="A406" s="7" t="s">
        <v>306</v>
      </c>
      <c r="B406" s="7" t="n">
        <v>4413493</v>
      </c>
      <c r="C406" s="7" t="s">
        <v>1179</v>
      </c>
      <c r="D406" s="7" t="str">
        <f aca="false">TRIM(SUBSTITUTE($A406,CHAR(160)," "))</f>
        <v>35B S</v>
      </c>
    </row>
    <row r="407" customFormat="false" ht="15" hidden="false" customHeight="false" outlineLevel="0" collapsed="false">
      <c r="A407" s="7" t="s">
        <v>307</v>
      </c>
      <c r="B407" s="7" t="n">
        <v>4413491</v>
      </c>
      <c r="C407" s="7" t="s">
        <v>1180</v>
      </c>
      <c r="D407" s="7" t="str">
        <f aca="false">TRIM(SUBSTITUTE($A407,CHAR(160)," "))</f>
        <v>35B XL</v>
      </c>
    </row>
    <row r="408" customFormat="false" ht="15" hidden="false" customHeight="false" outlineLevel="0" collapsed="false">
      <c r="A408" s="7" t="s">
        <v>396</v>
      </c>
      <c r="B408" s="7" t="n">
        <v>4413494</v>
      </c>
      <c r="C408" s="7" t="s">
        <v>1181</v>
      </c>
      <c r="D408" s="7" t="str">
        <f aca="false">TRIM(SUBSTITUTE($A408,CHAR(160)," "))</f>
        <v>35B XXL</v>
      </c>
    </row>
    <row r="409" customFormat="false" ht="15" hidden="false" customHeight="false" outlineLevel="0" collapsed="false">
      <c r="A409" s="7" t="s">
        <v>308</v>
      </c>
      <c r="B409" s="7" t="n">
        <v>4413053</v>
      </c>
      <c r="C409" s="7" t="s">
        <v>1182</v>
      </c>
      <c r="D409" s="7" t="str">
        <f aca="false">TRIM(SUBSTITUTE($A409,CHAR(160)," "))</f>
        <v>35C L</v>
      </c>
    </row>
    <row r="410" customFormat="false" ht="15" hidden="false" customHeight="false" outlineLevel="0" collapsed="false">
      <c r="A410" s="7" t="s">
        <v>309</v>
      </c>
      <c r="B410" s="7" t="n">
        <v>4413054</v>
      </c>
      <c r="C410" s="7" t="s">
        <v>1183</v>
      </c>
      <c r="D410" s="7" t="str">
        <f aca="false">TRIM(SUBSTITUTE($A410,CHAR(160)," "))</f>
        <v>35C M</v>
      </c>
    </row>
    <row r="411" customFormat="false" ht="15" hidden="false" customHeight="false" outlineLevel="0" collapsed="false">
      <c r="A411" s="7" t="s">
        <v>310</v>
      </c>
      <c r="B411" s="7" t="n">
        <v>4413052</v>
      </c>
      <c r="C411" s="7" t="s">
        <v>1184</v>
      </c>
      <c r="D411" s="7" t="str">
        <f aca="false">TRIM(SUBSTITUTE($A411,CHAR(160)," "))</f>
        <v>35C S</v>
      </c>
    </row>
    <row r="412" customFormat="false" ht="15" hidden="false" customHeight="false" outlineLevel="0" collapsed="false">
      <c r="A412" s="7" t="s">
        <v>311</v>
      </c>
      <c r="B412" s="7" t="n">
        <v>4413055</v>
      </c>
      <c r="C412" s="7" t="s">
        <v>1185</v>
      </c>
      <c r="D412" s="7" t="str">
        <f aca="false">TRIM(SUBSTITUTE($A412,CHAR(160)," "))</f>
        <v>35C XL</v>
      </c>
    </row>
    <row r="413" customFormat="false" ht="15" hidden="false" customHeight="false" outlineLevel="0" collapsed="false">
      <c r="A413" s="7" t="s">
        <v>375</v>
      </c>
      <c r="B413" s="7" t="n">
        <v>4413326</v>
      </c>
      <c r="C413" s="7" t="s">
        <v>1186</v>
      </c>
      <c r="D413" s="7" t="str">
        <f aca="false">TRIM(SUBSTITUTE($A413,CHAR(160)," "))</f>
        <v>AC37 0</v>
      </c>
    </row>
    <row r="414" customFormat="false" ht="15" hidden="false" customHeight="false" outlineLevel="0" collapsed="false">
      <c r="A414" s="7" t="s">
        <v>507</v>
      </c>
      <c r="B414" s="7" t="n">
        <v>4413534</v>
      </c>
      <c r="C414" s="7" t="s">
        <v>1187</v>
      </c>
      <c r="D414" s="7" t="str">
        <f aca="false">TRIM(SUBSTITUTE($A414,CHAR(160)," "))</f>
        <v>SH333 0</v>
      </c>
    </row>
    <row r="415" customFormat="false" ht="15" hidden="false" customHeight="false" outlineLevel="0" collapsed="false">
      <c r="A415" s="7" t="s">
        <v>516</v>
      </c>
      <c r="B415" s="7" t="n">
        <v>4408269</v>
      </c>
      <c r="C415" s="7" t="s">
        <v>1188</v>
      </c>
      <c r="D415" s="7" t="str">
        <f aca="false">TRIM(SUBSTITUTE($A415,CHAR(160)," "))</f>
        <v>ST37 0</v>
      </c>
    </row>
    <row r="416" customFormat="false" ht="15" hidden="false" customHeight="false" outlineLevel="0" collapsed="false">
      <c r="A416" s="7" t="s">
        <v>632</v>
      </c>
      <c r="B416" s="7" t="n">
        <v>4420036</v>
      </c>
      <c r="C416" s="7" t="s">
        <v>1189</v>
      </c>
      <c r="D416" s="7" t="str">
        <f aca="false">TRIM(SUBSTITUTE($A416,CHAR(160)," "))</f>
        <v>301CM-41-45</v>
      </c>
    </row>
    <row r="417" customFormat="false" ht="15" hidden="false" customHeight="false" outlineLevel="0" collapsed="false">
      <c r="A417" s="7" t="s">
        <v>440</v>
      </c>
      <c r="B417" s="7" t="n">
        <v>4420035</v>
      </c>
      <c r="C417" s="7" t="s">
        <v>1190</v>
      </c>
      <c r="D417" s="7" t="str">
        <f aca="false">TRIM(SUBSTITUTE($A417,CHAR(160)," "))</f>
        <v>301CW-36-40</v>
      </c>
    </row>
    <row r="418" customFormat="false" ht="15" hidden="false" customHeight="false" outlineLevel="0" collapsed="false">
      <c r="A418" s="7" t="s">
        <v>633</v>
      </c>
      <c r="B418" s="7" t="n">
        <v>4420037</v>
      </c>
      <c r="C418" s="7" t="s">
        <v>1191</v>
      </c>
      <c r="D418" s="7" t="str">
        <f aca="false">TRIM(SUBSTITUTE($A418,CHAR(160)," "))</f>
        <v>301JW-36-40</v>
      </c>
    </row>
    <row r="419" customFormat="false" ht="15" hidden="false" customHeight="false" outlineLevel="0" collapsed="false">
      <c r="A419" s="7" t="s">
        <v>322</v>
      </c>
      <c r="B419" s="7" t="n">
        <v>4420000</v>
      </c>
      <c r="C419" s="7" t="s">
        <v>1192</v>
      </c>
      <c r="D419" s="7" t="str">
        <f aca="false">TRIM(SUBSTITUTE($A419,CHAR(160)," "))</f>
        <v>370 0</v>
      </c>
    </row>
    <row r="420" customFormat="false" ht="15" hidden="false" customHeight="false" outlineLevel="0" collapsed="false">
      <c r="A420" s="7" t="s">
        <v>654</v>
      </c>
      <c r="B420" s="7" t="n">
        <v>4420027</v>
      </c>
      <c r="C420" s="7" t="s">
        <v>1193</v>
      </c>
      <c r="D420" s="7" t="str">
        <f aca="false">TRIM(SUBSTITUTE($A420,CHAR(160)," "))</f>
        <v>370K 0</v>
      </c>
    </row>
    <row r="421" customFormat="false" ht="15" hidden="false" customHeight="false" outlineLevel="0" collapsed="false">
      <c r="A421" s="7" t="s">
        <v>323</v>
      </c>
      <c r="B421" s="7" t="n">
        <v>4420001</v>
      </c>
      <c r="C421" s="7" t="s">
        <v>1194</v>
      </c>
      <c r="D421" s="7" t="str">
        <f aca="false">TRIM(SUBSTITUTE($A421,CHAR(160)," "))</f>
        <v>371 0</v>
      </c>
    </row>
    <row r="422" customFormat="false" ht="15" hidden="false" customHeight="false" outlineLevel="0" collapsed="false">
      <c r="A422" s="7" t="s">
        <v>324</v>
      </c>
      <c r="B422" s="7" t="n">
        <v>4420002</v>
      </c>
      <c r="C422" s="7" t="s">
        <v>1195</v>
      </c>
      <c r="D422" s="7" t="str">
        <f aca="false">TRIM(SUBSTITUTE($A422,CHAR(160)," "))</f>
        <v>372 0</v>
      </c>
    </row>
    <row r="423" customFormat="false" ht="15" hidden="false" customHeight="false" outlineLevel="0" collapsed="false">
      <c r="A423" s="7" t="s">
        <v>325</v>
      </c>
      <c r="B423" s="7" t="n">
        <v>4420003</v>
      </c>
      <c r="C423" s="7" t="s">
        <v>1196</v>
      </c>
      <c r="D423" s="7" t="str">
        <f aca="false">TRIM(SUBSTITUTE($A423,CHAR(160)," "))</f>
        <v>374 0</v>
      </c>
    </row>
    <row r="424" customFormat="false" ht="15" hidden="false" customHeight="false" outlineLevel="0" collapsed="false">
      <c r="A424" s="7" t="s">
        <v>1197</v>
      </c>
      <c r="B424" s="7" t="n">
        <v>4420004</v>
      </c>
      <c r="C424" s="7" t="s">
        <v>1198</v>
      </c>
      <c r="D424" s="7" t="str">
        <f aca="false">TRIM(SUBSTITUTE($A424,CHAR(160)," "))</f>
        <v>377-35</v>
      </c>
    </row>
    <row r="425" customFormat="false" ht="15" hidden="false" customHeight="false" outlineLevel="0" collapsed="false">
      <c r="A425" s="7" t="s">
        <v>326</v>
      </c>
      <c r="B425" s="7" t="n">
        <v>4420032</v>
      </c>
      <c r="C425" s="7" t="s">
        <v>1199</v>
      </c>
      <c r="D425" s="7" t="str">
        <f aca="false">TRIM(SUBSTITUTE($A425,CHAR(160)," "))</f>
        <v>376-46-47</v>
      </c>
    </row>
    <row r="426" customFormat="false" ht="15" hidden="false" customHeight="false" outlineLevel="0" collapsed="false">
      <c r="A426" s="7" t="s">
        <v>669</v>
      </c>
      <c r="B426" s="7" t="n">
        <v>4413112</v>
      </c>
      <c r="C426" s="7" t="s">
        <v>1200</v>
      </c>
      <c r="D426" s="7" t="str">
        <f aca="false">TRIM(SUBSTITUTE($A426,CHAR(160)," "))</f>
        <v>49 L</v>
      </c>
    </row>
    <row r="427" customFormat="false" ht="15" hidden="false" customHeight="false" outlineLevel="0" collapsed="false">
      <c r="A427" s="7" t="s">
        <v>670</v>
      </c>
      <c r="B427" s="7" t="n">
        <v>4413113</v>
      </c>
      <c r="C427" s="7" t="s">
        <v>1201</v>
      </c>
      <c r="D427" s="7" t="str">
        <f aca="false">TRIM(SUBSTITUTE($A427,CHAR(160)," "))</f>
        <v>49 M</v>
      </c>
    </row>
    <row r="428" customFormat="false" ht="15" hidden="false" customHeight="false" outlineLevel="0" collapsed="false">
      <c r="A428" s="7" t="s">
        <v>671</v>
      </c>
      <c r="B428" s="7" t="n">
        <v>4413111</v>
      </c>
      <c r="C428" s="7" t="s">
        <v>1202</v>
      </c>
      <c r="D428" s="7" t="str">
        <f aca="false">TRIM(SUBSTITUTE($A428,CHAR(160)," "))</f>
        <v>49 S</v>
      </c>
    </row>
    <row r="429" customFormat="false" ht="15" hidden="false" customHeight="false" outlineLevel="0" collapsed="false">
      <c r="A429" s="7" t="s">
        <v>672</v>
      </c>
      <c r="B429" s="7" t="n">
        <v>4413114</v>
      </c>
      <c r="C429" s="7" t="s">
        <v>1203</v>
      </c>
      <c r="D429" s="7" t="str">
        <f aca="false">TRIM(SUBSTITUTE($A429,CHAR(160)," "))</f>
        <v>49 XL</v>
      </c>
    </row>
    <row r="430" customFormat="false" ht="15" hidden="false" customHeight="false" outlineLevel="0" collapsed="false">
      <c r="A430" s="7" t="s">
        <v>673</v>
      </c>
      <c r="B430" s="7" t="n">
        <v>4413115</v>
      </c>
      <c r="C430" s="7" t="s">
        <v>1204</v>
      </c>
      <c r="D430" s="7" t="str">
        <f aca="false">TRIM(SUBSTITUTE($A430,CHAR(160)," "))</f>
        <v>49 XXL</v>
      </c>
    </row>
    <row r="431" customFormat="false" ht="15" hidden="false" customHeight="false" outlineLevel="0" collapsed="false">
      <c r="A431" s="7" t="s">
        <v>677</v>
      </c>
      <c r="B431" s="7" t="n">
        <v>4413330</v>
      </c>
      <c r="C431" s="7" t="s">
        <v>1205</v>
      </c>
      <c r="D431" s="7" t="str">
        <f aca="false">TRIM(SUBSTITUTE($A431,CHAR(160)," "))</f>
        <v>AC49 0</v>
      </c>
    </row>
    <row r="432" customFormat="false" ht="15" hidden="false" customHeight="false" outlineLevel="0" collapsed="false">
      <c r="A432" s="7" t="s">
        <v>517</v>
      </c>
      <c r="B432" s="7" t="n">
        <v>4413533</v>
      </c>
      <c r="C432" s="7" t="s">
        <v>1206</v>
      </c>
      <c r="D432" s="7" t="str">
        <f aca="false">TRIM(SUBSTITUTE($A432,CHAR(160)," "))</f>
        <v>ST49 0</v>
      </c>
    </row>
    <row r="433" customFormat="false" ht="15" hidden="false" customHeight="false" outlineLevel="0" collapsed="false">
      <c r="A433" s="7" t="s">
        <v>1207</v>
      </c>
      <c r="B433" s="7" t="n">
        <v>4413180</v>
      </c>
      <c r="C433" s="7" t="s">
        <v>1208</v>
      </c>
      <c r="D433" s="7" t="str">
        <f aca="false">TRIM(SUBSTITUTE($A433,CHAR(160)," "))</f>
        <v>T39 S</v>
      </c>
    </row>
    <row r="434" customFormat="false" ht="15" hidden="false" customHeight="false" outlineLevel="0" collapsed="false">
      <c r="A434" s="7" t="s">
        <v>371</v>
      </c>
      <c r="B434" s="7" t="n">
        <v>4408207</v>
      </c>
      <c r="C434" s="7" t="s">
        <v>1209</v>
      </c>
      <c r="D434" s="7" t="str">
        <f aca="false">TRIM(SUBSTITUTE($A434,CHAR(160)," "))</f>
        <v>AC25 0</v>
      </c>
    </row>
    <row r="435" customFormat="false" ht="15" hidden="false" customHeight="false" outlineLevel="0" collapsed="false">
      <c r="A435" s="7" t="s">
        <v>372</v>
      </c>
      <c r="B435" s="7" t="n">
        <v>4415026</v>
      </c>
      <c r="C435" s="7" t="s">
        <v>1210</v>
      </c>
      <c r="D435" s="7" t="str">
        <f aca="false">TRIM(SUBSTITUTE($A435,CHAR(160)," "))</f>
        <v>AC27L 0</v>
      </c>
    </row>
    <row r="436" customFormat="false" ht="15" hidden="false" customHeight="false" outlineLevel="0" collapsed="false">
      <c r="A436" s="7" t="s">
        <v>373</v>
      </c>
      <c r="B436" s="7" t="n">
        <v>4415027</v>
      </c>
      <c r="C436" s="7" t="s">
        <v>1211</v>
      </c>
      <c r="D436" s="7" t="str">
        <f aca="false">TRIM(SUBSTITUTE($A436,CHAR(160)," "))</f>
        <v>AC27R 0</v>
      </c>
    </row>
    <row r="437" customFormat="false" ht="15" hidden="false" customHeight="false" outlineLevel="0" collapsed="false">
      <c r="A437" s="7" t="s">
        <v>499</v>
      </c>
      <c r="B437" s="7" t="n">
        <v>4408249</v>
      </c>
      <c r="C437" s="7" t="s">
        <v>1212</v>
      </c>
      <c r="D437" s="7" t="str">
        <f aca="false">TRIM(SUBSTITUTE($A437,CHAR(160)," "))</f>
        <v>SC25 L</v>
      </c>
    </row>
    <row r="438" customFormat="false" ht="15" hidden="false" customHeight="false" outlineLevel="0" collapsed="false">
      <c r="A438" s="7" t="s">
        <v>500</v>
      </c>
      <c r="B438" s="7" t="n">
        <v>4408248</v>
      </c>
      <c r="C438" s="7" t="s">
        <v>1213</v>
      </c>
      <c r="D438" s="7" t="str">
        <f aca="false">TRIM(SUBSTITUTE($A438,CHAR(160)," "))</f>
        <v>SC25 M</v>
      </c>
    </row>
    <row r="439" customFormat="false" ht="15" hidden="false" customHeight="false" outlineLevel="0" collapsed="false">
      <c r="A439" s="7" t="s">
        <v>1214</v>
      </c>
      <c r="B439" s="7" t="n">
        <v>4408247</v>
      </c>
      <c r="C439" s="7" t="s">
        <v>1215</v>
      </c>
      <c r="D439" s="7" t="str">
        <f aca="false">TRIM(SUBSTITUTE($A439,CHAR(160)," "))</f>
        <v>SC25 S</v>
      </c>
    </row>
    <row r="440" customFormat="false" ht="15" hidden="false" customHeight="false" outlineLevel="0" collapsed="false">
      <c r="A440" s="7" t="s">
        <v>1216</v>
      </c>
      <c r="B440" s="7" t="n">
        <v>4408250</v>
      </c>
      <c r="C440" s="7" t="s">
        <v>1217</v>
      </c>
      <c r="D440" s="7" t="str">
        <f aca="false">TRIM(SUBSTITUTE($A440,CHAR(160)," "))</f>
        <v>SC25 XL</v>
      </c>
    </row>
    <row r="441" customFormat="false" ht="15" hidden="false" customHeight="false" outlineLevel="0" collapsed="false">
      <c r="A441" s="7" t="s">
        <v>501</v>
      </c>
      <c r="B441" s="7" t="n">
        <v>4413422</v>
      </c>
      <c r="C441" s="7" t="s">
        <v>1218</v>
      </c>
      <c r="D441" s="7" t="str">
        <f aca="false">TRIM(SUBSTITUTE($A441,CHAR(160)," "))</f>
        <v>SC35L L</v>
      </c>
    </row>
    <row r="442" customFormat="false" ht="15" hidden="false" customHeight="false" outlineLevel="0" collapsed="false">
      <c r="A442" s="7" t="s">
        <v>1219</v>
      </c>
      <c r="B442" s="7" t="n">
        <v>4413421</v>
      </c>
      <c r="C442" s="7" t="s">
        <v>1220</v>
      </c>
      <c r="D442" s="7" t="str">
        <f aca="false">TRIM(SUBSTITUTE($A442,CHAR(160)," "))</f>
        <v>SC35L M</v>
      </c>
    </row>
    <row r="443" customFormat="false" ht="15" hidden="false" customHeight="false" outlineLevel="0" collapsed="false">
      <c r="A443" s="7" t="s">
        <v>1221</v>
      </c>
      <c r="B443" s="7" t="n">
        <v>4413420</v>
      </c>
      <c r="C443" s="7" t="s">
        <v>1222</v>
      </c>
      <c r="D443" s="7" t="str">
        <f aca="false">TRIM(SUBSTITUTE($A443,CHAR(160)," "))</f>
        <v>SC35L S</v>
      </c>
    </row>
    <row r="444" customFormat="false" ht="15" hidden="false" customHeight="false" outlineLevel="0" collapsed="false">
      <c r="A444" s="7" t="s">
        <v>1223</v>
      </c>
      <c r="B444" s="7" t="n">
        <v>4413423</v>
      </c>
      <c r="C444" s="7" t="s">
        <v>1224</v>
      </c>
      <c r="D444" s="7" t="str">
        <f aca="false">TRIM(SUBSTITUTE($A444,CHAR(160)," "))</f>
        <v>SC35L XL</v>
      </c>
    </row>
    <row r="445" customFormat="false" ht="15" hidden="false" customHeight="false" outlineLevel="0" collapsed="false">
      <c r="A445" s="7" t="s">
        <v>502</v>
      </c>
      <c r="B445" s="7" t="n">
        <v>4413426</v>
      </c>
      <c r="C445" s="7" t="s">
        <v>1225</v>
      </c>
      <c r="D445" s="7" t="str">
        <f aca="false">TRIM(SUBSTITUTE($A445,CHAR(160)," "))</f>
        <v>SC35R L</v>
      </c>
    </row>
    <row r="446" customFormat="false" ht="15" hidden="false" customHeight="false" outlineLevel="0" collapsed="false">
      <c r="A446" s="7" t="s">
        <v>1226</v>
      </c>
      <c r="B446" s="7" t="n">
        <v>4413425</v>
      </c>
      <c r="C446" s="7" t="s">
        <v>1227</v>
      </c>
      <c r="D446" s="7" t="str">
        <f aca="false">TRIM(SUBSTITUTE($A446,CHAR(160)," "))</f>
        <v>SC35R M</v>
      </c>
    </row>
    <row r="447" customFormat="false" ht="15" hidden="false" customHeight="false" outlineLevel="0" collapsed="false">
      <c r="A447" s="7" t="s">
        <v>1228</v>
      </c>
      <c r="B447" s="7" t="n">
        <v>4413424</v>
      </c>
      <c r="C447" s="7" t="s">
        <v>1229</v>
      </c>
      <c r="D447" s="7" t="str">
        <f aca="false">TRIM(SUBSTITUTE($A447,CHAR(160)," "))</f>
        <v>SC35R S</v>
      </c>
    </row>
    <row r="448" customFormat="false" ht="15" hidden="false" customHeight="false" outlineLevel="0" collapsed="false">
      <c r="A448" s="7" t="s">
        <v>1230</v>
      </c>
      <c r="B448" s="7" t="n">
        <v>4413427</v>
      </c>
      <c r="C448" s="7" t="s">
        <v>1231</v>
      </c>
      <c r="D448" s="7" t="str">
        <f aca="false">TRIM(SUBSTITUTE($A448,CHAR(160)," "))</f>
        <v>SC35R XL</v>
      </c>
    </row>
    <row r="449" customFormat="false" ht="15" hidden="false" customHeight="false" outlineLevel="0" collapsed="false">
      <c r="A449" s="7" t="s">
        <v>1232</v>
      </c>
      <c r="B449" s="7" t="n">
        <v>4413417</v>
      </c>
      <c r="C449" s="7" t="s">
        <v>1233</v>
      </c>
      <c r="D449" s="7" t="str">
        <f aca="false">TRIM(SUBSTITUTE($A449,CHAR(160)," "))</f>
        <v>SC39 L</v>
      </c>
    </row>
    <row r="450" customFormat="false" ht="15" hidden="false" customHeight="false" outlineLevel="0" collapsed="false">
      <c r="A450" s="7" t="s">
        <v>503</v>
      </c>
      <c r="B450" s="7" t="n">
        <v>4413416</v>
      </c>
      <c r="C450" s="7" t="s">
        <v>1234</v>
      </c>
      <c r="D450" s="7" t="str">
        <f aca="false">TRIM(SUBSTITUTE($A450,CHAR(160)," "))</f>
        <v>SC39 M</v>
      </c>
    </row>
    <row r="451" customFormat="false" ht="15" hidden="false" customHeight="false" outlineLevel="0" collapsed="false">
      <c r="A451" s="7" t="s">
        <v>504</v>
      </c>
      <c r="B451" s="7" t="n">
        <v>4413415</v>
      </c>
      <c r="C451" s="7" t="s">
        <v>1235</v>
      </c>
      <c r="D451" s="7" t="str">
        <f aca="false">TRIM(SUBSTITUTE($A451,CHAR(160)," "))</f>
        <v>SC39 S</v>
      </c>
    </row>
    <row r="452" customFormat="false" ht="15" hidden="false" customHeight="false" outlineLevel="0" collapsed="false">
      <c r="A452" s="7" t="s">
        <v>1236</v>
      </c>
      <c r="B452" s="7" t="n">
        <v>4413418</v>
      </c>
      <c r="C452" s="7" t="s">
        <v>1237</v>
      </c>
      <c r="D452" s="7" t="str">
        <f aca="false">TRIM(SUBSTITUTE($A452,CHAR(160)," "))</f>
        <v>SC39 XL</v>
      </c>
    </row>
    <row r="453" customFormat="false" ht="15" hidden="false" customHeight="false" outlineLevel="0" collapsed="false">
      <c r="A453" s="7" t="s">
        <v>1238</v>
      </c>
      <c r="B453" s="7" t="n">
        <v>4413419</v>
      </c>
      <c r="C453" s="7" t="s">
        <v>1239</v>
      </c>
      <c r="D453" s="7" t="str">
        <f aca="false">TRIM(SUBSTITUTE($A453,CHAR(160)," "))</f>
        <v>SC39 XXL</v>
      </c>
    </row>
    <row r="454" customFormat="false" ht="15" hidden="false" customHeight="false" outlineLevel="0" collapsed="false">
      <c r="A454" s="7" t="s">
        <v>505</v>
      </c>
      <c r="B454" s="7" t="n">
        <v>4413440</v>
      </c>
      <c r="C454" s="7" t="s">
        <v>1240</v>
      </c>
      <c r="D454" s="7" t="str">
        <f aca="false">TRIM(SUBSTITUTE($A454,CHAR(160)," "))</f>
        <v>SC422 L</v>
      </c>
    </row>
    <row r="455" customFormat="false" ht="15" hidden="false" customHeight="false" outlineLevel="0" collapsed="false">
      <c r="A455" s="7" t="s">
        <v>506</v>
      </c>
      <c r="B455" s="7" t="n">
        <v>4413439</v>
      </c>
      <c r="C455" s="7" t="s">
        <v>1241</v>
      </c>
      <c r="D455" s="7" t="str">
        <f aca="false">TRIM(SUBSTITUTE($A455,CHAR(160)," "))</f>
        <v>SC422 M</v>
      </c>
    </row>
    <row r="456" customFormat="false" ht="15" hidden="false" customHeight="false" outlineLevel="0" collapsed="false">
      <c r="A456" s="7" t="s">
        <v>1242</v>
      </c>
      <c r="B456" s="7" t="n">
        <v>4413441</v>
      </c>
      <c r="C456" s="7" t="s">
        <v>1243</v>
      </c>
      <c r="D456" s="7" t="str">
        <f aca="false">TRIM(SUBSTITUTE($A456,CHAR(160)," "))</f>
        <v>SC422 XL</v>
      </c>
    </row>
    <row r="457" customFormat="false" ht="15" hidden="false" customHeight="false" outlineLevel="0" collapsed="false">
      <c r="A457" s="7" t="s">
        <v>624</v>
      </c>
      <c r="B457" s="7" t="n">
        <v>4413407</v>
      </c>
      <c r="C457" s="7" t="s">
        <v>1244</v>
      </c>
      <c r="D457" s="7" t="str">
        <f aca="false">TRIM(SUBSTITUTE($A457,CHAR(160)," "))</f>
        <v>SC95 L</v>
      </c>
    </row>
    <row r="458" customFormat="false" ht="15" hidden="false" customHeight="false" outlineLevel="0" collapsed="false">
      <c r="A458" s="7" t="s">
        <v>1245</v>
      </c>
      <c r="B458" s="7" t="n">
        <v>4413406</v>
      </c>
      <c r="C458" s="7" t="s">
        <v>1246</v>
      </c>
      <c r="D458" s="7" t="str">
        <f aca="false">TRIM(SUBSTITUTE($A458,CHAR(160)," "))</f>
        <v>SC95 M</v>
      </c>
    </row>
    <row r="459" customFormat="false" ht="15" hidden="false" customHeight="false" outlineLevel="0" collapsed="false">
      <c r="A459" s="7" t="s">
        <v>1247</v>
      </c>
      <c r="B459" s="7" t="n">
        <v>4413408</v>
      </c>
      <c r="C459" s="7" t="s">
        <v>1248</v>
      </c>
      <c r="D459" s="7" t="str">
        <f aca="false">TRIM(SUBSTITUTE($A459,CHAR(160)," "))</f>
        <v>SC95 XL</v>
      </c>
    </row>
    <row r="460" customFormat="false" ht="15" hidden="false" customHeight="false" outlineLevel="0" collapsed="false">
      <c r="A460" s="7" t="s">
        <v>1249</v>
      </c>
      <c r="B460" s="7" t="n">
        <v>4420034</v>
      </c>
      <c r="C460" s="7" t="s">
        <v>1250</v>
      </c>
      <c r="D460" s="7" t="str">
        <f aca="false">TRIM(SUBSTITUTE($A460,CHAR(160)," "))</f>
        <v>381 0</v>
      </c>
    </row>
    <row r="461" customFormat="false" ht="15" hidden="false" customHeight="false" outlineLevel="0" collapsed="false">
      <c r="A461" s="7" t="s">
        <v>465</v>
      </c>
      <c r="B461" s="7" t="n">
        <v>4415299</v>
      </c>
      <c r="C461" s="7" t="s">
        <v>1251</v>
      </c>
      <c r="D461" s="7" t="str">
        <f aca="false">TRIM(SUBSTITUTE($A461,CHAR(160)," "))</f>
        <v>388BR 0</v>
      </c>
    </row>
    <row r="462" customFormat="false" ht="15" hidden="false" customHeight="false" outlineLevel="0" collapsed="false">
      <c r="A462" s="7" t="s">
        <v>464</v>
      </c>
      <c r="B462" s="7" t="n">
        <v>4415298</v>
      </c>
      <c r="C462" s="7" t="s">
        <v>1252</v>
      </c>
      <c r="D462" s="7" t="str">
        <f aca="false">TRIM(SUBSTITUTE($A462,CHAR(160)," "))</f>
        <v>388BL 0</v>
      </c>
    </row>
    <row r="463" customFormat="false" ht="15" hidden="false" customHeight="false" outlineLevel="0" collapsed="false">
      <c r="A463" s="7" t="s">
        <v>346</v>
      </c>
      <c r="B463" s="7" t="n">
        <v>4422000</v>
      </c>
      <c r="C463" s="7" t="s">
        <v>1253</v>
      </c>
      <c r="D463" s="7" t="str">
        <f aca="false">TRIM(SUBSTITUTE($A463,CHAR(160)," "))</f>
        <v>801 0</v>
      </c>
    </row>
    <row r="464" customFormat="false" ht="15" hidden="false" customHeight="false" outlineLevel="0" collapsed="false">
      <c r="A464" s="7" t="s">
        <v>348</v>
      </c>
      <c r="B464" s="7" t="n">
        <v>4422023</v>
      </c>
      <c r="C464" s="7" t="s">
        <v>1254</v>
      </c>
      <c r="D464" s="7" t="str">
        <f aca="false">TRIM(SUBSTITUTE($A464,CHAR(160)," "))</f>
        <v>806CB-C</v>
      </c>
    </row>
    <row r="465" customFormat="false" ht="15" hidden="false" customHeight="false" outlineLevel="0" collapsed="false">
      <c r="A465" s="7" t="s">
        <v>347</v>
      </c>
      <c r="B465" s="7" t="n">
        <v>4422024</v>
      </c>
      <c r="C465" s="7" t="s">
        <v>1255</v>
      </c>
      <c r="D465" s="7" t="str">
        <f aca="false">TRIM(SUBSTITUTE($A465,CHAR(160)," "))</f>
        <v>806CB-B</v>
      </c>
    </row>
    <row r="466" customFormat="false" ht="15" hidden="false" customHeight="false" outlineLevel="0" collapsed="false">
      <c r="A466" s="7" t="s">
        <v>349</v>
      </c>
      <c r="B466" s="7" t="n">
        <v>4422025</v>
      </c>
      <c r="C466" s="7" t="s">
        <v>1256</v>
      </c>
      <c r="D466" s="7" t="str">
        <f aca="false">TRIM(SUBSTITUTE($A466,CHAR(160)," "))</f>
        <v>806CB-GR</v>
      </c>
    </row>
    <row r="467" customFormat="false" ht="15" hidden="false" customHeight="false" outlineLevel="0" collapsed="false">
      <c r="A467" s="7" t="s">
        <v>350</v>
      </c>
      <c r="B467" s="7" t="n">
        <v>4422026</v>
      </c>
      <c r="C467" s="7" t="s">
        <v>1257</v>
      </c>
      <c r="D467" s="7" t="str">
        <f aca="false">TRIM(SUBSTITUTE($A467,CHAR(160)," "))</f>
        <v>806CB-P</v>
      </c>
    </row>
    <row r="468" customFormat="false" ht="15" hidden="false" customHeight="false" outlineLevel="0" collapsed="false">
      <c r="A468" s="7" t="s">
        <v>1258</v>
      </c>
      <c r="B468" s="7" t="n">
        <v>4422032</v>
      </c>
      <c r="C468" s="7" t="s">
        <v>1259</v>
      </c>
      <c r="D468" s="7" t="str">
        <f aca="false">TRIM(SUBSTITUTE($A468,CHAR(160)," "))</f>
        <v>807CB-B</v>
      </c>
    </row>
    <row r="469" customFormat="false" ht="15" hidden="false" customHeight="false" outlineLevel="0" collapsed="false">
      <c r="A469" s="7" t="s">
        <v>1260</v>
      </c>
      <c r="B469" s="7" t="n">
        <v>4422033</v>
      </c>
      <c r="C469" s="7" t="s">
        <v>1261</v>
      </c>
      <c r="D469" s="7" t="str">
        <f aca="false">TRIM(SUBSTITUTE($A469,CHAR(160)," "))</f>
        <v>807CB-BL</v>
      </c>
    </row>
    <row r="470" customFormat="false" ht="15" hidden="false" customHeight="false" outlineLevel="0" collapsed="false">
      <c r="A470" s="7" t="s">
        <v>1262</v>
      </c>
      <c r="B470" s="7" t="n">
        <v>4422031</v>
      </c>
      <c r="C470" s="7" t="s">
        <v>1263</v>
      </c>
      <c r="D470" s="7" t="str">
        <f aca="false">TRIM(SUBSTITUTE($A470,CHAR(160)," "))</f>
        <v>807CB-C</v>
      </c>
    </row>
    <row r="471" customFormat="false" ht="15" hidden="false" customHeight="false" outlineLevel="0" collapsed="false">
      <c r="A471" s="7" t="s">
        <v>1264</v>
      </c>
      <c r="B471" s="7" t="n">
        <v>4422034</v>
      </c>
      <c r="C471" s="7" t="s">
        <v>1265</v>
      </c>
      <c r="D471" s="7" t="str">
        <f aca="false">TRIM(SUBSTITUTE($A471,CHAR(160)," "))</f>
        <v>807CB-P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42"/>
  </cols>
  <sheetData>
    <row r="1" customFormat="false" ht="15" hidden="false" customHeight="false" outlineLevel="0" collapsed="false">
      <c r="A1" s="11" t="s">
        <v>1266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22.35" hidden="false" customHeight="true" outlineLevel="0" collapsed="false">
      <c r="A3" s="5" t="s">
        <v>1267</v>
      </c>
      <c r="B3" s="5"/>
      <c r="C3" s="5"/>
    </row>
    <row r="5" customFormat="false" ht="15" hidden="false" customHeight="false" outlineLevel="0" collapsed="false">
      <c r="A5" s="17" t="s">
        <v>49</v>
      </c>
      <c r="B5" s="17" t="s">
        <v>1268</v>
      </c>
      <c r="C5" s="17" t="s">
        <v>1269</v>
      </c>
    </row>
    <row r="6" customFormat="false" ht="15" hidden="false" customHeight="false" outlineLevel="0" collapsed="false">
      <c r="A6" s="7" t="n">
        <v>4402014</v>
      </c>
      <c r="B6" s="7" t="s">
        <v>1270</v>
      </c>
      <c r="C6" s="7" t="str">
        <f aca="false">TRIM(SUBSTITUTE($B6,CHAR(160)," "))</f>
        <v>BE CARE תחבושת אלסטית 10ס""מ</v>
      </c>
    </row>
    <row r="7" customFormat="false" ht="15" hidden="false" customHeight="false" outlineLevel="0" collapsed="false">
      <c r="A7" s="7" t="n">
        <v>4402012</v>
      </c>
      <c r="B7" s="7" t="s">
        <v>1271</v>
      </c>
      <c r="C7" s="7" t="str">
        <f aca="false">TRIM(SUBSTITUTE($B7,CHAR(160)," "))</f>
        <v>BE CARE תחבושת אלסטית 5 ס""מ</v>
      </c>
    </row>
    <row r="8" customFormat="false" ht="15" hidden="false" customHeight="false" outlineLevel="0" collapsed="false">
      <c r="A8" s="7" t="n">
        <v>4402013</v>
      </c>
      <c r="B8" s="7" t="s">
        <v>1272</v>
      </c>
      <c r="C8" s="7" t="str">
        <f aca="false">TRIM(SUBSTITUTE($B8,CHAR(160)," "))</f>
        <v>BE CARE תחבושת אלסטית 7.5סמ</v>
      </c>
    </row>
    <row r="9" customFormat="false" ht="15" hidden="false" customHeight="false" outlineLevel="0" collapsed="false">
      <c r="A9" s="7" t="n">
        <v>4402015</v>
      </c>
      <c r="B9" s="7" t="s">
        <v>1273</v>
      </c>
      <c r="C9" s="7" t="str">
        <f aca="false">TRIM(SUBSTITUTE($B9,CHAR(160)," "))</f>
        <v>BE CARE CB BEIGE</v>
      </c>
    </row>
    <row r="10" customFormat="false" ht="15" hidden="false" customHeight="false" outlineLevel="0" collapsed="false">
      <c r="A10" s="7" t="n">
        <v>4402016</v>
      </c>
      <c r="B10" s="7" t="s">
        <v>1274</v>
      </c>
      <c r="C10" s="7" t="str">
        <f aca="false">TRIM(SUBSTITUTE($B10,CHAR(160)," "))</f>
        <v>BE CARE CB BLACK</v>
      </c>
    </row>
    <row r="11" customFormat="false" ht="15" hidden="false" customHeight="false" outlineLevel="0" collapsed="false">
      <c r="A11" s="7" t="n">
        <v>4402017</v>
      </c>
      <c r="B11" s="7" t="s">
        <v>1275</v>
      </c>
      <c r="C11" s="7" t="str">
        <f aca="false">TRIM(SUBSTITUTE($B11,CHAR(160)," "))</f>
        <v>BE CARE CB GREEN</v>
      </c>
    </row>
    <row r="12" customFormat="false" ht="15" hidden="false" customHeight="false" outlineLevel="0" collapsed="false">
      <c r="A12" s="7" t="n">
        <v>4402018</v>
      </c>
      <c r="B12" s="7" t="s">
        <v>1276</v>
      </c>
      <c r="C12" s="7" t="str">
        <f aca="false">TRIM(SUBSTITUTE($B12,CHAR(160)," "))</f>
        <v>BE CARE CB PINK</v>
      </c>
    </row>
    <row r="13" customFormat="false" ht="15" hidden="false" customHeight="false" outlineLevel="0" collapsed="false">
      <c r="A13" s="7" t="n">
        <v>4402019</v>
      </c>
      <c r="B13" s="7" t="s">
        <v>1277</v>
      </c>
      <c r="C13" s="7" t="str">
        <f aca="false">TRIM(SUBSTITUTE($B13,CHAR(160)," "))</f>
        <v>BE CARE KT BEIGE</v>
      </c>
    </row>
    <row r="14" customFormat="false" ht="15" hidden="false" customHeight="false" outlineLevel="0" collapsed="false">
      <c r="A14" s="7" t="n">
        <v>4402020</v>
      </c>
      <c r="B14" s="7" t="s">
        <v>1278</v>
      </c>
      <c r="C14" s="7" t="str">
        <f aca="false">TRIM(SUBSTITUTE($B14,CHAR(160)," "))</f>
        <v>BE CARE KT BLACK</v>
      </c>
    </row>
    <row r="15" customFormat="false" ht="15" hidden="false" customHeight="false" outlineLevel="0" collapsed="false">
      <c r="A15" s="7" t="n">
        <v>4402021</v>
      </c>
      <c r="B15" s="7" t="s">
        <v>1279</v>
      </c>
      <c r="C15" s="7" t="str">
        <f aca="false">TRIM(SUBSTITUTE($B15,CHAR(160)," "))</f>
        <v>BE CARE KT BLUE</v>
      </c>
    </row>
    <row r="16" customFormat="false" ht="15" hidden="false" customHeight="false" outlineLevel="0" collapsed="false">
      <c r="A16" s="7" t="n">
        <v>4402022</v>
      </c>
      <c r="B16" s="7" t="s">
        <v>1280</v>
      </c>
      <c r="C16" s="7" t="str">
        <f aca="false">TRIM(SUBSTITUTE($B16,CHAR(160)," "))</f>
        <v>BE CARE KT PINK</v>
      </c>
    </row>
    <row r="17" customFormat="false" ht="15" hidden="false" customHeight="false" outlineLevel="0" collapsed="false">
      <c r="A17" s="7" t="n">
        <v>4420016</v>
      </c>
      <c r="B17" s="7" t="s">
        <v>692</v>
      </c>
      <c r="C17" s="7" t="str">
        <f aca="false">TRIM(SUBSTITUTE($B17,CHAR(160)," "))</f>
        <v>40-רצועת פיקה לברך</v>
      </c>
    </row>
    <row r="18" customFormat="false" ht="15" hidden="false" customHeight="false" outlineLevel="0" collapsed="false">
      <c r="A18" s="7" t="n">
        <v>4420017</v>
      </c>
      <c r="B18" s="7" t="s">
        <v>1281</v>
      </c>
      <c r="C18" s="7" t="str">
        <f aca="false">TRIM(SUBSTITUTE($B18,CHAR(160)," "))</f>
        <v>4022 רצועת ""פיקה""+כרית</v>
      </c>
    </row>
    <row r="19" customFormat="false" ht="15" hidden="false" customHeight="false" outlineLevel="0" collapsed="false">
      <c r="A19" s="7" t="n">
        <v>4413074</v>
      </c>
      <c r="B19" s="7" t="s">
        <v>694</v>
      </c>
      <c r="C19" s="7" t="str">
        <f aca="false">TRIM(SUBSTITUTE($B19,CHAR(160)," "))</f>
        <v>41 XL.מ.ברך מוצלב+ספירלות בצד</v>
      </c>
    </row>
    <row r="20" customFormat="false" ht="15" hidden="false" customHeight="false" outlineLevel="0" collapsed="false">
      <c r="A20" s="7" t="n">
        <v>4413072</v>
      </c>
      <c r="B20" s="7" t="s">
        <v>695</v>
      </c>
      <c r="C20" s="7" t="str">
        <f aca="false">TRIM(SUBSTITUTE($B20,CHAR(160)," "))</f>
        <v>41 Lמ.ברך מוצלב+ספירלות בצדדים</v>
      </c>
    </row>
    <row r="21" customFormat="false" ht="15" hidden="false" customHeight="false" outlineLevel="0" collapsed="false">
      <c r="A21" s="7" t="n">
        <v>4413073</v>
      </c>
      <c r="B21" s="7" t="s">
        <v>696</v>
      </c>
      <c r="C21" s="7" t="str">
        <f aca="false">TRIM(SUBSTITUTE($B21,CHAR(160)," "))</f>
        <v>41 Mמ.ברך מוצלב+ספירלות בצדדים</v>
      </c>
    </row>
    <row r="22" customFormat="false" ht="15" hidden="false" customHeight="false" outlineLevel="0" collapsed="false">
      <c r="A22" s="7" t="n">
        <v>4413071</v>
      </c>
      <c r="B22" s="7" t="s">
        <v>697</v>
      </c>
      <c r="C22" s="7" t="str">
        <f aca="false">TRIM(SUBSTITUTE($B22,CHAR(160)," "))</f>
        <v>41 Sמ.ברך מוצלב+ספירלות בצדדים</v>
      </c>
    </row>
    <row r="23" customFormat="false" ht="15" hidden="false" customHeight="false" outlineLevel="0" collapsed="false">
      <c r="A23" s="7" t="n">
        <v>4413275</v>
      </c>
      <c r="B23" s="7" t="s">
        <v>1282</v>
      </c>
      <c r="C23" s="7" t="str">
        <f aca="false">TRIM(SUBSTITUTE($B23,CHAR(160)," "))</f>
        <v>41 XS מ.ברך מוצלב+מוטות</v>
      </c>
    </row>
    <row r="24" customFormat="false" ht="15" hidden="false" customHeight="false" outlineLevel="0" collapsed="false">
      <c r="A24" s="7" t="n">
        <v>4413075</v>
      </c>
      <c r="B24" s="7" t="s">
        <v>1283</v>
      </c>
      <c r="C24" s="7" t="str">
        <f aca="false">TRIM(SUBSTITUTE($B24,CHAR(160)," "))</f>
        <v>41 XXL.מ.ברך מוצלב+ספירלות בצד</v>
      </c>
    </row>
    <row r="25" customFormat="false" ht="15" hidden="false" customHeight="false" outlineLevel="0" collapsed="false">
      <c r="A25" s="7" t="n">
        <v>4413076</v>
      </c>
      <c r="B25" s="7" t="s">
        <v>699</v>
      </c>
      <c r="C25" s="7" t="str">
        <f aca="false">TRIM(SUBSTITUTE($B25,CHAR(160)," "))</f>
        <v>41X L מגן ברך מוצלב+מוט</v>
      </c>
    </row>
    <row r="26" customFormat="false" ht="15" hidden="false" customHeight="false" outlineLevel="0" collapsed="false">
      <c r="A26" s="7" t="n">
        <v>4413077</v>
      </c>
      <c r="B26" s="7" t="s">
        <v>1284</v>
      </c>
      <c r="C26" s="7" t="str">
        <f aca="false">TRIM(SUBSTITUTE($B26,CHAR(160)," "))</f>
        <v>41X M מגן ברך מוצלב+מוט</v>
      </c>
    </row>
    <row r="27" customFormat="false" ht="15" hidden="false" customHeight="false" outlineLevel="0" collapsed="false">
      <c r="A27" s="7" t="n">
        <v>4413078</v>
      </c>
      <c r="B27" s="7" t="s">
        <v>1285</v>
      </c>
      <c r="C27" s="7" t="str">
        <f aca="false">TRIM(SUBSTITUTE($B27,CHAR(160)," "))</f>
        <v>41X S מגן ברך מוצלב+מוט</v>
      </c>
    </row>
    <row r="28" customFormat="false" ht="15" hidden="false" customHeight="false" outlineLevel="0" collapsed="false">
      <c r="A28" s="7" t="n">
        <v>4413079</v>
      </c>
      <c r="B28" s="7" t="s">
        <v>701</v>
      </c>
      <c r="C28" s="7" t="str">
        <f aca="false">TRIM(SUBSTITUTE($B28,CHAR(160)," "))</f>
        <v>41X XL מגן ברך מוצלב+מוט</v>
      </c>
    </row>
    <row r="29" customFormat="false" ht="15" hidden="false" customHeight="false" outlineLevel="0" collapsed="false">
      <c r="A29" s="7" t="n">
        <v>4413080</v>
      </c>
      <c r="B29" s="7" t="s">
        <v>1286</v>
      </c>
      <c r="C29" s="7" t="str">
        <f aca="false">TRIM(SUBSTITUTE($B29,CHAR(160)," "))</f>
        <v>41X XS מגן ברך מוצלב+מוט</v>
      </c>
    </row>
    <row r="30" customFormat="false" ht="15" hidden="false" customHeight="false" outlineLevel="0" collapsed="false">
      <c r="A30" s="7" t="n">
        <v>4413081</v>
      </c>
      <c r="B30" s="7" t="s">
        <v>1287</v>
      </c>
      <c r="C30" s="7" t="str">
        <f aca="false">TRIM(SUBSTITUTE($B30,CHAR(160)," "))</f>
        <v>41X XXL מגן ברך מוצלב+מוט</v>
      </c>
    </row>
    <row r="31" customFormat="false" ht="15" hidden="false" customHeight="false" outlineLevel="0" collapsed="false">
      <c r="A31" s="7" t="n">
        <v>4413087</v>
      </c>
      <c r="B31" s="7" t="s">
        <v>1288</v>
      </c>
      <c r="C31" s="7" t="str">
        <f aca="false">TRIM(SUBSTITUTE($B31,CHAR(160)," "))</f>
        <v>422 Lמ.ברך+כרית סיל.סביב לפיקה</v>
      </c>
    </row>
    <row r="32" customFormat="false" ht="15" hidden="false" customHeight="false" outlineLevel="0" collapsed="false">
      <c r="A32" s="7" t="n">
        <v>4413088</v>
      </c>
      <c r="B32" s="7" t="s">
        <v>1289</v>
      </c>
      <c r="C32" s="7" t="str">
        <f aca="false">TRIM(SUBSTITUTE($B32,CHAR(160)," "))</f>
        <v>422 Mמ.ברך+כרית סיל.סביב לפיקה</v>
      </c>
    </row>
    <row r="33" customFormat="false" ht="15" hidden="false" customHeight="false" outlineLevel="0" collapsed="false">
      <c r="A33" s="7" t="n">
        <v>4413089</v>
      </c>
      <c r="B33" s="7" t="s">
        <v>703</v>
      </c>
      <c r="C33" s="7" t="str">
        <f aca="false">TRIM(SUBSTITUTE($B33,CHAR(160)," "))</f>
        <v>422 Sמ.ברך+כרית סיל.סביב לפיקה</v>
      </c>
    </row>
    <row r="34" customFormat="false" ht="15" hidden="false" customHeight="false" outlineLevel="0" collapsed="false">
      <c r="A34" s="7" t="n">
        <v>4413090</v>
      </c>
      <c r="B34" s="7" t="s">
        <v>1290</v>
      </c>
      <c r="C34" s="7" t="str">
        <f aca="false">TRIM(SUBSTITUTE($B34,CHAR(160)," "))</f>
        <v>422 XLמ.ברך+כרית סיל.סביב לפיק</v>
      </c>
    </row>
    <row r="35" customFormat="false" ht="15" hidden="false" customHeight="false" outlineLevel="0" collapsed="false">
      <c r="A35" s="7" t="n">
        <v>4413091</v>
      </c>
      <c r="B35" s="7" t="s">
        <v>1291</v>
      </c>
      <c r="C35" s="7" t="str">
        <f aca="false">TRIM(SUBSTITUTE($B35,CHAR(160)," "))</f>
        <v>422 XXLמ.ברך+כרית סיל.סב. פיקה</v>
      </c>
    </row>
    <row r="36" customFormat="false" ht="15" hidden="false" customHeight="false" outlineLevel="0" collapsed="false">
      <c r="A36" s="7" t="n">
        <v>4413083</v>
      </c>
      <c r="B36" s="7" t="s">
        <v>1292</v>
      </c>
      <c r="C36" s="7" t="str">
        <f aca="false">TRIM(SUBSTITUTE($B36,CHAR(160)," "))</f>
        <v>422+ L מ.ברך סיליק.רצועות לבן</v>
      </c>
    </row>
    <row r="37" customFormat="false" ht="15" hidden="false" customHeight="false" outlineLevel="0" collapsed="false">
      <c r="A37" s="7" t="n">
        <v>4413084</v>
      </c>
      <c r="B37" s="7" t="s">
        <v>1293</v>
      </c>
      <c r="C37" s="7" t="str">
        <f aca="false">TRIM(SUBSTITUTE($B37,CHAR(160)," "))</f>
        <v>422+ Mמ.ברך סיל.רצועות חזק לבן</v>
      </c>
    </row>
    <row r="38" customFormat="false" ht="15" hidden="false" customHeight="false" outlineLevel="0" collapsed="false">
      <c r="A38" s="7" t="n">
        <v>4413085</v>
      </c>
      <c r="B38" s="7" t="s">
        <v>1294</v>
      </c>
      <c r="C38" s="7" t="str">
        <f aca="false">TRIM(SUBSTITUTE($B38,CHAR(160)," "))</f>
        <v>422+ XLמ.ברך סיליק.לבן</v>
      </c>
    </row>
    <row r="39" customFormat="false" ht="15" hidden="false" customHeight="false" outlineLevel="0" collapsed="false">
      <c r="A39" s="7" t="n">
        <v>4413086</v>
      </c>
      <c r="B39" s="7" t="s">
        <v>1295</v>
      </c>
      <c r="C39" s="7" t="str">
        <f aca="false">TRIM(SUBSTITUTE($B39,CHAR(160)," "))</f>
        <v>422+ XXLמ.ברך סיל.רצוע.חזק לבן</v>
      </c>
    </row>
    <row r="40" customFormat="false" ht="15" hidden="false" customHeight="false" outlineLevel="0" collapsed="false">
      <c r="A40" s="7" t="n">
        <v>4413279</v>
      </c>
      <c r="B40" s="7" t="s">
        <v>1296</v>
      </c>
      <c r="C40" s="7" t="str">
        <f aca="false">TRIM(SUBSTITUTE($B40,CHAR(160)," "))</f>
        <v>422E L מגן ברך ארוך עם כרית</v>
      </c>
    </row>
    <row r="41" customFormat="false" ht="15" hidden="false" customHeight="false" outlineLevel="0" collapsed="false">
      <c r="A41" s="7" t="n">
        <v>4413280</v>
      </c>
      <c r="B41" s="7" t="s">
        <v>1297</v>
      </c>
      <c r="C41" s="7" t="str">
        <f aca="false">TRIM(SUBSTITUTE($B41,CHAR(160)," "))</f>
        <v>422E M מגן ברך ארוך עם כרית</v>
      </c>
    </row>
    <row r="42" customFormat="false" ht="15" hidden="false" customHeight="false" outlineLevel="0" collapsed="false">
      <c r="A42" s="7" t="n">
        <v>4413281</v>
      </c>
      <c r="B42" s="7" t="s">
        <v>1298</v>
      </c>
      <c r="C42" s="7" t="str">
        <f aca="false">TRIM(SUBSTITUTE($B42,CHAR(160)," "))</f>
        <v>422E S מגן ברך ארוך עם כרית</v>
      </c>
    </row>
    <row r="43" customFormat="false" ht="15" hidden="false" customHeight="false" outlineLevel="0" collapsed="false">
      <c r="A43" s="7" t="n">
        <v>4413282</v>
      </c>
      <c r="B43" s="7" t="s">
        <v>1299</v>
      </c>
      <c r="C43" s="7" t="str">
        <f aca="false">TRIM(SUBSTITUTE($B43,CHAR(160)," "))</f>
        <v>422E XL מגן ברך ארוך עם כרית</v>
      </c>
    </row>
    <row r="44" customFormat="false" ht="15" hidden="false" customHeight="false" outlineLevel="0" collapsed="false">
      <c r="A44" s="7" t="n">
        <v>4413283</v>
      </c>
      <c r="B44" s="7" t="s">
        <v>1300</v>
      </c>
      <c r="C44" s="7" t="str">
        <f aca="false">TRIM(SUBSTITUTE($B44,CHAR(160)," "))</f>
        <v>422E XXL מגן ברך ארוך עם כרית</v>
      </c>
    </row>
    <row r="45" customFormat="false" ht="15" hidden="false" customHeight="false" outlineLevel="0" collapsed="false">
      <c r="A45" s="7" t="n">
        <v>4413284</v>
      </c>
      <c r="B45" s="7" t="s">
        <v>705</v>
      </c>
      <c r="C45" s="7" t="str">
        <f aca="false">TRIM(SUBSTITUTE($B45,CHAR(160)," "))</f>
        <v>422E XXXL מגן ברך ארוך עם כרית</v>
      </c>
    </row>
    <row r="46" customFormat="false" ht="15" hidden="false" customHeight="false" outlineLevel="0" collapsed="false">
      <c r="A46" s="7" t="n">
        <v>4413341</v>
      </c>
      <c r="B46" s="7" t="s">
        <v>1301</v>
      </c>
      <c r="C46" s="7" t="str">
        <f aca="false">TRIM(SUBSTITUTE($B46,CHAR(160)," "))</f>
        <v>422N L מ.ברך אפור+כרית סיליקון</v>
      </c>
    </row>
    <row r="47" customFormat="false" ht="15" hidden="false" customHeight="false" outlineLevel="0" collapsed="false">
      <c r="A47" s="7" t="n">
        <v>4413342</v>
      </c>
      <c r="B47" s="7" t="s">
        <v>1302</v>
      </c>
      <c r="C47" s="7" t="str">
        <f aca="false">TRIM(SUBSTITUTE($B47,CHAR(160)," "))</f>
        <v>422N M מ.ברך אפור+כרית סיליקון</v>
      </c>
    </row>
    <row r="48" customFormat="false" ht="15" hidden="false" customHeight="false" outlineLevel="0" collapsed="false">
      <c r="A48" s="7" t="n">
        <v>4413344</v>
      </c>
      <c r="B48" s="7" t="s">
        <v>1303</v>
      </c>
      <c r="C48" s="7" t="str">
        <f aca="false">TRIM(SUBSTITUTE($B48,CHAR(160)," "))</f>
        <v>422N XLמ.ברך אפור+כרית סיליקון</v>
      </c>
    </row>
    <row r="49" customFormat="false" ht="15" hidden="false" customHeight="false" outlineLevel="0" collapsed="false">
      <c r="A49" s="7" t="n">
        <v>4413345</v>
      </c>
      <c r="B49" s="7" t="s">
        <v>1304</v>
      </c>
      <c r="C49" s="7" t="str">
        <f aca="false">TRIM(SUBSTITUTE($B49,CHAR(160)," "))</f>
        <v>422N XXL.מ.ברך אפור+כרית סיליק</v>
      </c>
    </row>
    <row r="50" customFormat="false" ht="15" hidden="false" customHeight="false" outlineLevel="0" collapsed="false">
      <c r="A50" s="7" t="n">
        <v>4415104</v>
      </c>
      <c r="B50" s="7" t="s">
        <v>1305</v>
      </c>
      <c r="C50" s="7" t="str">
        <f aca="false">TRIM(SUBSTITUTE($B50,CHAR(160)," "))</f>
        <v>44G XL-Lסד ברך לאחר ניתוח</v>
      </c>
    </row>
    <row r="51" customFormat="false" ht="15" hidden="false" customHeight="false" outlineLevel="0" collapsed="false">
      <c r="A51" s="7" t="n">
        <v>4413332</v>
      </c>
      <c r="B51" s="7" t="s">
        <v>706</v>
      </c>
      <c r="C51" s="7" t="str">
        <f aca="false">TRIM(SUBSTITUTE($B51,CHAR(160)," "))</f>
        <v>45 XS מגן ברך רגיל לבן</v>
      </c>
    </row>
    <row r="52" customFormat="false" ht="15" hidden="false" customHeight="false" outlineLevel="0" collapsed="false">
      <c r="A52" s="7" t="n">
        <v>4413092</v>
      </c>
      <c r="B52" s="7" t="s">
        <v>707</v>
      </c>
      <c r="C52" s="7" t="str">
        <f aca="false">TRIM(SUBSTITUTE($B52,CHAR(160)," "))</f>
        <v>45 L מגן ברך לבן</v>
      </c>
    </row>
    <row r="53" customFormat="false" ht="15" hidden="false" customHeight="false" outlineLevel="0" collapsed="false">
      <c r="A53" s="7" t="n">
        <v>4413093</v>
      </c>
      <c r="B53" s="7" t="s">
        <v>708</v>
      </c>
      <c r="C53" s="7" t="str">
        <f aca="false">TRIM(SUBSTITUTE($B53,CHAR(160)," "))</f>
        <v>45 M מגן ברך לבן</v>
      </c>
    </row>
    <row r="54" customFormat="false" ht="15" hidden="false" customHeight="false" outlineLevel="0" collapsed="false">
      <c r="A54" s="7" t="n">
        <v>4413094</v>
      </c>
      <c r="B54" s="7" t="s">
        <v>709</v>
      </c>
      <c r="C54" s="7" t="str">
        <f aca="false">TRIM(SUBSTITUTE($B54,CHAR(160)," "))</f>
        <v>45 S מגן ברך לבן</v>
      </c>
    </row>
    <row r="55" customFormat="false" ht="15" hidden="false" customHeight="false" outlineLevel="0" collapsed="false">
      <c r="A55" s="7" t="n">
        <v>4413095</v>
      </c>
      <c r="B55" s="7" t="s">
        <v>710</v>
      </c>
      <c r="C55" s="7" t="str">
        <f aca="false">TRIM(SUBSTITUTE($B55,CHAR(160)," "))</f>
        <v>45 XL מגן ברך לבן</v>
      </c>
    </row>
    <row r="56" customFormat="false" ht="15" hidden="false" customHeight="false" outlineLevel="0" collapsed="false">
      <c r="A56" s="7" t="n">
        <v>4413096</v>
      </c>
      <c r="B56" s="7" t="s">
        <v>711</v>
      </c>
      <c r="C56" s="7" t="str">
        <f aca="false">TRIM(SUBSTITUTE($B56,CHAR(160)," "))</f>
        <v>45 XXL מגן ברך לבן</v>
      </c>
    </row>
    <row r="57" customFormat="false" ht="15" hidden="false" customHeight="false" outlineLevel="0" collapsed="false">
      <c r="A57" s="7" t="n">
        <v>4413495</v>
      </c>
      <c r="B57" s="7" t="s">
        <v>712</v>
      </c>
      <c r="C57" s="7" t="str">
        <f aca="false">TRIM(SUBSTITUTE($B57,CHAR(160)," "))</f>
        <v>45B L מגן ברך שחור</v>
      </c>
    </row>
    <row r="58" customFormat="false" ht="15" hidden="false" customHeight="false" outlineLevel="0" collapsed="false">
      <c r="A58" s="7" t="n">
        <v>4413497</v>
      </c>
      <c r="B58" s="7" t="s">
        <v>713</v>
      </c>
      <c r="C58" s="7" t="str">
        <f aca="false">TRIM(SUBSTITUTE($B58,CHAR(160)," "))</f>
        <v>45B M מגן ברך שחור</v>
      </c>
    </row>
    <row r="59" customFormat="false" ht="15" hidden="false" customHeight="false" outlineLevel="0" collapsed="false">
      <c r="A59" s="7" t="n">
        <v>4413498</v>
      </c>
      <c r="B59" s="7" t="s">
        <v>714</v>
      </c>
      <c r="C59" s="7" t="str">
        <f aca="false">TRIM(SUBSTITUTE($B59,CHAR(160)," "))</f>
        <v>45B S מגן ברך שחור</v>
      </c>
    </row>
    <row r="60" customFormat="false" ht="15" hidden="false" customHeight="false" outlineLevel="0" collapsed="false">
      <c r="A60" s="7" t="n">
        <v>4413496</v>
      </c>
      <c r="B60" s="7" t="s">
        <v>715</v>
      </c>
      <c r="C60" s="7" t="str">
        <f aca="false">TRIM(SUBSTITUTE($B60,CHAR(160)," "))</f>
        <v>45B XL מגן ברך שחור</v>
      </c>
    </row>
    <row r="61" customFormat="false" ht="15" hidden="false" customHeight="false" outlineLevel="0" collapsed="false">
      <c r="A61" s="7" t="n">
        <v>4413499</v>
      </c>
      <c r="B61" s="7" t="s">
        <v>716</v>
      </c>
      <c r="C61" s="7" t="str">
        <f aca="false">TRIM(SUBSTITUTE($B61,CHAR(160)," "))</f>
        <v>45B XXLמגן ברך שחור</v>
      </c>
    </row>
    <row r="62" customFormat="false" ht="15" hidden="false" customHeight="false" outlineLevel="0" collapsed="false">
      <c r="A62" s="7" t="n">
        <v>4413098</v>
      </c>
      <c r="B62" s="7" t="s">
        <v>717</v>
      </c>
      <c r="C62" s="7" t="str">
        <f aca="false">TRIM(SUBSTITUTE($B62,CHAR(160)," "))</f>
        <v>45C L מגן ברך חום</v>
      </c>
    </row>
    <row r="63" customFormat="false" ht="15" hidden="false" customHeight="false" outlineLevel="0" collapsed="false">
      <c r="A63" s="7" t="n">
        <v>4413099</v>
      </c>
      <c r="B63" s="7" t="s">
        <v>718</v>
      </c>
      <c r="C63" s="7" t="str">
        <f aca="false">TRIM(SUBSTITUTE($B63,CHAR(160)," "))</f>
        <v>45C M מגן ברך חום</v>
      </c>
    </row>
    <row r="64" customFormat="false" ht="15" hidden="false" customHeight="false" outlineLevel="0" collapsed="false">
      <c r="A64" s="7" t="n">
        <v>4413097</v>
      </c>
      <c r="B64" s="7" t="s">
        <v>719</v>
      </c>
      <c r="C64" s="7" t="str">
        <f aca="false">TRIM(SUBSTITUTE($B64,CHAR(160)," "))</f>
        <v>45C S מגן ברך חום</v>
      </c>
    </row>
    <row r="65" customFormat="false" ht="15" hidden="false" customHeight="false" outlineLevel="0" collapsed="false">
      <c r="A65" s="7" t="n">
        <v>4413100</v>
      </c>
      <c r="B65" s="7" t="s">
        <v>720</v>
      </c>
      <c r="C65" s="7" t="str">
        <f aca="false">TRIM(SUBSTITUTE($B65,CHAR(160)," "))</f>
        <v>45C XL מגן ברך חום</v>
      </c>
    </row>
    <row r="66" customFormat="false" ht="15" hidden="false" customHeight="false" outlineLevel="0" collapsed="false">
      <c r="A66" s="7" t="n">
        <v>4413102</v>
      </c>
      <c r="B66" s="7" t="s">
        <v>721</v>
      </c>
      <c r="C66" s="7" t="str">
        <f aca="false">TRIM(SUBSTITUTE($B66,CHAR(160)," "))</f>
        <v>45E L מגן ברך ארוך לבן</v>
      </c>
    </row>
    <row r="67" customFormat="false" ht="15" hidden="false" customHeight="false" outlineLevel="0" collapsed="false">
      <c r="A67" s="7" t="n">
        <v>4413103</v>
      </c>
      <c r="B67" s="7" t="s">
        <v>722</v>
      </c>
      <c r="C67" s="7" t="str">
        <f aca="false">TRIM(SUBSTITUTE($B67,CHAR(160)," "))</f>
        <v>45E Mמגן ברך ארוך לבן</v>
      </c>
    </row>
    <row r="68" customFormat="false" ht="15" hidden="false" customHeight="false" outlineLevel="0" collapsed="false">
      <c r="A68" s="7" t="n">
        <v>4413101</v>
      </c>
      <c r="B68" s="7" t="s">
        <v>723</v>
      </c>
      <c r="C68" s="7" t="str">
        <f aca="false">TRIM(SUBSTITUTE($B68,CHAR(160)," "))</f>
        <v>45E Sמגן ברך ארוך לבן</v>
      </c>
    </row>
    <row r="69" customFormat="false" ht="15" hidden="false" customHeight="false" outlineLevel="0" collapsed="false">
      <c r="A69" s="7" t="n">
        <v>4413104</v>
      </c>
      <c r="B69" s="7" t="s">
        <v>724</v>
      </c>
      <c r="C69" s="7" t="str">
        <f aca="false">TRIM(SUBSTITUTE($B69,CHAR(160)," "))</f>
        <v>45E XLמגן ברך ארוך לבן</v>
      </c>
    </row>
    <row r="70" customFormat="false" ht="15" hidden="false" customHeight="false" outlineLevel="0" collapsed="false">
      <c r="A70" s="7" t="n">
        <v>4413105</v>
      </c>
      <c r="B70" s="7" t="s">
        <v>725</v>
      </c>
      <c r="C70" s="7" t="str">
        <f aca="false">TRIM(SUBSTITUTE($B70,CHAR(160)," "))</f>
        <v>45E XXLמגן ברך ארוך לבן</v>
      </c>
    </row>
    <row r="71" customFormat="false" ht="15" hidden="false" customHeight="false" outlineLevel="0" collapsed="false">
      <c r="A71" s="7" t="n">
        <v>4413396</v>
      </c>
      <c r="B71" s="7" t="s">
        <v>726</v>
      </c>
      <c r="C71" s="7" t="str">
        <f aca="false">TRIM(SUBSTITUTE($B71,CHAR(160)," "))</f>
        <v>45EC L 'מגן ברך ארוך בז</v>
      </c>
    </row>
    <row r="72" customFormat="false" ht="15" hidden="false" customHeight="false" outlineLevel="0" collapsed="false">
      <c r="A72" s="7" t="n">
        <v>4413395</v>
      </c>
      <c r="B72" s="7" t="s">
        <v>727</v>
      </c>
      <c r="C72" s="7" t="str">
        <f aca="false">TRIM(SUBSTITUTE($B72,CHAR(160)," "))</f>
        <v>45EC M 'מגן ברך ארוך בז</v>
      </c>
    </row>
    <row r="73" customFormat="false" ht="15" hidden="false" customHeight="false" outlineLevel="0" collapsed="false">
      <c r="A73" s="7" t="n">
        <v>4413394</v>
      </c>
      <c r="B73" s="7" t="s">
        <v>728</v>
      </c>
      <c r="C73" s="7" t="str">
        <f aca="false">TRIM(SUBSTITUTE($B73,CHAR(160)," "))</f>
        <v>45EC S 'מגן ברך ארוך בז</v>
      </c>
    </row>
    <row r="74" customFormat="false" ht="15" hidden="false" customHeight="false" outlineLevel="0" collapsed="false">
      <c r="A74" s="7" t="n">
        <v>4413397</v>
      </c>
      <c r="B74" s="7" t="s">
        <v>729</v>
      </c>
      <c r="C74" s="7" t="str">
        <f aca="false">TRIM(SUBSTITUTE($B74,CHAR(160)," "))</f>
        <v>45EC XL'מגן ברך ארוך בז</v>
      </c>
    </row>
    <row r="75" customFormat="false" ht="15" hidden="false" customHeight="false" outlineLevel="0" collapsed="false">
      <c r="A75" s="7" t="n">
        <v>4413398</v>
      </c>
      <c r="B75" s="7" t="s">
        <v>731</v>
      </c>
      <c r="C75" s="7" t="str">
        <f aca="false">TRIM(SUBSTITUTE($B75,CHAR(160)," "))</f>
        <v>45EC XXL'מגן ברך ארוך בז</v>
      </c>
    </row>
    <row r="76" customFormat="false" ht="15" hidden="false" customHeight="false" outlineLevel="0" collapsed="false">
      <c r="A76" s="7" t="n">
        <v>4413107</v>
      </c>
      <c r="B76" s="7" t="s">
        <v>733</v>
      </c>
      <c r="C76" s="7" t="str">
        <f aca="false">TRIM(SUBSTITUTE($B76,CHAR(160)," "))</f>
        <v>48 L מגן ברך מחמם</v>
      </c>
    </row>
    <row r="77" customFormat="false" ht="15" hidden="false" customHeight="false" outlineLevel="0" collapsed="false">
      <c r="A77" s="7" t="n">
        <v>4413108</v>
      </c>
      <c r="B77" s="7" t="s">
        <v>735</v>
      </c>
      <c r="C77" s="7" t="str">
        <f aca="false">TRIM(SUBSTITUTE($B77,CHAR(160)," "))</f>
        <v>48 M מגן ברך מחמם</v>
      </c>
    </row>
    <row r="78" customFormat="false" ht="15" hidden="false" customHeight="false" outlineLevel="0" collapsed="false">
      <c r="A78" s="7" t="n">
        <v>4413106</v>
      </c>
      <c r="B78" s="7" t="s">
        <v>1306</v>
      </c>
      <c r="C78" s="7" t="str">
        <f aca="false">TRIM(SUBSTITUTE($B78,CHAR(160)," "))</f>
        <v>48 S מגן ברך מחמם</v>
      </c>
    </row>
    <row r="79" customFormat="false" ht="15" hidden="false" customHeight="false" outlineLevel="0" collapsed="false">
      <c r="A79" s="7" t="n">
        <v>4413109</v>
      </c>
      <c r="B79" s="7" t="s">
        <v>1307</v>
      </c>
      <c r="C79" s="7" t="str">
        <f aca="false">TRIM(SUBSTITUTE($B79,CHAR(160)," "))</f>
        <v>48 XL מגן ברך מחמם</v>
      </c>
    </row>
    <row r="80" customFormat="false" ht="15" hidden="false" customHeight="false" outlineLevel="0" collapsed="false">
      <c r="A80" s="7" t="n">
        <v>4413110</v>
      </c>
      <c r="B80" s="7" t="s">
        <v>1308</v>
      </c>
      <c r="C80" s="7" t="str">
        <f aca="false">TRIM(SUBSTITUTE($B80,CHAR(160)," "))</f>
        <v>48 XXL מגן ברך מחמם</v>
      </c>
    </row>
    <row r="81" customFormat="false" ht="15" hidden="false" customHeight="false" outlineLevel="0" collapsed="false">
      <c r="A81" s="7" t="n">
        <v>4420026</v>
      </c>
      <c r="B81" s="7" t="s">
        <v>736</v>
      </c>
      <c r="C81" s="7" t="str">
        <f aca="false">TRIM(SUBSTITUTE($B81,CHAR(160)," "))</f>
        <v>AC40 רצועה לפיקת הברך</v>
      </c>
    </row>
    <row r="82" customFormat="false" ht="15" hidden="false" customHeight="false" outlineLevel="0" collapsed="false">
      <c r="A82" s="7" t="n">
        <v>4413328</v>
      </c>
      <c r="B82" s="7" t="s">
        <v>737</v>
      </c>
      <c r="C82" s="7" t="str">
        <f aca="false">TRIM(SUBSTITUTE($B82,CHAR(160)," "))</f>
        <v>AC43D מגן ברך + צירים</v>
      </c>
    </row>
    <row r="83" customFormat="false" ht="15" hidden="false" customHeight="false" outlineLevel="0" collapsed="false">
      <c r="A83" s="7" t="n">
        <v>4413329</v>
      </c>
      <c r="B83" s="7" t="s">
        <v>738</v>
      </c>
      <c r="C83" s="7" t="str">
        <f aca="false">TRIM(SUBSTITUTE($B83,CHAR(160)," "))</f>
        <v>AC45X מגן ברך עם תמיכות</v>
      </c>
    </row>
    <row r="84" customFormat="false" ht="15" hidden="false" customHeight="false" outlineLevel="0" collapsed="false">
      <c r="A84" s="7" t="n">
        <v>4402011</v>
      </c>
      <c r="B84" s="7" t="s">
        <v>739</v>
      </c>
      <c r="C84" s="7" t="str">
        <f aca="false">TRIM(SUBSTITUTE($B84,CHAR(160)," "))</f>
        <v>S-XLST422 מגן ברך+כרית ג'ל</v>
      </c>
    </row>
    <row r="85" customFormat="false" ht="15" hidden="false" customHeight="false" outlineLevel="0" collapsed="false">
      <c r="A85" s="7" t="n">
        <v>4413438</v>
      </c>
      <c r="B85" s="7" t="s">
        <v>741</v>
      </c>
      <c r="C85" s="7" t="str">
        <f aca="false">TRIM(SUBSTITUTE($B85,CHAR(160)," "))</f>
        <v>SC422 S מגן ברך</v>
      </c>
    </row>
    <row r="86" customFormat="false" ht="15" hidden="false" customHeight="false" outlineLevel="0" collapsed="false">
      <c r="A86" s="7" t="n">
        <v>4413442</v>
      </c>
      <c r="B86" s="7" t="s">
        <v>743</v>
      </c>
      <c r="C86" s="7" t="str">
        <f aca="false">TRIM(SUBSTITUTE($B86,CHAR(160)," "))</f>
        <v>SC422 XXLמגן ברך</v>
      </c>
    </row>
    <row r="87" customFormat="false" ht="15" hidden="false" customHeight="false" outlineLevel="0" collapsed="false">
      <c r="A87" s="7" t="n">
        <v>4422037</v>
      </c>
      <c r="B87" s="7" t="s">
        <v>744</v>
      </c>
      <c r="C87" s="7" t="str">
        <f aca="false">TRIM(SUBSTITUTE($B87,CHAR(160)," "))</f>
        <v>SH422 1 תומך ברך גנושילד</v>
      </c>
    </row>
    <row r="88" customFormat="false" ht="15" hidden="false" customHeight="false" outlineLevel="0" collapsed="false">
      <c r="A88" s="7" t="n">
        <v>4422038</v>
      </c>
      <c r="B88" s="7" t="s">
        <v>745</v>
      </c>
      <c r="C88" s="7" t="str">
        <f aca="false">TRIM(SUBSTITUTE($B88,CHAR(160)," "))</f>
        <v>SH422 2 תומך ברך גנושילד</v>
      </c>
    </row>
    <row r="89" customFormat="false" ht="15" hidden="false" customHeight="false" outlineLevel="0" collapsed="false">
      <c r="A89" s="7" t="n">
        <v>4422039</v>
      </c>
      <c r="B89" s="7" t="s">
        <v>746</v>
      </c>
      <c r="C89" s="7" t="str">
        <f aca="false">TRIM(SUBSTITUTE($B89,CHAR(160)," "))</f>
        <v>SH422 3 תומך ברך גנושילד</v>
      </c>
    </row>
    <row r="90" customFormat="false" ht="15" hidden="false" customHeight="false" outlineLevel="0" collapsed="false">
      <c r="A90" s="7" t="n">
        <v>4422040</v>
      </c>
      <c r="B90" s="7" t="s">
        <v>747</v>
      </c>
      <c r="C90" s="7" t="str">
        <f aca="false">TRIM(SUBSTITUTE($B90,CHAR(160)," "))</f>
        <v>SH422 4 תומך ברך גנושילד</v>
      </c>
    </row>
    <row r="91" customFormat="false" ht="15" hidden="false" customHeight="false" outlineLevel="0" collapsed="false">
      <c r="A91" s="7" t="n">
        <v>4422041</v>
      </c>
      <c r="B91" s="7" t="s">
        <v>748</v>
      </c>
      <c r="C91" s="7" t="str">
        <f aca="false">TRIM(SUBSTITUTE($B91,CHAR(160)," "))</f>
        <v>SH422 5 תומך ברך גנושילד</v>
      </c>
    </row>
    <row r="92" customFormat="false" ht="15" hidden="false" customHeight="false" outlineLevel="0" collapsed="false">
      <c r="A92" s="7" t="n">
        <v>4422042</v>
      </c>
      <c r="B92" s="7" t="s">
        <v>749</v>
      </c>
      <c r="C92" s="7" t="str">
        <f aca="false">TRIM(SUBSTITUTE($B92,CHAR(160)," "))</f>
        <v>SH422 6 תומך ברך גנושילד</v>
      </c>
    </row>
    <row r="93" customFormat="false" ht="15" hidden="false" customHeight="false" outlineLevel="0" collapsed="false">
      <c r="A93" s="7" t="n">
        <v>4413532</v>
      </c>
      <c r="B93" s="7" t="s">
        <v>750</v>
      </c>
      <c r="C93" s="7" t="str">
        <f aca="false">TRIM(SUBSTITUTE($B93,CHAR(160)," "))</f>
        <v>ST433 H מגן ברך עם ציר</v>
      </c>
    </row>
    <row r="94" customFormat="false" ht="15" hidden="false" customHeight="false" outlineLevel="0" collapsed="false">
      <c r="A94" s="7" t="n">
        <v>4413184</v>
      </c>
      <c r="B94" s="7" t="s">
        <v>751</v>
      </c>
      <c r="C94" s="7" t="str">
        <f aca="false">TRIM(SUBSTITUTE($B94,CHAR(160)," "))</f>
        <v>T 45 L מגן ברך רגיל</v>
      </c>
    </row>
    <row r="95" customFormat="false" ht="15" hidden="false" customHeight="false" outlineLevel="0" collapsed="false">
      <c r="A95" s="7" t="n">
        <v>4413183</v>
      </c>
      <c r="B95" s="7" t="s">
        <v>752</v>
      </c>
      <c r="C95" s="7" t="str">
        <f aca="false">TRIM(SUBSTITUTE($B95,CHAR(160)," "))</f>
        <v>T 45 M מגן ברך רגיל</v>
      </c>
    </row>
    <row r="96" customFormat="false" ht="15" hidden="false" customHeight="false" outlineLevel="0" collapsed="false">
      <c r="A96" s="7" t="n">
        <v>4413185</v>
      </c>
      <c r="B96" s="7" t="s">
        <v>753</v>
      </c>
      <c r="C96" s="7" t="str">
        <f aca="false">TRIM(SUBSTITUTE($B96,CHAR(160)," "))</f>
        <v>T 45XL מגן ברך רגיל</v>
      </c>
    </row>
    <row r="97" customFormat="false" ht="15" hidden="false" customHeight="false" outlineLevel="0" collapsed="false">
      <c r="A97" s="7" t="n">
        <v>4420021</v>
      </c>
      <c r="B97" s="7" t="s">
        <v>1309</v>
      </c>
      <c r="C97" s="7" t="str">
        <f aca="false">TRIM(SUBSTITUTE($B97,CHAR(160)," "))</f>
        <v>T40 רצועת פיקה לברך</v>
      </c>
    </row>
    <row r="98" customFormat="false" ht="15" hidden="false" customHeight="false" outlineLevel="0" collapsed="false">
      <c r="A98" s="7" t="n">
        <v>4413171</v>
      </c>
      <c r="B98" s="7" t="s">
        <v>1310</v>
      </c>
      <c r="C98" s="7" t="str">
        <f aca="false">TRIM(SUBSTITUTE($B98,CHAR(160)," "))</f>
        <v>T402 L מיצב פיקה</v>
      </c>
    </row>
    <row r="99" customFormat="false" ht="15" hidden="false" customHeight="false" outlineLevel="0" collapsed="false">
      <c r="A99" s="7" t="n">
        <v>4413170</v>
      </c>
      <c r="B99" s="7" t="s">
        <v>1311</v>
      </c>
      <c r="C99" s="7" t="str">
        <f aca="false">TRIM(SUBSTITUTE($B99,CHAR(160)," "))</f>
        <v>T402 M מיצב פיקה</v>
      </c>
    </row>
    <row r="100" customFormat="false" ht="15" hidden="false" customHeight="false" outlineLevel="0" collapsed="false">
      <c r="A100" s="7" t="n">
        <v>4413169</v>
      </c>
      <c r="B100" s="7" t="s">
        <v>1312</v>
      </c>
      <c r="C100" s="7" t="str">
        <f aca="false">TRIM(SUBSTITUTE($B100,CHAR(160)," "))</f>
        <v>T402 S מיצב פיקה</v>
      </c>
    </row>
    <row r="101" customFormat="false" ht="15" hidden="false" customHeight="false" outlineLevel="0" collapsed="false">
      <c r="A101" s="7" t="n">
        <v>4413172</v>
      </c>
      <c r="B101" s="7" t="s">
        <v>1313</v>
      </c>
      <c r="C101" s="7" t="str">
        <f aca="false">TRIM(SUBSTITUTE($B101,CHAR(160)," "))</f>
        <v>T402 XL מיצב פיקה</v>
      </c>
    </row>
    <row r="102" customFormat="false" ht="15" hidden="false" customHeight="false" outlineLevel="0" collapsed="false">
      <c r="A102" s="7" t="n">
        <v>4413173</v>
      </c>
      <c r="B102" s="7" t="s">
        <v>1314</v>
      </c>
      <c r="C102" s="7" t="str">
        <f aca="false">TRIM(SUBSTITUTE($B102,CHAR(160)," "))</f>
        <v>T402 XXL מיצב פיקה</v>
      </c>
    </row>
    <row r="103" customFormat="false" ht="15" hidden="false" customHeight="false" outlineLevel="0" collapsed="false">
      <c r="A103" s="7" t="n">
        <v>4420039</v>
      </c>
      <c r="B103" s="7" t="s">
        <v>1315</v>
      </c>
      <c r="C103" s="7" t="str">
        <f aca="false">TRIM(SUBSTITUTE($B103,CHAR(160)," "))</f>
        <v>T40B רצועה לפיקה</v>
      </c>
    </row>
    <row r="104" customFormat="false" ht="15" hidden="false" customHeight="false" outlineLevel="0" collapsed="false">
      <c r="A104" s="7" t="n">
        <v>4413287</v>
      </c>
      <c r="B104" s="7" t="s">
        <v>1316</v>
      </c>
      <c r="C104" s="7" t="str">
        <f aca="false">TRIM(SUBSTITUTE($B104,CHAR(160)," "))</f>
        <v>T43 SKI XXL מגן ברך לסקי</v>
      </c>
    </row>
    <row r="105" customFormat="false" ht="15" hidden="false" customHeight="false" outlineLevel="0" collapsed="false">
      <c r="A105" s="7" t="n">
        <v>4413240</v>
      </c>
      <c r="B105" s="7" t="s">
        <v>1317</v>
      </c>
      <c r="C105" s="7" t="str">
        <f aca="false">TRIM(SUBSTITUTE($B105,CHAR(160)," "))</f>
        <v>T433 XL מגן ברך משופר</v>
      </c>
    </row>
    <row r="106" customFormat="false" ht="15" hidden="false" customHeight="false" outlineLevel="0" collapsed="false">
      <c r="A106" s="7" t="n">
        <v>4413188</v>
      </c>
      <c r="B106" s="7" t="s">
        <v>1318</v>
      </c>
      <c r="C106" s="7" t="str">
        <f aca="false">TRIM(SUBSTITUTE($B106,CHAR(160)," "))</f>
        <v>T43SKI L מגן ברך לסקי</v>
      </c>
    </row>
    <row r="107" customFormat="false" ht="15" hidden="false" customHeight="false" outlineLevel="0" collapsed="false">
      <c r="A107" s="7" t="n">
        <v>4413187</v>
      </c>
      <c r="B107" s="7" t="s">
        <v>1319</v>
      </c>
      <c r="C107" s="7" t="str">
        <f aca="false">TRIM(SUBSTITUTE($B107,CHAR(160)," "))</f>
        <v>T43SKI M מגן ברך לסקי</v>
      </c>
    </row>
    <row r="108" customFormat="false" ht="15" hidden="false" customHeight="false" outlineLevel="0" collapsed="false">
      <c r="A108" s="7" t="n">
        <v>4413189</v>
      </c>
      <c r="B108" s="7" t="s">
        <v>1320</v>
      </c>
      <c r="C108" s="7" t="str">
        <f aca="false">TRIM(SUBSTITUTE($B108,CHAR(160)," "))</f>
        <v>T43SKI XLמגן ברך לסקי</v>
      </c>
    </row>
    <row r="109" customFormat="false" ht="15" hidden="false" customHeight="false" outlineLevel="0" collapsed="false">
      <c r="A109" s="7" t="n">
        <v>4413182</v>
      </c>
      <c r="B109" s="7" t="s">
        <v>754</v>
      </c>
      <c r="C109" s="7" t="str">
        <f aca="false">TRIM(SUBSTITUTE($B109,CHAR(160)," "))</f>
        <v>T45 S מגן ברך רגיל</v>
      </c>
    </row>
    <row r="110" customFormat="false" ht="15" hidden="false" customHeight="false" outlineLevel="0" collapsed="false">
      <c r="A110" s="7" t="n">
        <v>4413286</v>
      </c>
      <c r="B110" s="7" t="s">
        <v>756</v>
      </c>
      <c r="C110" s="7" t="str">
        <f aca="false">TRIM(SUBSTITUTE($B110,CHAR(160)," "))</f>
        <v>T45 XXL מגן ברך רגיל</v>
      </c>
    </row>
    <row r="111" customFormat="false" ht="15" hidden="false" customHeight="false" outlineLevel="0" collapsed="false">
      <c r="A111" s="7" t="n">
        <v>4413260</v>
      </c>
      <c r="B111" s="7" t="s">
        <v>758</v>
      </c>
      <c r="C111" s="7" t="str">
        <f aca="false">TRIM(SUBSTITUTE($B111,CHAR(160)," "))</f>
        <v>T45X-XXLמגן ברך רגיל</v>
      </c>
    </row>
    <row r="112" customFormat="false" ht="15" hidden="false" customHeight="false" outlineLevel="0" collapsed="false">
      <c r="A112" s="7" t="n">
        <v>4413226</v>
      </c>
      <c r="B112" s="7" t="s">
        <v>1321</v>
      </c>
      <c r="C112" s="7" t="str">
        <f aca="false">TRIM(SUBSTITUTE($B112,CHAR(160)," "))</f>
        <v>T45X L מגן ברך רגיל</v>
      </c>
    </row>
    <row r="113" customFormat="false" ht="15" hidden="false" customHeight="false" outlineLevel="0" collapsed="false">
      <c r="A113" s="7" t="n">
        <v>4413225</v>
      </c>
      <c r="B113" s="7" t="s">
        <v>1322</v>
      </c>
      <c r="C113" s="7" t="str">
        <f aca="false">TRIM(SUBSTITUTE($B113,CHAR(160)," "))</f>
        <v>T45X M מגן ברך רגיל</v>
      </c>
    </row>
    <row r="114" customFormat="false" ht="15" hidden="false" customHeight="false" outlineLevel="0" collapsed="false">
      <c r="A114" s="7" t="n">
        <v>4413227</v>
      </c>
      <c r="B114" s="7" t="s">
        <v>1323</v>
      </c>
      <c r="C114" s="7" t="str">
        <f aca="false">TRIM(SUBSTITUTE($B114,CHAR(160)," "))</f>
        <v>T45X S מגן ברך רגיל</v>
      </c>
    </row>
    <row r="115" customFormat="false" ht="15" hidden="false" customHeight="false" outlineLevel="0" collapsed="false">
      <c r="A115" s="7" t="n">
        <v>4413224</v>
      </c>
      <c r="B115" s="7" t="s">
        <v>759</v>
      </c>
      <c r="C115" s="7" t="str">
        <f aca="false">TRIM(SUBSTITUTE($B115,CHAR(160)," "))</f>
        <v>T45X XL מגן ברך רגיל</v>
      </c>
    </row>
    <row r="116" customFormat="false" ht="15" hidden="false" customHeight="false" outlineLevel="0" collapsed="false">
      <c r="A116" s="7" t="n">
        <v>4403011</v>
      </c>
      <c r="B116" s="7" t="s">
        <v>1324</v>
      </c>
      <c r="C116" s="7" t="str">
        <f aca="false">TRIM(SUBSTITUTE($B116,CHAR(160)," "))</f>
        <v>3444 0 גרביים+סיליקון</v>
      </c>
    </row>
    <row r="117" customFormat="false" ht="15" hidden="false" customHeight="false" outlineLevel="0" collapsed="false">
      <c r="A117" s="7" t="n">
        <v>4403040</v>
      </c>
      <c r="B117" s="7" t="s">
        <v>760</v>
      </c>
      <c r="C117" s="7" t="str">
        <f aca="false">TRIM(SUBSTITUTE($B117,CHAR(160)," "))</f>
        <v>3444B גרבי ג'ל לריכוך עור העקב</v>
      </c>
    </row>
    <row r="118" customFormat="false" ht="15" hidden="false" customHeight="false" outlineLevel="0" collapsed="false">
      <c r="A118" s="7" t="n">
        <v>4403027</v>
      </c>
      <c r="B118" s="7" t="s">
        <v>1325</v>
      </c>
      <c r="C118" s="7" t="str">
        <f aca="false">TRIM(SUBSTITUTE($B118,CHAR(160)," "))</f>
        <v>3445Wתתגרב לבן סיליקון טיפ יום</v>
      </c>
    </row>
    <row r="119" customFormat="false" ht="15" hidden="false" customHeight="false" outlineLevel="0" collapsed="false">
      <c r="A119" s="7" t="n">
        <v>4403001</v>
      </c>
      <c r="B119" s="7" t="s">
        <v>761</v>
      </c>
      <c r="C119" s="7" t="str">
        <f aca="false">TRIM(SUBSTITUTE($B119,CHAR(160)," "))</f>
        <v>390B 39-42.גרב.כסף לסכרתיים שח</v>
      </c>
    </row>
    <row r="120" customFormat="false" ht="15" hidden="false" customHeight="false" outlineLevel="0" collapsed="false">
      <c r="A120" s="7" t="n">
        <v>4403002</v>
      </c>
      <c r="B120" s="7" t="s">
        <v>762</v>
      </c>
      <c r="C120" s="7" t="str">
        <f aca="false">TRIM(SUBSTITUTE($B120,CHAR(160)," "))</f>
        <v>390B 43-46.גרב.כסף לסכרתיים שח</v>
      </c>
    </row>
    <row r="121" customFormat="false" ht="15" hidden="false" customHeight="false" outlineLevel="0" collapsed="false">
      <c r="A121" s="7" t="n">
        <v>4403000</v>
      </c>
      <c r="B121" s="7" t="s">
        <v>764</v>
      </c>
      <c r="C121" s="7" t="str">
        <f aca="false">TRIM(SUBSTITUTE($B121,CHAR(160)," "))</f>
        <v>390B גרב.כסף לסכרתים שחור35-38</v>
      </c>
    </row>
    <row r="122" customFormat="false" ht="15" hidden="false" customHeight="false" outlineLevel="0" collapsed="false">
      <c r="A122" s="7" t="n">
        <v>4403004</v>
      </c>
      <c r="B122" s="7" t="s">
        <v>1326</v>
      </c>
      <c r="C122" s="7" t="str">
        <f aca="false">TRIM(SUBSTITUTE($B122,CHAR(160)," "))</f>
        <v>390G 39-42.גרב.כסף לסכרתיים אפ</v>
      </c>
    </row>
    <row r="123" customFormat="false" ht="15" hidden="false" customHeight="false" outlineLevel="0" collapsed="false">
      <c r="A123" s="7" t="n">
        <v>4403003</v>
      </c>
      <c r="B123" s="7" t="s">
        <v>766</v>
      </c>
      <c r="C123" s="7" t="str">
        <f aca="false">TRIM(SUBSTITUTE($B123,CHAR(160)," "))</f>
        <v>390G ג.כסף לסכרתיים אפור35-38</v>
      </c>
    </row>
    <row r="124" customFormat="false" ht="15" hidden="false" customHeight="false" outlineLevel="0" collapsed="false">
      <c r="A124" s="7" t="n">
        <v>4403006</v>
      </c>
      <c r="B124" s="7" t="s">
        <v>767</v>
      </c>
      <c r="C124" s="7" t="str">
        <f aca="false">TRIM(SUBSTITUTE($B124,CHAR(160)," "))</f>
        <v>390W גרב כסף לסכרתיים לבן35-38</v>
      </c>
    </row>
    <row r="125" customFormat="false" ht="15" hidden="false" customHeight="false" outlineLevel="0" collapsed="false">
      <c r="A125" s="7" t="n">
        <v>4403007</v>
      </c>
      <c r="B125" s="7" t="s">
        <v>769</v>
      </c>
      <c r="C125" s="7" t="str">
        <f aca="false">TRIM(SUBSTITUTE($B125,CHAR(160)," "))</f>
        <v>390W גרב.כסף לסכרתיים לבן39-42</v>
      </c>
    </row>
    <row r="126" customFormat="false" ht="15" hidden="false" customHeight="false" outlineLevel="0" collapsed="false">
      <c r="A126" s="7" t="n">
        <v>4403008</v>
      </c>
      <c r="B126" s="7" t="s">
        <v>770</v>
      </c>
      <c r="C126" s="7" t="str">
        <f aca="false">TRIM(SUBSTITUTE($B126,CHAR(160)," "))</f>
        <v>390W גרב.כסף לסכרתיים לבן43-46</v>
      </c>
    </row>
    <row r="127" customFormat="false" ht="15" hidden="false" customHeight="false" outlineLevel="0" collapsed="false">
      <c r="A127" s="7" t="n">
        <v>4403017</v>
      </c>
      <c r="B127" s="7" t="s">
        <v>771</v>
      </c>
      <c r="C127" s="7" t="str">
        <f aca="false">TRIM(SUBSTITUTE($B127,CHAR(160)," "))</f>
        <v>394B גרב.כסף לסכרתים שחור35-38</v>
      </c>
    </row>
    <row r="128" customFormat="false" ht="15" hidden="false" customHeight="false" outlineLevel="0" collapsed="false">
      <c r="A128" s="7" t="n">
        <v>4403018</v>
      </c>
      <c r="B128" s="7" t="s">
        <v>772</v>
      </c>
      <c r="C128" s="7" t="str">
        <f aca="false">TRIM(SUBSTITUTE($B128,CHAR(160)," "))</f>
        <v>394B גרב.כסף לסכרתים שחור39-42</v>
      </c>
    </row>
    <row r="129" customFormat="false" ht="15" hidden="false" customHeight="false" outlineLevel="0" collapsed="false">
      <c r="A129" s="7" t="n">
        <v>4403019</v>
      </c>
      <c r="B129" s="7" t="s">
        <v>773</v>
      </c>
      <c r="C129" s="7" t="str">
        <f aca="false">TRIM(SUBSTITUTE($B129,CHAR(160)," "))</f>
        <v>394B גרב.כסף לסכרתים שחור43-46</v>
      </c>
    </row>
    <row r="130" customFormat="false" ht="15" hidden="false" customHeight="false" outlineLevel="0" collapsed="false">
      <c r="A130" s="7" t="n">
        <v>4403020</v>
      </c>
      <c r="B130" s="7" t="s">
        <v>1327</v>
      </c>
      <c r="C130" s="7" t="str">
        <f aca="false">TRIM(SUBSTITUTE($B130,CHAR(160)," "))</f>
        <v>394G גרב.כסף לסכרתים אפור35-38</v>
      </c>
    </row>
    <row r="131" customFormat="false" ht="15" hidden="false" customHeight="false" outlineLevel="0" collapsed="false">
      <c r="A131" s="7" t="n">
        <v>4403021</v>
      </c>
      <c r="B131" s="7" t="s">
        <v>1328</v>
      </c>
      <c r="C131" s="7" t="str">
        <f aca="false">TRIM(SUBSTITUTE($B131,CHAR(160)," "))</f>
        <v>394G גרב.כסף לסכרתים אפור39-42</v>
      </c>
    </row>
    <row r="132" customFormat="false" ht="15" hidden="false" customHeight="false" outlineLevel="0" collapsed="false">
      <c r="A132" s="7" t="n">
        <v>4403022</v>
      </c>
      <c r="B132" s="7" t="s">
        <v>1329</v>
      </c>
      <c r="C132" s="7" t="str">
        <f aca="false">TRIM(SUBSTITUTE($B132,CHAR(160)," "))</f>
        <v>394G גרב.כסף לסכרתים אפור43-46</v>
      </c>
    </row>
    <row r="133" customFormat="false" ht="15" hidden="false" customHeight="false" outlineLevel="0" collapsed="false">
      <c r="A133" s="7" t="n">
        <v>4403023</v>
      </c>
      <c r="B133" s="7" t="s">
        <v>775</v>
      </c>
      <c r="C133" s="7" t="str">
        <f aca="false">TRIM(SUBSTITUTE($B133,CHAR(160)," "))</f>
        <v>394W 35-38 גרב.כסף לסכרתים לבן</v>
      </c>
    </row>
    <row r="134" customFormat="false" ht="15" hidden="false" customHeight="false" outlineLevel="0" collapsed="false">
      <c r="A134" s="7" t="n">
        <v>4403024</v>
      </c>
      <c r="B134" s="7" t="s">
        <v>777</v>
      </c>
      <c r="C134" s="7" t="str">
        <f aca="false">TRIM(SUBSTITUTE($B134,CHAR(160)," "))</f>
        <v>394W 39-42 גרב.כסף לסכרתים לבן</v>
      </c>
    </row>
    <row r="135" customFormat="false" ht="15" hidden="false" customHeight="false" outlineLevel="0" collapsed="false">
      <c r="A135" s="7" t="n">
        <v>4403025</v>
      </c>
      <c r="B135" s="7" t="s">
        <v>779</v>
      </c>
      <c r="C135" s="7" t="str">
        <f aca="false">TRIM(SUBSTITUTE($B135,CHAR(160)," "))</f>
        <v>394W 43-46 גרב.כסף לסכרתים לבן</v>
      </c>
    </row>
    <row r="136" customFormat="false" ht="15" hidden="false" customHeight="false" outlineLevel="0" collapsed="false">
      <c r="A136" s="7" t="n">
        <v>4403044</v>
      </c>
      <c r="B136" s="7" t="s">
        <v>780</v>
      </c>
      <c r="C136" s="7" t="str">
        <f aca="false">TRIM(SUBSTITUTE($B136,CHAR(160)," "))</f>
        <v>395B גרבי קיץ אנטי בקטריא39-42</v>
      </c>
    </row>
    <row r="137" customFormat="false" ht="15" hidden="false" customHeight="false" outlineLevel="0" collapsed="false">
      <c r="A137" s="7" t="n">
        <v>4403045</v>
      </c>
      <c r="B137" s="7" t="s">
        <v>781</v>
      </c>
      <c r="C137" s="7" t="str">
        <f aca="false">TRIM(SUBSTITUTE($B137,CHAR(160)," "))</f>
        <v>395B גרבי קיץ אנטי בקטריא43-46</v>
      </c>
    </row>
    <row r="138" customFormat="false" ht="15" hidden="false" customHeight="false" outlineLevel="0" collapsed="false">
      <c r="A138" s="7" t="n">
        <v>4403031</v>
      </c>
      <c r="B138" s="7" t="s">
        <v>1330</v>
      </c>
      <c r="C138" s="7" t="str">
        <f aca="false">TRIM(SUBSTITUTE($B138,CHAR(160)," "))</f>
        <v>396-35-38 גרביים טרמיות</v>
      </c>
    </row>
    <row r="139" customFormat="false" ht="15" hidden="false" customHeight="false" outlineLevel="0" collapsed="false">
      <c r="A139" s="7" t="n">
        <v>4403032</v>
      </c>
      <c r="B139" s="7" t="s">
        <v>1331</v>
      </c>
      <c r="C139" s="7" t="str">
        <f aca="false">TRIM(SUBSTITUTE($B139,CHAR(160)," "))</f>
        <v>396-39-42 גרביים טרמיות</v>
      </c>
    </row>
    <row r="140" customFormat="false" ht="15" hidden="false" customHeight="false" outlineLevel="0" collapsed="false">
      <c r="A140" s="7" t="n">
        <v>4403028</v>
      </c>
      <c r="B140" s="7" t="s">
        <v>1332</v>
      </c>
      <c r="C140" s="7" t="str">
        <f aca="false">TRIM(SUBSTITUTE($B140,CHAR(160)," "))</f>
        <v>397 35-38 גרבי טיסה מידה</v>
      </c>
    </row>
    <row r="141" customFormat="false" ht="15" hidden="false" customHeight="false" outlineLevel="0" collapsed="false">
      <c r="A141" s="7" t="n">
        <v>4403029</v>
      </c>
      <c r="B141" s="7" t="s">
        <v>782</v>
      </c>
      <c r="C141" s="7" t="str">
        <f aca="false">TRIM(SUBSTITUTE($B141,CHAR(160)," "))</f>
        <v>397 39-42 גרבי טיסה מידה</v>
      </c>
    </row>
    <row r="142" customFormat="false" ht="15" hidden="false" customHeight="false" outlineLevel="0" collapsed="false">
      <c r="A142" s="7" t="n">
        <v>4403030</v>
      </c>
      <c r="B142" s="7" t="s">
        <v>1333</v>
      </c>
      <c r="C142" s="7" t="str">
        <f aca="false">TRIM(SUBSTITUTE($B142,CHAR(160)," "))</f>
        <v>397 43-46 גרבי טיסה מידה</v>
      </c>
    </row>
    <row r="143" customFormat="false" ht="15" hidden="false" customHeight="false" outlineLevel="0" collapsed="false">
      <c r="A143" s="7" t="n">
        <v>4403041</v>
      </c>
      <c r="B143" s="7" t="s">
        <v>783</v>
      </c>
      <c r="C143" s="7" t="str">
        <f aca="false">TRIM(SUBSTITUTE($B143,CHAR(160)," "))</f>
        <v>397A-גרבי טיסה אנטי בקטרי35-38</v>
      </c>
    </row>
    <row r="144" customFormat="false" ht="15" hidden="false" customHeight="false" outlineLevel="0" collapsed="false">
      <c r="A144" s="7" t="n">
        <v>4403042</v>
      </c>
      <c r="B144" s="7" t="s">
        <v>784</v>
      </c>
      <c r="C144" s="7" t="str">
        <f aca="false">TRIM(SUBSTITUTE($B144,CHAR(160)," "))</f>
        <v>397A-גרבי טיסה אנטי בקטרי39-42</v>
      </c>
    </row>
    <row r="145" customFormat="false" ht="15" hidden="false" customHeight="false" outlineLevel="0" collapsed="false">
      <c r="A145" s="7" t="n">
        <v>4403043</v>
      </c>
      <c r="B145" s="7" t="s">
        <v>785</v>
      </c>
      <c r="C145" s="7" t="str">
        <f aca="false">TRIM(SUBSTITUTE($B145,CHAR(160)," "))</f>
        <v>397A-גרבי טיסה אנטי בקטרי43-46</v>
      </c>
    </row>
    <row r="146" customFormat="false" ht="15" hidden="false" customHeight="false" outlineLevel="0" collapsed="false">
      <c r="A146" s="7" t="n">
        <v>4403005</v>
      </c>
      <c r="B146" s="7" t="s">
        <v>786</v>
      </c>
      <c r="C146" s="7" t="str">
        <f aca="false">TRIM(SUBSTITUTE($B146,CHAR(160)," "))</f>
        <v>G390.43-46 גרבי כסף לסכרת מידה</v>
      </c>
    </row>
    <row r="147" customFormat="false" ht="15" hidden="false" customHeight="false" outlineLevel="0" collapsed="false">
      <c r="A147" s="7" t="n">
        <v>4403034</v>
      </c>
      <c r="B147" s="7" t="s">
        <v>787</v>
      </c>
      <c r="C147" s="7" t="str">
        <f aca="false">TRIM(SUBSTITUTE($B147,CHAR(160)," "))</f>
        <v>ST3555 S-Mגרב לילה לטיפ.בדורבן</v>
      </c>
    </row>
    <row r="148" customFormat="false" ht="15" hidden="false" customHeight="false" outlineLevel="0" collapsed="false">
      <c r="A148" s="7" t="n">
        <v>4403035</v>
      </c>
      <c r="B148" s="7" t="s">
        <v>788</v>
      </c>
      <c r="C148" s="7" t="str">
        <f aca="false">TRIM(SUBSTITUTE($B148,CHAR(160)," "))</f>
        <v>ST3555L-XLגרב לילה לטיפ.בדורבן</v>
      </c>
    </row>
    <row r="149" customFormat="false" ht="15" hidden="false" customHeight="false" outlineLevel="0" collapsed="false">
      <c r="A149" s="7" t="n">
        <v>4408002</v>
      </c>
      <c r="B149" s="7" t="s">
        <v>1334</v>
      </c>
      <c r="C149" s="7" t="str">
        <f aca="false">TRIM(SUBSTITUTE($B149,CHAR(160)," "))</f>
        <v>06 L ""ח.גב קלה ""מיקדו</v>
      </c>
    </row>
    <row r="150" customFormat="false" ht="15" hidden="false" customHeight="false" outlineLevel="0" collapsed="false">
      <c r="A150" s="7" t="n">
        <v>4408003</v>
      </c>
      <c r="B150" s="7" t="s">
        <v>1335</v>
      </c>
      <c r="C150" s="7" t="str">
        <f aca="false">TRIM(SUBSTITUTE($B150,CHAR(160)," "))</f>
        <v>06 M ""ח.גב קלה ""מיקדו</v>
      </c>
    </row>
    <row r="151" customFormat="false" ht="15" hidden="false" customHeight="false" outlineLevel="0" collapsed="false">
      <c r="A151" s="7" t="n">
        <v>4408000</v>
      </c>
      <c r="B151" s="7" t="s">
        <v>1336</v>
      </c>
      <c r="C151" s="7" t="str">
        <f aca="false">TRIM(SUBSTITUTE($B151,CHAR(160)," "))</f>
        <v>06 S ""ח.גב קלה ""מיקדו</v>
      </c>
    </row>
    <row r="152" customFormat="false" ht="15" hidden="false" customHeight="false" outlineLevel="0" collapsed="false">
      <c r="A152" s="7" t="n">
        <v>4408004</v>
      </c>
      <c r="B152" s="7" t="s">
        <v>1337</v>
      </c>
      <c r="C152" s="7" t="str">
        <f aca="false">TRIM(SUBSTITUTE($B152,CHAR(160)," "))</f>
        <v>06 XL ""ח.גב קלה ""מיקדו</v>
      </c>
    </row>
    <row r="153" customFormat="false" ht="15" hidden="false" customHeight="false" outlineLevel="0" collapsed="false">
      <c r="A153" s="7" t="n">
        <v>4408005</v>
      </c>
      <c r="B153" s="7" t="s">
        <v>1338</v>
      </c>
      <c r="C153" s="7" t="str">
        <f aca="false">TRIM(SUBSTITUTE($B153,CHAR(160)," "))</f>
        <v>06 XXL ""ח.גב קלה ""מיקדו</v>
      </c>
    </row>
    <row r="154" customFormat="false" ht="15" hidden="false" customHeight="false" outlineLevel="0" collapsed="false">
      <c r="A154" s="7" t="n">
        <v>4408121</v>
      </c>
      <c r="B154" s="7" t="s">
        <v>1339</v>
      </c>
      <c r="C154" s="7" t="str">
        <f aca="false">TRIM(SUBSTITUTE($B154,CHAR(160)," "))</f>
        <v>06U XXL ח.בטן מותנית צר</v>
      </c>
    </row>
    <row r="155" customFormat="false" ht="15" hidden="false" customHeight="false" outlineLevel="0" collapsed="false">
      <c r="A155" s="7" t="n">
        <v>4408119</v>
      </c>
      <c r="B155" s="7" t="s">
        <v>790</v>
      </c>
      <c r="C155" s="7" t="str">
        <f aca="false">TRIM(SUBSTITUTE($B155,CHAR(160)," "))</f>
        <v>06U L ח.בטן מותנית צר</v>
      </c>
    </row>
    <row r="156" customFormat="false" ht="15" hidden="false" customHeight="false" outlineLevel="0" collapsed="false">
      <c r="A156" s="7" t="n">
        <v>4408118</v>
      </c>
      <c r="B156" s="7" t="s">
        <v>1340</v>
      </c>
      <c r="C156" s="7" t="str">
        <f aca="false">TRIM(SUBSTITUTE($B156,CHAR(160)," "))</f>
        <v>06U M ח.בטן מותנית צר</v>
      </c>
    </row>
    <row r="157" customFormat="false" ht="15" hidden="false" customHeight="false" outlineLevel="0" collapsed="false">
      <c r="A157" s="7" t="n">
        <v>4408120</v>
      </c>
      <c r="B157" s="7" t="s">
        <v>792</v>
      </c>
      <c r="C157" s="7" t="str">
        <f aca="false">TRIM(SUBSTITUTE($B157,CHAR(160)," "))</f>
        <v>06U XL ח.בטן מותנית צר</v>
      </c>
    </row>
    <row r="158" customFormat="false" ht="15" hidden="false" customHeight="false" outlineLevel="0" collapsed="false">
      <c r="A158" s="7" t="n">
        <v>4408140</v>
      </c>
      <c r="B158" s="7" t="s">
        <v>1341</v>
      </c>
      <c r="C158" s="7" t="str">
        <f aca="false">TRIM(SUBSTITUTE($B158,CHAR(160)," "))</f>
        <v>06W S חגורת גב לנשים</v>
      </c>
    </row>
    <row r="159" customFormat="false" ht="15" hidden="false" customHeight="false" outlineLevel="0" collapsed="false">
      <c r="A159" s="7" t="n">
        <v>4408245</v>
      </c>
      <c r="B159" s="7" t="s">
        <v>793</v>
      </c>
      <c r="C159" s="7" t="str">
        <f aca="false">TRIM(SUBSTITUTE($B159,CHAR(160)," "))</f>
        <v>077A XXL חגורת גב עם חיזוקים</v>
      </c>
    </row>
    <row r="160" customFormat="false" ht="15" hidden="false" customHeight="false" outlineLevel="0" collapsed="false">
      <c r="A160" s="7" t="n">
        <v>4408135</v>
      </c>
      <c r="B160" s="7" t="s">
        <v>794</v>
      </c>
      <c r="C160" s="7" t="str">
        <f aca="false">TRIM(SUBSTITUTE($B160,CHAR(160)," "))</f>
        <v>077A L-XLחגורת גב</v>
      </c>
    </row>
    <row r="161" customFormat="false" ht="15" hidden="false" customHeight="false" outlineLevel="0" collapsed="false">
      <c r="A161" s="7" t="n">
        <v>4408134</v>
      </c>
      <c r="B161" s="7" t="s">
        <v>795</v>
      </c>
      <c r="C161" s="7" t="str">
        <f aca="false">TRIM(SUBSTITUTE($B161,CHAR(160)," "))</f>
        <v>077A S-M חגורת גב</v>
      </c>
    </row>
    <row r="162" customFormat="false" ht="15" hidden="false" customHeight="false" outlineLevel="0" collapsed="false">
      <c r="A162" s="7" t="n">
        <v>4408192</v>
      </c>
      <c r="B162" s="7" t="s">
        <v>796</v>
      </c>
      <c r="C162" s="7" t="str">
        <f aca="false">TRIM(SUBSTITUTE($B162,CHAR(160)," "))</f>
        <v>078 L חגורת גב +סגירה</v>
      </c>
    </row>
    <row r="163" customFormat="false" ht="15" hidden="false" customHeight="false" outlineLevel="0" collapsed="false">
      <c r="A163" s="7" t="n">
        <v>4408233</v>
      </c>
      <c r="B163" s="7" t="s">
        <v>1342</v>
      </c>
      <c r="C163" s="7" t="str">
        <f aca="false">TRIM(SUBSTITUTE($B163,CHAR(160)," "))</f>
        <v>078C L'חגורת גב+סגירה כפו בז</v>
      </c>
    </row>
    <row r="164" customFormat="false" ht="15" hidden="false" customHeight="false" outlineLevel="0" collapsed="false">
      <c r="A164" s="7" t="n">
        <v>4408234</v>
      </c>
      <c r="B164" s="7" t="s">
        <v>1343</v>
      </c>
      <c r="C164" s="7" t="str">
        <f aca="false">TRIM(SUBSTITUTE($B164,CHAR(160)," "))</f>
        <v>078C M'חגורת גב+סגירה כפו בז</v>
      </c>
    </row>
    <row r="165" customFormat="false" ht="15" hidden="false" customHeight="false" outlineLevel="0" collapsed="false">
      <c r="A165" s="7" t="n">
        <v>4408235</v>
      </c>
      <c r="B165" s="7" t="s">
        <v>1344</v>
      </c>
      <c r="C165" s="7" t="str">
        <f aca="false">TRIM(SUBSTITUTE($B165,CHAR(160)," "))</f>
        <v>078C S'חגורת גב+סגירה כפו בז</v>
      </c>
    </row>
    <row r="166" customFormat="false" ht="15" hidden="false" customHeight="false" outlineLevel="0" collapsed="false">
      <c r="A166" s="7" t="n">
        <v>4408236</v>
      </c>
      <c r="B166" s="7" t="s">
        <v>1345</v>
      </c>
      <c r="C166" s="7" t="str">
        <f aca="false">TRIM(SUBSTITUTE($B166,CHAR(160)," "))</f>
        <v>078C XLתתחגורת גב+סגירה כפו בז</v>
      </c>
    </row>
    <row r="167" customFormat="false" ht="15" hidden="false" customHeight="false" outlineLevel="0" collapsed="false">
      <c r="A167" s="7" t="n">
        <v>4408237</v>
      </c>
      <c r="B167" s="7" t="s">
        <v>1346</v>
      </c>
      <c r="C167" s="7" t="str">
        <f aca="false">TRIM(SUBSTITUTE($B167,CHAR(160)," "))</f>
        <v>078C XXL 'חג.גב+סגירה כפו בז</v>
      </c>
    </row>
    <row r="168" customFormat="false" ht="15" hidden="false" customHeight="false" outlineLevel="0" collapsed="false">
      <c r="A168" s="7" t="n">
        <v>4408221</v>
      </c>
      <c r="B168" s="7" t="s">
        <v>797</v>
      </c>
      <c r="C168" s="7" t="str">
        <f aca="false">TRIM(SUBSTITUTE($B168,CHAR(160)," "))</f>
        <v>078G-L חגורת גב אפורה</v>
      </c>
    </row>
    <row r="169" customFormat="false" ht="15" hidden="false" customHeight="false" outlineLevel="0" collapsed="false">
      <c r="A169" s="7" t="n">
        <v>4408220</v>
      </c>
      <c r="B169" s="7" t="s">
        <v>798</v>
      </c>
      <c r="C169" s="7" t="str">
        <f aca="false">TRIM(SUBSTITUTE($B169,CHAR(160)," "))</f>
        <v>078G-M חגורת גב אפורה</v>
      </c>
    </row>
    <row r="170" customFormat="false" ht="15" hidden="false" customHeight="false" outlineLevel="0" collapsed="false">
      <c r="A170" s="7" t="n">
        <v>4408219</v>
      </c>
      <c r="B170" s="7" t="s">
        <v>799</v>
      </c>
      <c r="C170" s="7" t="str">
        <f aca="false">TRIM(SUBSTITUTE($B170,CHAR(160)," "))</f>
        <v>078G-S חגורת גב אפורה</v>
      </c>
    </row>
    <row r="171" customFormat="false" ht="15" hidden="false" customHeight="false" outlineLevel="0" collapsed="false">
      <c r="A171" s="7" t="n">
        <v>4408222</v>
      </c>
      <c r="B171" s="7" t="s">
        <v>800</v>
      </c>
      <c r="C171" s="7" t="str">
        <f aca="false">TRIM(SUBSTITUTE($B171,CHAR(160)," "))</f>
        <v>078G-XLחגורת גב אפורה</v>
      </c>
    </row>
    <row r="172" customFormat="false" ht="15" hidden="false" customHeight="false" outlineLevel="0" collapsed="false">
      <c r="A172" s="7" t="n">
        <v>4408223</v>
      </c>
      <c r="B172" s="7" t="s">
        <v>801</v>
      </c>
      <c r="C172" s="7" t="str">
        <f aca="false">TRIM(SUBSTITUTE($B172,CHAR(160)," "))</f>
        <v>078G-XXLחגורת גב אפורה</v>
      </c>
    </row>
    <row r="173" customFormat="false" ht="15" hidden="false" customHeight="false" outlineLevel="0" collapsed="false">
      <c r="A173" s="7" t="n">
        <v>4408218</v>
      </c>
      <c r="B173" s="7" t="s">
        <v>802</v>
      </c>
      <c r="C173" s="7" t="str">
        <f aca="false">TRIM(SUBSTITUTE($B173,CHAR(160)," "))</f>
        <v>078XL חגורת גב +סגירה כפולה</v>
      </c>
    </row>
    <row r="174" customFormat="false" ht="15" hidden="false" customHeight="false" outlineLevel="0" collapsed="false">
      <c r="A174" s="7" t="n">
        <v>4408265</v>
      </c>
      <c r="B174" s="7" t="s">
        <v>803</v>
      </c>
      <c r="C174" s="7" t="str">
        <f aca="false">TRIM(SUBSTITUTE($B174,CHAR(160)," "))</f>
        <v>078XXL חגורת גב +סגירה כפולה</v>
      </c>
    </row>
    <row r="175" customFormat="false" ht="15" hidden="false" customHeight="false" outlineLevel="0" collapsed="false">
      <c r="A175" s="7" t="n">
        <v>4408011</v>
      </c>
      <c r="B175" s="7" t="s">
        <v>1347</v>
      </c>
      <c r="C175" s="7" t="str">
        <f aca="false">TRIM(SUBSTITUTE($B175,CHAR(160)," "))</f>
        <v>079 M ח.גב סג.כפולה שחור+אדום</v>
      </c>
    </row>
    <row r="176" customFormat="false" ht="15" hidden="false" customHeight="false" outlineLevel="0" collapsed="false">
      <c r="A176" s="7" t="n">
        <v>4408010</v>
      </c>
      <c r="B176" s="7" t="s">
        <v>1348</v>
      </c>
      <c r="C176" s="7" t="str">
        <f aca="false">TRIM(SUBSTITUTE($B176,CHAR(160)," "))</f>
        <v>079 L ח.גב סג.כפולה שחור+אדום</v>
      </c>
    </row>
    <row r="177" customFormat="false" ht="15" hidden="false" customHeight="false" outlineLevel="0" collapsed="false">
      <c r="A177" s="7" t="n">
        <v>4408009</v>
      </c>
      <c r="B177" s="7" t="s">
        <v>1349</v>
      </c>
      <c r="C177" s="7" t="str">
        <f aca="false">TRIM(SUBSTITUTE($B177,CHAR(160)," "))</f>
        <v>079 S ח.גב סג. כפולה שחור+אדום</v>
      </c>
    </row>
    <row r="178" customFormat="false" ht="15" hidden="false" customHeight="false" outlineLevel="0" collapsed="false">
      <c r="A178" s="7" t="n">
        <v>4408012</v>
      </c>
      <c r="B178" s="7" t="s">
        <v>1350</v>
      </c>
      <c r="C178" s="7" t="str">
        <f aca="false">TRIM(SUBSTITUTE($B178,CHAR(160)," "))</f>
        <v>079 XL ח.גב סג.כפולה שחור+אדום</v>
      </c>
    </row>
    <row r="179" customFormat="false" ht="15" hidden="false" customHeight="false" outlineLevel="0" collapsed="false">
      <c r="A179" s="7" t="n">
        <v>4408013</v>
      </c>
      <c r="B179" s="7" t="s">
        <v>1351</v>
      </c>
      <c r="C179" s="7" t="str">
        <f aca="false">TRIM(SUBSTITUTE($B179,CHAR(160)," "))</f>
        <v>079 XXLח.גב סג.כפולה שחור+אדום</v>
      </c>
    </row>
    <row r="180" customFormat="false" ht="15" hidden="false" customHeight="false" outlineLevel="0" collapsed="false">
      <c r="A180" s="7" t="n">
        <v>4408015</v>
      </c>
      <c r="B180" s="7" t="s">
        <v>1352</v>
      </c>
      <c r="C180" s="7" t="str">
        <f aca="false">TRIM(SUBSTITUTE($B180,CHAR(160)," "))</f>
        <v>07AU L ח.גב ""איטלקית"" אורירית</v>
      </c>
    </row>
    <row r="181" customFormat="false" ht="15" hidden="false" customHeight="false" outlineLevel="0" collapsed="false">
      <c r="A181" s="7" t="n">
        <v>4408016</v>
      </c>
      <c r="B181" s="7" t="s">
        <v>1353</v>
      </c>
      <c r="C181" s="7" t="str">
        <f aca="false">TRIM(SUBSTITUTE($B181,CHAR(160)," "))</f>
        <v>07AU M ח.גב ""איטלקית"" אורירית</v>
      </c>
    </row>
    <row r="182" customFormat="false" ht="15" hidden="false" customHeight="false" outlineLevel="0" collapsed="false">
      <c r="A182" s="7" t="n">
        <v>4408014</v>
      </c>
      <c r="B182" s="7" t="s">
        <v>1354</v>
      </c>
      <c r="C182" s="7" t="str">
        <f aca="false">TRIM(SUBSTITUTE($B182,CHAR(160)," "))</f>
        <v>07AU S ח.גב ""איטלקית"" אורירית</v>
      </c>
    </row>
    <row r="183" customFormat="false" ht="15" hidden="false" customHeight="false" outlineLevel="0" collapsed="false">
      <c r="A183" s="7" t="n">
        <v>4408017</v>
      </c>
      <c r="B183" s="7" t="s">
        <v>1355</v>
      </c>
      <c r="C183" s="7" t="str">
        <f aca="false">TRIM(SUBSTITUTE($B183,CHAR(160)," "))</f>
        <v>07AU XL ח.גב ""איטלקית"" אורירית</v>
      </c>
    </row>
    <row r="184" customFormat="false" ht="15" hidden="false" customHeight="false" outlineLevel="0" collapsed="false">
      <c r="A184" s="7" t="n">
        <v>4408018</v>
      </c>
      <c r="B184" s="7" t="s">
        <v>1356</v>
      </c>
      <c r="C184" s="7" t="str">
        <f aca="false">TRIM(SUBSTITUTE($B184,CHAR(160)," "))</f>
        <v>07AU XXL.ח.גב ""איטלקית"" אוריר</v>
      </c>
    </row>
    <row r="185" customFormat="false" ht="15" hidden="false" customHeight="false" outlineLevel="0" collapsed="false">
      <c r="A185" s="7" t="n">
        <v>4408024</v>
      </c>
      <c r="B185" s="7" t="s">
        <v>1357</v>
      </c>
      <c r="C185" s="7" t="str">
        <f aca="false">TRIM(SUBSTITUTE($B185,CHAR(160)," "))</f>
        <v>07UC L-XLח.גב אמר+סגירה כפ.חום</v>
      </c>
    </row>
    <row r="186" customFormat="false" ht="15" hidden="false" customHeight="false" outlineLevel="0" collapsed="false">
      <c r="A186" s="7" t="n">
        <v>4408027</v>
      </c>
      <c r="B186" s="7" t="s">
        <v>1358</v>
      </c>
      <c r="C186" s="7" t="str">
        <f aca="false">TRIM(SUBSTITUTE($B186,CHAR(160)," "))</f>
        <v>10 L ""חגורת גב ""לומבו</v>
      </c>
    </row>
    <row r="187" customFormat="false" ht="15" hidden="false" customHeight="false" outlineLevel="0" collapsed="false">
      <c r="A187" s="7" t="n">
        <v>4408028</v>
      </c>
      <c r="B187" s="7" t="s">
        <v>1359</v>
      </c>
      <c r="C187" s="7" t="str">
        <f aca="false">TRIM(SUBSTITUTE($B187,CHAR(160)," "))</f>
        <v>10 M ""חגורת גב ""לומבו</v>
      </c>
    </row>
    <row r="188" customFormat="false" ht="15" hidden="false" customHeight="false" outlineLevel="0" collapsed="false">
      <c r="A188" s="7" t="n">
        <v>4408026</v>
      </c>
      <c r="B188" s="7" t="s">
        <v>1360</v>
      </c>
      <c r="C188" s="7" t="str">
        <f aca="false">TRIM(SUBSTITUTE($B188,CHAR(160)," "))</f>
        <v>10 S ""חגורת גב ""לומבו</v>
      </c>
    </row>
    <row r="189" customFormat="false" ht="15" hidden="false" customHeight="false" outlineLevel="0" collapsed="false">
      <c r="A189" s="7" t="n">
        <v>4408029</v>
      </c>
      <c r="B189" s="7" t="s">
        <v>1361</v>
      </c>
      <c r="C189" s="7" t="str">
        <f aca="false">TRIM(SUBSTITUTE($B189,CHAR(160)," "))</f>
        <v>10 XL ""חגורת גב ""לומבו</v>
      </c>
    </row>
    <row r="190" customFormat="false" ht="15" hidden="false" customHeight="false" outlineLevel="0" collapsed="false">
      <c r="A190" s="7" t="n">
        <v>4408030</v>
      </c>
      <c r="B190" s="7" t="s">
        <v>1362</v>
      </c>
      <c r="C190" s="7" t="str">
        <f aca="false">TRIM(SUBSTITUTE($B190,CHAR(160)," "))</f>
        <v>10 XXL""חגורת גב ""לומבו</v>
      </c>
    </row>
    <row r="191" customFormat="false" ht="15" hidden="false" customHeight="false" outlineLevel="0" collapsed="false">
      <c r="A191" s="7" t="n">
        <v>4408032</v>
      </c>
      <c r="B191" s="7" t="s">
        <v>1363</v>
      </c>
      <c r="C191" s="7" t="str">
        <f aca="false">TRIM(SUBSTITUTE($B191,CHAR(160)," "))</f>
        <v>11 L""חגורת בטן""אורירית</v>
      </c>
    </row>
    <row r="192" customFormat="false" ht="15" hidden="false" customHeight="false" outlineLevel="0" collapsed="false">
      <c r="A192" s="7" t="n">
        <v>4408033</v>
      </c>
      <c r="B192" s="7" t="s">
        <v>1364</v>
      </c>
      <c r="C192" s="7" t="str">
        <f aca="false">TRIM(SUBSTITUTE($B192,CHAR(160)," "))</f>
        <v>11 M""חגורת בטן""אורירית</v>
      </c>
    </row>
    <row r="193" customFormat="false" ht="15" hidden="false" customHeight="false" outlineLevel="0" collapsed="false">
      <c r="A193" s="7" t="n">
        <v>4408031</v>
      </c>
      <c r="B193" s="7" t="s">
        <v>1365</v>
      </c>
      <c r="C193" s="7" t="str">
        <f aca="false">TRIM(SUBSTITUTE($B193,CHAR(160)," "))</f>
        <v>11 S""חגורת בטן""אורירית</v>
      </c>
    </row>
    <row r="194" customFormat="false" ht="15" hidden="false" customHeight="false" outlineLevel="0" collapsed="false">
      <c r="A194" s="7" t="n">
        <v>4408034</v>
      </c>
      <c r="B194" s="7" t="s">
        <v>1366</v>
      </c>
      <c r="C194" s="7" t="str">
        <f aca="false">TRIM(SUBSTITUTE($B194,CHAR(160)," "))</f>
        <v>11 XL""חגורת בטן""אורירית</v>
      </c>
    </row>
    <row r="195" customFormat="false" ht="15" hidden="false" customHeight="false" outlineLevel="0" collapsed="false">
      <c r="A195" s="7" t="n">
        <v>4408175</v>
      </c>
      <c r="B195" s="7" t="s">
        <v>1367</v>
      </c>
      <c r="C195" s="7" t="str">
        <f aca="false">TRIM(SUBSTITUTE($B195,CHAR(160)," "))</f>
        <v>11 XS חגורת בטן</v>
      </c>
    </row>
    <row r="196" customFormat="false" ht="15" hidden="false" customHeight="false" outlineLevel="0" collapsed="false">
      <c r="A196" s="7" t="n">
        <v>4408035</v>
      </c>
      <c r="B196" s="7" t="s">
        <v>1368</v>
      </c>
      <c r="C196" s="7" t="str">
        <f aca="false">TRIM(SUBSTITUTE($B196,CHAR(160)," "))</f>
        <v>11 XXL""חגורת בטן""אורירית</v>
      </c>
    </row>
    <row r="197" customFormat="false" ht="15" hidden="false" customHeight="false" outlineLevel="0" collapsed="false">
      <c r="A197" s="7" t="n">
        <v>4408115</v>
      </c>
      <c r="B197" s="7" t="s">
        <v>817</v>
      </c>
      <c r="C197" s="7" t="str">
        <f aca="false">TRIM(SUBSTITUTE($B197,CHAR(160)," "))</f>
        <v>11EU L ח.בטן לאחר ניתוח</v>
      </c>
    </row>
    <row r="198" customFormat="false" ht="15" hidden="false" customHeight="false" outlineLevel="0" collapsed="false">
      <c r="A198" s="7" t="n">
        <v>4408114</v>
      </c>
      <c r="B198" s="7" t="s">
        <v>818</v>
      </c>
      <c r="C198" s="7" t="str">
        <f aca="false">TRIM(SUBSTITUTE($B198,CHAR(160)," "))</f>
        <v>11EU M ח.בטן לאחר ניתוח</v>
      </c>
    </row>
    <row r="199" customFormat="false" ht="15" hidden="false" customHeight="false" outlineLevel="0" collapsed="false">
      <c r="A199" s="7" t="n">
        <v>4408113</v>
      </c>
      <c r="B199" s="7" t="s">
        <v>1369</v>
      </c>
      <c r="C199" s="7" t="str">
        <f aca="false">TRIM(SUBSTITUTE($B199,CHAR(160)," "))</f>
        <v>11EU S ח.בטן לאחר ניתוח</v>
      </c>
    </row>
    <row r="200" customFormat="false" ht="15" hidden="false" customHeight="false" outlineLevel="0" collapsed="false">
      <c r="A200" s="7" t="n">
        <v>4408116</v>
      </c>
      <c r="B200" s="7" t="s">
        <v>819</v>
      </c>
      <c r="C200" s="7" t="str">
        <f aca="false">TRIM(SUBSTITUTE($B200,CHAR(160)," "))</f>
        <v>11EU XLח.בטן לאחר ניתוח</v>
      </c>
    </row>
    <row r="201" customFormat="false" ht="15" hidden="false" customHeight="false" outlineLevel="0" collapsed="false">
      <c r="A201" s="7" t="n">
        <v>4408132</v>
      </c>
      <c r="B201" s="7" t="s">
        <v>820</v>
      </c>
      <c r="C201" s="7" t="str">
        <f aca="false">TRIM(SUBSTITUTE($B201,CHAR(160)," "))</f>
        <v>11EU XXL חגורת בטןלאחר ניתוח</v>
      </c>
    </row>
    <row r="202" customFormat="false" ht="15" hidden="false" customHeight="false" outlineLevel="0" collapsed="false">
      <c r="A202" s="7" t="n">
        <v>4408147</v>
      </c>
      <c r="B202" s="7" t="s">
        <v>821</v>
      </c>
      <c r="C202" s="7" t="str">
        <f aca="false">TRIM(SUBSTITUTE($B202,CHAR(160)," "))</f>
        <v>11PS Lחגורה למנותחי בטן</v>
      </c>
    </row>
    <row r="203" customFormat="false" ht="15" hidden="false" customHeight="false" outlineLevel="0" collapsed="false">
      <c r="A203" s="7" t="n">
        <v>4408146</v>
      </c>
      <c r="B203" s="7" t="s">
        <v>1370</v>
      </c>
      <c r="C203" s="7" t="str">
        <f aca="false">TRIM(SUBSTITUTE($B203,CHAR(160)," "))</f>
        <v>11PS Mחגורה למנותחי בטן</v>
      </c>
    </row>
    <row r="204" customFormat="false" ht="15" hidden="false" customHeight="false" outlineLevel="0" collapsed="false">
      <c r="A204" s="7" t="n">
        <v>4408145</v>
      </c>
      <c r="B204" s="7" t="s">
        <v>822</v>
      </c>
      <c r="C204" s="7" t="str">
        <f aca="false">TRIM(SUBSTITUTE($B204,CHAR(160)," "))</f>
        <v>11PS Sחגורה למנותחי בטן</v>
      </c>
    </row>
    <row r="205" customFormat="false" ht="15" hidden="false" customHeight="false" outlineLevel="0" collapsed="false">
      <c r="A205" s="7" t="n">
        <v>4408148</v>
      </c>
      <c r="B205" s="7" t="s">
        <v>823</v>
      </c>
      <c r="C205" s="7" t="str">
        <f aca="false">TRIM(SUBSTITUTE($B205,CHAR(160)," "))</f>
        <v>11PS XLחגורה למנותחי בטן</v>
      </c>
    </row>
    <row r="206" customFormat="false" ht="15" hidden="false" customHeight="false" outlineLevel="0" collapsed="false">
      <c r="A206" s="7" t="n">
        <v>4408149</v>
      </c>
      <c r="B206" s="7" t="s">
        <v>824</v>
      </c>
      <c r="C206" s="7" t="str">
        <f aca="false">TRIM(SUBSTITUTE($B206,CHAR(160)," "))</f>
        <v>11PS XXLחגורה למנותחי בטן</v>
      </c>
    </row>
    <row r="207" customFormat="false" ht="15" hidden="false" customHeight="false" outlineLevel="0" collapsed="false">
      <c r="A207" s="7" t="n">
        <v>4408261</v>
      </c>
      <c r="B207" s="7" t="s">
        <v>825</v>
      </c>
      <c r="C207" s="7" t="str">
        <f aca="false">TRIM(SUBSTITUTE($B207,CHAR(160)," "))</f>
        <v>11STO L חגורה אחרי ניתוח</v>
      </c>
    </row>
    <row r="208" customFormat="false" ht="15" hidden="false" customHeight="false" outlineLevel="0" collapsed="false">
      <c r="A208" s="7" t="n">
        <v>4408260</v>
      </c>
      <c r="B208" s="7" t="s">
        <v>826</v>
      </c>
      <c r="C208" s="7" t="str">
        <f aca="false">TRIM(SUBSTITUTE($B208,CHAR(160)," "))</f>
        <v>11STO M חגורה אחרי ניתוח</v>
      </c>
    </row>
    <row r="209" customFormat="false" ht="15" hidden="false" customHeight="false" outlineLevel="0" collapsed="false">
      <c r="A209" s="7" t="n">
        <v>4408259</v>
      </c>
      <c r="B209" s="7" t="s">
        <v>827</v>
      </c>
      <c r="C209" s="7" t="str">
        <f aca="false">TRIM(SUBSTITUTE($B209,CHAR(160)," "))</f>
        <v>11STO S חגורה אחרי ניתוח</v>
      </c>
    </row>
    <row r="210" customFormat="false" ht="15" hidden="false" customHeight="false" outlineLevel="0" collapsed="false">
      <c r="A210" s="7" t="n">
        <v>4408262</v>
      </c>
      <c r="B210" s="7" t="s">
        <v>828</v>
      </c>
      <c r="C210" s="7" t="str">
        <f aca="false">TRIM(SUBSTITUTE($B210,CHAR(160)," "))</f>
        <v>11STO XL חגורה אחרי ניתוח</v>
      </c>
    </row>
    <row r="211" customFormat="false" ht="15" hidden="false" customHeight="false" outlineLevel="0" collapsed="false">
      <c r="A211" s="7" t="n">
        <v>4408263</v>
      </c>
      <c r="B211" s="7" t="s">
        <v>829</v>
      </c>
      <c r="C211" s="7" t="str">
        <f aca="false">TRIM(SUBSTITUTE($B211,CHAR(160)," "))</f>
        <v>11STO XXL חגורה אחרי ניתוח</v>
      </c>
    </row>
    <row r="212" customFormat="false" ht="15" hidden="false" customHeight="false" outlineLevel="0" collapsed="false">
      <c r="A212" s="7" t="n">
        <v>4408152</v>
      </c>
      <c r="B212" s="7" t="s">
        <v>831</v>
      </c>
      <c r="C212" s="7" t="str">
        <f aca="false">TRIM(SUBSTITUTE($B212,CHAR(160)," "))</f>
        <v>11TO L חגורה למנותחי בית החזה</v>
      </c>
    </row>
    <row r="213" customFormat="false" ht="15" hidden="false" customHeight="false" outlineLevel="0" collapsed="false">
      <c r="A213" s="7" t="n">
        <v>4408151</v>
      </c>
      <c r="B213" s="7" t="s">
        <v>833</v>
      </c>
      <c r="C213" s="7" t="str">
        <f aca="false">TRIM(SUBSTITUTE($B213,CHAR(160)," "))</f>
        <v>11TO M חגורה למנותחי בית החזה</v>
      </c>
    </row>
    <row r="214" customFormat="false" ht="15" hidden="false" customHeight="false" outlineLevel="0" collapsed="false">
      <c r="A214" s="7" t="n">
        <v>4408150</v>
      </c>
      <c r="B214" s="7" t="s">
        <v>835</v>
      </c>
      <c r="C214" s="7" t="str">
        <f aca="false">TRIM(SUBSTITUTE($B214,CHAR(160)," "))</f>
        <v>11TO S חגורה למנותחי בית החזה</v>
      </c>
    </row>
    <row r="215" customFormat="false" ht="15" hidden="false" customHeight="false" outlineLevel="0" collapsed="false">
      <c r="A215" s="7" t="n">
        <v>4408153</v>
      </c>
      <c r="B215" s="7" t="s">
        <v>837</v>
      </c>
      <c r="C215" s="7" t="str">
        <f aca="false">TRIM(SUBSTITUTE($B215,CHAR(160)," "))</f>
        <v>11TO XLחגורה למנותחי בית החזה</v>
      </c>
    </row>
    <row r="216" customFormat="false" ht="15" hidden="false" customHeight="false" outlineLevel="0" collapsed="false">
      <c r="A216" s="7" t="n">
        <v>4408154</v>
      </c>
      <c r="B216" s="7" t="s">
        <v>839</v>
      </c>
      <c r="C216" s="7" t="str">
        <f aca="false">TRIM(SUBSTITUTE($B216,CHAR(160)," "))</f>
        <v>11TO XXLחגורה למנותחי בית החזה</v>
      </c>
    </row>
    <row r="217" customFormat="false" ht="15" hidden="false" customHeight="false" outlineLevel="0" collapsed="false">
      <c r="A217" s="7" t="n">
        <v>4408100</v>
      </c>
      <c r="B217" s="7" t="s">
        <v>1371</v>
      </c>
      <c r="C217" s="7" t="str">
        <f aca="false">TRIM(SUBSTITUTE($B217,CHAR(160)," "))</f>
        <v>11U Lחגורת בטן וחזה אחרי ניתוח</v>
      </c>
    </row>
    <row r="218" customFormat="false" ht="15" hidden="false" customHeight="false" outlineLevel="0" collapsed="false">
      <c r="A218" s="7" t="n">
        <v>4408101</v>
      </c>
      <c r="B218" s="7" t="s">
        <v>1372</v>
      </c>
      <c r="C218" s="7" t="str">
        <f aca="false">TRIM(SUBSTITUTE($B218,CHAR(160)," "))</f>
        <v>11U Mחגורת בטן וחזה אחרי ניתוח</v>
      </c>
    </row>
    <row r="219" customFormat="false" ht="15" hidden="false" customHeight="false" outlineLevel="0" collapsed="false">
      <c r="A219" s="7" t="n">
        <v>4408103</v>
      </c>
      <c r="B219" s="7" t="s">
        <v>1373</v>
      </c>
      <c r="C219" s="7" t="str">
        <f aca="false">TRIM(SUBSTITUTE($B219,CHAR(160)," "))</f>
        <v>11U XL ח.בטן לאחר ניתוח קלה</v>
      </c>
    </row>
    <row r="220" customFormat="false" ht="15" hidden="false" customHeight="false" outlineLevel="0" collapsed="false">
      <c r="A220" s="7" t="n">
        <v>4408239</v>
      </c>
      <c r="B220" s="7" t="s">
        <v>1374</v>
      </c>
      <c r="C220" s="7" t="str">
        <f aca="false">TRIM(SUBSTITUTE($B220,CHAR(160)," "))</f>
        <v>11UC'M'תתחגורת בטן עממית בז</v>
      </c>
    </row>
    <row r="221" customFormat="false" ht="15" hidden="false" customHeight="false" outlineLevel="0" collapsed="false">
      <c r="A221" s="7" t="n">
        <v>4408240</v>
      </c>
      <c r="B221" s="7" t="s">
        <v>1375</v>
      </c>
      <c r="C221" s="7" t="str">
        <f aca="false">TRIM(SUBSTITUTE($B221,CHAR(160)," "))</f>
        <v>11UC S'תתחגורת בטן עממית בז</v>
      </c>
    </row>
    <row r="222" customFormat="false" ht="15" hidden="false" customHeight="false" outlineLevel="0" collapsed="false">
      <c r="A222" s="7" t="n">
        <v>4408241</v>
      </c>
      <c r="B222" s="7" t="s">
        <v>1376</v>
      </c>
      <c r="C222" s="7" t="str">
        <f aca="false">TRIM(SUBSTITUTE($B222,CHAR(160)," "))</f>
        <v>11UC XL 'תתחגורת בטן עממ.בז</v>
      </c>
    </row>
    <row r="223" customFormat="false" ht="15" hidden="false" customHeight="false" outlineLevel="0" collapsed="false">
      <c r="A223" s="7" t="n">
        <v>4408037</v>
      </c>
      <c r="B223" s="7" t="s">
        <v>1377</v>
      </c>
      <c r="C223" s="7" t="str">
        <f aca="false">TRIM(SUBSTITUTE($B223,CHAR(160)," "))</f>
        <v>12 L ח.גב מגנטית+מוטות תמיכה</v>
      </c>
    </row>
    <row r="224" customFormat="false" ht="15" hidden="false" customHeight="false" outlineLevel="0" collapsed="false">
      <c r="A224" s="7" t="n">
        <v>4408038</v>
      </c>
      <c r="B224" s="7" t="s">
        <v>1378</v>
      </c>
      <c r="C224" s="7" t="str">
        <f aca="false">TRIM(SUBSTITUTE($B224,CHAR(160)," "))</f>
        <v>12 M ח.גב מגנטית+מוטות תמיכה</v>
      </c>
    </row>
    <row r="225" customFormat="false" ht="15" hidden="false" customHeight="false" outlineLevel="0" collapsed="false">
      <c r="A225" s="7" t="n">
        <v>4408036</v>
      </c>
      <c r="B225" s="7" t="s">
        <v>1379</v>
      </c>
      <c r="C225" s="7" t="str">
        <f aca="false">TRIM(SUBSTITUTE($B225,CHAR(160)," "))</f>
        <v>12 S ח.גב מגנטית+מוטות תמיכה</v>
      </c>
    </row>
    <row r="226" customFormat="false" ht="15" hidden="false" customHeight="false" outlineLevel="0" collapsed="false">
      <c r="A226" s="7" t="n">
        <v>4408039</v>
      </c>
      <c r="B226" s="7" t="s">
        <v>1380</v>
      </c>
      <c r="C226" s="7" t="str">
        <f aca="false">TRIM(SUBSTITUTE($B226,CHAR(160)," "))</f>
        <v>12 XL ח.גב מגנטית+מוטות תמיכה</v>
      </c>
    </row>
    <row r="227" customFormat="false" ht="15" hidden="false" customHeight="false" outlineLevel="0" collapsed="false">
      <c r="A227" s="7" t="n">
        <v>4408178</v>
      </c>
      <c r="B227" s="7" t="s">
        <v>1381</v>
      </c>
      <c r="C227" s="7" t="str">
        <f aca="false">TRIM(SUBSTITUTE($B227,CHAR(160)," "))</f>
        <v>13 L חגורה לשבר טבור</v>
      </c>
    </row>
    <row r="228" customFormat="false" ht="15" hidden="false" customHeight="false" outlineLevel="0" collapsed="false">
      <c r="A228" s="7" t="n">
        <v>4408177</v>
      </c>
      <c r="B228" s="7" t="s">
        <v>1382</v>
      </c>
      <c r="C228" s="7" t="str">
        <f aca="false">TRIM(SUBSTITUTE($B228,CHAR(160)," "))</f>
        <v>13 M חגורה לשבר טבור</v>
      </c>
    </row>
    <row r="229" customFormat="false" ht="15" hidden="false" customHeight="false" outlineLevel="0" collapsed="false">
      <c r="A229" s="7" t="n">
        <v>4408176</v>
      </c>
      <c r="B229" s="7" t="s">
        <v>1383</v>
      </c>
      <c r="C229" s="7" t="str">
        <f aca="false">TRIM(SUBSTITUTE($B229,CHAR(160)," "))</f>
        <v>13 S חגורה לשבר טבור</v>
      </c>
    </row>
    <row r="230" customFormat="false" ht="15" hidden="false" customHeight="false" outlineLevel="0" collapsed="false">
      <c r="A230" s="7" t="n">
        <v>4408179</v>
      </c>
      <c r="B230" s="7" t="s">
        <v>840</v>
      </c>
      <c r="C230" s="7" t="str">
        <f aca="false">TRIM(SUBSTITUTE($B230,CHAR(160)," "))</f>
        <v>13 XL חגורה לשבר טבור</v>
      </c>
    </row>
    <row r="231" customFormat="false" ht="15" hidden="false" customHeight="false" outlineLevel="0" collapsed="false">
      <c r="A231" s="7" t="n">
        <v>4408180</v>
      </c>
      <c r="B231" s="7" t="s">
        <v>841</v>
      </c>
      <c r="C231" s="7" t="str">
        <f aca="false">TRIM(SUBSTITUTE($B231,CHAR(160)," "))</f>
        <v>13 XXL חגורה לשבר טבור</v>
      </c>
    </row>
    <row r="232" customFormat="false" ht="15" hidden="false" customHeight="false" outlineLevel="0" collapsed="false">
      <c r="A232" s="7" t="n">
        <v>4408203</v>
      </c>
      <c r="B232" s="7" t="s">
        <v>842</v>
      </c>
      <c r="C232" s="7" t="str">
        <f aca="false">TRIM(SUBSTITUTE($B232,CHAR(160)," "))</f>
        <v>14 0 חגורה למנותחי בית חזה</v>
      </c>
    </row>
    <row r="233" customFormat="false" ht="15" hidden="false" customHeight="false" outlineLevel="0" collapsed="false">
      <c r="A233" s="7" t="n">
        <v>4408122</v>
      </c>
      <c r="B233" s="7" t="s">
        <v>1384</v>
      </c>
      <c r="C233" s="7" t="str">
        <f aca="false">TRIM(SUBSTITUTE($B233,CHAR(160)," "))</f>
        <v>15M L חגורת צלעות לגבר</v>
      </c>
    </row>
    <row r="234" customFormat="false" ht="15" hidden="false" customHeight="false" outlineLevel="0" collapsed="false">
      <c r="A234" s="7" t="n">
        <v>4408129</v>
      </c>
      <c r="B234" s="7" t="s">
        <v>1385</v>
      </c>
      <c r="C234" s="7" t="str">
        <f aca="false">TRIM(SUBSTITUTE($B234,CHAR(160)," "))</f>
        <v>15M M חגורת צלעות לגבר</v>
      </c>
    </row>
    <row r="235" customFormat="false" ht="15" hidden="false" customHeight="false" outlineLevel="0" collapsed="false">
      <c r="A235" s="7" t="n">
        <v>4408123</v>
      </c>
      <c r="B235" s="7" t="s">
        <v>1386</v>
      </c>
      <c r="C235" s="7" t="str">
        <f aca="false">TRIM(SUBSTITUTE($B235,CHAR(160)," "))</f>
        <v>15M XL חגורת צלעות לגבר</v>
      </c>
    </row>
    <row r="236" customFormat="false" ht="15" hidden="false" customHeight="false" outlineLevel="0" collapsed="false">
      <c r="A236" s="7" t="n">
        <v>4408131</v>
      </c>
      <c r="B236" s="7" t="s">
        <v>843</v>
      </c>
      <c r="C236" s="7" t="str">
        <f aca="false">TRIM(SUBSTITUTE($B236,CHAR(160)," "))</f>
        <v>15W L חגורת צלעות לאשה</v>
      </c>
    </row>
    <row r="237" customFormat="false" ht="15" hidden="false" customHeight="false" outlineLevel="0" collapsed="false">
      <c r="A237" s="7" t="n">
        <v>4408130</v>
      </c>
      <c r="B237" s="7" t="s">
        <v>1387</v>
      </c>
      <c r="C237" s="7" t="str">
        <f aca="false">TRIM(SUBSTITUTE($B237,CHAR(160)," "))</f>
        <v>15W M חגורת צלעות לאשה</v>
      </c>
    </row>
    <row r="238" customFormat="false" ht="15" hidden="false" customHeight="false" outlineLevel="0" collapsed="false">
      <c r="A238" s="7" t="n">
        <v>4408126</v>
      </c>
      <c r="B238" s="7" t="s">
        <v>1388</v>
      </c>
      <c r="C238" s="7" t="str">
        <f aca="false">TRIM(SUBSTITUTE($B238,CHAR(160)," "))</f>
        <v>15W XL חגורת צלעות לאשה</v>
      </c>
    </row>
    <row r="239" customFormat="false" ht="15" hidden="false" customHeight="false" outlineLevel="0" collapsed="false">
      <c r="A239" s="7" t="n">
        <v>4408127</v>
      </c>
      <c r="B239" s="7" t="s">
        <v>1389</v>
      </c>
      <c r="C239" s="7" t="str">
        <f aca="false">TRIM(SUBSTITUTE($B239,CHAR(160)," "))</f>
        <v>15W XXL חגורת צלעות לאשה</v>
      </c>
    </row>
    <row r="240" customFormat="false" ht="15" hidden="false" customHeight="false" outlineLevel="0" collapsed="false">
      <c r="A240" s="7" t="n">
        <v>4408230</v>
      </c>
      <c r="B240" s="7" t="s">
        <v>844</v>
      </c>
      <c r="C240" s="7" t="str">
        <f aca="false">TRIM(SUBSTITUTE($B240,CHAR(160)," "))</f>
        <v>16 L-XL חגורת הריון</v>
      </c>
    </row>
    <row r="241" customFormat="false" ht="15" hidden="false" customHeight="false" outlineLevel="0" collapsed="false">
      <c r="A241" s="7" t="n">
        <v>4408231</v>
      </c>
      <c r="B241" s="7" t="s">
        <v>845</v>
      </c>
      <c r="C241" s="7" t="str">
        <f aca="false">TRIM(SUBSTITUTE($B241,CHAR(160)," "))</f>
        <v>16 S-M חגורת הריון</v>
      </c>
    </row>
    <row r="242" customFormat="false" ht="15" hidden="false" customHeight="false" outlineLevel="0" collapsed="false">
      <c r="A242" s="7" t="n">
        <v>4408232</v>
      </c>
      <c r="B242" s="7" t="s">
        <v>846</v>
      </c>
      <c r="C242" s="7" t="str">
        <f aca="false">TRIM(SUBSTITUTE($B242,CHAR(160)," "))</f>
        <v>16 XXL חגורת הריון</v>
      </c>
    </row>
    <row r="243" customFormat="false" ht="15" hidden="false" customHeight="false" outlineLevel="0" collapsed="false">
      <c r="A243" s="7" t="n">
        <v>4408044</v>
      </c>
      <c r="B243" s="7" t="s">
        <v>1390</v>
      </c>
      <c r="C243" s="7" t="str">
        <f aca="false">TRIM(SUBSTITUTE($B243,CHAR(160)," "))</f>
        <v>18 XL.ח.הריון מכנס למניעת כאב</v>
      </c>
    </row>
    <row r="244" customFormat="false" ht="15" hidden="false" customHeight="false" outlineLevel="0" collapsed="false">
      <c r="A244" s="7" t="n">
        <v>4408042</v>
      </c>
      <c r="B244" s="7" t="s">
        <v>1391</v>
      </c>
      <c r="C244" s="7" t="str">
        <f aca="false">TRIM(SUBSTITUTE($B244,CHAR(160)," "))</f>
        <v>18 L ח.הריון מכנס למניעת כאבים</v>
      </c>
    </row>
    <row r="245" customFormat="false" ht="15" hidden="false" customHeight="false" outlineLevel="0" collapsed="false">
      <c r="A245" s="7" t="n">
        <v>4408043</v>
      </c>
      <c r="B245" s="7" t="s">
        <v>1392</v>
      </c>
      <c r="C245" s="7" t="str">
        <f aca="false">TRIM(SUBSTITUTE($B245,CHAR(160)," "))</f>
        <v>18 M ח.הריון מכנס למניעת כאבים</v>
      </c>
    </row>
    <row r="246" customFormat="false" ht="15" hidden="false" customHeight="false" outlineLevel="0" collapsed="false">
      <c r="A246" s="7" t="n">
        <v>4408041</v>
      </c>
      <c r="B246" s="7" t="s">
        <v>1393</v>
      </c>
      <c r="C246" s="7" t="str">
        <f aca="false">TRIM(SUBSTITUTE($B246,CHAR(160)," "))</f>
        <v>18 S ח.הריון מכנס למניעת כאבים</v>
      </c>
    </row>
    <row r="247" customFormat="false" ht="15" hidden="false" customHeight="false" outlineLevel="0" collapsed="false">
      <c r="A247" s="7" t="n">
        <v>4408104</v>
      </c>
      <c r="B247" s="7" t="s">
        <v>1394</v>
      </c>
      <c r="C247" s="7" t="str">
        <f aca="false">TRIM(SUBSTITUTE($B247,CHAR(160)," "))</f>
        <v>19 L-XLחגורת הריון בכאב.חזק</v>
      </c>
    </row>
    <row r="248" customFormat="false" ht="15" hidden="false" customHeight="false" outlineLevel="0" collapsed="false">
      <c r="A248" s="7" t="n">
        <v>4408105</v>
      </c>
      <c r="B248" s="7" t="s">
        <v>1395</v>
      </c>
      <c r="C248" s="7" t="str">
        <f aca="false">TRIM(SUBSTITUTE($B248,CHAR(160)," "))</f>
        <v>19 S-M חגורת הריון בכאב חזק</v>
      </c>
    </row>
    <row r="249" customFormat="false" ht="15" hidden="false" customHeight="false" outlineLevel="0" collapsed="false">
      <c r="A249" s="7" t="n">
        <v>4408109</v>
      </c>
      <c r="B249" s="7" t="s">
        <v>1396</v>
      </c>
      <c r="C249" s="7" t="str">
        <f aca="false">TRIM(SUBSTITUTE($B249,CHAR(160)," "))</f>
        <v>70 L חגורת פיסוק פאב</v>
      </c>
    </row>
    <row r="250" customFormat="false" ht="15" hidden="false" customHeight="false" outlineLevel="0" collapsed="false">
      <c r="A250" s="7" t="n">
        <v>4408108</v>
      </c>
      <c r="B250" s="7" t="s">
        <v>1397</v>
      </c>
      <c r="C250" s="7" t="str">
        <f aca="false">TRIM(SUBSTITUTE($B250,CHAR(160)," "))</f>
        <v>70 M חגורת פיסוק פאב</v>
      </c>
    </row>
    <row r="251" customFormat="false" ht="15" hidden="false" customHeight="false" outlineLevel="0" collapsed="false">
      <c r="A251" s="7" t="n">
        <v>4408107</v>
      </c>
      <c r="B251" s="7" t="s">
        <v>1398</v>
      </c>
      <c r="C251" s="7" t="str">
        <f aca="false">TRIM(SUBSTITUTE($B251,CHAR(160)," "))</f>
        <v>70 S חגורת פיסוק פאב</v>
      </c>
    </row>
    <row r="252" customFormat="false" ht="15" hidden="false" customHeight="false" outlineLevel="0" collapsed="false">
      <c r="A252" s="7" t="n">
        <v>4408274</v>
      </c>
      <c r="B252" s="7" t="s">
        <v>847</v>
      </c>
      <c r="C252" s="7" t="str">
        <f aca="false">TRIM(SUBSTITUTE($B252,CHAR(160)," "))</f>
        <v>70N L חגורת פאבליק</v>
      </c>
    </row>
    <row r="253" customFormat="false" ht="15" hidden="false" customHeight="false" outlineLevel="0" collapsed="false">
      <c r="A253" s="7" t="n">
        <v>4408273</v>
      </c>
      <c r="B253" s="7" t="s">
        <v>848</v>
      </c>
      <c r="C253" s="7" t="str">
        <f aca="false">TRIM(SUBSTITUTE($B253,CHAR(160)," "))</f>
        <v>70N M חגורת פאבליק</v>
      </c>
    </row>
    <row r="254" customFormat="false" ht="15" hidden="false" customHeight="false" outlineLevel="0" collapsed="false">
      <c r="A254" s="7" t="n">
        <v>4408272</v>
      </c>
      <c r="B254" s="7" t="s">
        <v>849</v>
      </c>
      <c r="C254" s="7" t="str">
        <f aca="false">TRIM(SUBSTITUTE($B254,CHAR(160)," "))</f>
        <v>70N S חגורת פאבליק</v>
      </c>
    </row>
    <row r="255" customFormat="false" ht="15" hidden="false" customHeight="false" outlineLevel="0" collapsed="false">
      <c r="A255" s="7" t="n">
        <v>4408271</v>
      </c>
      <c r="B255" s="7" t="s">
        <v>850</v>
      </c>
      <c r="C255" s="7" t="str">
        <f aca="false">TRIM(SUBSTITUTE($B255,CHAR(160)," "))</f>
        <v>70N XS חגורת פאבליק</v>
      </c>
    </row>
    <row r="256" customFormat="false" ht="15" hidden="false" customHeight="false" outlineLevel="0" collapsed="false">
      <c r="A256" s="7" t="n">
        <v>4408143</v>
      </c>
      <c r="B256" s="7" t="s">
        <v>1399</v>
      </c>
      <c r="C256" s="7" t="str">
        <f aca="false">TRIM(SUBSTITUTE($B256,CHAR(160)," "))</f>
        <v>776 L ח.גב גבוהה</v>
      </c>
    </row>
    <row r="257" customFormat="false" ht="15" hidden="false" customHeight="false" outlineLevel="0" collapsed="false">
      <c r="A257" s="7" t="n">
        <v>4408142</v>
      </c>
      <c r="B257" s="7" t="s">
        <v>1400</v>
      </c>
      <c r="C257" s="7" t="str">
        <f aca="false">TRIM(SUBSTITUTE($B257,CHAR(160)," "))</f>
        <v>776 M ח.גב גבוהה</v>
      </c>
    </row>
    <row r="258" customFormat="false" ht="15" hidden="false" customHeight="false" outlineLevel="0" collapsed="false">
      <c r="A258" s="7" t="n">
        <v>4408144</v>
      </c>
      <c r="B258" s="7" t="s">
        <v>1401</v>
      </c>
      <c r="C258" s="7" t="str">
        <f aca="false">TRIM(SUBSTITUTE($B258,CHAR(160)," "))</f>
        <v>776 XL ח.גב גבוהה</v>
      </c>
    </row>
    <row r="259" customFormat="false" ht="15" hidden="false" customHeight="false" outlineLevel="0" collapsed="false">
      <c r="A259" s="7" t="n">
        <v>4408205</v>
      </c>
      <c r="B259" s="7" t="s">
        <v>851</v>
      </c>
      <c r="C259" s="7" t="str">
        <f aca="false">TRIM(SUBSTITUTE($B259,CHAR(160)," "))</f>
        <v>AC-07 חגורת גב עם תמיכות</v>
      </c>
    </row>
    <row r="260" customFormat="false" ht="15" hidden="false" customHeight="false" outlineLevel="0" collapsed="false">
      <c r="A260" s="7" t="n">
        <v>4408206</v>
      </c>
      <c r="B260" s="7" t="s">
        <v>852</v>
      </c>
      <c r="C260" s="7" t="str">
        <f aca="false">TRIM(SUBSTITUTE($B260,CHAR(160)," "))</f>
        <v>AC-11 חגורת בטן קלה</v>
      </c>
    </row>
    <row r="261" customFormat="false" ht="15" hidden="false" customHeight="false" outlineLevel="0" collapsed="false">
      <c r="A261" s="7" t="n">
        <v>4408252</v>
      </c>
      <c r="B261" s="7" t="s">
        <v>1402</v>
      </c>
      <c r="C261" s="7" t="str">
        <f aca="false">TRIM(SUBSTITUTE($B261,CHAR(160)," "))</f>
        <v>L-XL 099 חגורת גב שרוכים</v>
      </c>
    </row>
    <row r="262" customFormat="false" ht="15" hidden="false" customHeight="false" outlineLevel="0" collapsed="false">
      <c r="A262" s="7" t="n">
        <v>4408226</v>
      </c>
      <c r="B262" s="7" t="s">
        <v>853</v>
      </c>
      <c r="C262" s="7" t="str">
        <f aca="false">TRIM(SUBSTITUTE($B262,CHAR(160)," "))</f>
        <v>L 11 אפורUG חגורת בטן</v>
      </c>
    </row>
    <row r="263" customFormat="false" ht="15" hidden="false" customHeight="false" outlineLevel="0" collapsed="false">
      <c r="A263" s="7" t="n">
        <v>4408225</v>
      </c>
      <c r="B263" s="7" t="s">
        <v>1403</v>
      </c>
      <c r="C263" s="7" t="str">
        <f aca="false">TRIM(SUBSTITUTE($B263,CHAR(160)," "))</f>
        <v>M 11 אפורUG חגורת בטן</v>
      </c>
    </row>
    <row r="264" customFormat="false" ht="15" hidden="false" customHeight="false" outlineLevel="0" collapsed="false">
      <c r="A264" s="7" t="n">
        <v>4408190</v>
      </c>
      <c r="B264" s="7" t="s">
        <v>854</v>
      </c>
      <c r="C264" s="7" t="str">
        <f aca="false">TRIM(SUBSTITUTE($B264,CHAR(160)," "))</f>
        <v>M078 חגורת גב +סגירה כפולה</v>
      </c>
    </row>
    <row r="265" customFormat="false" ht="15" hidden="false" customHeight="false" outlineLevel="0" collapsed="false">
      <c r="A265" s="7" t="n">
        <v>4408251</v>
      </c>
      <c r="B265" s="7" t="s">
        <v>1404</v>
      </c>
      <c r="C265" s="7" t="str">
        <f aca="false">TRIM(SUBSTITUTE($B265,CHAR(160)," "))</f>
        <v>S-M 099 חגורת גב שרוכים</v>
      </c>
    </row>
    <row r="266" customFormat="false" ht="15" hidden="false" customHeight="false" outlineLevel="0" collapsed="false">
      <c r="A266" s="7" t="n">
        <v>4408224</v>
      </c>
      <c r="B266" s="7" t="s">
        <v>1405</v>
      </c>
      <c r="C266" s="7" t="str">
        <f aca="false">TRIM(SUBSTITUTE($B266,CHAR(160)," "))</f>
        <v>S 11 אפורUGחגורת בטן</v>
      </c>
    </row>
    <row r="267" customFormat="false" ht="15" hidden="false" customHeight="false" outlineLevel="0" collapsed="false">
      <c r="A267" s="7" t="n">
        <v>4408217</v>
      </c>
      <c r="B267" s="7" t="s">
        <v>855</v>
      </c>
      <c r="C267" s="7" t="str">
        <f aca="false">TRIM(SUBSTITUTE($B267,CHAR(160)," "))</f>
        <v>S078 חגורת גב +סגירה כפולה</v>
      </c>
    </row>
    <row r="268" customFormat="false" ht="15" hidden="false" customHeight="false" outlineLevel="0" collapsed="false">
      <c r="A268" s="7" t="n">
        <v>4408270</v>
      </c>
      <c r="B268" s="7" t="s">
        <v>856</v>
      </c>
      <c r="C268" s="7" t="str">
        <f aca="false">TRIM(SUBSTITUTE($B268,CHAR(160)," "))</f>
        <v>ST11 חגורת בטן</v>
      </c>
    </row>
    <row r="269" customFormat="false" ht="15" hidden="false" customHeight="false" outlineLevel="0" collapsed="false">
      <c r="A269" s="7" t="n">
        <v>4408090</v>
      </c>
      <c r="B269" s="7" t="s">
        <v>858</v>
      </c>
      <c r="C269" s="7" t="str">
        <f aca="false">TRIM(SUBSTITUTE($B269,CHAR(160)," "))</f>
        <v>T11C L חגורת גב פוג'יאמה</v>
      </c>
    </row>
    <row r="270" customFormat="false" ht="15" hidden="false" customHeight="false" outlineLevel="0" collapsed="false">
      <c r="A270" s="7" t="n">
        <v>4408091</v>
      </c>
      <c r="B270" s="7" t="s">
        <v>860</v>
      </c>
      <c r="C270" s="7" t="str">
        <f aca="false">TRIM(SUBSTITUTE($B270,CHAR(160)," "))</f>
        <v>T11C M חגורת גב פוג'יאמה</v>
      </c>
    </row>
    <row r="271" customFormat="false" ht="15" hidden="false" customHeight="false" outlineLevel="0" collapsed="false">
      <c r="A271" s="7" t="n">
        <v>4408089</v>
      </c>
      <c r="B271" s="7" t="s">
        <v>862</v>
      </c>
      <c r="C271" s="7" t="str">
        <f aca="false">TRIM(SUBSTITUTE($B271,CHAR(160)," "))</f>
        <v>T11C S חגורת גב פוג'יאמה</v>
      </c>
    </row>
    <row r="272" customFormat="false" ht="15" hidden="false" customHeight="false" outlineLevel="0" collapsed="false">
      <c r="A272" s="7" t="n">
        <v>4408092</v>
      </c>
      <c r="B272" s="7" t="s">
        <v>864</v>
      </c>
      <c r="C272" s="7" t="str">
        <f aca="false">TRIM(SUBSTITUTE($B272,CHAR(160)," "))</f>
        <v>T11C XL חגורת גב פוג'יאמה</v>
      </c>
    </row>
    <row r="273" customFormat="false" ht="15" hidden="false" customHeight="false" outlineLevel="0" collapsed="false">
      <c r="A273" s="7" t="n">
        <v>4408093</v>
      </c>
      <c r="B273" s="7" t="s">
        <v>866</v>
      </c>
      <c r="C273" s="7" t="str">
        <f aca="false">TRIM(SUBSTITUTE($B273,CHAR(160)," "))</f>
        <v>T11C XXL חגורת גב פוג'יאמה</v>
      </c>
    </row>
    <row r="274" customFormat="false" ht="15" hidden="false" customHeight="false" outlineLevel="0" collapsed="false">
      <c r="A274" s="7" t="n">
        <v>4408227</v>
      </c>
      <c r="B274" s="7" t="s">
        <v>1406</v>
      </c>
      <c r="C274" s="7" t="str">
        <f aca="false">TRIM(SUBSTITUTE($B274,CHAR(160)," "))</f>
        <v>XL 11 אפורUG חגורת בטן</v>
      </c>
    </row>
    <row r="275" customFormat="false" ht="15" hidden="false" customHeight="false" outlineLevel="0" collapsed="false">
      <c r="A275" s="7" t="n">
        <v>4408229</v>
      </c>
      <c r="B275" s="7" t="s">
        <v>1407</v>
      </c>
      <c r="C275" s="7" t="str">
        <f aca="false">TRIM(SUBSTITUTE($B275,CHAR(160)," "))</f>
        <v>XXL 11אפורUGחגורת בטן</v>
      </c>
    </row>
    <row r="276" customFormat="false" ht="15" hidden="false" customHeight="false" outlineLevel="0" collapsed="false">
      <c r="A276" s="7" t="n">
        <v>4409011</v>
      </c>
      <c r="B276" s="7" t="s">
        <v>867</v>
      </c>
      <c r="C276" s="7" t="str">
        <f aca="false">TRIM(SUBSTITUTE($B276,CHAR(160)," "))</f>
        <v>804AT-B טייפ חבישה לספורט</v>
      </c>
    </row>
    <row r="277" customFormat="false" ht="15" hidden="false" customHeight="false" outlineLevel="0" collapsed="false">
      <c r="A277" s="7" t="n">
        <v>4409013</v>
      </c>
      <c r="B277" s="7" t="s">
        <v>868</v>
      </c>
      <c r="C277" s="7" t="str">
        <f aca="false">TRIM(SUBSTITUTE($B277,CHAR(160)," "))</f>
        <v>804AT-BL טייפ חבישה לספורט</v>
      </c>
    </row>
    <row r="278" customFormat="false" ht="15" hidden="false" customHeight="false" outlineLevel="0" collapsed="false">
      <c r="A278" s="7" t="n">
        <v>4409012</v>
      </c>
      <c r="B278" s="7" t="s">
        <v>869</v>
      </c>
      <c r="C278" s="7" t="str">
        <f aca="false">TRIM(SUBSTITUTE($B278,CHAR(160)," "))</f>
        <v>804AT-C טייפ חבישה לספורט</v>
      </c>
    </row>
    <row r="279" customFormat="false" ht="15" hidden="false" customHeight="false" outlineLevel="0" collapsed="false">
      <c r="A279" s="7" t="n">
        <v>4409010</v>
      </c>
      <c r="B279" s="7" t="s">
        <v>871</v>
      </c>
      <c r="C279" s="7" t="str">
        <f aca="false">TRIM(SUBSTITUTE($B279,CHAR(160)," "))</f>
        <v>804AT-W טייפ חבישה לספורט</v>
      </c>
    </row>
    <row r="280" customFormat="false" ht="15" hidden="false" customHeight="false" outlineLevel="0" collapsed="false">
      <c r="A280" s="7" t="n">
        <v>4401012</v>
      </c>
      <c r="B280" s="7" t="s">
        <v>1408</v>
      </c>
      <c r="C280" s="7" t="str">
        <f aca="false">TRIM(SUBSTITUTE($B280,CHAR(160)," "))</f>
        <v>805AT-B אתלטיק טייפ שחור 20מ""מ</v>
      </c>
    </row>
    <row r="281" customFormat="false" ht="15" hidden="false" customHeight="false" outlineLevel="0" collapsed="false">
      <c r="A281" s="7" t="n">
        <v>4401013</v>
      </c>
      <c r="B281" s="7" t="s">
        <v>1409</v>
      </c>
      <c r="C281" s="7" t="str">
        <f aca="false">TRIM(SUBSTITUTE($B281,CHAR(160)," "))</f>
        <v>805AT-BLאתלטיק טייפ כחול 20מ""מ</v>
      </c>
    </row>
    <row r="282" customFormat="false" ht="15" hidden="false" customHeight="false" outlineLevel="0" collapsed="false">
      <c r="A282" s="7" t="n">
        <v>4401011</v>
      </c>
      <c r="B282" s="7" t="s">
        <v>1410</v>
      </c>
      <c r="C282" s="7" t="str">
        <f aca="false">TRIM(SUBSTITUTE($B282,CHAR(160)," "))</f>
        <v>805AT-Cאתלטיק טייפ בז' 20מ""מ20</v>
      </c>
    </row>
    <row r="283" customFormat="false" ht="15" hidden="false" customHeight="false" outlineLevel="0" collapsed="false">
      <c r="A283" s="7" t="n">
        <v>4401014</v>
      </c>
      <c r="B283" s="7" t="s">
        <v>1411</v>
      </c>
      <c r="C283" s="7" t="str">
        <f aca="false">TRIM(SUBSTITUTE($B283,CHAR(160)," "))</f>
        <v>805AT-W אתלטיק טייפ לבן 20מ""מ</v>
      </c>
    </row>
    <row r="284" customFormat="false" ht="15" hidden="false" customHeight="false" outlineLevel="0" collapsed="false">
      <c r="A284" s="7" t="n">
        <v>4409017</v>
      </c>
      <c r="B284" s="7" t="s">
        <v>876</v>
      </c>
      <c r="C284" s="7" t="str">
        <f aca="false">TRIM(SUBSTITUTE($B284,CHAR(160)," "))</f>
        <v>808KT-B טייפ קינזיולוגי</v>
      </c>
    </row>
    <row r="285" customFormat="false" ht="15" hidden="false" customHeight="false" outlineLevel="0" collapsed="false">
      <c r="A285" s="7" t="n">
        <v>4409015</v>
      </c>
      <c r="B285" s="7" t="s">
        <v>877</v>
      </c>
      <c r="C285" s="7" t="str">
        <f aca="false">TRIM(SUBSTITUTE($B285,CHAR(160)," "))</f>
        <v>808KT-BL טייפ קינזיולוגי</v>
      </c>
    </row>
    <row r="286" customFormat="false" ht="15" hidden="false" customHeight="false" outlineLevel="0" collapsed="false">
      <c r="A286" s="7" t="n">
        <v>4409016</v>
      </c>
      <c r="B286" s="7" t="s">
        <v>878</v>
      </c>
      <c r="C286" s="7" t="str">
        <f aca="false">TRIM(SUBSTITUTE($B286,CHAR(160)," "))</f>
        <v>808KT-C טייפ קינזיולוגי</v>
      </c>
    </row>
    <row r="287" customFormat="false" ht="15" hidden="false" customHeight="false" outlineLevel="0" collapsed="false">
      <c r="A287" s="7" t="n">
        <v>4409014</v>
      </c>
      <c r="B287" s="7" t="s">
        <v>879</v>
      </c>
      <c r="C287" s="7" t="str">
        <f aca="false">TRIM(SUBSTITUTE($B287,CHAR(160)," "))</f>
        <v>808KT-P טייפ קינזיולוגי</v>
      </c>
    </row>
    <row r="288" customFormat="false" ht="15" hidden="false" customHeight="false" outlineLevel="0" collapsed="false">
      <c r="A288" s="7" t="n">
        <v>4419013</v>
      </c>
      <c r="B288" s="7" t="s">
        <v>880</v>
      </c>
      <c r="C288" s="7" t="str">
        <f aca="false">TRIM(SUBSTITUTE($B288,CHAR(160)," "))</f>
        <v>239B L-XL STRAP4U</v>
      </c>
    </row>
    <row r="289" customFormat="false" ht="15" hidden="false" customHeight="false" outlineLevel="0" collapsed="false">
      <c r="A289" s="7" t="n">
        <v>4419011</v>
      </c>
      <c r="B289" s="7" t="s">
        <v>881</v>
      </c>
      <c r="C289" s="7" t="str">
        <f aca="false">TRIM(SUBSTITUTE($B289,CHAR(160)," "))</f>
        <v>239B S-M STRAP4U</v>
      </c>
    </row>
    <row r="290" customFormat="false" ht="15" hidden="false" customHeight="false" outlineLevel="0" collapsed="false">
      <c r="A290" s="7" t="n">
        <v>4419012</v>
      </c>
      <c r="B290" s="7" t="s">
        <v>1412</v>
      </c>
      <c r="C290" s="7" t="str">
        <f aca="false">TRIM(SUBSTITUTE($B290,CHAR(160)," "))</f>
        <v>239P S-M STRAP4U</v>
      </c>
    </row>
    <row r="291" customFormat="false" ht="15" hidden="false" customHeight="false" outlineLevel="0" collapsed="false">
      <c r="A291" s="7" t="n">
        <v>4419014</v>
      </c>
      <c r="B291" s="7" t="s">
        <v>882</v>
      </c>
      <c r="C291" s="7" t="str">
        <f aca="false">TRIM(SUBSTITUTE($B291,CHAR(160)," "))</f>
        <v>239TR L-XL STRAP4U</v>
      </c>
    </row>
    <row r="292" customFormat="false" ht="15" hidden="false" customHeight="false" outlineLevel="0" collapsed="false">
      <c r="A292" s="7" t="n">
        <v>4411002</v>
      </c>
      <c r="B292" s="7" t="s">
        <v>1413</v>
      </c>
      <c r="C292" s="7" t="str">
        <f aca="false">TRIM(SUBSTITUTE($B292,CHAR(160)," "))</f>
        <v>67 כרית שינה חלומי</v>
      </c>
    </row>
    <row r="293" customFormat="false" ht="15" hidden="false" customHeight="false" outlineLevel="0" collapsed="false">
      <c r="A293" s="7" t="n">
        <v>4414000</v>
      </c>
      <c r="B293" s="7" t="s">
        <v>883</v>
      </c>
      <c r="C293" s="7" t="str">
        <f aca="false">TRIM(SUBSTITUTE($B293,CHAR(160)," "))</f>
        <v>FC342-נוזל לציפורן חודרנית</v>
      </c>
    </row>
    <row r="294" customFormat="false" ht="15" hidden="false" customHeight="false" outlineLevel="0" collapsed="false">
      <c r="A294" s="7" t="n">
        <v>4415024</v>
      </c>
      <c r="B294" s="7" t="s">
        <v>1414</v>
      </c>
      <c r="C294" s="7" t="str">
        <f aca="false">TRIM(SUBSTITUTE($B294,CHAR(160)," "))</f>
        <v>FCתתסבון אנטי ספטי לכף הרגל350</v>
      </c>
    </row>
    <row r="295" customFormat="false" ht="15" hidden="false" customHeight="false" outlineLevel="0" collapsed="false">
      <c r="A295" s="7" t="n">
        <v>4419015</v>
      </c>
      <c r="B295" s="7" t="s">
        <v>1415</v>
      </c>
      <c r="C295" s="7" t="str">
        <f aca="false">TRIM(SUBSTITUTE($B295,CHAR(160)," "))</f>
        <v>STRAP4U DISPLAY 239D</v>
      </c>
    </row>
    <row r="296" customFormat="false" ht="15" hidden="false" customHeight="false" outlineLevel="0" collapsed="false">
      <c r="A296" s="7" t="n">
        <v>4421008</v>
      </c>
      <c r="B296" s="7" t="s">
        <v>884</v>
      </c>
      <c r="C296" s="7" t="str">
        <f aca="false">TRIM(SUBSTITUTE($B296,CHAR(160)," "))</f>
        <v>שרוול לגבס ארוך רגל</v>
      </c>
    </row>
    <row r="297" customFormat="false" ht="15" hidden="false" customHeight="false" outlineLevel="0" collapsed="false">
      <c r="A297" s="7" t="n">
        <v>4421007</v>
      </c>
      <c r="B297" s="7" t="s">
        <v>885</v>
      </c>
      <c r="C297" s="7" t="str">
        <f aca="false">TRIM(SUBSTITUTE($B297,CHAR(160)," "))</f>
        <v>שרוול לגבס קצר רגל</v>
      </c>
    </row>
    <row r="298" customFormat="false" ht="15" hidden="false" customHeight="false" outlineLevel="0" collapsed="false">
      <c r="A298" s="7" t="n">
        <v>4413149</v>
      </c>
      <c r="B298" s="7" t="s">
        <v>887</v>
      </c>
      <c r="C298" s="7" t="str">
        <f aca="false">TRIM(SUBSTITUTE($B298,CHAR(160)," "))</f>
        <v>FC321-מלח אמבט לכף הרגל</v>
      </c>
    </row>
    <row r="299" customFormat="false" ht="15" hidden="false" customHeight="false" outlineLevel="0" collapsed="false">
      <c r="A299" s="7" t="n">
        <v>4422036</v>
      </c>
      <c r="B299" s="7" t="s">
        <v>888</v>
      </c>
      <c r="C299" s="7" t="str">
        <f aca="false">TRIM(SUBSTITUTE($B299,CHAR(160)," "))</f>
        <v>FC334 תרסיס דאודורנט לכף הרגל</v>
      </c>
    </row>
    <row r="300" customFormat="false" ht="15" hidden="false" customHeight="false" outlineLevel="0" collapsed="false">
      <c r="A300" s="7" t="n">
        <v>4409004</v>
      </c>
      <c r="B300" s="7" t="s">
        <v>890</v>
      </c>
      <c r="C300" s="7" t="str">
        <f aca="false">TRIM(SUBSTITUTE($B300,CHAR(160)," "))</f>
        <v>FC335 טלק מעושר באלוורה</v>
      </c>
    </row>
    <row r="301" customFormat="false" ht="15" hidden="false" customHeight="false" outlineLevel="0" collapsed="false">
      <c r="A301" s="7" t="n">
        <v>4422035</v>
      </c>
      <c r="B301" s="7" t="s">
        <v>891</v>
      </c>
      <c r="C301" s="7" t="str">
        <f aca="false">TRIM(SUBSTITUTE($B301,CHAR(160)," "))</f>
        <v>FCתרסיס דאודורנט אנטיבק.נעל333</v>
      </c>
    </row>
    <row r="302" customFormat="false" ht="15" hidden="false" customHeight="false" outlineLevel="0" collapsed="false">
      <c r="A302" s="7" t="n">
        <v>4421006</v>
      </c>
      <c r="B302" s="7" t="s">
        <v>892</v>
      </c>
      <c r="C302" s="7" t="str">
        <f aca="false">TRIM(SUBSTITUTE($B302,CHAR(160)," "))</f>
        <v>שרוול לגבס ארוך יד</v>
      </c>
    </row>
    <row r="303" customFormat="false" ht="15" hidden="false" customHeight="false" outlineLevel="0" collapsed="false">
      <c r="A303" s="7" t="n">
        <v>4421005</v>
      </c>
      <c r="B303" s="7" t="s">
        <v>893</v>
      </c>
      <c r="C303" s="7" t="str">
        <f aca="false">TRIM(SUBSTITUTE($B303,CHAR(160)," "))</f>
        <v>שרוול לגבס קצר יד</v>
      </c>
    </row>
    <row r="304" customFormat="false" ht="15" hidden="false" customHeight="false" outlineLevel="0" collapsed="false">
      <c r="A304" s="7" t="n">
        <v>4413164</v>
      </c>
      <c r="B304" s="7" t="s">
        <v>1416</v>
      </c>
      <c r="C304" s="7" t="str">
        <f aca="false">TRIM(SUBSTITUTE($B304,CHAR(160)," "))</f>
        <v>74 SM מיצב כתפיים</v>
      </c>
    </row>
    <row r="305" customFormat="false" ht="15" hidden="false" customHeight="false" outlineLevel="0" collapsed="false">
      <c r="A305" s="7" t="n">
        <v>4413165</v>
      </c>
      <c r="B305" s="7" t="s">
        <v>894</v>
      </c>
      <c r="C305" s="7" t="str">
        <f aca="false">TRIM(SUBSTITUTE($B305,CHAR(160)," "))</f>
        <v>74 L-XL מיצב כתפיים</v>
      </c>
    </row>
    <row r="306" customFormat="false" ht="15" hidden="false" customHeight="false" outlineLevel="0" collapsed="false">
      <c r="A306" s="7" t="n">
        <v>4413130</v>
      </c>
      <c r="B306" s="7" t="s">
        <v>896</v>
      </c>
      <c r="C306" s="7" t="str">
        <f aca="false">TRIM(SUBSTITUTE($B306,CHAR(160)," "))</f>
        <v>75 XXL מיישר כתף יציב ישור צר</v>
      </c>
    </row>
    <row r="307" customFormat="false" ht="15" hidden="false" customHeight="false" outlineLevel="0" collapsed="false">
      <c r="A307" s="7" t="n">
        <v>4413127</v>
      </c>
      <c r="B307" s="7" t="s">
        <v>897</v>
      </c>
      <c r="C307" s="7" t="str">
        <f aca="false">TRIM(SUBSTITUTE($B307,CHAR(160)," "))</f>
        <v>75 Lמיישר כתף יציב יישור גב צר</v>
      </c>
    </row>
    <row r="308" customFormat="false" ht="15" hidden="false" customHeight="false" outlineLevel="0" collapsed="false">
      <c r="A308" s="7" t="n">
        <v>4413128</v>
      </c>
      <c r="B308" s="7" t="s">
        <v>898</v>
      </c>
      <c r="C308" s="7" t="str">
        <f aca="false">TRIM(SUBSTITUTE($B308,CHAR(160)," "))</f>
        <v>75 Mמיישר כתף יציב יישור גב צר</v>
      </c>
    </row>
    <row r="309" customFormat="false" ht="15" hidden="false" customHeight="false" outlineLevel="0" collapsed="false">
      <c r="A309" s="7" t="n">
        <v>4413126</v>
      </c>
      <c r="B309" s="7" t="s">
        <v>899</v>
      </c>
      <c r="C309" s="7" t="str">
        <f aca="false">TRIM(SUBSTITUTE($B309,CHAR(160)," "))</f>
        <v>75 Sמיישר כתף יציב יישור גב צר</v>
      </c>
    </row>
    <row r="310" customFormat="false" ht="15" hidden="false" customHeight="false" outlineLevel="0" collapsed="false">
      <c r="A310" s="7" t="n">
        <v>4413129</v>
      </c>
      <c r="B310" s="7" t="s">
        <v>900</v>
      </c>
      <c r="C310" s="7" t="str">
        <f aca="false">TRIM(SUBSTITUTE($B310,CHAR(160)," "))</f>
        <v>75 XLמיישר כתף יציב יישור ג.צר</v>
      </c>
    </row>
    <row r="311" customFormat="false" ht="15" hidden="false" customHeight="false" outlineLevel="0" collapsed="false">
      <c r="A311" s="7" t="n">
        <v>4413132</v>
      </c>
      <c r="B311" s="7" t="s">
        <v>901</v>
      </c>
      <c r="C311" s="7" t="str">
        <f aca="false">TRIM(SUBSTITUTE($B311,CHAR(160)," "))</f>
        <v>76 Lמיישר כתף יציב יישור רחב</v>
      </c>
    </row>
    <row r="312" customFormat="false" ht="15" hidden="false" customHeight="false" outlineLevel="0" collapsed="false">
      <c r="A312" s="7" t="n">
        <v>4413133</v>
      </c>
      <c r="B312" s="7" t="s">
        <v>902</v>
      </c>
      <c r="C312" s="7" t="str">
        <f aca="false">TRIM(SUBSTITUTE($B312,CHAR(160)," "))</f>
        <v>76 Mמיישר כתף יציב,יישור רחב</v>
      </c>
    </row>
    <row r="313" customFormat="false" ht="15" hidden="false" customHeight="false" outlineLevel="0" collapsed="false">
      <c r="A313" s="7" t="n">
        <v>4413131</v>
      </c>
      <c r="B313" s="7" t="s">
        <v>903</v>
      </c>
      <c r="C313" s="7" t="str">
        <f aca="false">TRIM(SUBSTITUTE($B313,CHAR(160)," "))</f>
        <v>76 Sמיישר כתף יציב יישור ג.רחב</v>
      </c>
    </row>
    <row r="314" customFormat="false" ht="15" hidden="false" customHeight="false" outlineLevel="0" collapsed="false">
      <c r="A314" s="7" t="n">
        <v>4413134</v>
      </c>
      <c r="B314" s="7" t="s">
        <v>904</v>
      </c>
      <c r="C314" s="7" t="str">
        <f aca="false">TRIM(SUBSTITUTE($B314,CHAR(160)," "))</f>
        <v>76 XLמיישר כתף יציב יישור רחב</v>
      </c>
    </row>
    <row r="315" customFormat="false" ht="15" hidden="false" customHeight="false" outlineLevel="0" collapsed="false">
      <c r="A315" s="7" t="n">
        <v>4413262</v>
      </c>
      <c r="B315" s="7" t="s">
        <v>1417</v>
      </c>
      <c r="C315" s="7" t="str">
        <f aca="false">TRIM(SUBSTITUTE($B315,CHAR(160)," "))</f>
        <v>76 XXL מישר כתפיים רחב</v>
      </c>
    </row>
    <row r="316" customFormat="false" ht="15" hidden="false" customHeight="false" outlineLevel="0" collapsed="false">
      <c r="A316" s="7" t="n">
        <v>4408141</v>
      </c>
      <c r="B316" s="7" t="s">
        <v>1418</v>
      </c>
      <c r="C316" s="7" t="str">
        <f aca="false">TRIM(SUBSTITUTE($B316,CHAR(160)," "))</f>
        <v>776 S ח.גב גבוהה</v>
      </c>
    </row>
    <row r="317" customFormat="false" ht="15" hidden="false" customHeight="false" outlineLevel="0" collapsed="false">
      <c r="A317" s="7" t="n">
        <v>4413191</v>
      </c>
      <c r="B317" s="7" t="s">
        <v>1419</v>
      </c>
      <c r="C317" s="7" t="str">
        <f aca="false">TRIM(SUBSTITUTE($B317,CHAR(160)," "))</f>
        <v>78 M מגן למרפק כתף</v>
      </c>
    </row>
    <row r="318" customFormat="false" ht="15" hidden="false" customHeight="false" outlineLevel="0" collapsed="false">
      <c r="A318" s="7" t="n">
        <v>4413194</v>
      </c>
      <c r="B318" s="7" t="s">
        <v>1420</v>
      </c>
      <c r="C318" s="7" t="str">
        <f aca="false">TRIM(SUBSTITUTE($B318,CHAR(160)," "))</f>
        <v>78 XXLמגן למרפק כתף</v>
      </c>
    </row>
    <row r="319" customFormat="false" ht="15" hidden="false" customHeight="false" outlineLevel="0" collapsed="false">
      <c r="A319" s="7" t="n">
        <v>4413485</v>
      </c>
      <c r="B319" s="7" t="s">
        <v>1421</v>
      </c>
      <c r="C319" s="7" t="str">
        <f aca="false">TRIM(SUBSTITUTE($B319,CHAR(160)," "))</f>
        <v>78A M מגן למפרק כתף</v>
      </c>
    </row>
    <row r="320" customFormat="false" ht="15" hidden="false" customHeight="false" outlineLevel="0" collapsed="false">
      <c r="A320" s="7" t="n">
        <v>4413403</v>
      </c>
      <c r="B320" s="7" t="s">
        <v>1422</v>
      </c>
      <c r="C320" s="7" t="str">
        <f aca="false">TRIM(SUBSTITUTE($B320,CHAR(160)," "))</f>
        <v>78A L מגן למפרק כתף</v>
      </c>
    </row>
    <row r="321" customFormat="false" ht="15" hidden="false" customHeight="false" outlineLevel="0" collapsed="false">
      <c r="A321" s="7" t="n">
        <v>4413486</v>
      </c>
      <c r="B321" s="7" t="s">
        <v>1423</v>
      </c>
      <c r="C321" s="7" t="str">
        <f aca="false">TRIM(SUBSTITUTE($B321,CHAR(160)," "))</f>
        <v>78A S מגן למפרק כתף</v>
      </c>
    </row>
    <row r="322" customFormat="false" ht="15" hidden="false" customHeight="false" outlineLevel="0" collapsed="false">
      <c r="A322" s="7" t="n">
        <v>4413404</v>
      </c>
      <c r="B322" s="7" t="s">
        <v>1424</v>
      </c>
      <c r="C322" s="7" t="str">
        <f aca="false">TRIM(SUBSTITUTE($B322,CHAR(160)," "))</f>
        <v>78A XL מגן למפרק כתף</v>
      </c>
    </row>
    <row r="323" customFormat="false" ht="15" hidden="false" customHeight="false" outlineLevel="0" collapsed="false">
      <c r="A323" s="7" t="n">
        <v>4413443</v>
      </c>
      <c r="B323" s="7" t="s">
        <v>1425</v>
      </c>
      <c r="C323" s="7" t="str">
        <f aca="false">TRIM(SUBSTITUTE($B323,CHAR(160)," "))</f>
        <v>78A XXL מגן למפרק כתף</v>
      </c>
    </row>
    <row r="324" customFormat="false" ht="15" hidden="false" customHeight="false" outlineLevel="0" collapsed="false">
      <c r="A324" s="7" t="n">
        <v>4413197</v>
      </c>
      <c r="B324" s="7" t="s">
        <v>906</v>
      </c>
      <c r="C324" s="7" t="str">
        <f aca="false">TRIM(SUBSTITUTE($B324,CHAR(160)," "))</f>
        <v>87 L מקבע כתף ויד</v>
      </c>
    </row>
    <row r="325" customFormat="false" ht="15" hidden="false" customHeight="false" outlineLevel="0" collapsed="false">
      <c r="A325" s="7" t="n">
        <v>4413196</v>
      </c>
      <c r="B325" s="7" t="s">
        <v>908</v>
      </c>
      <c r="C325" s="7" t="str">
        <f aca="false">TRIM(SUBSTITUTE($B325,CHAR(160)," "))</f>
        <v>87 M מקבע כתף ויד</v>
      </c>
    </row>
    <row r="326" customFormat="false" ht="15" hidden="false" customHeight="false" outlineLevel="0" collapsed="false">
      <c r="A326" s="7" t="n">
        <v>4413195</v>
      </c>
      <c r="B326" s="7" t="s">
        <v>910</v>
      </c>
      <c r="C326" s="7" t="str">
        <f aca="false">TRIM(SUBSTITUTE($B326,CHAR(160)," "))</f>
        <v>87 S מקבע כתף ויד</v>
      </c>
    </row>
    <row r="327" customFormat="false" ht="15" hidden="false" customHeight="false" outlineLevel="0" collapsed="false">
      <c r="A327" s="7" t="n">
        <v>4413198</v>
      </c>
      <c r="B327" s="7" t="s">
        <v>912</v>
      </c>
      <c r="C327" s="7" t="str">
        <f aca="false">TRIM(SUBSTITUTE($B327,CHAR(160)," "))</f>
        <v>87 XL מקבע כתף ויד</v>
      </c>
    </row>
    <row r="328" customFormat="false" ht="15" hidden="false" customHeight="false" outlineLevel="0" collapsed="false">
      <c r="A328" s="7" t="n">
        <v>4413204</v>
      </c>
      <c r="B328" s="7" t="s">
        <v>914</v>
      </c>
      <c r="C328" s="7" t="str">
        <f aca="false">TRIM(SUBSTITUTE($B328,CHAR(160)," "))</f>
        <v>87 XXL מקבע כתף ויד</v>
      </c>
    </row>
    <row r="329" customFormat="false" ht="15" hidden="false" customHeight="false" outlineLevel="0" collapsed="false">
      <c r="A329" s="7" t="n">
        <v>4413456</v>
      </c>
      <c r="B329" s="7" t="s">
        <v>915</v>
      </c>
      <c r="C329" s="7" t="str">
        <f aca="false">TRIM(SUBSTITUTE($B329,CHAR(160)," "))</f>
        <v>AC75 XXL מיישר כתפיים אקטיב</v>
      </c>
    </row>
    <row r="330" customFormat="false" ht="15" hidden="false" customHeight="false" outlineLevel="0" collapsed="false">
      <c r="A330" s="7" t="n">
        <v>4413453</v>
      </c>
      <c r="B330" s="7" t="s">
        <v>916</v>
      </c>
      <c r="C330" s="7" t="str">
        <f aca="false">TRIM(SUBSTITUTE($B330,CHAR(160)," "))</f>
        <v>AC75 מישר כתפיים אקטיב</v>
      </c>
    </row>
    <row r="331" customFormat="false" ht="15" hidden="false" customHeight="false" outlineLevel="0" collapsed="false">
      <c r="A331" s="7" t="n">
        <v>4422006</v>
      </c>
      <c r="B331" s="7" t="s">
        <v>917</v>
      </c>
      <c r="C331" s="7" t="str">
        <f aca="false">TRIM(SUBSTITUTE($B331,CHAR(160)," "))</f>
        <v>T78 L תומך זרוע וכתף</v>
      </c>
    </row>
    <row r="332" customFormat="false" ht="15" hidden="false" customHeight="false" outlineLevel="0" collapsed="false">
      <c r="A332" s="7" t="n">
        <v>4422005</v>
      </c>
      <c r="B332" s="7" t="s">
        <v>918</v>
      </c>
      <c r="C332" s="7" t="str">
        <f aca="false">TRIM(SUBSTITUTE($B332,CHAR(160)," "))</f>
        <v>T78 M תומך זרוע וכתף</v>
      </c>
    </row>
    <row r="333" customFormat="false" ht="15" hidden="false" customHeight="false" outlineLevel="0" collapsed="false">
      <c r="A333" s="7" t="n">
        <v>4422004</v>
      </c>
      <c r="B333" s="7" t="s">
        <v>919</v>
      </c>
      <c r="C333" s="7" t="str">
        <f aca="false">TRIM(SUBSTITUTE($B333,CHAR(160)," "))</f>
        <v>T78 S תומך זרוע וכתף</v>
      </c>
    </row>
    <row r="334" customFormat="false" ht="15" hidden="false" customHeight="false" outlineLevel="0" collapsed="false">
      <c r="A334" s="7" t="n">
        <v>4422007</v>
      </c>
      <c r="B334" s="7" t="s">
        <v>920</v>
      </c>
      <c r="C334" s="7" t="str">
        <f aca="false">TRIM(SUBSTITUTE($B334,CHAR(160)," "))</f>
        <v>T78 XLתומך זרוע וכתף</v>
      </c>
    </row>
    <row r="335" customFormat="false" ht="15" hidden="false" customHeight="false" outlineLevel="0" collapsed="false">
      <c r="A335" s="7" t="n">
        <v>4422009</v>
      </c>
      <c r="B335" s="7" t="s">
        <v>921</v>
      </c>
      <c r="C335" s="7" t="str">
        <f aca="false">TRIM(SUBSTITUTE($B335,CHAR(160)," "))</f>
        <v>T78 XXL תומך זרוע וכתף</v>
      </c>
    </row>
    <row r="336" customFormat="false" ht="15" hidden="false" customHeight="false" outlineLevel="0" collapsed="false">
      <c r="A336" s="7" t="n">
        <v>4413056</v>
      </c>
      <c r="B336" s="7" t="s">
        <v>922</v>
      </c>
      <c r="C336" s="7" t="str">
        <f aca="false">TRIM(SUBSTITUTE($B336,CHAR(160)," "))</f>
        <v>LF360 מדרס מטטרזלי לנעלי עקב</v>
      </c>
    </row>
    <row r="337" customFormat="false" ht="15" hidden="false" customHeight="false" outlineLevel="0" collapsed="false">
      <c r="A337" s="7" t="n">
        <v>4420022</v>
      </c>
      <c r="B337" s="7" t="s">
        <v>923</v>
      </c>
      <c r="C337" s="7" t="str">
        <f aca="false">TRIM(SUBSTITUTE($B337,CHAR(160)," "))</f>
        <v>LF370 ריפוד סיליקון לעקב אחורי</v>
      </c>
    </row>
    <row r="338" customFormat="false" ht="15" hidden="false" customHeight="false" outlineLevel="0" collapsed="false">
      <c r="A338" s="7" t="n">
        <v>4420023</v>
      </c>
      <c r="B338" s="7" t="s">
        <v>924</v>
      </c>
      <c r="C338" s="7" t="str">
        <f aca="false">TRIM(SUBSTITUTE($B338,CHAR(160)," "))</f>
        <v>LF371 ריפוד סיליקון לנעלי אצבע</v>
      </c>
    </row>
    <row r="339" customFormat="false" ht="15" hidden="false" customHeight="false" outlineLevel="0" collapsed="false">
      <c r="A339" s="7" t="n">
        <v>4420025</v>
      </c>
      <c r="B339" s="7" t="s">
        <v>925</v>
      </c>
      <c r="C339" s="7" t="str">
        <f aca="false">TRIM(SUBSTITUTE($B339,CHAR(160)," "))</f>
        <v>LF374 ריפוד סיליק.לעקב תחתון</v>
      </c>
    </row>
    <row r="340" customFormat="false" ht="15" hidden="false" customHeight="false" outlineLevel="0" collapsed="false">
      <c r="A340" s="7" t="n">
        <v>4413276</v>
      </c>
      <c r="B340" s="7" t="s">
        <v>926</v>
      </c>
      <c r="C340" s="7" t="str">
        <f aca="false">TRIM(SUBSTITUTE($B340,CHAR(160)," "))</f>
        <v>LF377 L-מדרס סיליקון לנעלי עקב</v>
      </c>
    </row>
    <row r="341" customFormat="false" ht="15" hidden="false" customHeight="false" outlineLevel="0" collapsed="false">
      <c r="A341" s="7" t="n">
        <v>4413277</v>
      </c>
      <c r="B341" s="7" t="s">
        <v>927</v>
      </c>
      <c r="C341" s="7" t="str">
        <f aca="false">TRIM(SUBSTITUTE($B341,CHAR(160)," "))</f>
        <v>LF377 M-מדרס סיליקון לנעלי עקב</v>
      </c>
    </row>
    <row r="342" customFormat="false" ht="15" hidden="false" customHeight="false" outlineLevel="0" collapsed="false">
      <c r="A342" s="7" t="n">
        <v>4413278</v>
      </c>
      <c r="B342" s="7" t="s">
        <v>928</v>
      </c>
      <c r="C342" s="7" t="str">
        <f aca="false">TRIM(SUBSTITUTE($B342,CHAR(160)," "))</f>
        <v>LF377 S-מדרס סיליקון לנעלי עקב</v>
      </c>
    </row>
    <row r="343" customFormat="false" ht="15" hidden="false" customHeight="false" outlineLevel="0" collapsed="false">
      <c r="A343" s="7" t="n">
        <v>4413451</v>
      </c>
      <c r="B343" s="7" t="s">
        <v>930</v>
      </c>
      <c r="C343" s="7" t="str">
        <f aca="false">TRIM(SUBSTITUTE($B343,CHAR(160)," "))</f>
        <v>LF378 L מדרס ג'ל לנעלי עקב</v>
      </c>
    </row>
    <row r="344" customFormat="false" ht="15" hidden="false" customHeight="false" outlineLevel="0" collapsed="false">
      <c r="A344" s="7" t="n">
        <v>4420024</v>
      </c>
      <c r="B344" s="7" t="s">
        <v>931</v>
      </c>
      <c r="C344" s="7" t="str">
        <f aca="false">TRIM(SUBSTITUTE($B344,CHAR(160)," "))</f>
        <v>LFריפוד סיליק.לכרית כף הרגל373</v>
      </c>
    </row>
    <row r="345" customFormat="false" ht="15" hidden="false" customHeight="false" outlineLevel="0" collapsed="false">
      <c r="A345" s="7" t="n">
        <v>4413008</v>
      </c>
      <c r="B345" s="7" t="s">
        <v>1426</v>
      </c>
      <c r="C345" s="7" t="str">
        <f aca="false">TRIM(SUBSTITUTE($B345,CHAR(160)," "))</f>
        <v>300M תתמדרס.ציפוי עור גבר זו43</v>
      </c>
    </row>
    <row r="346" customFormat="false" ht="15" hidden="false" customHeight="false" outlineLevel="0" collapsed="false">
      <c r="A346" s="7" t="n">
        <v>4413009</v>
      </c>
      <c r="B346" s="7" t="s">
        <v>1427</v>
      </c>
      <c r="C346" s="7" t="str">
        <f aca="false">TRIM(SUBSTITUTE($B346,CHAR(160)," "))</f>
        <v>300M תתמדרס/ציפוי עור גבר זו44</v>
      </c>
    </row>
    <row r="347" customFormat="false" ht="15" hidden="false" customHeight="false" outlineLevel="0" collapsed="false">
      <c r="A347" s="7" t="n">
        <v>4413372</v>
      </c>
      <c r="B347" s="7" t="s">
        <v>932</v>
      </c>
      <c r="C347" s="7" t="str">
        <f aca="false">TRIM(SUBSTITUTE($B347,CHAR(160)," "))</f>
        <v>302 W מדרס לאישה</v>
      </c>
    </row>
    <row r="348" customFormat="false" ht="15" hidden="false" customHeight="false" outlineLevel="0" collapsed="false">
      <c r="A348" s="7" t="n">
        <v>4413348</v>
      </c>
      <c r="B348" s="7" t="s">
        <v>933</v>
      </c>
      <c r="C348" s="7" t="str">
        <f aca="false">TRIM(SUBSTITUTE($B348,CHAR(160)," "))</f>
        <v>302 מדרס ג'ל לגבר</v>
      </c>
    </row>
    <row r="349" customFormat="false" ht="15" hidden="false" customHeight="false" outlineLevel="0" collapsed="false">
      <c r="A349" s="7" t="n">
        <v>4413444</v>
      </c>
      <c r="B349" s="7" t="s">
        <v>1428</v>
      </c>
      <c r="C349" s="7" t="str">
        <f aca="false">TRIM(SUBSTITUTE($B349,CHAR(160)," "))</f>
        <v>302SP M מדרס ג'ל ספורט לגבר</v>
      </c>
    </row>
    <row r="350" customFormat="false" ht="15" hidden="false" customHeight="false" outlineLevel="0" collapsed="false">
      <c r="A350" s="7" t="n">
        <v>4413445</v>
      </c>
      <c r="B350" s="7" t="s">
        <v>1429</v>
      </c>
      <c r="C350" s="7" t="str">
        <f aca="false">TRIM(SUBSTITUTE($B350,CHAR(160)," "))</f>
        <v>302SP Wמדרס ג'ל ספורט לאישה</v>
      </c>
    </row>
    <row r="351" customFormat="false" ht="15" hidden="false" customHeight="false" outlineLevel="0" collapsed="false">
      <c r="A351" s="7" t="n">
        <v>4413018</v>
      </c>
      <c r="B351" s="7" t="s">
        <v>935</v>
      </c>
      <c r="C351" s="7" t="str">
        <f aca="false">TRIM(SUBSTITUTE($B351,CHAR(160)," "))</f>
        <v>303 37-38 מדרסי סיליק.לח.סכרת</v>
      </c>
    </row>
    <row r="352" customFormat="false" ht="15" hidden="false" customHeight="false" outlineLevel="0" collapsed="false">
      <c r="A352" s="7" t="n">
        <v>4413019</v>
      </c>
      <c r="B352" s="7" t="s">
        <v>1430</v>
      </c>
      <c r="C352" s="7" t="str">
        <f aca="false">TRIM(SUBSTITUTE($B352,CHAR(160)," "))</f>
        <v>303 39-40 מדרסי סיליק.לח.סכרת</v>
      </c>
    </row>
    <row r="353" customFormat="false" ht="15" hidden="false" customHeight="false" outlineLevel="0" collapsed="false">
      <c r="A353" s="7" t="n">
        <v>4413020</v>
      </c>
      <c r="B353" s="7" t="s">
        <v>937</v>
      </c>
      <c r="C353" s="7" t="str">
        <f aca="false">TRIM(SUBSTITUTE($B353,CHAR(160)," "))</f>
        <v>303 41-42 מדרסי סיליק.לח.סכרת</v>
      </c>
    </row>
    <row r="354" customFormat="false" ht="15" hidden="false" customHeight="false" outlineLevel="0" collapsed="false">
      <c r="A354" s="7" t="n">
        <v>4413021</v>
      </c>
      <c r="B354" s="7" t="s">
        <v>1431</v>
      </c>
      <c r="C354" s="7" t="str">
        <f aca="false">TRIM(SUBSTITUTE($B354,CHAR(160)," "))</f>
        <v>303 43-44 מדרסי סיליק.לח.סכרת</v>
      </c>
    </row>
    <row r="355" customFormat="false" ht="15" hidden="false" customHeight="false" outlineLevel="0" collapsed="false">
      <c r="A355" s="7" t="n">
        <v>4413022</v>
      </c>
      <c r="B355" s="7" t="s">
        <v>939</v>
      </c>
      <c r="C355" s="7" t="str">
        <f aca="false">TRIM(SUBSTITUTE($B355,CHAR(160)," "))</f>
        <v>303 45-46 מדרסי סיליק.לח.סכרת</v>
      </c>
    </row>
    <row r="356" customFormat="false" ht="15" hidden="false" customHeight="false" outlineLevel="0" collapsed="false">
      <c r="A356" s="7" t="n">
        <v>4413153</v>
      </c>
      <c r="B356" s="7" t="s">
        <v>1432</v>
      </c>
      <c r="C356" s="7" t="str">
        <f aca="false">TRIM(SUBSTITUTE($B356,CHAR(160)," "))</f>
        <v>305GA מדרס אורטופ.מתכוון35-36</v>
      </c>
    </row>
    <row r="357" customFormat="false" ht="15" hidden="false" customHeight="false" outlineLevel="0" collapsed="false">
      <c r="A357" s="7" t="n">
        <v>4413154</v>
      </c>
      <c r="B357" s="7" t="s">
        <v>941</v>
      </c>
      <c r="C357" s="7" t="str">
        <f aca="false">TRIM(SUBSTITUTE($B357,CHAR(160)," "))</f>
        <v>305GA מדרס אורטופ.מתכוון37-38</v>
      </c>
    </row>
    <row r="358" customFormat="false" ht="15" hidden="false" customHeight="false" outlineLevel="0" collapsed="false">
      <c r="A358" s="7" t="n">
        <v>4413155</v>
      </c>
      <c r="B358" s="7" t="s">
        <v>943</v>
      </c>
      <c r="C358" s="7" t="str">
        <f aca="false">TRIM(SUBSTITUTE($B358,CHAR(160)," "))</f>
        <v>305GA מדרס אורטופ.מתכוון39-40</v>
      </c>
    </row>
    <row r="359" customFormat="false" ht="15" hidden="false" customHeight="false" outlineLevel="0" collapsed="false">
      <c r="A359" s="7" t="n">
        <v>4413156</v>
      </c>
      <c r="B359" s="7" t="s">
        <v>945</v>
      </c>
      <c r="C359" s="7" t="str">
        <f aca="false">TRIM(SUBSTITUTE($B359,CHAR(160)," "))</f>
        <v>305GA מדרס אורטופ.מתכוון41-42</v>
      </c>
    </row>
    <row r="360" customFormat="false" ht="15" hidden="false" customHeight="false" outlineLevel="0" collapsed="false">
      <c r="A360" s="7" t="n">
        <v>4413157</v>
      </c>
      <c r="B360" s="7" t="s">
        <v>947</v>
      </c>
      <c r="C360" s="7" t="str">
        <f aca="false">TRIM(SUBSTITUTE($B360,CHAR(160)," "))</f>
        <v>305GA מדרס אורטופ.מתכוון43-44</v>
      </c>
    </row>
    <row r="361" customFormat="false" ht="15" hidden="false" customHeight="false" outlineLevel="0" collapsed="false">
      <c r="A361" s="7" t="n">
        <v>4413158</v>
      </c>
      <c r="B361" s="7" t="s">
        <v>949</v>
      </c>
      <c r="C361" s="7" t="str">
        <f aca="false">TRIM(SUBSTITUTE($B361,CHAR(160)," "))</f>
        <v>305GA מדרס אורטופ.מתכוון45-46</v>
      </c>
    </row>
    <row r="362" customFormat="false" ht="15" hidden="false" customHeight="false" outlineLevel="0" collapsed="false">
      <c r="A362" s="7" t="n">
        <v>4413285</v>
      </c>
      <c r="B362" s="7" t="s">
        <v>1433</v>
      </c>
      <c r="C362" s="7" t="str">
        <f aca="false">TRIM(SUBSTITUTE($B362,CHAR(160)," "))</f>
        <v>305GA מדרס מתכוונן47-48</v>
      </c>
    </row>
    <row r="363" customFormat="false" ht="15" hidden="false" customHeight="false" outlineLevel="0" collapsed="false">
      <c r="A363" s="7" t="n">
        <v>4413482</v>
      </c>
      <c r="B363" s="7" t="s">
        <v>1434</v>
      </c>
      <c r="C363" s="7" t="str">
        <f aca="false">TRIM(SUBSTITUTE($B363,CHAR(160)," "))</f>
        <v>310Lמדרס 3/4לכאבי דורבן וספורט</v>
      </c>
    </row>
    <row r="364" customFormat="false" ht="15" hidden="false" customHeight="false" outlineLevel="0" collapsed="false">
      <c r="A364" s="7" t="n">
        <v>4413483</v>
      </c>
      <c r="B364" s="7" t="s">
        <v>1435</v>
      </c>
      <c r="C364" s="7" t="str">
        <f aca="false">TRIM(SUBSTITUTE($B364,CHAR(160)," "))</f>
        <v>310Mמדרס 3/4לכאבי דורבן וספורט</v>
      </c>
    </row>
    <row r="365" customFormat="false" ht="15" hidden="false" customHeight="false" outlineLevel="0" collapsed="false">
      <c r="A365" s="7" t="n">
        <v>4413484</v>
      </c>
      <c r="B365" s="7" t="s">
        <v>1436</v>
      </c>
      <c r="C365" s="7" t="str">
        <f aca="false">TRIM(SUBSTITUTE($B365,CHAR(160)," "))</f>
        <v>310Sמדרס 3/4לכאבי דורבן וספורט</v>
      </c>
    </row>
    <row r="366" customFormat="false" ht="15" hidden="false" customHeight="false" outlineLevel="0" collapsed="false">
      <c r="A366" s="7" t="n">
        <v>4413523</v>
      </c>
      <c r="B366" s="7" t="s">
        <v>950</v>
      </c>
      <c r="C366" s="7" t="str">
        <f aca="false">TRIM(SUBSTITUTE($B366,CHAR(160)," "))</f>
        <v>35-38 מדרסי אפיק ג'ל נוחות</v>
      </c>
    </row>
    <row r="367" customFormat="false" ht="15" hidden="false" customHeight="false" outlineLevel="0" collapsed="false">
      <c r="A367" s="7" t="n">
        <v>4413527</v>
      </c>
      <c r="B367" s="7" t="s">
        <v>951</v>
      </c>
      <c r="C367" s="7" t="str">
        <f aca="false">TRIM(SUBSTITUTE($B367,CHAR(160)," "))</f>
        <v>35-38 מדרסי אפיק ג'ל עבודה</v>
      </c>
    </row>
    <row r="368" customFormat="false" ht="15" hidden="false" customHeight="false" outlineLevel="0" collapsed="false">
      <c r="A368" s="7" t="n">
        <v>4413524</v>
      </c>
      <c r="B368" s="7" t="s">
        <v>952</v>
      </c>
      <c r="C368" s="7" t="str">
        <f aca="false">TRIM(SUBSTITUTE($B368,CHAR(160)," "))</f>
        <v>39-42 מדרסי אפיק ג'ל נוחות</v>
      </c>
    </row>
    <row r="369" customFormat="false" ht="15" hidden="false" customHeight="false" outlineLevel="0" collapsed="false">
      <c r="A369" s="7" t="n">
        <v>4413528</v>
      </c>
      <c r="B369" s="7" t="s">
        <v>953</v>
      </c>
      <c r="C369" s="7" t="str">
        <f aca="false">TRIM(SUBSTITUTE($B369,CHAR(160)," "))</f>
        <v>39-42 מדרסי אפיק ג'ל עבודה</v>
      </c>
    </row>
    <row r="370" customFormat="false" ht="15" hidden="false" customHeight="false" outlineLevel="0" collapsed="false">
      <c r="A370" s="7" t="n">
        <v>4413525</v>
      </c>
      <c r="B370" s="7" t="s">
        <v>954</v>
      </c>
      <c r="C370" s="7" t="str">
        <f aca="false">TRIM(SUBSTITUTE($B370,CHAR(160)," "))</f>
        <v>43-47 מדרסי אפיק ג'ל נוחות</v>
      </c>
    </row>
    <row r="371" customFormat="false" ht="15" hidden="false" customHeight="false" outlineLevel="0" collapsed="false">
      <c r="A371" s="7" t="n">
        <v>4413529</v>
      </c>
      <c r="B371" s="7" t="s">
        <v>955</v>
      </c>
      <c r="C371" s="7" t="str">
        <f aca="false">TRIM(SUBSTITUTE($B371,CHAR(160)," "))</f>
        <v>43-47 מדרסי אפיק ג'ל עבודה</v>
      </c>
    </row>
    <row r="372" customFormat="false" ht="15" hidden="false" customHeight="false" outlineLevel="0" collapsed="false">
      <c r="A372" s="7" t="n">
        <v>4413450</v>
      </c>
      <c r="B372" s="7" t="s">
        <v>957</v>
      </c>
      <c r="C372" s="7" t="str">
        <f aca="false">TRIM(SUBSTITUTE($B372,CHAR(160)," "))</f>
        <v>LF378 M מדרס ג'ל לנעלי עקב</v>
      </c>
    </row>
    <row r="373" customFormat="false" ht="15" hidden="false" customHeight="false" outlineLevel="0" collapsed="false">
      <c r="A373" s="7" t="n">
        <v>4413449</v>
      </c>
      <c r="B373" s="7" t="s">
        <v>959</v>
      </c>
      <c r="C373" s="7" t="str">
        <f aca="false">TRIM(SUBSTITUTE($B373,CHAR(160)," "))</f>
        <v>LF378 S מדרס ג'ל לנעלי עקב</v>
      </c>
    </row>
    <row r="374" customFormat="false" ht="15" hidden="false" customHeight="false" outlineLevel="0" collapsed="false">
      <c r="A374" s="7" t="n">
        <v>4413520</v>
      </c>
      <c r="B374" s="7" t="s">
        <v>960</v>
      </c>
      <c r="C374" s="7" t="str">
        <f aca="false">TRIM(SUBSTITUTE($B374,CHAR(160)," "))</f>
        <v>מדרסי אפיק ג'ל מולט.ספורט35-38</v>
      </c>
    </row>
    <row r="375" customFormat="false" ht="15" hidden="false" customHeight="false" outlineLevel="0" collapsed="false">
      <c r="A375" s="7" t="n">
        <v>4413522</v>
      </c>
      <c r="B375" s="7" t="s">
        <v>961</v>
      </c>
      <c r="C375" s="7" t="str">
        <f aca="false">TRIM(SUBSTITUTE($B375,CHAR(160)," "))</f>
        <v>מדרסי אפיק ג'ל מולט.ספורט43-47</v>
      </c>
    </row>
    <row r="376" customFormat="false" ht="15" hidden="false" customHeight="false" outlineLevel="0" collapsed="false">
      <c r="A376" s="7" t="n">
        <v>4413521</v>
      </c>
      <c r="B376" s="7" t="s">
        <v>962</v>
      </c>
      <c r="C376" s="7" t="str">
        <f aca="false">TRIM(SUBSTITUTE($B376,CHAR(160)," "))</f>
        <v>מדרסי אפיק ג'ל מולטי ספור39-42</v>
      </c>
    </row>
    <row r="377" customFormat="false" ht="15" hidden="false" customHeight="false" outlineLevel="0" collapsed="false">
      <c r="A377" s="7" t="n">
        <v>4413117</v>
      </c>
      <c r="B377" s="7" t="s">
        <v>963</v>
      </c>
      <c r="C377" s="7" t="str">
        <f aca="false">TRIM(SUBSTITUTE($B377,CHAR(160)," "))</f>
        <v>50 L מתלה אשכים לאחר ניתוח</v>
      </c>
    </row>
    <row r="378" customFormat="false" ht="15" hidden="false" customHeight="false" outlineLevel="0" collapsed="false">
      <c r="A378" s="7" t="n">
        <v>4413118</v>
      </c>
      <c r="B378" s="7" t="s">
        <v>964</v>
      </c>
      <c r="C378" s="7" t="str">
        <f aca="false">TRIM(SUBSTITUTE($B378,CHAR(160)," "))</f>
        <v>50 M מתלה אשכים לאחר ניתוח</v>
      </c>
    </row>
    <row r="379" customFormat="false" ht="15" hidden="false" customHeight="false" outlineLevel="0" collapsed="false">
      <c r="A379" s="7" t="n">
        <v>4413116</v>
      </c>
      <c r="B379" s="7" t="s">
        <v>1437</v>
      </c>
      <c r="C379" s="7" t="str">
        <f aca="false">TRIM(SUBSTITUTE($B379,CHAR(160)," "))</f>
        <v>50 S מתלה אשכים לאחר ניתוח</v>
      </c>
    </row>
    <row r="380" customFormat="false" ht="15" hidden="false" customHeight="false" outlineLevel="0" collapsed="false">
      <c r="A380" s="7" t="n">
        <v>4413119</v>
      </c>
      <c r="B380" s="7" t="s">
        <v>965</v>
      </c>
      <c r="C380" s="7" t="str">
        <f aca="false">TRIM(SUBSTITUTE($B380,CHAR(160)," "))</f>
        <v>50 XL מתלה אשכים לאחר ניתוח</v>
      </c>
    </row>
    <row r="381" customFormat="false" ht="15" hidden="false" customHeight="false" outlineLevel="0" collapsed="false">
      <c r="A381" s="7" t="n">
        <v>4413120</v>
      </c>
      <c r="B381" s="7" t="s">
        <v>1438</v>
      </c>
      <c r="C381" s="7" t="str">
        <f aca="false">TRIM(SUBSTITUTE($B381,CHAR(160)," "))</f>
        <v>50 XXL מתלה אשכים לאחר ניתוח</v>
      </c>
    </row>
    <row r="382" customFormat="false" ht="15" hidden="false" customHeight="false" outlineLevel="0" collapsed="false">
      <c r="A382" s="7" t="n">
        <v>4413122</v>
      </c>
      <c r="B382" s="7" t="s">
        <v>966</v>
      </c>
      <c r="C382" s="7" t="str">
        <f aca="false">TRIM(SUBSTITUTE($B382,CHAR(160)," "))</f>
        <v>55 L מתלה אשכים לספורטאים</v>
      </c>
    </row>
    <row r="383" customFormat="false" ht="15" hidden="false" customHeight="false" outlineLevel="0" collapsed="false">
      <c r="A383" s="7" t="n">
        <v>4413123</v>
      </c>
      <c r="B383" s="7" t="s">
        <v>1439</v>
      </c>
      <c r="C383" s="7" t="str">
        <f aca="false">TRIM(SUBSTITUTE($B383,CHAR(160)," "))</f>
        <v>55 M מתלה אשכים לספורטאים</v>
      </c>
    </row>
    <row r="384" customFormat="false" ht="15" hidden="false" customHeight="false" outlineLevel="0" collapsed="false">
      <c r="A384" s="7" t="n">
        <v>4413121</v>
      </c>
      <c r="B384" s="7" t="s">
        <v>1440</v>
      </c>
      <c r="C384" s="7" t="str">
        <f aca="false">TRIM(SUBSTITUTE($B384,CHAR(160)," "))</f>
        <v>55 S מתלה אשכים לספורטאים</v>
      </c>
    </row>
    <row r="385" customFormat="false" ht="15" hidden="false" customHeight="false" outlineLevel="0" collapsed="false">
      <c r="A385" s="7" t="n">
        <v>4413124</v>
      </c>
      <c r="B385" s="7" t="s">
        <v>967</v>
      </c>
      <c r="C385" s="7" t="str">
        <f aca="false">TRIM(SUBSTITUTE($B385,CHAR(160)," "))</f>
        <v>55 XL מתלה אשכים לספורטאים</v>
      </c>
    </row>
    <row r="386" customFormat="false" ht="15" hidden="false" customHeight="false" outlineLevel="0" collapsed="false">
      <c r="A386" s="7" t="n">
        <v>4413125</v>
      </c>
      <c r="B386" s="7" t="s">
        <v>1441</v>
      </c>
      <c r="C386" s="7" t="str">
        <f aca="false">TRIM(SUBSTITUTE($B386,CHAR(160)," "))</f>
        <v>55 XXL מתלה אשכים לספורטאים</v>
      </c>
    </row>
    <row r="387" customFormat="false" ht="15" hidden="false" customHeight="false" outlineLevel="0" collapsed="false">
      <c r="A387" s="7" t="n">
        <v>4408071</v>
      </c>
      <c r="B387" s="7" t="s">
        <v>968</v>
      </c>
      <c r="C387" s="7" t="str">
        <f aca="false">TRIM(SUBSTITUTE($B387,CHAR(160)," "))</f>
        <v>59D L חגורת שבר דו צדדי</v>
      </c>
    </row>
    <row r="388" customFormat="false" ht="15" hidden="false" customHeight="false" outlineLevel="0" collapsed="false">
      <c r="A388" s="7" t="n">
        <v>4408072</v>
      </c>
      <c r="B388" s="7" t="s">
        <v>969</v>
      </c>
      <c r="C388" s="7" t="str">
        <f aca="false">TRIM(SUBSTITUTE($B388,CHAR(160)," "))</f>
        <v>59D M חגורת שבר דו צדדי</v>
      </c>
    </row>
    <row r="389" customFormat="false" ht="15" hidden="false" customHeight="false" outlineLevel="0" collapsed="false">
      <c r="A389" s="7" t="n">
        <v>4408070</v>
      </c>
      <c r="B389" s="7" t="s">
        <v>970</v>
      </c>
      <c r="C389" s="7" t="str">
        <f aca="false">TRIM(SUBSTITUTE($B389,CHAR(160)," "))</f>
        <v>59D S חגורת שבר דו צדדי</v>
      </c>
    </row>
    <row r="390" customFormat="false" ht="15" hidden="false" customHeight="false" outlineLevel="0" collapsed="false">
      <c r="A390" s="7" t="n">
        <v>4408073</v>
      </c>
      <c r="B390" s="7" t="s">
        <v>971</v>
      </c>
      <c r="C390" s="7" t="str">
        <f aca="false">TRIM(SUBSTITUTE($B390,CHAR(160)," "))</f>
        <v>59D XL חגורת שבר דו צדדי</v>
      </c>
    </row>
    <row r="391" customFormat="false" ht="15" hidden="false" customHeight="false" outlineLevel="0" collapsed="false">
      <c r="A391" s="7" t="n">
        <v>4408074</v>
      </c>
      <c r="B391" s="7" t="s">
        <v>1442</v>
      </c>
      <c r="C391" s="7" t="str">
        <f aca="false">TRIM(SUBSTITUTE($B391,CHAR(160)," "))</f>
        <v>59D XXLחגורת שבר דו צדדי</v>
      </c>
    </row>
    <row r="392" customFormat="false" ht="15" hidden="false" customHeight="false" outlineLevel="0" collapsed="false">
      <c r="A392" s="7" t="n">
        <v>4408076</v>
      </c>
      <c r="B392" s="7" t="s">
        <v>973</v>
      </c>
      <c r="C392" s="7" t="str">
        <f aca="false">TRIM(SUBSTITUTE($B392,CHAR(160)," "))</f>
        <v>59L L חגורת שבר לצד שמאל</v>
      </c>
    </row>
    <row r="393" customFormat="false" ht="15" hidden="false" customHeight="false" outlineLevel="0" collapsed="false">
      <c r="A393" s="7" t="n">
        <v>4408077</v>
      </c>
      <c r="B393" s="7" t="s">
        <v>974</v>
      </c>
      <c r="C393" s="7" t="str">
        <f aca="false">TRIM(SUBSTITUTE($B393,CHAR(160)," "))</f>
        <v>59L M חגורת שבר לצד שמאל</v>
      </c>
    </row>
    <row r="394" customFormat="false" ht="15" hidden="false" customHeight="false" outlineLevel="0" collapsed="false">
      <c r="A394" s="7" t="n">
        <v>4408075</v>
      </c>
      <c r="B394" s="7" t="s">
        <v>976</v>
      </c>
      <c r="C394" s="7" t="str">
        <f aca="false">TRIM(SUBSTITUTE($B394,CHAR(160)," "))</f>
        <v>59L S חגורת שבר לצד שמאל</v>
      </c>
    </row>
    <row r="395" customFormat="false" ht="15" hidden="false" customHeight="false" outlineLevel="0" collapsed="false">
      <c r="A395" s="7" t="n">
        <v>4408078</v>
      </c>
      <c r="B395" s="7" t="s">
        <v>977</v>
      </c>
      <c r="C395" s="7" t="str">
        <f aca="false">TRIM(SUBSTITUTE($B395,CHAR(160)," "))</f>
        <v>59L XLחגורת שבר לצד שמאל</v>
      </c>
    </row>
    <row r="396" customFormat="false" ht="15" hidden="false" customHeight="false" outlineLevel="0" collapsed="false">
      <c r="A396" s="7" t="n">
        <v>4408080</v>
      </c>
      <c r="B396" s="7" t="s">
        <v>978</v>
      </c>
      <c r="C396" s="7" t="str">
        <f aca="false">TRIM(SUBSTITUTE($B396,CHAR(160)," "))</f>
        <v>59R L חגורת שבר לצד ימין</v>
      </c>
    </row>
    <row r="397" customFormat="false" ht="15" hidden="false" customHeight="false" outlineLevel="0" collapsed="false">
      <c r="A397" s="7" t="n">
        <v>4408081</v>
      </c>
      <c r="B397" s="7" t="s">
        <v>979</v>
      </c>
      <c r="C397" s="7" t="str">
        <f aca="false">TRIM(SUBSTITUTE($B397,CHAR(160)," "))</f>
        <v>59R M חגורת שבר לצד ימין</v>
      </c>
    </row>
    <row r="398" customFormat="false" ht="15" hidden="false" customHeight="false" outlineLevel="0" collapsed="false">
      <c r="A398" s="7" t="n">
        <v>4408079</v>
      </c>
      <c r="B398" s="7" t="s">
        <v>981</v>
      </c>
      <c r="C398" s="7" t="str">
        <f aca="false">TRIM(SUBSTITUTE($B398,CHAR(160)," "))</f>
        <v>59R S חגורת שבר לצד ימין</v>
      </c>
    </row>
    <row r="399" customFormat="false" ht="15" hidden="false" customHeight="false" outlineLevel="0" collapsed="false">
      <c r="A399" s="7" t="n">
        <v>4408082</v>
      </c>
      <c r="B399" s="7" t="s">
        <v>983</v>
      </c>
      <c r="C399" s="7" t="str">
        <f aca="false">TRIM(SUBSTITUTE($B399,CHAR(160)," "))</f>
        <v>59R XL חגורת שבר לצד ימין</v>
      </c>
    </row>
    <row r="400" customFormat="false" ht="15" hidden="false" customHeight="false" outlineLevel="0" collapsed="false">
      <c r="A400" s="7" t="n">
        <v>4413466</v>
      </c>
      <c r="B400" s="7" t="s">
        <v>1443</v>
      </c>
      <c r="C400" s="7" t="str">
        <f aca="false">TRIM(SUBSTITUTE($B400,CHAR(160)," "))</f>
        <v>604L מסכה ארקי</v>
      </c>
    </row>
    <row r="401" customFormat="false" ht="15" hidden="false" customHeight="false" outlineLevel="0" collapsed="false">
      <c r="A401" s="7" t="n">
        <v>4413467</v>
      </c>
      <c r="B401" s="7" t="s">
        <v>1444</v>
      </c>
      <c r="C401" s="7" t="str">
        <f aca="false">TRIM(SUBSTITUTE($B401,CHAR(160)," "))</f>
        <v>604XL מסכה ארקי</v>
      </c>
    </row>
    <row r="402" customFormat="false" ht="15" hidden="false" customHeight="false" outlineLevel="0" collapsed="false">
      <c r="A402" s="7" t="n">
        <v>4413464</v>
      </c>
      <c r="B402" s="7" t="s">
        <v>1445</v>
      </c>
      <c r="C402" s="7" t="str">
        <f aca="false">TRIM(SUBSTITUTE($B402,CHAR(160)," "))</f>
        <v>605XL מסכה אלה</v>
      </c>
    </row>
    <row r="403" customFormat="false" ht="15" hidden="false" customHeight="false" outlineLevel="0" collapsed="false">
      <c r="A403" s="7" t="n">
        <v>4413473</v>
      </c>
      <c r="B403" s="7" t="s">
        <v>1446</v>
      </c>
      <c r="C403" s="7" t="str">
        <f aca="false">TRIM(SUBSTITUTE($B403,CHAR(160)," "))</f>
        <v>655L ""מסכה ""גדי</v>
      </c>
    </row>
    <row r="404" customFormat="false" ht="15" hidden="false" customHeight="false" outlineLevel="0" collapsed="false">
      <c r="A404" s="7" t="n">
        <v>4408088</v>
      </c>
      <c r="B404" s="7" t="s">
        <v>1447</v>
      </c>
      <c r="C404" s="7" t="str">
        <f aca="false">TRIM(SUBSTITUTE($B404,CHAR(160)," "))</f>
        <v>91 חבק ""טניס אלבו רצועה</v>
      </c>
    </row>
    <row r="405" customFormat="false" ht="15" hidden="false" customHeight="false" outlineLevel="0" collapsed="false">
      <c r="A405" s="7" t="n">
        <v>4408083</v>
      </c>
      <c r="B405" s="7" t="s">
        <v>1448</v>
      </c>
      <c r="C405" s="7" t="str">
        <f aca="false">TRIM(SUBSTITUTE($B405,CHAR(160)," "))</f>
        <v>911 חבק לטניס אלבו</v>
      </c>
    </row>
    <row r="406" customFormat="false" ht="15" hidden="false" customHeight="false" outlineLevel="0" collapsed="false">
      <c r="A406" s="7" t="n">
        <v>4408266</v>
      </c>
      <c r="B406" s="7" t="s">
        <v>984</v>
      </c>
      <c r="C406" s="7" t="str">
        <f aca="false">TRIM(SUBSTITUTE($B406,CHAR(160)," "))</f>
        <v>91B חבק טניס אלבו</v>
      </c>
    </row>
    <row r="407" customFormat="false" ht="15" hidden="false" customHeight="false" outlineLevel="0" collapsed="false">
      <c r="A407" s="7" t="n">
        <v>4408084</v>
      </c>
      <c r="B407" s="7" t="s">
        <v>986</v>
      </c>
      <c r="C407" s="7" t="str">
        <f aca="false">TRIM(SUBSTITUTE($B407,CHAR(160)," "))</f>
        <v>922L.חבק יד לטניס כרית סיליק</v>
      </c>
    </row>
    <row r="408" customFormat="false" ht="15" hidden="false" customHeight="false" outlineLevel="0" collapsed="false">
      <c r="A408" s="7" t="n">
        <v>4408085</v>
      </c>
      <c r="B408" s="7" t="s">
        <v>1449</v>
      </c>
      <c r="C408" s="7" t="str">
        <f aca="false">TRIM(SUBSTITUTE($B408,CHAR(160)," "))</f>
        <v>922M.מחבק יד לטניס כרית סילי</v>
      </c>
    </row>
    <row r="409" customFormat="false" ht="15" hidden="false" customHeight="false" outlineLevel="0" collapsed="false">
      <c r="A409" s="7" t="n">
        <v>4408086</v>
      </c>
      <c r="B409" s="7" t="s">
        <v>1450</v>
      </c>
      <c r="C409" s="7" t="str">
        <f aca="false">TRIM(SUBSTITUTE($B409,CHAR(160)," "))</f>
        <v>922S.חבק יד לטניס כרית סיליק</v>
      </c>
    </row>
    <row r="410" customFormat="false" ht="15" hidden="false" customHeight="false" outlineLevel="0" collapsed="false">
      <c r="A410" s="7" t="n">
        <v>4408087</v>
      </c>
      <c r="B410" s="7" t="s">
        <v>988</v>
      </c>
      <c r="C410" s="7" t="str">
        <f aca="false">TRIM(SUBSTITUTE($B410,CHAR(160)," "))</f>
        <v>922XLחבק יד לטניס כרית סיליק</v>
      </c>
    </row>
    <row r="411" customFormat="false" ht="15" hidden="false" customHeight="false" outlineLevel="0" collapsed="false">
      <c r="A411" s="7" t="n">
        <v>4413339</v>
      </c>
      <c r="B411" s="7" t="s">
        <v>1451</v>
      </c>
      <c r="C411" s="7" t="str">
        <f aca="false">TRIM(SUBSTITUTE($B411,CHAR(160)," "))</f>
        <v>922XXLמגן מרפק+כרית סילקון</v>
      </c>
    </row>
    <row r="412" customFormat="false" ht="15" hidden="false" customHeight="false" outlineLevel="0" collapsed="false">
      <c r="A412" s="7" t="n">
        <v>4413139</v>
      </c>
      <c r="B412" s="7" t="s">
        <v>989</v>
      </c>
      <c r="C412" s="7" t="str">
        <f aca="false">TRIM(SUBSTITUTE($B412,CHAR(160)," "))</f>
        <v>95 L מגן מרפק רגיל לבן</v>
      </c>
    </row>
    <row r="413" customFormat="false" ht="15" hidden="false" customHeight="false" outlineLevel="0" collapsed="false">
      <c r="A413" s="7" t="n">
        <v>4413140</v>
      </c>
      <c r="B413" s="7" t="s">
        <v>990</v>
      </c>
      <c r="C413" s="7" t="str">
        <f aca="false">TRIM(SUBSTITUTE($B413,CHAR(160)," "))</f>
        <v>95 M מגן מרפק רגיל לבן</v>
      </c>
    </row>
    <row r="414" customFormat="false" ht="15" hidden="false" customHeight="false" outlineLevel="0" collapsed="false">
      <c r="A414" s="7" t="n">
        <v>4413141</v>
      </c>
      <c r="B414" s="7" t="s">
        <v>991</v>
      </c>
      <c r="C414" s="7" t="str">
        <f aca="false">TRIM(SUBSTITUTE($B414,CHAR(160)," "))</f>
        <v>95 S מגן מרפק רגיל לבן</v>
      </c>
    </row>
    <row r="415" customFormat="false" ht="15" hidden="false" customHeight="false" outlineLevel="0" collapsed="false">
      <c r="A415" s="7" t="n">
        <v>4413142</v>
      </c>
      <c r="B415" s="7" t="s">
        <v>992</v>
      </c>
      <c r="C415" s="7" t="str">
        <f aca="false">TRIM(SUBSTITUTE($B415,CHAR(160)," "))</f>
        <v>95 XL מגן מרפק רגיל לבן</v>
      </c>
    </row>
    <row r="416" customFormat="false" ht="15" hidden="false" customHeight="false" outlineLevel="0" collapsed="false">
      <c r="A416" s="7" t="n">
        <v>4413143</v>
      </c>
      <c r="B416" s="7" t="s">
        <v>993</v>
      </c>
      <c r="C416" s="7" t="str">
        <f aca="false">TRIM(SUBSTITUTE($B416,CHAR(160)," "))</f>
        <v>95 XS מגן מרפק רגיל לבן</v>
      </c>
    </row>
    <row r="417" customFormat="false" ht="15" hidden="false" customHeight="false" outlineLevel="0" collapsed="false">
      <c r="A417" s="7" t="n">
        <v>4413144</v>
      </c>
      <c r="B417" s="7" t="s">
        <v>994</v>
      </c>
      <c r="C417" s="7" t="str">
        <f aca="false">TRIM(SUBSTITUTE($B417,CHAR(160)," "))</f>
        <v>95 XXL מגן מרפק רגיל לבן</v>
      </c>
    </row>
    <row r="418" customFormat="false" ht="15" hidden="false" customHeight="false" outlineLevel="0" collapsed="false">
      <c r="A418" s="7" t="n">
        <v>4413146</v>
      </c>
      <c r="B418" s="7" t="s">
        <v>1452</v>
      </c>
      <c r="C418" s="7" t="str">
        <f aca="false">TRIM(SUBSTITUTE($B418,CHAR(160)," "))</f>
        <v>95+ L מגן מרפק+רצועה לטניס</v>
      </c>
    </row>
    <row r="419" customFormat="false" ht="15" hidden="false" customHeight="false" outlineLevel="0" collapsed="false">
      <c r="A419" s="7" t="n">
        <v>4413147</v>
      </c>
      <c r="B419" s="7" t="s">
        <v>1453</v>
      </c>
      <c r="C419" s="7" t="str">
        <f aca="false">TRIM(SUBSTITUTE($B419,CHAR(160)," "))</f>
        <v>95+ M מגן מרפק+רצועה לטניס</v>
      </c>
    </row>
    <row r="420" customFormat="false" ht="15" hidden="false" customHeight="false" outlineLevel="0" collapsed="false">
      <c r="A420" s="7" t="n">
        <v>4413148</v>
      </c>
      <c r="B420" s="7" t="s">
        <v>1454</v>
      </c>
      <c r="C420" s="7" t="str">
        <f aca="false">TRIM(SUBSTITUTE($B420,CHAR(160)," "))</f>
        <v>95+ XL מגן מרפק+רצועה לטניס</v>
      </c>
    </row>
    <row r="421" customFormat="false" ht="15" hidden="false" customHeight="false" outlineLevel="0" collapsed="false">
      <c r="A421" s="7" t="n">
        <v>4413500</v>
      </c>
      <c r="B421" s="7" t="s">
        <v>995</v>
      </c>
      <c r="C421" s="7" t="str">
        <f aca="false">TRIM(SUBSTITUTE($B421,CHAR(160)," "))</f>
        <v>95B L מגן מרפק שחור</v>
      </c>
    </row>
    <row r="422" customFormat="false" ht="15" hidden="false" customHeight="false" outlineLevel="0" collapsed="false">
      <c r="A422" s="7" t="n">
        <v>4413501</v>
      </c>
      <c r="B422" s="7" t="s">
        <v>996</v>
      </c>
      <c r="C422" s="7" t="str">
        <f aca="false">TRIM(SUBSTITUTE($B422,CHAR(160)," "))</f>
        <v>95B M מגן מרפק שחור</v>
      </c>
    </row>
    <row r="423" customFormat="false" ht="15" hidden="false" customHeight="false" outlineLevel="0" collapsed="false">
      <c r="A423" s="7" t="n">
        <v>4413502</v>
      </c>
      <c r="B423" s="7" t="s">
        <v>997</v>
      </c>
      <c r="C423" s="7" t="str">
        <f aca="false">TRIM(SUBSTITUTE($B423,CHAR(160)," "))</f>
        <v>95B S מגן מרפק שחור</v>
      </c>
    </row>
    <row r="424" customFormat="false" ht="15" hidden="false" customHeight="false" outlineLevel="0" collapsed="false">
      <c r="A424" s="7" t="n">
        <v>4413503</v>
      </c>
      <c r="B424" s="7" t="s">
        <v>998</v>
      </c>
      <c r="C424" s="7" t="str">
        <f aca="false">TRIM(SUBSTITUTE($B424,CHAR(160)," "))</f>
        <v>95B XL מגן מרפק שחור</v>
      </c>
    </row>
    <row r="425" customFormat="false" ht="15" hidden="false" customHeight="false" outlineLevel="0" collapsed="false">
      <c r="A425" s="7" t="n">
        <v>4413504</v>
      </c>
      <c r="B425" s="7" t="s">
        <v>999</v>
      </c>
      <c r="C425" s="7" t="str">
        <f aca="false">TRIM(SUBSTITUTE($B425,CHAR(160)," "))</f>
        <v>95B XXLמגן מרפק שחור</v>
      </c>
    </row>
    <row r="426" customFormat="false" ht="15" hidden="false" customHeight="false" outlineLevel="0" collapsed="false">
      <c r="A426" s="7" t="n">
        <v>4413365</v>
      </c>
      <c r="B426" s="7" t="s">
        <v>1000</v>
      </c>
      <c r="C426" s="7" t="str">
        <f aca="false">TRIM(SUBSTITUTE($B426,CHAR(160)," "))</f>
        <v>95C L 'מגן מרפק בז</v>
      </c>
    </row>
    <row r="427" customFormat="false" ht="15" hidden="false" customHeight="false" outlineLevel="0" collapsed="false">
      <c r="A427" s="7" t="n">
        <v>4413364</v>
      </c>
      <c r="B427" s="7" t="s">
        <v>1001</v>
      </c>
      <c r="C427" s="7" t="str">
        <f aca="false">TRIM(SUBSTITUTE($B427,CHAR(160)," "))</f>
        <v>95C M 'מגן מרפק בז</v>
      </c>
    </row>
    <row r="428" customFormat="false" ht="15" hidden="false" customHeight="false" outlineLevel="0" collapsed="false">
      <c r="A428" s="7" t="n">
        <v>4413366</v>
      </c>
      <c r="B428" s="7" t="s">
        <v>1002</v>
      </c>
      <c r="C428" s="7" t="str">
        <f aca="false">TRIM(SUBSTITUTE($B428,CHAR(160)," "))</f>
        <v>95C S 'מגן מרפק בז</v>
      </c>
    </row>
    <row r="429" customFormat="false" ht="15" hidden="false" customHeight="false" outlineLevel="0" collapsed="false">
      <c r="A429" s="7" t="n">
        <v>4413367</v>
      </c>
      <c r="B429" s="7" t="s">
        <v>1003</v>
      </c>
      <c r="C429" s="7" t="str">
        <f aca="false">TRIM(SUBSTITUTE($B429,CHAR(160)," "))</f>
        <v>95C XL'מגן מרפק בז</v>
      </c>
    </row>
    <row r="430" customFormat="false" ht="15" hidden="false" customHeight="false" outlineLevel="0" collapsed="false">
      <c r="A430" s="7" t="n">
        <v>4413368</v>
      </c>
      <c r="B430" s="7" t="s">
        <v>1005</v>
      </c>
      <c r="C430" s="7" t="str">
        <f aca="false">TRIM(SUBSTITUTE($B430,CHAR(160)," "))</f>
        <v>95C XS'מגן מרפק בז</v>
      </c>
    </row>
    <row r="431" customFormat="false" ht="15" hidden="false" customHeight="false" outlineLevel="0" collapsed="false">
      <c r="A431" s="7" t="n">
        <v>4413369</v>
      </c>
      <c r="B431" s="7" t="s">
        <v>1007</v>
      </c>
      <c r="C431" s="7" t="str">
        <f aca="false">TRIM(SUBSTITUTE($B431,CHAR(160)," "))</f>
        <v>95C XXL'מגן מרפק בז</v>
      </c>
    </row>
    <row r="432" customFormat="false" ht="15" hidden="false" customHeight="false" outlineLevel="0" collapsed="false">
      <c r="A432" s="7" t="n">
        <v>4413363</v>
      </c>
      <c r="B432" s="7" t="s">
        <v>1455</v>
      </c>
      <c r="C432" s="7" t="str">
        <f aca="false">TRIM(SUBSTITUTE($B432,CHAR(160)," "))</f>
        <v>95G XXLמגן מרפק אפור</v>
      </c>
    </row>
    <row r="433" customFormat="false" ht="15" hidden="false" customHeight="false" outlineLevel="0" collapsed="false">
      <c r="A433" s="7" t="n">
        <v>4408208</v>
      </c>
      <c r="B433" s="7" t="s">
        <v>1008</v>
      </c>
      <c r="C433" s="7" t="str">
        <f aca="false">TRIM(SUBSTITUTE($B433,CHAR(160)," "))</f>
        <v>AC91 חבק טניס</v>
      </c>
    </row>
    <row r="434" customFormat="false" ht="15" hidden="false" customHeight="false" outlineLevel="0" collapsed="false">
      <c r="A434" s="7" t="n">
        <v>4413331</v>
      </c>
      <c r="B434" s="7" t="s">
        <v>1009</v>
      </c>
      <c r="C434" s="7" t="str">
        <f aca="false">TRIM(SUBSTITUTE($B434,CHAR(160)," "))</f>
        <v>AC95 מגן מרפק</v>
      </c>
    </row>
    <row r="435" customFormat="false" ht="15" hidden="false" customHeight="false" outlineLevel="0" collapsed="false">
      <c r="A435" s="7" t="n">
        <v>4413405</v>
      </c>
      <c r="B435" s="7" t="s">
        <v>1011</v>
      </c>
      <c r="C435" s="7" t="str">
        <f aca="false">TRIM(SUBSTITUTE($B435,CHAR(160)," "))</f>
        <v>SC95 S מגן מרפק</v>
      </c>
    </row>
    <row r="436" customFormat="false" ht="15" hidden="false" customHeight="false" outlineLevel="0" collapsed="false">
      <c r="A436" s="7" t="n">
        <v>4413409</v>
      </c>
      <c r="B436" s="7" t="s">
        <v>1456</v>
      </c>
      <c r="C436" s="7" t="str">
        <f aca="false">TRIM(SUBSTITUTE($B436,CHAR(160)," "))</f>
        <v>SC95 XXL מגן מרפק</v>
      </c>
    </row>
    <row r="437" customFormat="false" ht="15" hidden="false" customHeight="false" outlineLevel="0" collapsed="false">
      <c r="A437" s="7" t="n">
        <v>4413531</v>
      </c>
      <c r="B437" s="7" t="s">
        <v>1012</v>
      </c>
      <c r="C437" s="7" t="str">
        <f aca="false">TRIM(SUBSTITUTE($B437,CHAR(160)," "))</f>
        <v>ST91 מגן מרפק לטניס</v>
      </c>
    </row>
    <row r="438" customFormat="false" ht="15" hidden="false" customHeight="false" outlineLevel="0" collapsed="false">
      <c r="A438" s="7" t="n">
        <v>4420018</v>
      </c>
      <c r="B438" s="7" t="s">
        <v>1014</v>
      </c>
      <c r="C438" s="7" t="str">
        <f aca="false">TRIM(SUBSTITUTE($B438,CHAR(160)," "))</f>
        <v>T90 רצועת טניס אלבו עם פלסטיק</v>
      </c>
    </row>
    <row r="439" customFormat="false" ht="15" hidden="false" customHeight="false" outlineLevel="0" collapsed="false">
      <c r="A439" s="7" t="n">
        <v>4420019</v>
      </c>
      <c r="B439" s="7" t="s">
        <v>1457</v>
      </c>
      <c r="C439" s="7" t="str">
        <f aca="false">TRIM(SUBSTITUTE($B439,CHAR(160)," "))</f>
        <v>T91 L-XL רצועת טניס אלבו</v>
      </c>
    </row>
    <row r="440" customFormat="false" ht="15" hidden="false" customHeight="false" outlineLevel="0" collapsed="false">
      <c r="A440" s="7" t="n">
        <v>4420020</v>
      </c>
      <c r="B440" s="7" t="s">
        <v>1458</v>
      </c>
      <c r="C440" s="7" t="str">
        <f aca="false">TRIM(SUBSTITUTE($B440,CHAR(160)," "))</f>
        <v>T91 S-M רצועת טניס אלבו</v>
      </c>
    </row>
    <row r="441" customFormat="false" ht="15" hidden="false" customHeight="false" outlineLevel="0" collapsed="false">
      <c r="A441" s="7" t="n">
        <v>4413212</v>
      </c>
      <c r="B441" s="7" t="s">
        <v>1459</v>
      </c>
      <c r="C441" s="7" t="str">
        <f aca="false">TRIM(SUBSTITUTE($B441,CHAR(160)," "))</f>
        <v>T95 L מגן מרפק רגיל</v>
      </c>
    </row>
    <row r="442" customFormat="false" ht="15" hidden="false" customHeight="false" outlineLevel="0" collapsed="false">
      <c r="A442" s="7" t="n">
        <v>4413211</v>
      </c>
      <c r="B442" s="7" t="s">
        <v>1460</v>
      </c>
      <c r="C442" s="7" t="str">
        <f aca="false">TRIM(SUBSTITUTE($B442,CHAR(160)," "))</f>
        <v>T95 M מגן מרפק רגיל</v>
      </c>
    </row>
    <row r="443" customFormat="false" ht="15" hidden="false" customHeight="false" outlineLevel="0" collapsed="false">
      <c r="A443" s="7" t="n">
        <v>4413210</v>
      </c>
      <c r="B443" s="7" t="s">
        <v>1015</v>
      </c>
      <c r="C443" s="7" t="str">
        <f aca="false">TRIM(SUBSTITUTE($B443,CHAR(160)," "))</f>
        <v>T95 S מגן מרפק רגיל</v>
      </c>
    </row>
    <row r="444" customFormat="false" ht="15" hidden="false" customHeight="false" outlineLevel="0" collapsed="false">
      <c r="A444" s="7" t="n">
        <v>4413213</v>
      </c>
      <c r="B444" s="7" t="s">
        <v>1461</v>
      </c>
      <c r="C444" s="7" t="str">
        <f aca="false">TRIM(SUBSTITUTE($B444,CHAR(160)," "))</f>
        <v>T95 XLמגן מרפק רגיל</v>
      </c>
    </row>
    <row r="445" customFormat="false" ht="15" hidden="false" customHeight="false" outlineLevel="0" collapsed="false">
      <c r="A445" s="7" t="n">
        <v>4413207</v>
      </c>
      <c r="B445" s="7" t="s">
        <v>1462</v>
      </c>
      <c r="C445" s="7" t="str">
        <f aca="false">TRIM(SUBSTITUTE($B445,CHAR(160)," "))</f>
        <v>T95+ L מגן מרפק +רצועה</v>
      </c>
    </row>
    <row r="446" customFormat="false" ht="15" hidden="false" customHeight="false" outlineLevel="0" collapsed="false">
      <c r="A446" s="7" t="n">
        <v>4413208</v>
      </c>
      <c r="B446" s="7" t="s">
        <v>1463</v>
      </c>
      <c r="C446" s="7" t="str">
        <f aca="false">TRIM(SUBSTITUTE($B446,CHAR(160)," "))</f>
        <v>T95+ XLמגן מרפק +רצועה</v>
      </c>
    </row>
    <row r="447" customFormat="false" ht="15" hidden="false" customHeight="false" outlineLevel="0" collapsed="false">
      <c r="A447" s="7" t="n">
        <v>4413168</v>
      </c>
      <c r="B447" s="7" t="s">
        <v>1464</v>
      </c>
      <c r="C447" s="7" t="str">
        <f aca="false">TRIM(SUBSTITUTE($B447,CHAR(160)," "))</f>
        <v>80 L תתמתלה ליד רצועה</v>
      </c>
    </row>
    <row r="448" customFormat="false" ht="15" hidden="false" customHeight="false" outlineLevel="0" collapsed="false">
      <c r="A448" s="7" t="n">
        <v>4413167</v>
      </c>
      <c r="B448" s="7" t="s">
        <v>1465</v>
      </c>
      <c r="C448" s="7" t="str">
        <f aca="false">TRIM(SUBSTITUTE($B448,CHAR(160)," "))</f>
        <v>80 M תתמתלה ליד רצועה</v>
      </c>
    </row>
    <row r="449" customFormat="false" ht="15" hidden="false" customHeight="false" outlineLevel="0" collapsed="false">
      <c r="A449" s="7" t="n">
        <v>4413166</v>
      </c>
      <c r="B449" s="7" t="s">
        <v>1466</v>
      </c>
      <c r="C449" s="7" t="str">
        <f aca="false">TRIM(SUBSTITUTE($B449,CHAR(160)," "))</f>
        <v>80 S תתמתלה ליד רצועה</v>
      </c>
    </row>
    <row r="450" customFormat="false" ht="15" hidden="false" customHeight="false" outlineLevel="0" collapsed="false">
      <c r="A450" s="7" t="n">
        <v>4413163</v>
      </c>
      <c r="B450" s="7" t="s">
        <v>1467</v>
      </c>
      <c r="C450" s="7" t="str">
        <f aca="false">TRIM(SUBSTITUTE($B450,CHAR(160)," "))</f>
        <v>80 XL תתמתלה ליד</v>
      </c>
    </row>
    <row r="451" customFormat="false" ht="15" hidden="false" customHeight="false" outlineLevel="0" collapsed="false">
      <c r="A451" s="7" t="n">
        <v>4413308</v>
      </c>
      <c r="B451" s="7" t="s">
        <v>1468</v>
      </c>
      <c r="C451" s="7" t="str">
        <f aca="false">TRIM(SUBSTITUTE($B451,CHAR(160)," "))</f>
        <v>82 0 מתלה יד מספוג</v>
      </c>
    </row>
    <row r="452" customFormat="false" ht="15" hidden="false" customHeight="false" outlineLevel="0" collapsed="false">
      <c r="A452" s="7" t="n">
        <v>4413135</v>
      </c>
      <c r="B452" s="7" t="s">
        <v>1016</v>
      </c>
      <c r="C452" s="7" t="str">
        <f aca="false">TRIM(SUBSTITUTE($B452,CHAR(160)," "))</f>
        <v>85 L (מתלה ליד )כיס</v>
      </c>
    </row>
    <row r="453" customFormat="false" ht="15" hidden="false" customHeight="false" outlineLevel="0" collapsed="false">
      <c r="A453" s="7" t="n">
        <v>4413136</v>
      </c>
      <c r="B453" s="7" t="s">
        <v>1017</v>
      </c>
      <c r="C453" s="7" t="str">
        <f aca="false">TRIM(SUBSTITUTE($B453,CHAR(160)," "))</f>
        <v>85 M (מתלה ליד )כיס</v>
      </c>
    </row>
    <row r="454" customFormat="false" ht="15" hidden="false" customHeight="false" outlineLevel="0" collapsed="false">
      <c r="A454" s="7" t="n">
        <v>4413137</v>
      </c>
      <c r="B454" s="7" t="s">
        <v>1018</v>
      </c>
      <c r="C454" s="7" t="str">
        <f aca="false">TRIM(SUBSTITUTE($B454,CHAR(160)," "))</f>
        <v>85 S (מתלה ליד )כיס</v>
      </c>
    </row>
    <row r="455" customFormat="false" ht="15" hidden="false" customHeight="false" outlineLevel="0" collapsed="false">
      <c r="A455" s="7" t="n">
        <v>4413138</v>
      </c>
      <c r="B455" s="7" t="s">
        <v>1019</v>
      </c>
      <c r="C455" s="7" t="str">
        <f aca="false">TRIM(SUBSTITUTE($B455,CHAR(160)," "))</f>
        <v>85 XL (מתלה ליד )כיס</v>
      </c>
    </row>
    <row r="456" customFormat="false" ht="15" hidden="false" customHeight="false" outlineLevel="0" collapsed="false">
      <c r="A456" s="7" t="n">
        <v>4413176</v>
      </c>
      <c r="B456" s="7" t="s">
        <v>1020</v>
      </c>
      <c r="C456" s="7" t="str">
        <f aca="false">TRIM(SUBSTITUTE($B456,CHAR(160)," "))</f>
        <v>85+ Lמתלה ליד)כיס(+רצועת חיזוק</v>
      </c>
    </row>
    <row r="457" customFormat="false" ht="15" hidden="false" customHeight="false" outlineLevel="0" collapsed="false">
      <c r="A457" s="7" t="n">
        <v>4413175</v>
      </c>
      <c r="B457" s="7" t="s">
        <v>1021</v>
      </c>
      <c r="C457" s="7" t="str">
        <f aca="false">TRIM(SUBSTITUTE($B457,CHAR(160)," "))</f>
        <v>85+ Mמתלה ליד)כיס(+רצועת חיזוק</v>
      </c>
    </row>
    <row r="458" customFormat="false" ht="15" hidden="false" customHeight="false" outlineLevel="0" collapsed="false">
      <c r="A458" s="7" t="n">
        <v>4413174</v>
      </c>
      <c r="B458" s="7" t="s">
        <v>1469</v>
      </c>
      <c r="C458" s="7" t="str">
        <f aca="false">TRIM(SUBSTITUTE($B458,CHAR(160)," "))</f>
        <v>85+ Sמתלה ליד)כיס(+רצועת חיזוק</v>
      </c>
    </row>
    <row r="459" customFormat="false" ht="15" hidden="false" customHeight="false" outlineLevel="0" collapsed="false">
      <c r="A459" s="7" t="n">
        <v>4413177</v>
      </c>
      <c r="B459" s="7" t="s">
        <v>1022</v>
      </c>
      <c r="C459" s="7" t="str">
        <f aca="false">TRIM(SUBSTITUTE($B459,CHAR(160)," "))</f>
        <v>85+ XLמתלה ליד)כיס(רצועת חיזוק</v>
      </c>
    </row>
    <row r="460" customFormat="false" ht="15" hidden="false" customHeight="false" outlineLevel="0" collapsed="false">
      <c r="A460" s="7" t="n">
        <v>4413516</v>
      </c>
      <c r="B460" s="7" t="s">
        <v>1024</v>
      </c>
      <c r="C460" s="7" t="str">
        <f aca="false">TRIM(SUBSTITUTE($B460,CHAR(160)," "))</f>
        <v>85B L מתלה רשת לזרוע שחור</v>
      </c>
    </row>
    <row r="461" customFormat="false" ht="15" hidden="false" customHeight="false" outlineLevel="0" collapsed="false">
      <c r="A461" s="7" t="n">
        <v>4413517</v>
      </c>
      <c r="B461" s="7" t="s">
        <v>1026</v>
      </c>
      <c r="C461" s="7" t="str">
        <f aca="false">TRIM(SUBSTITUTE($B461,CHAR(160)," "))</f>
        <v>85B M מתלה רשת לזרוע שחור</v>
      </c>
    </row>
    <row r="462" customFormat="false" ht="15" hidden="false" customHeight="false" outlineLevel="0" collapsed="false">
      <c r="A462" s="7" t="n">
        <v>4413519</v>
      </c>
      <c r="B462" s="7" t="s">
        <v>1028</v>
      </c>
      <c r="C462" s="7" t="str">
        <f aca="false">TRIM(SUBSTITUTE($B462,CHAR(160)," "))</f>
        <v>85B S מתלה רשת לזרוע שחור</v>
      </c>
    </row>
    <row r="463" customFormat="false" ht="15" hidden="false" customHeight="false" outlineLevel="0" collapsed="false">
      <c r="A463" s="7" t="n">
        <v>4413518</v>
      </c>
      <c r="B463" s="7" t="s">
        <v>1030</v>
      </c>
      <c r="C463" s="7" t="str">
        <f aca="false">TRIM(SUBSTITUTE($B463,CHAR(160)," "))</f>
        <v>85B XL מתלה רשת לזרוע שחור</v>
      </c>
    </row>
    <row r="464" customFormat="false" ht="15" hidden="false" customHeight="false" outlineLevel="0" collapsed="false">
      <c r="A464" s="7" t="n">
        <v>4413455</v>
      </c>
      <c r="B464" s="7" t="s">
        <v>1031</v>
      </c>
      <c r="C464" s="7" t="str">
        <f aca="false">TRIM(SUBSTITUTE($B464,CHAR(160)," "))</f>
        <v>85K מתלה ליד לילדים</v>
      </c>
    </row>
    <row r="465" customFormat="false" ht="15" hidden="false" customHeight="false" outlineLevel="0" collapsed="false">
      <c r="A465" s="7" t="n">
        <v>4407000</v>
      </c>
      <c r="B465" s="7" t="s">
        <v>1470</v>
      </c>
      <c r="C465" s="7" t="str">
        <f aca="false">TRIM(SUBSTITUTE($B465,CHAR(160)," "))</f>
        <v>306 L זוג עקבים סיליקון</v>
      </c>
    </row>
    <row r="466" customFormat="false" ht="15" hidden="false" customHeight="false" outlineLevel="0" collapsed="false">
      <c r="A466" s="7" t="n">
        <v>4416000</v>
      </c>
      <c r="B466" s="7" t="s">
        <v>1032</v>
      </c>
      <c r="C466" s="7" t="str">
        <f aca="false">TRIM(SUBSTITUTE($B466,CHAR(160)," "))</f>
        <v>307 L עקבים לדורבן-זוג כריות</v>
      </c>
    </row>
    <row r="467" customFormat="false" ht="15" hidden="false" customHeight="false" outlineLevel="0" collapsed="false">
      <c r="A467" s="7" t="n">
        <v>4416001</v>
      </c>
      <c r="B467" s="7" t="s">
        <v>1033</v>
      </c>
      <c r="C467" s="7" t="str">
        <f aca="false">TRIM(SUBSTITUTE($B467,CHAR(160)," "))</f>
        <v>307 M עקבים לדורבן-זוג כריות</v>
      </c>
    </row>
    <row r="468" customFormat="false" ht="15" hidden="false" customHeight="false" outlineLevel="0" collapsed="false">
      <c r="A468" s="7" t="n">
        <v>4416002</v>
      </c>
      <c r="B468" s="7" t="s">
        <v>1034</v>
      </c>
      <c r="C468" s="7" t="str">
        <f aca="false">TRIM(SUBSTITUTE($B468,CHAR(160)," "))</f>
        <v>307 S עקבים לדורבן-זוג כריות</v>
      </c>
    </row>
    <row r="469" customFormat="false" ht="15" hidden="false" customHeight="false" outlineLevel="0" collapsed="false">
      <c r="A469" s="7" t="n">
        <v>4411016</v>
      </c>
      <c r="B469" s="7" t="s">
        <v>1035</v>
      </c>
      <c r="C469" s="7" t="str">
        <f aca="false">TRIM(SUBSTITUTE($B469,CHAR(160)," "))</f>
        <v>307 XL כרית סיליקון לעקב</v>
      </c>
    </row>
    <row r="470" customFormat="false" ht="15" hidden="false" customHeight="false" outlineLevel="0" collapsed="false">
      <c r="A470" s="7" t="n">
        <v>4416003</v>
      </c>
      <c r="B470" s="7" t="s">
        <v>1036</v>
      </c>
      <c r="C470" s="7" t="str">
        <f aca="false">TRIM(SUBSTITUTE($B470,CHAR(160)," "))</f>
        <v>308 Lעקבים סיליקון כחול לדורבן</v>
      </c>
    </row>
    <row r="471" customFormat="false" ht="15" hidden="false" customHeight="false" outlineLevel="0" collapsed="false">
      <c r="A471" s="7" t="n">
        <v>4416005</v>
      </c>
      <c r="B471" s="7" t="s">
        <v>1037</v>
      </c>
      <c r="C471" s="7" t="str">
        <f aca="false">TRIM(SUBSTITUTE($B471,CHAR(160)," "))</f>
        <v>308 Mעקבים סיליק.כחול לדורבן</v>
      </c>
    </row>
    <row r="472" customFormat="false" ht="15" hidden="false" customHeight="false" outlineLevel="0" collapsed="false">
      <c r="A472" s="7" t="n">
        <v>4416006</v>
      </c>
      <c r="B472" s="7" t="s">
        <v>1471</v>
      </c>
      <c r="C472" s="7" t="str">
        <f aca="false">TRIM(SUBSTITUTE($B472,CHAR(160)," "))</f>
        <v>308 Sעקבים סיליק.כחול לדורבן</v>
      </c>
    </row>
    <row r="473" customFormat="false" ht="15" hidden="false" customHeight="false" outlineLevel="0" collapsed="false">
      <c r="A473" s="7" t="n">
        <v>4416011</v>
      </c>
      <c r="B473" s="7" t="s">
        <v>1472</v>
      </c>
      <c r="C473" s="7" t="str">
        <f aca="false">TRIM(SUBSTITUTE($B473,CHAR(160)," "))</f>
        <v>309 L תתמוקפאעקב סיליקון+ קשת</v>
      </c>
    </row>
    <row r="474" customFormat="false" ht="15" hidden="false" customHeight="false" outlineLevel="0" collapsed="false">
      <c r="A474" s="7" t="n">
        <v>4416010</v>
      </c>
      <c r="B474" s="7" t="s">
        <v>1473</v>
      </c>
      <c r="C474" s="7" t="str">
        <f aca="false">TRIM(SUBSTITUTE($B474,CHAR(160)," "))</f>
        <v>309 M תתעקב סיליקון+ קשת</v>
      </c>
    </row>
    <row r="475" customFormat="false" ht="15" hidden="false" customHeight="false" outlineLevel="0" collapsed="false">
      <c r="A475" s="7" t="n">
        <v>4416009</v>
      </c>
      <c r="B475" s="7" t="s">
        <v>1474</v>
      </c>
      <c r="C475" s="7" t="str">
        <f aca="false">TRIM(SUBSTITUTE($B475,CHAR(160)," "))</f>
        <v>309 S תתמוקפאעקב סיליקון+ קשת</v>
      </c>
    </row>
    <row r="476" customFormat="false" ht="15" hidden="false" customHeight="false" outlineLevel="0" collapsed="false">
      <c r="A476" s="7" t="n">
        <v>4413033</v>
      </c>
      <c r="B476" s="7" t="s">
        <v>1038</v>
      </c>
      <c r="C476" s="7" t="str">
        <f aca="false">TRIM(SUBSTITUTE($B476,CHAR(160)," "))</f>
        <v>311'מדב.ג'ל למניעת שפשוף 5 יח</v>
      </c>
    </row>
    <row r="477" customFormat="false" ht="15" hidden="false" customHeight="false" outlineLevel="0" collapsed="false">
      <c r="A477" s="7" t="n">
        <v>4413034</v>
      </c>
      <c r="B477" s="7" t="s">
        <v>1475</v>
      </c>
      <c r="C477" s="7" t="str">
        <f aca="false">TRIM(SUBSTITUTE($B477,CHAR(160)," "))</f>
        <v>312 9 מ""ס להתאמהX5 מדבקה גדולה</v>
      </c>
    </row>
    <row r="478" customFormat="false" ht="15" hidden="false" customHeight="false" outlineLevel="0" collapsed="false">
      <c r="A478" s="7" t="n">
        <v>4415297</v>
      </c>
      <c r="B478" s="7" t="s">
        <v>1040</v>
      </c>
      <c r="C478" s="7" t="str">
        <f aca="false">TRIM(SUBSTITUTE($B478,CHAR(160)," "))</f>
        <v>313 סט פלסטרים נגד שפשופים</v>
      </c>
    </row>
    <row r="479" customFormat="false" ht="15" hidden="false" customHeight="false" outlineLevel="0" collapsed="false">
      <c r="A479" s="7" t="n">
        <v>4402007</v>
      </c>
      <c r="B479" s="7" t="s">
        <v>1041</v>
      </c>
      <c r="C479" s="7" t="str">
        <f aca="false">TRIM(SUBSTITUTE($B479,CHAR(160)," "))</f>
        <v>320 בליסטר פלסטר</v>
      </c>
    </row>
    <row r="480" customFormat="false" ht="15" hidden="false" customHeight="false" outlineLevel="0" collapsed="false">
      <c r="A480" s="7" t="n">
        <v>4421001</v>
      </c>
      <c r="B480" s="7" t="s">
        <v>1042</v>
      </c>
      <c r="C480" s="7" t="str">
        <f aca="false">TRIM(SUBSTITUTE($B480,CHAR(160)," "))</f>
        <v>3611 שרוול מטטרזלי מסיליקון</v>
      </c>
    </row>
    <row r="481" customFormat="false" ht="15" hidden="false" customHeight="false" outlineLevel="0" collapsed="false">
      <c r="A481" s="7" t="n">
        <v>4413058</v>
      </c>
      <c r="B481" s="7" t="s">
        <v>1043</v>
      </c>
      <c r="C481" s="7" t="str">
        <f aca="false">TRIM(SUBSTITUTE($B481,CHAR(160)," "))</f>
        <v>3622S מדבקה לשחרור לחץ 2 יח</v>
      </c>
    </row>
    <row r="482" customFormat="false" ht="15" hidden="false" customHeight="false" outlineLevel="0" collapsed="false">
      <c r="A482" s="7" t="n">
        <v>4411001</v>
      </c>
      <c r="B482" s="7" t="s">
        <v>1044</v>
      </c>
      <c r="C482" s="7" t="str">
        <f aca="false">TRIM(SUBSTITUTE($B482,CHAR(160)," "))</f>
        <v>3623 כרית ליישור אצבע פטיש</v>
      </c>
    </row>
    <row r="483" customFormat="false" ht="15" hidden="false" customHeight="false" outlineLevel="0" collapsed="false">
      <c r="A483" s="7" t="n">
        <v>4402000</v>
      </c>
      <c r="B483" s="7" t="s">
        <v>1046</v>
      </c>
      <c r="C483" s="7" t="str">
        <f aca="false">TRIM(SUBSTITUTE($B483,CHAR(160)," "))</f>
        <v>363 בננה לתמיכת אצבעות ז.כרית</v>
      </c>
    </row>
    <row r="484" customFormat="false" ht="15" hidden="false" customHeight="false" outlineLevel="0" collapsed="false">
      <c r="A484" s="7" t="n">
        <v>4413060</v>
      </c>
      <c r="B484" s="7" t="s">
        <v>1047</v>
      </c>
      <c r="C484" s="7" t="str">
        <f aca="false">TRIM(SUBSTITUTE($B484,CHAR(160)," "))</f>
        <v>364 XLמפריד אצבע סיליקון ליבלת</v>
      </c>
    </row>
    <row r="485" customFormat="false" ht="15" hidden="false" customHeight="false" outlineLevel="0" collapsed="false">
      <c r="A485" s="7" t="n">
        <v>4413061</v>
      </c>
      <c r="B485" s="7" t="s">
        <v>1048</v>
      </c>
      <c r="C485" s="7" t="str">
        <f aca="false">TRIM(SUBSTITUTE($B485,CHAR(160)," "))</f>
        <v>3641-מיישר בוהן סיליקון קשיח</v>
      </c>
    </row>
    <row r="486" customFormat="false" ht="15" hidden="false" customHeight="false" outlineLevel="0" collapsed="false">
      <c r="A486" s="7" t="n">
        <v>4413059</v>
      </c>
      <c r="B486" s="7" t="s">
        <v>1049</v>
      </c>
      <c r="C486" s="7" t="str">
        <f aca="false">TRIM(SUBSTITUTE($B486,CHAR(160)," "))</f>
        <v>364S Lמפר.אצבע סיליק. ליבל.זוג</v>
      </c>
    </row>
    <row r="487" customFormat="false" ht="15" hidden="false" customHeight="false" outlineLevel="0" collapsed="false">
      <c r="A487" s="7" t="n">
        <v>4409001</v>
      </c>
      <c r="B487" s="7" t="s">
        <v>1050</v>
      </c>
      <c r="C487" s="7" t="str">
        <f aca="false">TRIM(SUBSTITUTE($B487,CHAR(160)," "))</f>
        <v>365 X-Lטבעת אלסטית מסיליקון</v>
      </c>
    </row>
    <row r="488" customFormat="false" ht="15" hidden="false" customHeight="false" outlineLevel="0" collapsed="false">
      <c r="A488" s="7" t="n">
        <v>4409000</v>
      </c>
      <c r="B488" s="7" t="s">
        <v>1051</v>
      </c>
      <c r="C488" s="7" t="str">
        <f aca="false">TRIM(SUBSTITUTE($B488,CHAR(160)," "))</f>
        <v>365 S-Lטבעת אלסטית מסיליקון</v>
      </c>
    </row>
    <row r="489" customFormat="false" ht="15" hidden="false" customHeight="false" outlineLevel="0" collapsed="false">
      <c r="A489" s="7" t="n">
        <v>4421000</v>
      </c>
      <c r="B489" s="7" t="s">
        <v>1052</v>
      </c>
      <c r="C489" s="7" t="str">
        <f aca="false">TRIM(SUBSTITUTE($B489,CHAR(160)," "))</f>
        <v>3655 שרוול מסיליקון לאצבע</v>
      </c>
    </row>
    <row r="490" customFormat="false" ht="15" hidden="false" customHeight="false" outlineLevel="0" collapsed="false">
      <c r="A490" s="7" t="n">
        <v>4413340</v>
      </c>
      <c r="B490" s="7" t="s">
        <v>1053</v>
      </c>
      <c r="C490" s="7" t="str">
        <f aca="false">TRIM(SUBSTITUTE($B490,CHAR(160)," "))</f>
        <v>3666 מפריד הלוקס</v>
      </c>
    </row>
    <row r="491" customFormat="false" ht="15" hidden="false" customHeight="false" outlineLevel="0" collapsed="false">
      <c r="A491" s="7" t="n">
        <v>4413063</v>
      </c>
      <c r="B491" s="7" t="s">
        <v>1054</v>
      </c>
      <c r="C491" s="7" t="str">
        <f aca="false">TRIM(SUBSTITUTE($B491,CHAR(160)," "))</f>
        <v>366S-'מדבק.לשחרור לחץ מיבלת2יח</v>
      </c>
    </row>
    <row r="492" customFormat="false" ht="15" hidden="false" customHeight="false" outlineLevel="0" collapsed="false">
      <c r="A492" s="7" t="n">
        <v>4421003</v>
      </c>
      <c r="B492" s="7" t="s">
        <v>1055</v>
      </c>
      <c r="C492" s="7" t="str">
        <f aca="false">TRIM(SUBSTITUTE($B492,CHAR(160)," "))</f>
        <v>3672 שרוול מגן לבוניון</v>
      </c>
    </row>
    <row r="493" customFormat="false" ht="15" hidden="false" customHeight="false" outlineLevel="0" collapsed="false">
      <c r="A493" s="7" t="n">
        <v>4413370</v>
      </c>
      <c r="B493" s="7" t="s">
        <v>1056</v>
      </c>
      <c r="C493" s="7" t="str">
        <f aca="false">TRIM(SUBSTITUTE($B493,CHAR(160)," "))</f>
        <v>3674 0 מ.בוניון+מפריד אצבע</v>
      </c>
    </row>
    <row r="494" customFormat="false" ht="15" hidden="false" customHeight="false" outlineLevel="0" collapsed="false">
      <c r="A494" s="7" t="n">
        <v>4413371</v>
      </c>
      <c r="B494" s="7" t="s">
        <v>1057</v>
      </c>
      <c r="C494" s="7" t="str">
        <f aca="false">TRIM(SUBSTITUTE($B494,CHAR(160)," "))</f>
        <v>3675 מגן זרת מסיליקון</v>
      </c>
    </row>
    <row r="495" customFormat="false" ht="15" hidden="false" customHeight="false" outlineLevel="0" collapsed="false">
      <c r="A495" s="7" t="n">
        <v>4413066</v>
      </c>
      <c r="B495" s="7" t="s">
        <v>1058</v>
      </c>
      <c r="C495" s="7" t="str">
        <f aca="false">TRIM(SUBSTITUTE($B495,CHAR(160)," "))</f>
        <v>3677S-מד.לשחרור לחץ א.הבוניון</v>
      </c>
    </row>
    <row r="496" customFormat="false" ht="15" hidden="false" customHeight="false" outlineLevel="0" collapsed="false">
      <c r="A496" s="7" t="n">
        <v>4401001</v>
      </c>
      <c r="B496" s="7" t="s">
        <v>1059</v>
      </c>
      <c r="C496" s="7" t="str">
        <f aca="false">TRIM(SUBSTITUTE($B496,CHAR(160)," "))</f>
        <v>369 XL אצבעון מסיליקון יחידה</v>
      </c>
    </row>
    <row r="497" customFormat="false" ht="15" hidden="false" customHeight="false" outlineLevel="0" collapsed="false">
      <c r="A497" s="7" t="n">
        <v>4401000</v>
      </c>
      <c r="B497" s="7" t="s">
        <v>1060</v>
      </c>
      <c r="C497" s="7" t="str">
        <f aca="false">TRIM(SUBSTITUTE($B497,CHAR(160)," "))</f>
        <v>369 S-L אצבעון מסיליקון יחידה</v>
      </c>
    </row>
    <row r="498" customFormat="false" ht="15" hidden="false" customHeight="false" outlineLevel="0" collapsed="false">
      <c r="A498" s="7" t="n">
        <v>4408069</v>
      </c>
      <c r="B498" s="7" t="s">
        <v>1476</v>
      </c>
      <c r="C498" s="7" t="str">
        <f aca="false">TRIM(SUBSTITUTE($B498,CHAR(160)," "))</f>
        <v>38 .חבישת""הלוקס ולגוס""לאחר נית</v>
      </c>
    </row>
    <row r="499" customFormat="false" ht="15" hidden="false" customHeight="false" outlineLevel="0" collapsed="false">
      <c r="A499" s="7" t="n">
        <v>4413452</v>
      </c>
      <c r="B499" s="7" t="s">
        <v>1062</v>
      </c>
      <c r="C499" s="7" t="str">
        <f aca="false">TRIM(SUBSTITUTE($B499,CHAR(160)," "))</f>
        <v>386 מיישר בוניון-האלוקס ולגוס</v>
      </c>
    </row>
    <row r="500" customFormat="false" ht="15" hidden="false" customHeight="false" outlineLevel="0" collapsed="false">
      <c r="A500" s="7" t="n">
        <v>4413069</v>
      </c>
      <c r="B500" s="7" t="s">
        <v>1477</v>
      </c>
      <c r="C500" s="7" t="str">
        <f aca="false">TRIM(SUBSTITUTE($B500,CHAR(160)," "))</f>
        <v>388L סד לילה לבוהן</v>
      </c>
    </row>
    <row r="501" customFormat="false" ht="15" hidden="false" customHeight="false" outlineLevel="0" collapsed="false">
      <c r="A501" s="7" t="n">
        <v>4413070</v>
      </c>
      <c r="B501" s="7" t="s">
        <v>1478</v>
      </c>
      <c r="C501" s="7" t="str">
        <f aca="false">TRIM(SUBSTITUTE($B501,CHAR(160)," "))</f>
        <v>388R סד לילה לבוהן</v>
      </c>
    </row>
    <row r="502" customFormat="false" ht="15" hidden="false" customHeight="false" outlineLevel="0" collapsed="false">
      <c r="A502" s="7" t="n">
        <v>4411015</v>
      </c>
      <c r="B502" s="7" t="s">
        <v>1063</v>
      </c>
      <c r="C502" s="7" t="str">
        <f aca="false">TRIM(SUBSTITUTE($B502,CHAR(160)," "))</f>
        <v>820 0 כרית חום וקור</v>
      </c>
    </row>
    <row r="503" customFormat="false" ht="15" hidden="false" customHeight="false" outlineLevel="0" collapsed="false">
      <c r="A503" s="7" t="n">
        <v>4413307</v>
      </c>
      <c r="B503" s="7" t="s">
        <v>1064</v>
      </c>
      <c r="C503" s="7" t="str">
        <f aca="false">TRIM(SUBSTITUTE($B503,CHAR(160)," "))</f>
        <v>URI 3667 מגן בוניון</v>
      </c>
    </row>
    <row r="504" customFormat="false" ht="15" hidden="false" customHeight="false" outlineLevel="0" collapsed="false">
      <c r="A504" s="7" t="n">
        <v>4411000</v>
      </c>
      <c r="B504" s="7" t="s">
        <v>1065</v>
      </c>
      <c r="C504" s="7" t="str">
        <f aca="false">TRIM(SUBSTITUTE($B504,CHAR(160)," "))</f>
        <v>כרית מטטרזלי סיליקון362</v>
      </c>
    </row>
    <row r="505" customFormat="false" ht="15" hidden="false" customHeight="false" outlineLevel="0" collapsed="false">
      <c r="A505" s="7" t="n">
        <v>4401002</v>
      </c>
      <c r="B505" s="7" t="s">
        <v>1066</v>
      </c>
      <c r="C505" s="7" t="str">
        <f aca="false">TRIM(SUBSTITUTE($B505,CHAR(160)," "))</f>
        <v>PD 344-אבן טבעית להסרת עור קשה</v>
      </c>
    </row>
    <row r="506" customFormat="false" ht="15" hidden="false" customHeight="false" outlineLevel="0" collapsed="false">
      <c r="A506" s="7" t="n">
        <v>4419006</v>
      </c>
      <c r="B506" s="7" t="s">
        <v>1067</v>
      </c>
      <c r="C506" s="7" t="str">
        <f aca="false">TRIM(SUBSTITUTE($B506,CHAR(160)," "))</f>
        <v>PD340-קוצץ ציפורניים</v>
      </c>
    </row>
    <row r="507" customFormat="false" ht="15" hidden="false" customHeight="false" outlineLevel="0" collapsed="false">
      <c r="A507" s="7" t="n">
        <v>4413150</v>
      </c>
      <c r="B507" s="7" t="s">
        <v>1069</v>
      </c>
      <c r="C507" s="7" t="str">
        <f aca="false">TRIM(SUBSTITUTE($B507,CHAR(160)," "))</f>
        <v>PD341-מקצוע להסרת עור קשה</v>
      </c>
    </row>
    <row r="508" customFormat="false" ht="15" hidden="false" customHeight="false" outlineLevel="0" collapsed="false">
      <c r="A508" s="7" t="n">
        <v>4417000</v>
      </c>
      <c r="B508" s="7" t="s">
        <v>1070</v>
      </c>
      <c r="C508" s="7" t="str">
        <f aca="false">TRIM(SUBSTITUTE($B508,CHAR(160)," "))</f>
        <v>PD342-פומפיה להסרת עור קשה</v>
      </c>
    </row>
    <row r="509" customFormat="false" ht="15" hidden="false" customHeight="false" outlineLevel="0" collapsed="false">
      <c r="A509" s="7" t="n">
        <v>4417001</v>
      </c>
      <c r="B509" s="7" t="s">
        <v>1479</v>
      </c>
      <c r="C509" s="7" t="str">
        <f aca="false">TRIM(SUBSTITUTE($B509,CHAR(160)," "))</f>
        <v>PD343-פומפיה מאבן להסר.עור</v>
      </c>
    </row>
    <row r="510" customFormat="false" ht="15" hidden="false" customHeight="false" outlineLevel="0" collapsed="false">
      <c r="A510" s="7" t="n">
        <v>4415080</v>
      </c>
      <c r="B510" s="7" t="s">
        <v>1072</v>
      </c>
      <c r="C510" s="7" t="str">
        <f aca="false">TRIM(SUBSTITUTE($B510,CHAR(160)," "))</f>
        <v>PD346-10 סכינים למקצוע</v>
      </c>
    </row>
    <row r="511" customFormat="false" ht="15" hidden="false" customHeight="false" outlineLevel="0" collapsed="false">
      <c r="A511" s="7" t="n">
        <v>4413152</v>
      </c>
      <c r="B511" s="7" t="s">
        <v>1480</v>
      </c>
      <c r="C511" s="7" t="str">
        <f aca="false">TRIM(SUBSTITUTE($B511,CHAR(160)," "))</f>
        <v>PD350-תתמשופית ניקל קדמיום</v>
      </c>
    </row>
    <row r="512" customFormat="false" ht="15" hidden="false" customHeight="false" outlineLevel="0" collapsed="false">
      <c r="A512" s="7" t="n">
        <v>4411029</v>
      </c>
      <c r="B512" s="7" t="s">
        <v>1073</v>
      </c>
      <c r="C512" s="7" t="str">
        <f aca="false">TRIM(SUBSTITUTE($B512,CHAR(160)," "))</f>
        <v>213CTSR L ימין CTS כפפות</v>
      </c>
    </row>
    <row r="513" customFormat="false" ht="15" hidden="false" customHeight="false" outlineLevel="0" collapsed="false">
      <c r="A513" s="7" t="n">
        <v>4408046</v>
      </c>
      <c r="B513" s="7" t="s">
        <v>1074</v>
      </c>
      <c r="C513" s="7" t="str">
        <f aca="false">TRIM(SUBSTITUTE($B513,CHAR(160)," "))</f>
        <v>20 L חבק יד מתכוון עם צמדן</v>
      </c>
    </row>
    <row r="514" customFormat="false" ht="15" hidden="false" customHeight="false" outlineLevel="0" collapsed="false">
      <c r="A514" s="7" t="n">
        <v>4408047</v>
      </c>
      <c r="B514" s="7" t="s">
        <v>1075</v>
      </c>
      <c r="C514" s="7" t="str">
        <f aca="false">TRIM(SUBSTITUTE($B514,CHAR(160)," "))</f>
        <v>20 M חבק יד מתכוון עם צמדן</v>
      </c>
    </row>
    <row r="515" customFormat="false" ht="15" hidden="false" customHeight="false" outlineLevel="0" collapsed="false">
      <c r="A515" s="7" t="n">
        <v>4408048</v>
      </c>
      <c r="B515" s="7" t="s">
        <v>1076</v>
      </c>
      <c r="C515" s="7" t="str">
        <f aca="false">TRIM(SUBSTITUTE($B515,CHAR(160)," "))</f>
        <v>20 S חבק יד מתכוון עם צמדן</v>
      </c>
    </row>
    <row r="516" customFormat="false" ht="15" hidden="false" customHeight="false" outlineLevel="0" collapsed="false">
      <c r="A516" s="7" t="n">
        <v>4408049</v>
      </c>
      <c r="B516" s="7" t="s">
        <v>1077</v>
      </c>
      <c r="C516" s="7" t="str">
        <f aca="false">TRIM(SUBSTITUTE($B516,CHAR(160)," "))</f>
        <v>20 XL חבק יד מתכוון עם צמדן</v>
      </c>
    </row>
    <row r="517" customFormat="false" ht="15" hidden="false" customHeight="false" outlineLevel="0" collapsed="false">
      <c r="A517" s="7" t="n">
        <v>4408050</v>
      </c>
      <c r="B517" s="7" t="s">
        <v>1078</v>
      </c>
      <c r="C517" s="7" t="str">
        <f aca="false">TRIM(SUBSTITUTE($B517,CHAR(160)," "))</f>
        <v>20 XXL חבק יד מתכוון עם צמדן</v>
      </c>
    </row>
    <row r="518" customFormat="false" ht="15" hidden="false" customHeight="false" outlineLevel="0" collapsed="false">
      <c r="A518" s="7" t="n">
        <v>4408275</v>
      </c>
      <c r="B518" s="7" t="s">
        <v>1079</v>
      </c>
      <c r="C518" s="7" t="str">
        <f aca="false">TRIM(SUBSTITUTE($B518,CHAR(160)," "))</f>
        <v>202 ONE SIZE חבק יד</v>
      </c>
    </row>
    <row r="519" customFormat="false" ht="15" hidden="false" customHeight="false" outlineLevel="0" collapsed="false">
      <c r="A519" s="7" t="n">
        <v>4408052</v>
      </c>
      <c r="B519" s="7" t="s">
        <v>1080</v>
      </c>
      <c r="C519" s="7" t="str">
        <f aca="false">TRIM(SUBSTITUTE($B519,CHAR(160)," "))</f>
        <v>21 L חבק יד ארוך</v>
      </c>
    </row>
    <row r="520" customFormat="false" ht="15" hidden="false" customHeight="false" outlineLevel="0" collapsed="false">
      <c r="A520" s="7" t="n">
        <v>4408053</v>
      </c>
      <c r="B520" s="7" t="s">
        <v>1081</v>
      </c>
      <c r="C520" s="7" t="str">
        <f aca="false">TRIM(SUBSTITUTE($B520,CHAR(160)," "))</f>
        <v>21 M חבק יד ארוך</v>
      </c>
    </row>
    <row r="521" customFormat="false" ht="15" hidden="false" customHeight="false" outlineLevel="0" collapsed="false">
      <c r="A521" s="7" t="n">
        <v>4408051</v>
      </c>
      <c r="B521" s="7" t="s">
        <v>1082</v>
      </c>
      <c r="C521" s="7" t="str">
        <f aca="false">TRIM(SUBSTITUTE($B521,CHAR(160)," "))</f>
        <v>21 S חבק יד ארוך</v>
      </c>
    </row>
    <row r="522" customFormat="false" ht="15" hidden="false" customHeight="false" outlineLevel="0" collapsed="false">
      <c r="A522" s="7" t="n">
        <v>4408054</v>
      </c>
      <c r="B522" s="7" t="s">
        <v>1083</v>
      </c>
      <c r="C522" s="7" t="str">
        <f aca="false">TRIM(SUBSTITUTE($B522,CHAR(160)," "))</f>
        <v>21 XL חבק יד ארוך</v>
      </c>
    </row>
    <row r="523" customFormat="false" ht="15" hidden="false" customHeight="false" outlineLevel="0" collapsed="false">
      <c r="A523" s="7" t="n">
        <v>4413399</v>
      </c>
      <c r="B523" s="7" t="s">
        <v>1085</v>
      </c>
      <c r="C523" s="7" t="str">
        <f aca="false">TRIM(SUBSTITUTE($B523,CHAR(160)," "))</f>
        <v>21 XS מגן יד</v>
      </c>
    </row>
    <row r="524" customFormat="false" ht="15" hidden="false" customHeight="false" outlineLevel="0" collapsed="false">
      <c r="A524" s="7" t="n">
        <v>4413400</v>
      </c>
      <c r="B524" s="7" t="s">
        <v>1481</v>
      </c>
      <c r="C524" s="7" t="str">
        <f aca="false">TRIM(SUBSTITUTE($B524,CHAR(160)," "))</f>
        <v>21 XXL מגן יד</v>
      </c>
    </row>
    <row r="525" customFormat="false" ht="15" hidden="false" customHeight="false" outlineLevel="0" collapsed="false">
      <c r="A525" s="7" t="n">
        <v>4411017</v>
      </c>
      <c r="B525" s="7" t="s">
        <v>1087</v>
      </c>
      <c r="C525" s="7" t="str">
        <f aca="false">TRIM(SUBSTITUTE($B525,CHAR(160)," "))</f>
        <v>211L כפפות לחץ</v>
      </c>
    </row>
    <row r="526" customFormat="false" ht="15" hidden="false" customHeight="false" outlineLevel="0" collapsed="false">
      <c r="A526" s="7" t="n">
        <v>4411018</v>
      </c>
      <c r="B526" s="7" t="s">
        <v>1089</v>
      </c>
      <c r="C526" s="7" t="str">
        <f aca="false">TRIM(SUBSTITUTE($B526,CHAR(160)," "))</f>
        <v>211M כפפות לחץ</v>
      </c>
    </row>
    <row r="527" customFormat="false" ht="15" hidden="false" customHeight="false" outlineLevel="0" collapsed="false">
      <c r="A527" s="7" t="n">
        <v>4411019</v>
      </c>
      <c r="B527" s="7" t="s">
        <v>1091</v>
      </c>
      <c r="C527" s="7" t="str">
        <f aca="false">TRIM(SUBSTITUTE($B527,CHAR(160)," "))</f>
        <v>211S כפפות לחץ</v>
      </c>
    </row>
    <row r="528" customFormat="false" ht="15" hidden="false" customHeight="false" outlineLevel="0" collapsed="false">
      <c r="A528" s="7" t="n">
        <v>4411020</v>
      </c>
      <c r="B528" s="7" t="s">
        <v>1093</v>
      </c>
      <c r="C528" s="7" t="str">
        <f aca="false">TRIM(SUBSTITUTE($B528,CHAR(160)," "))</f>
        <v>211XL כפפות לחץ</v>
      </c>
    </row>
    <row r="529" customFormat="false" ht="15" hidden="false" customHeight="false" outlineLevel="0" collapsed="false">
      <c r="A529" s="7" t="n">
        <v>4411021</v>
      </c>
      <c r="B529" s="7" t="s">
        <v>1095</v>
      </c>
      <c r="C529" s="7" t="str">
        <f aca="false">TRIM(SUBSTITUTE($B529,CHAR(160)," "))</f>
        <v>212L כפפות אגודל לחץ</v>
      </c>
    </row>
    <row r="530" customFormat="false" ht="15" hidden="false" customHeight="false" outlineLevel="0" collapsed="false">
      <c r="A530" s="7" t="n">
        <v>4411022</v>
      </c>
      <c r="B530" s="7" t="s">
        <v>1097</v>
      </c>
      <c r="C530" s="7" t="str">
        <f aca="false">TRIM(SUBSTITUTE($B530,CHAR(160)," "))</f>
        <v>212M כפפות אגודל לחץ</v>
      </c>
    </row>
    <row r="531" customFormat="false" ht="15" hidden="false" customHeight="false" outlineLevel="0" collapsed="false">
      <c r="A531" s="7" t="n">
        <v>4411023</v>
      </c>
      <c r="B531" s="7" t="s">
        <v>1099</v>
      </c>
      <c r="C531" s="7" t="str">
        <f aca="false">TRIM(SUBSTITUTE($B531,CHAR(160)," "))</f>
        <v>212S כפפות אגודל לחץ</v>
      </c>
    </row>
    <row r="532" customFormat="false" ht="15" hidden="false" customHeight="false" outlineLevel="0" collapsed="false">
      <c r="A532" s="7" t="n">
        <v>4411024</v>
      </c>
      <c r="B532" s="7" t="s">
        <v>1101</v>
      </c>
      <c r="C532" s="7" t="str">
        <f aca="false">TRIM(SUBSTITUTE($B532,CHAR(160)," "))</f>
        <v>212XL כפפות אגודל לחץ</v>
      </c>
    </row>
    <row r="533" customFormat="false" ht="15" hidden="false" customHeight="false" outlineLevel="0" collapsed="false">
      <c r="A533" s="7" t="n">
        <v>4411031</v>
      </c>
      <c r="B533" s="7" t="s">
        <v>1102</v>
      </c>
      <c r="C533" s="7" t="str">
        <f aca="false">TRIM(SUBSTITUTE($B533,CHAR(160)," "))</f>
        <v>213CTS S ימין CTS כפפות</v>
      </c>
    </row>
    <row r="534" customFormat="false" ht="15" hidden="false" customHeight="false" outlineLevel="0" collapsed="false">
      <c r="A534" s="7" t="n">
        <v>4411026</v>
      </c>
      <c r="B534" s="7" t="s">
        <v>1103</v>
      </c>
      <c r="C534" s="7" t="str">
        <f aca="false">TRIM(SUBSTITUTE($B534,CHAR(160)," "))</f>
        <v>213CTSL L שמאל CTS כפפות</v>
      </c>
    </row>
    <row r="535" customFormat="false" ht="15" hidden="false" customHeight="false" outlineLevel="0" collapsed="false">
      <c r="A535" s="7" t="n">
        <v>4411027</v>
      </c>
      <c r="B535" s="7" t="s">
        <v>1104</v>
      </c>
      <c r="C535" s="7" t="str">
        <f aca="false">TRIM(SUBSTITUTE($B535,CHAR(160)," "))</f>
        <v>213CTSL M שמאל CTS כפפות</v>
      </c>
    </row>
    <row r="536" customFormat="false" ht="15" hidden="false" customHeight="false" outlineLevel="0" collapsed="false">
      <c r="A536" s="7" t="n">
        <v>4411028</v>
      </c>
      <c r="B536" s="7" t="s">
        <v>1105</v>
      </c>
      <c r="C536" s="7" t="str">
        <f aca="false">TRIM(SUBSTITUTE($B536,CHAR(160)," "))</f>
        <v>213CTSL S שמאל CTS כפפות</v>
      </c>
    </row>
    <row r="537" customFormat="false" ht="15" hidden="false" customHeight="false" outlineLevel="0" collapsed="false">
      <c r="A537" s="7" t="n">
        <v>4411030</v>
      </c>
      <c r="B537" s="7" t="s">
        <v>1106</v>
      </c>
      <c r="C537" s="7" t="str">
        <f aca="false">TRIM(SUBSTITUTE($B537,CHAR(160)," "))</f>
        <v>213CTSR M ימין CTS כפפות</v>
      </c>
    </row>
    <row r="538" customFormat="false" ht="15" hidden="false" customHeight="false" outlineLevel="0" collapsed="false">
      <c r="A538" s="7" t="n">
        <v>4415162</v>
      </c>
      <c r="B538" s="7" t="s">
        <v>1107</v>
      </c>
      <c r="C538" s="7" t="str">
        <f aca="false">TRIM(SUBSTITUTE($B538,CHAR(160)," "))</f>
        <v>238L סד ליישור אצבע</v>
      </c>
    </row>
    <row r="539" customFormat="false" ht="15" hidden="false" customHeight="false" outlineLevel="0" collapsed="false">
      <c r="A539" s="7" t="n">
        <v>4415161</v>
      </c>
      <c r="B539" s="7" t="s">
        <v>1108</v>
      </c>
      <c r="C539" s="7" t="str">
        <f aca="false">TRIM(SUBSTITUTE($B539,CHAR(160)," "))</f>
        <v>238M סד ליישור אצבע</v>
      </c>
    </row>
    <row r="540" customFormat="false" ht="15" hidden="false" customHeight="false" outlineLevel="0" collapsed="false">
      <c r="A540" s="7" t="n">
        <v>4415160</v>
      </c>
      <c r="B540" s="7" t="s">
        <v>1109</v>
      </c>
      <c r="C540" s="7" t="str">
        <f aca="false">TRIM(SUBSTITUTE($B540,CHAR(160)," "))</f>
        <v>238S סד ליישור אצבע</v>
      </c>
    </row>
    <row r="541" customFormat="false" ht="15" hidden="false" customHeight="false" outlineLevel="0" collapsed="false">
      <c r="A541" s="7" t="n">
        <v>4415163</v>
      </c>
      <c r="B541" s="7" t="s">
        <v>1110</v>
      </c>
      <c r="C541" s="7" t="str">
        <f aca="false">TRIM(SUBSTITUTE($B541,CHAR(160)," "))</f>
        <v>238XL סד ליישור אצבע</v>
      </c>
    </row>
    <row r="542" customFormat="false" ht="15" hidden="false" customHeight="false" outlineLevel="0" collapsed="false">
      <c r="A542" s="7" t="n">
        <v>4408057</v>
      </c>
      <c r="B542" s="7" t="s">
        <v>1482</v>
      </c>
      <c r="C542" s="7" t="str">
        <f aca="false">TRIM(SUBSTITUTE($B542,CHAR(160)," "))</f>
        <v>24 M(תתחבקון ליד )ללא צמדן</v>
      </c>
    </row>
    <row r="543" customFormat="false" ht="15" hidden="false" customHeight="false" outlineLevel="0" collapsed="false">
      <c r="A543" s="7" t="n">
        <v>4408059</v>
      </c>
      <c r="B543" s="7" t="s">
        <v>1483</v>
      </c>
      <c r="C543" s="7" t="str">
        <f aca="false">TRIM(SUBSTITUTE($B543,CHAR(160)," "))</f>
        <v>25 L חבק יד אגודלי</v>
      </c>
    </row>
    <row r="544" customFormat="false" ht="15" hidden="false" customHeight="false" outlineLevel="0" collapsed="false">
      <c r="A544" s="7" t="n">
        <v>4408060</v>
      </c>
      <c r="B544" s="7" t="s">
        <v>1484</v>
      </c>
      <c r="C544" s="7" t="str">
        <f aca="false">TRIM(SUBSTITUTE($B544,CHAR(160)," "))</f>
        <v>25 M חבק יד אגודלי</v>
      </c>
    </row>
    <row r="545" customFormat="false" ht="15" hidden="false" customHeight="false" outlineLevel="0" collapsed="false">
      <c r="A545" s="7" t="n">
        <v>4408061</v>
      </c>
      <c r="B545" s="7" t="s">
        <v>1485</v>
      </c>
      <c r="C545" s="7" t="str">
        <f aca="false">TRIM(SUBSTITUTE($B545,CHAR(160)," "))</f>
        <v>25 S חבק יד אגודלי</v>
      </c>
    </row>
    <row r="546" customFormat="false" ht="15" hidden="false" customHeight="false" outlineLevel="0" collapsed="false">
      <c r="A546" s="7" t="n">
        <v>4408062</v>
      </c>
      <c r="B546" s="7" t="s">
        <v>1486</v>
      </c>
      <c r="C546" s="7" t="str">
        <f aca="false">TRIM(SUBSTITUTE($B546,CHAR(160)," "))</f>
        <v>25 XL חבק יד אגודלי</v>
      </c>
    </row>
    <row r="547" customFormat="false" ht="15" hidden="false" customHeight="false" outlineLevel="0" collapsed="false">
      <c r="A547" s="7" t="n">
        <v>4415000</v>
      </c>
      <c r="B547" s="7" t="s">
        <v>1111</v>
      </c>
      <c r="C547" s="7" t="str">
        <f aca="false">TRIM(SUBSTITUTE($B547,CHAR(160)," "))</f>
        <v>26 L סד ליד דו צדדי לאחר שבר</v>
      </c>
    </row>
    <row r="548" customFormat="false" ht="15" hidden="false" customHeight="false" outlineLevel="0" collapsed="false">
      <c r="A548" s="7" t="n">
        <v>4415001</v>
      </c>
      <c r="B548" s="7" t="s">
        <v>1112</v>
      </c>
      <c r="C548" s="7" t="str">
        <f aca="false">TRIM(SUBSTITUTE($B548,CHAR(160)," "))</f>
        <v>26 M סד ליד דו צדדי לאחר שבר</v>
      </c>
    </row>
    <row r="549" customFormat="false" ht="15" hidden="false" customHeight="false" outlineLevel="0" collapsed="false">
      <c r="A549" s="7" t="n">
        <v>4415002</v>
      </c>
      <c r="B549" s="7" t="s">
        <v>1113</v>
      </c>
      <c r="C549" s="7" t="str">
        <f aca="false">TRIM(SUBSTITUTE($B549,CHAR(160)," "))</f>
        <v>26 S סד ליד דו צדדי לאחר שבר</v>
      </c>
    </row>
    <row r="550" customFormat="false" ht="15" hidden="false" customHeight="false" outlineLevel="0" collapsed="false">
      <c r="A550" s="7" t="n">
        <v>4415003</v>
      </c>
      <c r="B550" s="7" t="s">
        <v>1114</v>
      </c>
      <c r="C550" s="7" t="str">
        <f aca="false">TRIM(SUBSTITUTE($B550,CHAR(160)," "))</f>
        <v>26 XL סד ליד דו צדדי לאחר שבר</v>
      </c>
    </row>
    <row r="551" customFormat="false" ht="15" hidden="false" customHeight="false" outlineLevel="0" collapsed="false">
      <c r="A551" s="7" t="n">
        <v>4415142</v>
      </c>
      <c r="B551" s="7" t="s">
        <v>1487</v>
      </c>
      <c r="C551" s="7" t="str">
        <f aca="false">TRIM(SUBSTITUTE($B551,CHAR(160)," "))</f>
        <v>26 XS סד ליד דו צדדי לאחר שבר</v>
      </c>
    </row>
    <row r="552" customFormat="false" ht="15" hidden="false" customHeight="false" outlineLevel="0" collapsed="false">
      <c r="A552" s="7" t="n">
        <v>4415004</v>
      </c>
      <c r="B552" s="7" t="s">
        <v>1115</v>
      </c>
      <c r="C552" s="7" t="str">
        <f aca="false">TRIM(SUBSTITUTE($B552,CHAR(160)," "))</f>
        <v>26 XXL סד ליד דו צדדי לאחר שבר</v>
      </c>
    </row>
    <row r="553" customFormat="false" ht="15" hidden="false" customHeight="false" outlineLevel="0" collapsed="false">
      <c r="A553" s="7" t="n">
        <v>4415158</v>
      </c>
      <c r="B553" s="7" t="s">
        <v>1116</v>
      </c>
      <c r="C553" s="7" t="str">
        <f aca="false">TRIM(SUBSTITUTE($B553,CHAR(160)," "))</f>
        <v>266 סד ליד דו צדדי</v>
      </c>
    </row>
    <row r="554" customFormat="false" ht="15" hidden="false" customHeight="false" outlineLevel="0" collapsed="false">
      <c r="A554" s="7" t="n">
        <v>4415170</v>
      </c>
      <c r="B554" s="7" t="s">
        <v>1488</v>
      </c>
      <c r="C554" s="7" t="str">
        <f aca="false">TRIM(SUBSTITUTE($B554,CHAR(160)," "))</f>
        <v>267LB L-XLסד יד שמאל שחור</v>
      </c>
    </row>
    <row r="555" customFormat="false" ht="15" hidden="false" customHeight="false" outlineLevel="0" collapsed="false">
      <c r="A555" s="7" t="n">
        <v>4415171</v>
      </c>
      <c r="B555" s="7" t="s">
        <v>1489</v>
      </c>
      <c r="C555" s="7" t="str">
        <f aca="false">TRIM(SUBSTITUTE($B555,CHAR(160)," "))</f>
        <v>267LB S-M סד יד שמאל שחור</v>
      </c>
    </row>
    <row r="556" customFormat="false" ht="15" hidden="false" customHeight="false" outlineLevel="0" collapsed="false">
      <c r="A556" s="7" t="n">
        <v>4415165</v>
      </c>
      <c r="B556" s="7" t="s">
        <v>1490</v>
      </c>
      <c r="C556" s="7" t="str">
        <f aca="false">TRIM(SUBSTITUTE($B556,CHAR(160)," "))</f>
        <v>267LC S-M'סד יד שמאל בז</v>
      </c>
    </row>
    <row r="557" customFormat="false" ht="15" hidden="false" customHeight="false" outlineLevel="0" collapsed="false">
      <c r="A557" s="7" t="n">
        <v>4415164</v>
      </c>
      <c r="B557" s="7" t="s">
        <v>1491</v>
      </c>
      <c r="C557" s="7" t="str">
        <f aca="false">TRIM(SUBSTITUTE($B557,CHAR(160)," "))</f>
        <v>267LC L-XL 'סד יד שמאל בז</v>
      </c>
    </row>
    <row r="558" customFormat="false" ht="15" hidden="false" customHeight="false" outlineLevel="0" collapsed="false">
      <c r="A558" s="7" t="n">
        <v>4415166</v>
      </c>
      <c r="B558" s="7" t="s">
        <v>1492</v>
      </c>
      <c r="C558" s="7" t="str">
        <f aca="false">TRIM(SUBSTITUTE($B558,CHAR(160)," "))</f>
        <v>267LC XXL'סד יד שמאל בז</v>
      </c>
    </row>
    <row r="559" customFormat="false" ht="15" hidden="false" customHeight="false" outlineLevel="0" collapsed="false">
      <c r="A559" s="7" t="n">
        <v>4415173</v>
      </c>
      <c r="B559" s="7" t="s">
        <v>1493</v>
      </c>
      <c r="C559" s="7" t="str">
        <f aca="false">TRIM(SUBSTITUTE($B559,CHAR(160)," "))</f>
        <v>267RB L-XLסד יד ימין שחור</v>
      </c>
    </row>
    <row r="560" customFormat="false" ht="15" hidden="false" customHeight="false" outlineLevel="0" collapsed="false">
      <c r="A560" s="7" t="n">
        <v>4415174</v>
      </c>
      <c r="B560" s="7" t="s">
        <v>1494</v>
      </c>
      <c r="C560" s="7" t="str">
        <f aca="false">TRIM(SUBSTITUTE($B560,CHAR(160)," "))</f>
        <v>267RB S-M סד יד ימין שחור</v>
      </c>
    </row>
    <row r="561" customFormat="false" ht="15" hidden="false" customHeight="false" outlineLevel="0" collapsed="false">
      <c r="A561" s="7" t="n">
        <v>4415167</v>
      </c>
      <c r="B561" s="7" t="s">
        <v>1495</v>
      </c>
      <c r="C561" s="7" t="str">
        <f aca="false">TRIM(SUBSTITUTE($B561,CHAR(160)," "))</f>
        <v>267RC L-XL 'סד יד ימין בז</v>
      </c>
    </row>
    <row r="562" customFormat="false" ht="15" hidden="false" customHeight="false" outlineLevel="0" collapsed="false">
      <c r="A562" s="7" t="n">
        <v>4415168</v>
      </c>
      <c r="B562" s="7" t="s">
        <v>1496</v>
      </c>
      <c r="C562" s="7" t="str">
        <f aca="false">TRIM(SUBSTITUTE($B562,CHAR(160)," "))</f>
        <v>267RC S-M 'סד יד ימין בז</v>
      </c>
    </row>
    <row r="563" customFormat="false" ht="15" hidden="false" customHeight="false" outlineLevel="0" collapsed="false">
      <c r="A563" s="7" t="n">
        <v>4415169</v>
      </c>
      <c r="B563" s="7" t="s">
        <v>1497</v>
      </c>
      <c r="C563" s="7" t="str">
        <f aca="false">TRIM(SUBSTITUTE($B563,CHAR(160)," "))</f>
        <v>267RC XXL 'סד יד ימין בז</v>
      </c>
    </row>
    <row r="564" customFormat="false" ht="15" hidden="false" customHeight="false" outlineLevel="0" collapsed="false">
      <c r="A564" s="7" t="n">
        <v>4415159</v>
      </c>
      <c r="B564" s="7" t="s">
        <v>1117</v>
      </c>
      <c r="C564" s="7" t="str">
        <f aca="false">TRIM(SUBSTITUTE($B564,CHAR(160)," "))</f>
        <v>268 סד לאגודל</v>
      </c>
    </row>
    <row r="565" customFormat="false" ht="15" hidden="false" customHeight="false" outlineLevel="0" collapsed="false">
      <c r="A565" s="7" t="n">
        <v>4415093</v>
      </c>
      <c r="B565" s="7" t="s">
        <v>1498</v>
      </c>
      <c r="C565" s="7" t="str">
        <f aca="false">TRIM(SUBSTITUTE($B565,CHAR(160)," "))</f>
        <v>27 R-M סד ליד ימין</v>
      </c>
    </row>
    <row r="566" customFormat="false" ht="15" hidden="false" customHeight="false" outlineLevel="0" collapsed="false">
      <c r="A566" s="7" t="n">
        <v>4415124</v>
      </c>
      <c r="B566" s="7" t="s">
        <v>1499</v>
      </c>
      <c r="C566" s="7" t="str">
        <f aca="false">TRIM(SUBSTITUTE($B566,CHAR(160)," "))</f>
        <v>278 L-XL סד יד ואגודל</v>
      </c>
    </row>
    <row r="567" customFormat="false" ht="15" hidden="false" customHeight="false" outlineLevel="0" collapsed="false">
      <c r="A567" s="7" t="n">
        <v>4415125</v>
      </c>
      <c r="B567" s="7" t="s">
        <v>1500</v>
      </c>
      <c r="C567" s="7" t="str">
        <f aca="false">TRIM(SUBSTITUTE($B567,CHAR(160)," "))</f>
        <v>278 S-M סד יד ואגודל</v>
      </c>
    </row>
    <row r="568" customFormat="false" ht="15" hidden="false" customHeight="false" outlineLevel="0" collapsed="false">
      <c r="A568" s="7" t="n">
        <v>4415090</v>
      </c>
      <c r="B568" s="7" t="s">
        <v>1501</v>
      </c>
      <c r="C568" s="7" t="str">
        <f aca="false">TRIM(SUBSTITUTE($B568,CHAR(160)," "))</f>
        <v>27L L סד ליד שמאל</v>
      </c>
    </row>
    <row r="569" customFormat="false" ht="15" hidden="false" customHeight="false" outlineLevel="0" collapsed="false">
      <c r="A569" s="7" t="n">
        <v>4415089</v>
      </c>
      <c r="B569" s="7" t="s">
        <v>1502</v>
      </c>
      <c r="C569" s="7" t="str">
        <f aca="false">TRIM(SUBSTITUTE($B569,CHAR(160)," "))</f>
        <v>27L M סד ליד שמאל</v>
      </c>
    </row>
    <row r="570" customFormat="false" ht="15" hidden="false" customHeight="false" outlineLevel="0" collapsed="false">
      <c r="A570" s="7" t="n">
        <v>4415096</v>
      </c>
      <c r="B570" s="7" t="s">
        <v>1503</v>
      </c>
      <c r="C570" s="7" t="str">
        <f aca="false">TRIM(SUBSTITUTE($B570,CHAR(160)," "))</f>
        <v>27L S סד ליד שמאל</v>
      </c>
    </row>
    <row r="571" customFormat="false" ht="15" hidden="false" customHeight="false" outlineLevel="0" collapsed="false">
      <c r="A571" s="7" t="n">
        <v>4415091</v>
      </c>
      <c r="B571" s="7" t="s">
        <v>1504</v>
      </c>
      <c r="C571" s="7" t="str">
        <f aca="false">TRIM(SUBSTITUTE($B571,CHAR(160)," "))</f>
        <v>27L XLסד ליד שמאל</v>
      </c>
    </row>
    <row r="572" customFormat="false" ht="15" hidden="false" customHeight="false" outlineLevel="0" collapsed="false">
      <c r="A572" s="7" t="n">
        <v>4415094</v>
      </c>
      <c r="B572" s="7" t="s">
        <v>1505</v>
      </c>
      <c r="C572" s="7" t="str">
        <f aca="false">TRIM(SUBSTITUTE($B572,CHAR(160)," "))</f>
        <v>27R L סד ליד ימין</v>
      </c>
    </row>
    <row r="573" customFormat="false" ht="15" hidden="false" customHeight="false" outlineLevel="0" collapsed="false">
      <c r="A573" s="7" t="n">
        <v>4415095</v>
      </c>
      <c r="B573" s="7" t="s">
        <v>1506</v>
      </c>
      <c r="C573" s="7" t="str">
        <f aca="false">TRIM(SUBSTITUTE($B573,CHAR(160)," "))</f>
        <v>27R XLסד ליד ימין</v>
      </c>
    </row>
    <row r="574" customFormat="false" ht="15" hidden="false" customHeight="false" outlineLevel="0" collapsed="false">
      <c r="A574" s="7" t="n">
        <v>4415025</v>
      </c>
      <c r="B574" s="7" t="s">
        <v>1118</v>
      </c>
      <c r="C574" s="7" t="str">
        <f aca="false">TRIM(SUBSTITUTE($B574,CHAR(160)," "))</f>
        <v>28-XS סד לאגודל לאחר שבר</v>
      </c>
    </row>
    <row r="575" customFormat="false" ht="15" hidden="false" customHeight="false" outlineLevel="0" collapsed="false">
      <c r="A575" s="7" t="n">
        <v>4415005</v>
      </c>
      <c r="B575" s="7" t="s">
        <v>1119</v>
      </c>
      <c r="C575" s="7" t="str">
        <f aca="false">TRIM(SUBSTITUTE($B575,CHAR(160)," "))</f>
        <v>28 L סד לאגודל לאחר שבר</v>
      </c>
    </row>
    <row r="576" customFormat="false" ht="15" hidden="false" customHeight="false" outlineLevel="0" collapsed="false">
      <c r="A576" s="7" t="n">
        <v>4415006</v>
      </c>
      <c r="B576" s="7" t="s">
        <v>1120</v>
      </c>
      <c r="C576" s="7" t="str">
        <f aca="false">TRIM(SUBSTITUTE($B576,CHAR(160)," "))</f>
        <v>28 M סד לאגודל לאחר שבר</v>
      </c>
    </row>
    <row r="577" customFormat="false" ht="15" hidden="false" customHeight="false" outlineLevel="0" collapsed="false">
      <c r="A577" s="7" t="n">
        <v>4415007</v>
      </c>
      <c r="B577" s="7" t="s">
        <v>1121</v>
      </c>
      <c r="C577" s="7" t="str">
        <f aca="false">TRIM(SUBSTITUTE($B577,CHAR(160)," "))</f>
        <v>28 S סד לאגודל לאחר שבר</v>
      </c>
    </row>
    <row r="578" customFormat="false" ht="15" hidden="false" customHeight="false" outlineLevel="0" collapsed="false">
      <c r="A578" s="7" t="n">
        <v>4415008</v>
      </c>
      <c r="B578" s="7" t="s">
        <v>1122</v>
      </c>
      <c r="C578" s="7" t="str">
        <f aca="false">TRIM(SUBSTITUTE($B578,CHAR(160)," "))</f>
        <v>28 XL סד לאגודל לאחר שבר</v>
      </c>
    </row>
    <row r="579" customFormat="false" ht="15" hidden="false" customHeight="false" outlineLevel="0" collapsed="false">
      <c r="A579" s="7" t="n">
        <v>4415009</v>
      </c>
      <c r="B579" s="7" t="s">
        <v>1507</v>
      </c>
      <c r="C579" s="7" t="str">
        <f aca="false">TRIM(SUBSTITUTE($B579,CHAR(160)," "))</f>
        <v>28 XXL סד לאגודל לאחר שבר</v>
      </c>
    </row>
    <row r="580" customFormat="false" ht="15" hidden="false" customHeight="false" outlineLevel="0" collapsed="false">
      <c r="A580" s="7" t="n">
        <v>4415021</v>
      </c>
      <c r="B580" s="7" t="s">
        <v>1508</v>
      </c>
      <c r="C580" s="7" t="str">
        <f aca="false">TRIM(SUBSTITUTE($B580,CHAR(160)," "))</f>
        <v>28A S-M סד לאגודל</v>
      </c>
    </row>
    <row r="581" customFormat="false" ht="15" hidden="false" customHeight="false" outlineLevel="0" collapsed="false">
      <c r="A581" s="7" t="n">
        <v>4415028</v>
      </c>
      <c r="B581" s="7" t="s">
        <v>1123</v>
      </c>
      <c r="C581" s="7" t="str">
        <f aca="false">TRIM(SUBSTITUTE($B581,CHAR(160)," "))</f>
        <v>AC-28 סד לאגודל</v>
      </c>
    </row>
    <row r="582" customFormat="false" ht="15" hidden="false" customHeight="false" outlineLevel="0" collapsed="false">
      <c r="A582" s="7" t="n">
        <v>4408268</v>
      </c>
      <c r="B582" s="7" t="s">
        <v>1124</v>
      </c>
      <c r="C582" s="7" t="str">
        <f aca="false">TRIM(SUBSTITUTE($B582,CHAR(160)," "))</f>
        <v>ST20 חבק יד</v>
      </c>
    </row>
    <row r="583" customFormat="false" ht="15" hidden="false" customHeight="false" outlineLevel="0" collapsed="false">
      <c r="A583" s="7" t="n">
        <v>4408267</v>
      </c>
      <c r="B583" s="7" t="s">
        <v>1125</v>
      </c>
      <c r="C583" s="7" t="str">
        <f aca="false">TRIM(SUBSTITUTE($B583,CHAR(160)," "))</f>
        <v>ST25 חבק שורש לכף היד</v>
      </c>
    </row>
    <row r="584" customFormat="false" ht="15" hidden="false" customHeight="false" outlineLevel="0" collapsed="false">
      <c r="A584" s="7" t="n">
        <v>4415177</v>
      </c>
      <c r="B584" s="7" t="s">
        <v>1126</v>
      </c>
      <c r="C584" s="7" t="str">
        <f aca="false">TRIM(SUBSTITUTE($B584,CHAR(160)," "))</f>
        <v>ST28 סד אגודלי עם מוט תמיכה</v>
      </c>
    </row>
    <row r="585" customFormat="false" ht="15" hidden="false" customHeight="false" outlineLevel="0" collapsed="false">
      <c r="A585" s="7" t="n">
        <v>4408095</v>
      </c>
      <c r="B585" s="7" t="s">
        <v>1128</v>
      </c>
      <c r="C585" s="7" t="str">
        <f aca="false">TRIM(SUBSTITUTE($B585,CHAR(160)," "))</f>
        <v>T20 L-XL חבק יד עם צמדן</v>
      </c>
    </row>
    <row r="586" customFormat="false" ht="15" hidden="false" customHeight="false" outlineLevel="0" collapsed="false">
      <c r="A586" s="7" t="n">
        <v>4408094</v>
      </c>
      <c r="B586" s="7" t="s">
        <v>1130</v>
      </c>
      <c r="C586" s="7" t="str">
        <f aca="false">TRIM(SUBSTITUTE($B586,CHAR(160)," "))</f>
        <v>T20 S-M חבק יד עם צמדן</v>
      </c>
    </row>
    <row r="587" customFormat="false" ht="15" hidden="false" customHeight="false" outlineLevel="0" collapsed="false">
      <c r="A587" s="7" t="n">
        <v>4408097</v>
      </c>
      <c r="B587" s="7" t="s">
        <v>1132</v>
      </c>
      <c r="C587" s="7" t="str">
        <f aca="false">TRIM(SUBSTITUTE($B587,CHAR(160)," "))</f>
        <v>T20C L-XL חבק יד עם צמדן חום</v>
      </c>
    </row>
    <row r="588" customFormat="false" ht="15" hidden="false" customHeight="false" outlineLevel="0" collapsed="false">
      <c r="A588" s="7" t="n">
        <v>4408096</v>
      </c>
      <c r="B588" s="7" t="s">
        <v>1134</v>
      </c>
      <c r="C588" s="7" t="str">
        <f aca="false">TRIM(SUBSTITUTE($B588,CHAR(160)," "))</f>
        <v>T20C S-M חבק יד עם צמדןחום</v>
      </c>
    </row>
    <row r="589" customFormat="false" ht="15" hidden="false" customHeight="false" outlineLevel="0" collapsed="false">
      <c r="A589" s="7" t="n">
        <v>4408098</v>
      </c>
      <c r="B589" s="7" t="s">
        <v>1135</v>
      </c>
      <c r="C589" s="7" t="str">
        <f aca="false">TRIM(SUBSTITUTE($B589,CHAR(160)," "))</f>
        <v>T25-חבק יד אגודלי</v>
      </c>
    </row>
    <row r="590" customFormat="false" ht="15" hidden="false" customHeight="false" outlineLevel="0" collapsed="false">
      <c r="A590" s="7" t="n">
        <v>4408264</v>
      </c>
      <c r="B590" s="7" t="s">
        <v>1137</v>
      </c>
      <c r="C590" s="7" t="str">
        <f aca="false">TRIM(SUBSTITUTE($B590,CHAR(160)," "))</f>
        <v>T25B חבק יד אגודלי</v>
      </c>
    </row>
    <row r="591" customFormat="false" ht="15" hidden="false" customHeight="false" outlineLevel="0" collapsed="false">
      <c r="A591" s="7" t="n">
        <v>4408099</v>
      </c>
      <c r="B591" s="7" t="s">
        <v>1138</v>
      </c>
      <c r="C591" s="7" t="str">
        <f aca="false">TRIM(SUBSTITUTE($B591,CHAR(160)," "))</f>
        <v>T25C-חבק יד אגודלי</v>
      </c>
    </row>
    <row r="592" customFormat="false" ht="15" hidden="false" customHeight="false" outlineLevel="0" collapsed="false">
      <c r="A592" s="7" t="n">
        <v>4415111</v>
      </c>
      <c r="B592" s="7" t="s">
        <v>1509</v>
      </c>
      <c r="C592" s="7" t="str">
        <f aca="false">TRIM(SUBSTITUTE($B592,CHAR(160)," "))</f>
        <v>T26 L סד לאגודל דו צדדי</v>
      </c>
    </row>
    <row r="593" customFormat="false" ht="15" hidden="false" customHeight="false" outlineLevel="0" collapsed="false">
      <c r="A593" s="7" t="n">
        <v>4415110</v>
      </c>
      <c r="B593" s="7" t="s">
        <v>1510</v>
      </c>
      <c r="C593" s="7" t="str">
        <f aca="false">TRIM(SUBSTITUTE($B593,CHAR(160)," "))</f>
        <v>T26 M סד לאגודל דו צדדי</v>
      </c>
    </row>
    <row r="594" customFormat="false" ht="15" hidden="false" customHeight="false" outlineLevel="0" collapsed="false">
      <c r="A594" s="7" t="n">
        <v>4415109</v>
      </c>
      <c r="B594" s="7" t="s">
        <v>1511</v>
      </c>
      <c r="C594" s="7" t="str">
        <f aca="false">TRIM(SUBSTITUTE($B594,CHAR(160)," "))</f>
        <v>T26 S סד לאגודל דו צדדי</v>
      </c>
    </row>
    <row r="595" customFormat="false" ht="15" hidden="false" customHeight="false" outlineLevel="0" collapsed="false">
      <c r="A595" s="7" t="n">
        <v>4415112</v>
      </c>
      <c r="B595" s="7" t="s">
        <v>1512</v>
      </c>
      <c r="C595" s="7" t="str">
        <f aca="false">TRIM(SUBSTITUTE($B595,CHAR(160)," "))</f>
        <v>T26 XLסד לאגודל דו צדדי</v>
      </c>
    </row>
    <row r="596" customFormat="false" ht="15" hidden="false" customHeight="false" outlineLevel="0" collapsed="false">
      <c r="A596" s="7" t="n">
        <v>4415130</v>
      </c>
      <c r="B596" s="7" t="s">
        <v>1513</v>
      </c>
      <c r="C596" s="7" t="str">
        <f aca="false">TRIM(SUBSTITUTE($B596,CHAR(160)," "))</f>
        <v>T27L L סד ליד שמאל</v>
      </c>
    </row>
    <row r="597" customFormat="false" ht="15" hidden="false" customHeight="false" outlineLevel="0" collapsed="false">
      <c r="A597" s="7" t="n">
        <v>4415131</v>
      </c>
      <c r="B597" s="7" t="s">
        <v>1514</v>
      </c>
      <c r="C597" s="7" t="str">
        <f aca="false">TRIM(SUBSTITUTE($B597,CHAR(160)," "))</f>
        <v>T27L M סד ליד שמאל</v>
      </c>
    </row>
    <row r="598" customFormat="false" ht="15" hidden="false" customHeight="false" outlineLevel="0" collapsed="false">
      <c r="A598" s="7" t="n">
        <v>4415132</v>
      </c>
      <c r="B598" s="7" t="s">
        <v>1515</v>
      </c>
      <c r="C598" s="7" t="str">
        <f aca="false">TRIM(SUBSTITUTE($B598,CHAR(160)," "))</f>
        <v>T27L S סד ליד שמאל</v>
      </c>
    </row>
    <row r="599" customFormat="false" ht="15" hidden="false" customHeight="false" outlineLevel="0" collapsed="false">
      <c r="A599" s="7" t="n">
        <v>4415133</v>
      </c>
      <c r="B599" s="7" t="s">
        <v>1516</v>
      </c>
      <c r="C599" s="7" t="str">
        <f aca="false">TRIM(SUBSTITUTE($B599,CHAR(160)," "))</f>
        <v>T27L XL סד ליד שמאל</v>
      </c>
    </row>
    <row r="600" customFormat="false" ht="15" hidden="false" customHeight="false" outlineLevel="0" collapsed="false">
      <c r="A600" s="7" t="n">
        <v>4415137</v>
      </c>
      <c r="B600" s="7" t="s">
        <v>1517</v>
      </c>
      <c r="C600" s="7" t="str">
        <f aca="false">TRIM(SUBSTITUTE($B600,CHAR(160)," "))</f>
        <v>T27R Mסד ליד ימין</v>
      </c>
    </row>
    <row r="601" customFormat="false" ht="15" hidden="false" customHeight="false" outlineLevel="0" collapsed="false">
      <c r="A601" s="7" t="n">
        <v>4415138</v>
      </c>
      <c r="B601" s="7" t="s">
        <v>1518</v>
      </c>
      <c r="C601" s="7" t="str">
        <f aca="false">TRIM(SUBSTITUTE($B601,CHAR(160)," "))</f>
        <v>T27R Sסד ליד ימין</v>
      </c>
    </row>
    <row r="602" customFormat="false" ht="15" hidden="false" customHeight="false" outlineLevel="0" collapsed="false">
      <c r="A602" s="7" t="n">
        <v>4415139</v>
      </c>
      <c r="B602" s="7" t="s">
        <v>1519</v>
      </c>
      <c r="C602" s="7" t="str">
        <f aca="false">TRIM(SUBSTITUTE($B602,CHAR(160)," "))</f>
        <v>T27R XLסד ליד ימין</v>
      </c>
    </row>
    <row r="603" customFormat="false" ht="15" hidden="false" customHeight="false" outlineLevel="0" collapsed="false">
      <c r="A603" s="7" t="n">
        <v>4415065</v>
      </c>
      <c r="B603" s="7" t="s">
        <v>1520</v>
      </c>
      <c r="C603" s="7" t="str">
        <f aca="false">TRIM(SUBSTITUTE($B603,CHAR(160)," "))</f>
        <v>T28 L סד לאגודל כפפה</v>
      </c>
    </row>
    <row r="604" customFormat="false" ht="15" hidden="false" customHeight="false" outlineLevel="0" collapsed="false">
      <c r="A604" s="7" t="n">
        <v>4415066</v>
      </c>
      <c r="B604" s="7" t="s">
        <v>1521</v>
      </c>
      <c r="C604" s="7" t="str">
        <f aca="false">TRIM(SUBSTITUTE($B604,CHAR(160)," "))</f>
        <v>T28 M סד לאגודל כפפה</v>
      </c>
    </row>
    <row r="605" customFormat="false" ht="15" hidden="false" customHeight="false" outlineLevel="0" collapsed="false">
      <c r="A605" s="7" t="n">
        <v>4415064</v>
      </c>
      <c r="B605" s="7" t="s">
        <v>1522</v>
      </c>
      <c r="C605" s="7" t="str">
        <f aca="false">TRIM(SUBSTITUTE($B605,CHAR(160)," "))</f>
        <v>T28 S סד לאגודל כפפה</v>
      </c>
    </row>
    <row r="606" customFormat="false" ht="15" hidden="false" customHeight="false" outlineLevel="0" collapsed="false">
      <c r="A606" s="7" t="n">
        <v>4415067</v>
      </c>
      <c r="B606" s="7" t="s">
        <v>1140</v>
      </c>
      <c r="C606" s="7" t="str">
        <f aca="false">TRIM(SUBSTITUTE($B606,CHAR(160)," "))</f>
        <v>T28 XL סד לאגודל כפפה</v>
      </c>
    </row>
    <row r="607" customFormat="false" ht="15" hidden="false" customHeight="false" outlineLevel="0" collapsed="false">
      <c r="A607" s="7" t="n">
        <v>4415118</v>
      </c>
      <c r="B607" s="7" t="s">
        <v>1523</v>
      </c>
      <c r="C607" s="7" t="str">
        <f aca="false">TRIM(SUBSTITUTE($B607,CHAR(160)," "))</f>
        <v>T28 XXLסד לאגודל צד ימין</v>
      </c>
    </row>
    <row r="608" customFormat="false" ht="15" hidden="false" customHeight="false" outlineLevel="0" collapsed="false">
      <c r="A608" s="7" t="n">
        <v>4415073</v>
      </c>
      <c r="B608" s="7" t="s">
        <v>1141</v>
      </c>
      <c r="C608" s="7" t="str">
        <f aca="false">TRIM(SUBSTITUTE($B608,CHAR(160)," "))</f>
        <v>T28A L-XL סד לאגודל</v>
      </c>
    </row>
    <row r="609" customFormat="false" ht="15" hidden="false" customHeight="false" outlineLevel="0" collapsed="false">
      <c r="A609" s="7" t="n">
        <v>4415072</v>
      </c>
      <c r="B609" s="7" t="s">
        <v>1142</v>
      </c>
      <c r="C609" s="7" t="str">
        <f aca="false">TRIM(SUBSTITUTE($B609,CHAR(160)," "))</f>
        <v>T28A S-M סד לאגודל</v>
      </c>
    </row>
    <row r="610" customFormat="false" ht="15" hidden="false" customHeight="false" outlineLevel="0" collapsed="false">
      <c r="A610" s="7" t="n">
        <v>4415176</v>
      </c>
      <c r="B610" s="7" t="s">
        <v>1524</v>
      </c>
      <c r="C610" s="7" t="str">
        <f aca="false">TRIM(SUBSTITUTE($B610,CHAR(160)," "))</f>
        <v>T28A XS סד לאגודל</v>
      </c>
    </row>
    <row r="611" customFormat="false" ht="15" hidden="false" customHeight="false" outlineLevel="0" collapsed="false">
      <c r="A611" s="7" t="n">
        <v>4415075</v>
      </c>
      <c r="B611" s="7" t="s">
        <v>1144</v>
      </c>
      <c r="C611" s="7" t="str">
        <f aca="false">TRIM(SUBSTITUTE($B611,CHAR(160)," "))</f>
        <v>T28AC L-XL סד לאגודל</v>
      </c>
    </row>
    <row r="612" customFormat="false" ht="15" hidden="false" customHeight="false" outlineLevel="0" collapsed="false">
      <c r="A612" s="7" t="n">
        <v>4415074</v>
      </c>
      <c r="B612" s="7" t="s">
        <v>1146</v>
      </c>
      <c r="C612" s="7" t="str">
        <f aca="false">TRIM(SUBSTITUTE($B612,CHAR(160)," "))</f>
        <v>T28AC S-M סד לאגודל</v>
      </c>
    </row>
    <row r="613" customFormat="false" ht="15" hidden="false" customHeight="false" outlineLevel="0" collapsed="false">
      <c r="A613" s="7" t="n">
        <v>4415071</v>
      </c>
      <c r="B613" s="7" t="s">
        <v>1148</v>
      </c>
      <c r="C613" s="7" t="str">
        <f aca="false">TRIM(SUBSTITUTE($B613,CHAR(160)," "))</f>
        <v>T28C XL סד לאגודל כפפה</v>
      </c>
    </row>
    <row r="614" customFormat="false" ht="15" hidden="false" customHeight="false" outlineLevel="0" collapsed="false">
      <c r="A614" s="7" t="n">
        <v>4415069</v>
      </c>
      <c r="B614" s="7" t="s">
        <v>1150</v>
      </c>
      <c r="C614" s="7" t="str">
        <f aca="false">TRIM(SUBSTITUTE($B614,CHAR(160)," "))</f>
        <v>T28C L סד לאגודל כפפה</v>
      </c>
    </row>
    <row r="615" customFormat="false" ht="15" hidden="false" customHeight="false" outlineLevel="0" collapsed="false">
      <c r="A615" s="7" t="n">
        <v>4415070</v>
      </c>
      <c r="B615" s="7" t="s">
        <v>1525</v>
      </c>
      <c r="C615" s="7" t="str">
        <f aca="false">TRIM(SUBSTITUTE($B615,CHAR(160)," "))</f>
        <v>T28C M סד לאגודל כפפה</v>
      </c>
    </row>
    <row r="616" customFormat="false" ht="15" hidden="false" customHeight="false" outlineLevel="0" collapsed="false">
      <c r="A616" s="7" t="n">
        <v>4415068</v>
      </c>
      <c r="B616" s="7" t="s">
        <v>1526</v>
      </c>
      <c r="C616" s="7" t="str">
        <f aca="false">TRIM(SUBSTITUTE($B616,CHAR(160)," "))</f>
        <v>T28C S סד לאגודל כפפה</v>
      </c>
    </row>
    <row r="617" customFormat="false" ht="15" hidden="false" customHeight="false" outlineLevel="0" collapsed="false">
      <c r="A617" s="7" t="n">
        <v>4415029</v>
      </c>
      <c r="B617" s="7" t="s">
        <v>1151</v>
      </c>
      <c r="C617" s="7" t="str">
        <f aca="false">TRIM(SUBSTITUTE($B617,CHAR(160)," "))</f>
        <v>סד קיבוע לאצבע הדק</v>
      </c>
    </row>
    <row r="618" customFormat="false" ht="15" hidden="false" customHeight="false" outlineLevel="0" collapsed="false">
      <c r="A618" s="7" t="n">
        <v>4418014</v>
      </c>
      <c r="B618" s="7" t="s">
        <v>1527</v>
      </c>
      <c r="C618" s="7" t="str">
        <f aca="false">TRIM(SUBSTITUTE($B618,CHAR(160)," "))</f>
        <v>1314- 62 L צוארון ספוגי</v>
      </c>
    </row>
    <row r="619" customFormat="false" ht="15" hidden="false" customHeight="false" outlineLevel="0" collapsed="false">
      <c r="A619" s="7" t="n">
        <v>4418000</v>
      </c>
      <c r="B619" s="7" t="s">
        <v>1152</v>
      </c>
      <c r="C619" s="7" t="str">
        <f aca="false">TRIM(SUBSTITUTE($B619,CHAR(160)," "))</f>
        <v>60 L צוארון ספוגי</v>
      </c>
    </row>
    <row r="620" customFormat="false" ht="15" hidden="false" customHeight="false" outlineLevel="0" collapsed="false">
      <c r="A620" s="7" t="n">
        <v>4418001</v>
      </c>
      <c r="B620" s="7" t="s">
        <v>1153</v>
      </c>
      <c r="C620" s="7" t="str">
        <f aca="false">TRIM(SUBSTITUTE($B620,CHAR(160)," "))</f>
        <v>60 M צוארון ספוגי</v>
      </c>
    </row>
    <row r="621" customFormat="false" ht="15" hidden="false" customHeight="false" outlineLevel="0" collapsed="false">
      <c r="A621" s="7" t="n">
        <v>4418002</v>
      </c>
      <c r="B621" s="7" t="s">
        <v>1154</v>
      </c>
      <c r="C621" s="7" t="str">
        <f aca="false">TRIM(SUBSTITUTE($B621,CHAR(160)," "))</f>
        <v>60 S צוארון ספוגי</v>
      </c>
    </row>
    <row r="622" customFormat="false" ht="15" hidden="false" customHeight="false" outlineLevel="0" collapsed="false">
      <c r="A622" s="7" t="n">
        <v>4418003</v>
      </c>
      <c r="B622" s="7" t="s">
        <v>1155</v>
      </c>
      <c r="C622" s="7" t="str">
        <f aca="false">TRIM(SUBSTITUTE($B622,CHAR(160)," "))</f>
        <v>60 XL צוארון ספוגי</v>
      </c>
    </row>
    <row r="623" customFormat="false" ht="15" hidden="false" customHeight="false" outlineLevel="0" collapsed="false">
      <c r="A623" s="7" t="n">
        <v>4418004</v>
      </c>
      <c r="B623" s="7" t="s">
        <v>1528</v>
      </c>
      <c r="C623" s="7" t="str">
        <f aca="false">TRIM(SUBSTITUTE($B623,CHAR(160)," "))</f>
        <v>60 XXL צוארון ספוגי</v>
      </c>
    </row>
    <row r="624" customFormat="false" ht="15" hidden="false" customHeight="false" outlineLevel="0" collapsed="false">
      <c r="A624" s="7" t="n">
        <v>4418016</v>
      </c>
      <c r="B624" s="7" t="s">
        <v>1529</v>
      </c>
      <c r="C624" s="7" t="str">
        <f aca="false">TRIM(SUBSTITUTE($B624,CHAR(160)," "))</f>
        <v>60XS צוארון ספוגי</v>
      </c>
    </row>
    <row r="625" customFormat="false" ht="15" hidden="false" customHeight="false" outlineLevel="0" collapsed="false">
      <c r="A625" s="7" t="n">
        <v>4418013</v>
      </c>
      <c r="B625" s="7" t="s">
        <v>1530</v>
      </c>
      <c r="C625" s="7" t="str">
        <f aca="false">TRIM(SUBSTITUTE($B625,CHAR(160)," "))</f>
        <v>62 M צוארון ספוגי</v>
      </c>
    </row>
    <row r="626" customFormat="false" ht="15" hidden="false" customHeight="false" outlineLevel="0" collapsed="false">
      <c r="A626" s="7" t="n">
        <v>4418012</v>
      </c>
      <c r="B626" s="7" t="s">
        <v>1531</v>
      </c>
      <c r="C626" s="7" t="str">
        <f aca="false">TRIM(SUBSTITUTE($B626,CHAR(160)," "))</f>
        <v>62 S צוארון ספוגי</v>
      </c>
    </row>
    <row r="627" customFormat="false" ht="15" hidden="false" customHeight="false" outlineLevel="0" collapsed="false">
      <c r="A627" s="7" t="n">
        <v>4418015</v>
      </c>
      <c r="B627" s="7" t="s">
        <v>1532</v>
      </c>
      <c r="C627" s="7" t="str">
        <f aca="false">TRIM(SUBSTITUTE($B627,CHAR(160)," "))</f>
        <v>62 XL צוארון ספוגי</v>
      </c>
    </row>
    <row r="628" customFormat="false" ht="15" hidden="false" customHeight="false" outlineLevel="0" collapsed="false">
      <c r="A628" s="7" t="n">
        <v>4418007</v>
      </c>
      <c r="B628" s="7" t="s">
        <v>1533</v>
      </c>
      <c r="C628" s="7" t="str">
        <f aca="false">TRIM(SUBSTITUTE($B628,CHAR(160)," "))</f>
        <v>63 L צוארון פלסטי מתכוון</v>
      </c>
    </row>
    <row r="629" customFormat="false" ht="15" hidden="false" customHeight="false" outlineLevel="0" collapsed="false">
      <c r="A629" s="7" t="n">
        <v>4418006</v>
      </c>
      <c r="B629" s="7" t="s">
        <v>1534</v>
      </c>
      <c r="C629" s="7" t="str">
        <f aca="false">TRIM(SUBSTITUTE($B629,CHAR(160)," "))</f>
        <v>63 M צוארון פלסטי מתכוון</v>
      </c>
    </row>
    <row r="630" customFormat="false" ht="15" hidden="false" customHeight="false" outlineLevel="0" collapsed="false">
      <c r="A630" s="7" t="n">
        <v>4418005</v>
      </c>
      <c r="B630" s="7" t="s">
        <v>1535</v>
      </c>
      <c r="C630" s="7" t="str">
        <f aca="false">TRIM(SUBSTITUTE($B630,CHAR(160)," "))</f>
        <v>63 S צוארון פלסטי מתכוון</v>
      </c>
    </row>
    <row r="631" customFormat="false" ht="15" hidden="false" customHeight="false" outlineLevel="0" collapsed="false">
      <c r="A631" s="7" t="n">
        <v>4419003</v>
      </c>
      <c r="B631" s="7" t="s">
        <v>1536</v>
      </c>
      <c r="C631" s="7" t="str">
        <f aca="false">TRIM(SUBSTITUTE($B631,CHAR(160)," "))</f>
        <v>FC310-תתקרם הגנה לכף הרגל</v>
      </c>
    </row>
    <row r="632" customFormat="false" ht="15" hidden="false" customHeight="false" outlineLevel="0" collapsed="false">
      <c r="A632" s="7" t="n">
        <v>4419002</v>
      </c>
      <c r="B632" s="7" t="s">
        <v>1537</v>
      </c>
      <c r="C632" s="7" t="str">
        <f aca="false">TRIM(SUBSTITUTE($B632,CHAR(160)," "))</f>
        <v>FC311-תתקרם דאודורנט לכף הרגל</v>
      </c>
    </row>
    <row r="633" customFormat="false" ht="15" hidden="false" customHeight="false" outlineLevel="0" collapsed="false">
      <c r="A633" s="7" t="n">
        <v>4419004</v>
      </c>
      <c r="B633" s="7" t="s">
        <v>1538</v>
      </c>
      <c r="C633" s="7" t="str">
        <f aca="false">TRIM(SUBSTITUTE($B633,CHAR(160)," "))</f>
        <v>FC312-תתקרם מירוק גרגרי פילינג</v>
      </c>
    </row>
    <row r="634" customFormat="false" ht="15" hidden="false" customHeight="false" outlineLevel="0" collapsed="false">
      <c r="A634" s="7" t="n">
        <v>4419005</v>
      </c>
      <c r="B634" s="7" t="s">
        <v>1539</v>
      </c>
      <c r="C634" s="7" t="str">
        <f aca="false">TRIM(SUBSTITUTE($B634,CHAR(160)," "))</f>
        <v>FC313- תתקרם ריכוך</v>
      </c>
    </row>
    <row r="635" customFormat="false" ht="15" hidden="false" customHeight="false" outlineLevel="0" collapsed="false">
      <c r="A635" s="7" t="n">
        <v>4409003</v>
      </c>
      <c r="B635" s="7" t="s">
        <v>1540</v>
      </c>
      <c r="C635" s="7" t="str">
        <f aca="false">TRIM(SUBSTITUTE($B635,CHAR(160)," "))</f>
        <v>FC314-תתטלק נוזלי</v>
      </c>
    </row>
    <row r="636" customFormat="false" ht="15" hidden="false" customHeight="false" outlineLevel="0" collapsed="false">
      <c r="A636" s="7" t="n">
        <v>4403009</v>
      </c>
      <c r="B636" s="7" t="s">
        <v>1541</v>
      </c>
      <c r="C636" s="7" t="str">
        <f aca="false">TRIM(SUBSTITUTE($B636,CHAR(160)," "))</f>
        <v>FC315-תתג'ל צינון</v>
      </c>
    </row>
    <row r="637" customFormat="false" ht="15" hidden="false" customHeight="false" outlineLevel="0" collapsed="false">
      <c r="A637" s="7" t="n">
        <v>4419010</v>
      </c>
      <c r="B637" s="7" t="s">
        <v>1542</v>
      </c>
      <c r="C637" s="7" t="str">
        <f aca="false">TRIM(SUBSTITUTE($B637,CHAR(160)," "))</f>
        <v>FC316 קרם רגליים שיקומי</v>
      </c>
    </row>
    <row r="638" customFormat="false" ht="15" hidden="false" customHeight="false" outlineLevel="0" collapsed="false">
      <c r="A638" s="7" t="n">
        <v>4404000</v>
      </c>
      <c r="B638" s="7" t="s">
        <v>1543</v>
      </c>
      <c r="C638" s="7" t="str">
        <f aca="false">TRIM(SUBSTITUTE($B638,CHAR(160)," "))</f>
        <v>FC330Z-תתדאו'אנטי בקט.לנעל120</v>
      </c>
    </row>
    <row r="639" customFormat="false" ht="15" hidden="false" customHeight="false" outlineLevel="0" collapsed="false">
      <c r="A639" s="7" t="n">
        <v>4422003</v>
      </c>
      <c r="B639" s="7" t="s">
        <v>1544</v>
      </c>
      <c r="C639" s="7" t="str">
        <f aca="false">TRIM(SUBSTITUTE($B639,CHAR(160)," "))</f>
        <v>FC331Z- 120 תתתרסיס מרענן לרגל</v>
      </c>
    </row>
    <row r="640" customFormat="false" ht="15" hidden="false" customHeight="false" outlineLevel="0" collapsed="false">
      <c r="A640" s="7" t="n">
        <v>4409002</v>
      </c>
      <c r="B640" s="7" t="s">
        <v>1545</v>
      </c>
      <c r="C640" s="7" t="str">
        <f aca="false">TRIM(SUBSTITUTE($B640,CHAR(160)," "))</f>
        <v>FC341-טיפות נגד פטרת הציפורן</v>
      </c>
    </row>
    <row r="641" customFormat="false" ht="15" hidden="false" customHeight="false" outlineLevel="0" collapsed="false">
      <c r="A641" s="7" t="n">
        <v>4413002</v>
      </c>
      <c r="B641" s="7" t="s">
        <v>1546</v>
      </c>
      <c r="C641" s="7" t="str">
        <f aca="false">TRIM(SUBSTITUTE($B641,CHAR(160)," "))</f>
        <v>30 L מגן קרסול מתכוון עם סקוטש</v>
      </c>
    </row>
    <row r="642" customFormat="false" ht="15" hidden="false" customHeight="false" outlineLevel="0" collapsed="false">
      <c r="A642" s="7" t="n">
        <v>4413003</v>
      </c>
      <c r="B642" s="7" t="s">
        <v>1547</v>
      </c>
      <c r="C642" s="7" t="str">
        <f aca="false">TRIM(SUBSTITUTE($B642,CHAR(160)," "))</f>
        <v>30 M מגן קרסול מתכוון עם סקוטש</v>
      </c>
    </row>
    <row r="643" customFormat="false" ht="15" hidden="false" customHeight="false" outlineLevel="0" collapsed="false">
      <c r="A643" s="7" t="n">
        <v>4413000</v>
      </c>
      <c r="B643" s="7" t="s">
        <v>1548</v>
      </c>
      <c r="C643" s="7" t="str">
        <f aca="false">TRIM(SUBSTITUTE($B643,CHAR(160)," "))</f>
        <v>30 S מגן קרסול מתכוון עם סקוטש</v>
      </c>
    </row>
    <row r="644" customFormat="false" ht="15" hidden="false" customHeight="false" outlineLevel="0" collapsed="false">
      <c r="A644" s="7" t="n">
        <v>4413004</v>
      </c>
      <c r="B644" s="7" t="s">
        <v>1549</v>
      </c>
      <c r="C644" s="7" t="str">
        <f aca="false">TRIM(SUBSTITUTE($B644,CHAR(160)," "))</f>
        <v>30 XL מגן קרסול מתכוון סקוטש</v>
      </c>
    </row>
    <row r="645" customFormat="false" ht="15" hidden="false" customHeight="false" outlineLevel="0" collapsed="false">
      <c r="A645" s="7" t="n">
        <v>4413005</v>
      </c>
      <c r="B645" s="7" t="s">
        <v>1550</v>
      </c>
      <c r="C645" s="7" t="str">
        <f aca="false">TRIM(SUBSTITUTE($B645,CHAR(160)," "))</f>
        <v>30 XXL מגן קרסול מתכוון+סקוטש</v>
      </c>
    </row>
    <row r="646" customFormat="false" ht="15" hidden="false" customHeight="false" outlineLevel="0" collapsed="false">
      <c r="A646" s="7" t="n">
        <v>4415011</v>
      </c>
      <c r="B646" s="7" t="s">
        <v>1551</v>
      </c>
      <c r="C646" s="7" t="str">
        <f aca="false">TRIM(SUBSTITUTE($B646,CHAR(160)," "))</f>
        <v>32 L סד קרסול+מוטות אלומיניום</v>
      </c>
    </row>
    <row r="647" customFormat="false" ht="15" hidden="false" customHeight="false" outlineLevel="0" collapsed="false">
      <c r="A647" s="7" t="n">
        <v>4415012</v>
      </c>
      <c r="B647" s="7" t="s">
        <v>1552</v>
      </c>
      <c r="C647" s="7" t="str">
        <f aca="false">TRIM(SUBSTITUTE($B647,CHAR(160)," "))</f>
        <v>32 M סד קרסול+מוטות אלומיניום</v>
      </c>
    </row>
    <row r="648" customFormat="false" ht="15" hidden="false" customHeight="false" outlineLevel="0" collapsed="false">
      <c r="A648" s="7" t="n">
        <v>4415013</v>
      </c>
      <c r="B648" s="7" t="s">
        <v>1156</v>
      </c>
      <c r="C648" s="7" t="str">
        <f aca="false">TRIM(SUBSTITUTE($B648,CHAR(160)," "))</f>
        <v>32 XL סד קרסול+מוטות אלומיניום</v>
      </c>
    </row>
    <row r="649" customFormat="false" ht="15" hidden="false" customHeight="false" outlineLevel="0" collapsed="false">
      <c r="A649" s="7" t="n">
        <v>4413347</v>
      </c>
      <c r="B649" s="7" t="s">
        <v>1158</v>
      </c>
      <c r="C649" s="7" t="str">
        <f aca="false">TRIM(SUBSTITUTE($B649,CHAR(160)," "))</f>
        <v>322-L מגן קרסול+כרית סילקון</v>
      </c>
    </row>
    <row r="650" customFormat="false" ht="15" hidden="false" customHeight="false" outlineLevel="0" collapsed="false">
      <c r="A650" s="7" t="n">
        <v>4413336</v>
      </c>
      <c r="B650" s="7" t="s">
        <v>1553</v>
      </c>
      <c r="C650" s="7" t="str">
        <f aca="false">TRIM(SUBSTITUTE($B650,CHAR(160)," "))</f>
        <v>322-M מגן קרסול+כרית סילקון</v>
      </c>
    </row>
    <row r="651" customFormat="false" ht="15" hidden="false" customHeight="false" outlineLevel="0" collapsed="false">
      <c r="A651" s="7" t="n">
        <v>4413335</v>
      </c>
      <c r="B651" s="7" t="s">
        <v>1554</v>
      </c>
      <c r="C651" s="7" t="str">
        <f aca="false">TRIM(SUBSTITUTE($B651,CHAR(160)," "))</f>
        <v>322-S מגן קרסול+כרית סילקון</v>
      </c>
    </row>
    <row r="652" customFormat="false" ht="15" hidden="false" customHeight="false" outlineLevel="0" collapsed="false">
      <c r="A652" s="7" t="n">
        <v>4413337</v>
      </c>
      <c r="B652" s="7" t="s">
        <v>1160</v>
      </c>
      <c r="C652" s="7" t="str">
        <f aca="false">TRIM(SUBSTITUTE($B652,CHAR(160)," "))</f>
        <v>322XL מגן קרסול+כרית סילקון</v>
      </c>
    </row>
    <row r="653" customFormat="false" ht="15" hidden="false" customHeight="false" outlineLevel="0" collapsed="false">
      <c r="A653" s="7" t="n">
        <v>4413338</v>
      </c>
      <c r="B653" s="7" t="s">
        <v>1555</v>
      </c>
      <c r="C653" s="7" t="str">
        <f aca="false">TRIM(SUBSTITUTE($B653,CHAR(160)," "))</f>
        <v>322XXLמגן קרסול+כרית סילקון</v>
      </c>
    </row>
    <row r="654" customFormat="false" ht="15" hidden="false" customHeight="false" outlineLevel="0" collapsed="false">
      <c r="A654" s="7" t="n">
        <v>4415015</v>
      </c>
      <c r="B654" s="7" t="s">
        <v>1556</v>
      </c>
      <c r="C654" s="7" t="str">
        <f aca="false">TRIM(SUBSTITUTE($B654,CHAR(160)," "))</f>
        <v>33 Lסד קל לקרסול עם סדי פלסטיק</v>
      </c>
    </row>
    <row r="655" customFormat="false" ht="15" hidden="false" customHeight="false" outlineLevel="0" collapsed="false">
      <c r="A655" s="7" t="n">
        <v>4415016</v>
      </c>
      <c r="B655" s="7" t="s">
        <v>1557</v>
      </c>
      <c r="C655" s="7" t="str">
        <f aca="false">TRIM(SUBSTITUTE($B655,CHAR(160)," "))</f>
        <v>33 Mסד קל לקרסול עם סדי פלסטיק</v>
      </c>
    </row>
    <row r="656" customFormat="false" ht="15" hidden="false" customHeight="false" outlineLevel="0" collapsed="false">
      <c r="A656" s="7" t="n">
        <v>4415017</v>
      </c>
      <c r="B656" s="7" t="s">
        <v>1558</v>
      </c>
      <c r="C656" s="7" t="str">
        <f aca="false">TRIM(SUBSTITUTE($B656,CHAR(160)," "))</f>
        <v>33 Sסד קל לקרסול עם סדי פלסטיק</v>
      </c>
    </row>
    <row r="657" customFormat="false" ht="15" hidden="false" customHeight="false" outlineLevel="0" collapsed="false">
      <c r="A657" s="7" t="n">
        <v>4415018</v>
      </c>
      <c r="B657" s="7" t="s">
        <v>1559</v>
      </c>
      <c r="C657" s="7" t="str">
        <f aca="false">TRIM(SUBSTITUTE($B657,CHAR(160)," "))</f>
        <v>33 XL.סד קל לקרסול עם סדי פלסט</v>
      </c>
    </row>
    <row r="658" customFormat="false" ht="15" hidden="false" customHeight="false" outlineLevel="0" collapsed="false">
      <c r="A658" s="7" t="n">
        <v>4413428</v>
      </c>
      <c r="B658" s="7" t="s">
        <v>1560</v>
      </c>
      <c r="C658" s="7" t="str">
        <f aca="false">TRIM(SUBSTITUTE($B658,CHAR(160)," "))</f>
        <v>332CL'מייצב קרסול עם שרוכים בז</v>
      </c>
    </row>
    <row r="659" customFormat="false" ht="15" hidden="false" customHeight="false" outlineLevel="0" collapsed="false">
      <c r="A659" s="7" t="n">
        <v>4413429</v>
      </c>
      <c r="B659" s="7" t="s">
        <v>1561</v>
      </c>
      <c r="C659" s="7" t="str">
        <f aca="false">TRIM(SUBSTITUTE($B659,CHAR(160)," "))</f>
        <v>332CM'מייצב קרסול עם שרוכים בז</v>
      </c>
    </row>
    <row r="660" customFormat="false" ht="15" hidden="false" customHeight="false" outlineLevel="0" collapsed="false">
      <c r="A660" s="7" t="n">
        <v>4413430</v>
      </c>
      <c r="B660" s="7" t="s">
        <v>1562</v>
      </c>
      <c r="C660" s="7" t="str">
        <f aca="false">TRIM(SUBSTITUTE($B660,CHAR(160)," "))</f>
        <v>332CS'מייצב קרסול עם שרוכים בז</v>
      </c>
    </row>
    <row r="661" customFormat="false" ht="15" hidden="false" customHeight="false" outlineLevel="0" collapsed="false">
      <c r="A661" s="7" t="n">
        <v>4413431</v>
      </c>
      <c r="B661" s="7" t="s">
        <v>1563</v>
      </c>
      <c r="C661" s="7" t="str">
        <f aca="false">TRIM(SUBSTITUTE($B661,CHAR(160)," "))</f>
        <v>332CXLמייצב קרסול עם שרוכים בז</v>
      </c>
    </row>
    <row r="662" customFormat="false" ht="15" hidden="false" customHeight="false" outlineLevel="0" collapsed="false">
      <c r="A662" s="7" t="n">
        <v>4413432</v>
      </c>
      <c r="B662" s="7" t="s">
        <v>1564</v>
      </c>
      <c r="C662" s="7" t="str">
        <f aca="false">TRIM(SUBSTITUTE($B662,CHAR(160)," "))</f>
        <v>332CXXLמיצב קרסול עם שרוכים בז</v>
      </c>
    </row>
    <row r="663" customFormat="false" ht="15" hidden="false" customHeight="false" outlineLevel="0" collapsed="false">
      <c r="A663" s="7" t="n">
        <v>4415019</v>
      </c>
      <c r="B663" s="7" t="s">
        <v>1161</v>
      </c>
      <c r="C663" s="7" t="str">
        <f aca="false">TRIM(SUBSTITUTE($B663,CHAR(160)," "))</f>
        <v>333 סד לקרסול עם כריות אויר</v>
      </c>
    </row>
    <row r="664" customFormat="false" ht="15" hidden="false" customHeight="false" outlineLevel="0" collapsed="false">
      <c r="A664" s="7" t="n">
        <v>4413043</v>
      </c>
      <c r="B664" s="7" t="s">
        <v>1162</v>
      </c>
      <c r="C664" s="7" t="str">
        <f aca="false">TRIM(SUBSTITUTE($B664,CHAR(160)," "))</f>
        <v>34 L מגן קרסול עקב סגור</v>
      </c>
    </row>
    <row r="665" customFormat="false" ht="15" hidden="false" customHeight="false" outlineLevel="0" collapsed="false">
      <c r="A665" s="7" t="n">
        <v>4413041</v>
      </c>
      <c r="B665" s="7" t="s">
        <v>1163</v>
      </c>
      <c r="C665" s="7" t="str">
        <f aca="false">TRIM(SUBSTITUTE($B665,CHAR(160)," "))</f>
        <v>34 M מגן קרסול עקב סגור</v>
      </c>
    </row>
    <row r="666" customFormat="false" ht="15" hidden="false" customHeight="false" outlineLevel="0" collapsed="false">
      <c r="A666" s="7" t="n">
        <v>4413042</v>
      </c>
      <c r="B666" s="7" t="s">
        <v>1164</v>
      </c>
      <c r="C666" s="7" t="str">
        <f aca="false">TRIM(SUBSTITUTE($B666,CHAR(160)," "))</f>
        <v>34 S מגן קרסול עקב סגור</v>
      </c>
    </row>
    <row r="667" customFormat="false" ht="15" hidden="false" customHeight="false" outlineLevel="0" collapsed="false">
      <c r="A667" s="7" t="n">
        <v>4413044</v>
      </c>
      <c r="B667" s="7" t="s">
        <v>1165</v>
      </c>
      <c r="C667" s="7" t="str">
        <f aca="false">TRIM(SUBSTITUTE($B667,CHAR(160)," "))</f>
        <v>34 XL מגן קרסול עקב סגור</v>
      </c>
    </row>
    <row r="668" customFormat="false" ht="15" hidden="false" customHeight="false" outlineLevel="0" collapsed="false">
      <c r="A668" s="7" t="n">
        <v>4413045</v>
      </c>
      <c r="B668" s="7" t="s">
        <v>1565</v>
      </c>
      <c r="C668" s="7" t="str">
        <f aca="false">TRIM(SUBSTITUTE($B668,CHAR(160)," "))</f>
        <v>34 XS מגן קרסול עקב סגור</v>
      </c>
    </row>
    <row r="669" customFormat="false" ht="15" hidden="false" customHeight="false" outlineLevel="0" collapsed="false">
      <c r="A669" s="7" t="n">
        <v>4413046</v>
      </c>
      <c r="B669" s="7" t="s">
        <v>1166</v>
      </c>
      <c r="C669" s="7" t="str">
        <f aca="false">TRIM(SUBSTITUTE($B669,CHAR(160)," "))</f>
        <v>34 XXL מגן קרסול עקב סגור</v>
      </c>
    </row>
    <row r="670" customFormat="false" ht="15" hidden="false" customHeight="false" outlineLevel="0" collapsed="false">
      <c r="A670" s="7" t="n">
        <v>4413161</v>
      </c>
      <c r="B670" s="7" t="s">
        <v>1167</v>
      </c>
      <c r="C670" s="7" t="str">
        <f aca="false">TRIM(SUBSTITUTE($B670,CHAR(160)," "))</f>
        <v>34+ L מגן קרסול עקב סגור+רצוע</v>
      </c>
    </row>
    <row r="671" customFormat="false" ht="15" hidden="false" customHeight="false" outlineLevel="0" collapsed="false">
      <c r="A671" s="7" t="n">
        <v>4413160</v>
      </c>
      <c r="B671" s="7" t="s">
        <v>1168</v>
      </c>
      <c r="C671" s="7" t="str">
        <f aca="false">TRIM(SUBSTITUTE($B671,CHAR(160)," "))</f>
        <v>34+ M מגן קרסול עקב סגור+רצוע</v>
      </c>
    </row>
    <row r="672" customFormat="false" ht="15" hidden="false" customHeight="false" outlineLevel="0" collapsed="false">
      <c r="A672" s="7" t="n">
        <v>4413159</v>
      </c>
      <c r="B672" s="7" t="s">
        <v>1169</v>
      </c>
      <c r="C672" s="7" t="str">
        <f aca="false">TRIM(SUBSTITUTE($B672,CHAR(160)," "))</f>
        <v>34+ S מגן קרסול עקב סגור+רצוע</v>
      </c>
    </row>
    <row r="673" customFormat="false" ht="15" hidden="false" customHeight="false" outlineLevel="0" collapsed="false">
      <c r="A673" s="7" t="n">
        <v>4413162</v>
      </c>
      <c r="B673" s="7" t="s">
        <v>1170</v>
      </c>
      <c r="C673" s="7" t="str">
        <f aca="false">TRIM(SUBSTITUTE($B673,CHAR(160)," "))</f>
        <v>34+XL מגן קרסול עקב סגור+רצוע</v>
      </c>
    </row>
    <row r="674" customFormat="false" ht="15" hidden="false" customHeight="false" outlineLevel="0" collapsed="false">
      <c r="A674" s="7" t="n">
        <v>4413303</v>
      </c>
      <c r="B674" s="7" t="s">
        <v>1171</v>
      </c>
      <c r="C674" s="7" t="str">
        <f aca="false">TRIM(SUBSTITUTE($B674,CHAR(160)," "))</f>
        <v>34+XXL מ.קרסול+עכב סגור+רצועות</v>
      </c>
    </row>
    <row r="675" customFormat="false" ht="15" hidden="false" customHeight="false" outlineLevel="0" collapsed="false">
      <c r="A675" s="7" t="n">
        <v>4413048</v>
      </c>
      <c r="B675" s="7" t="s">
        <v>1172</v>
      </c>
      <c r="C675" s="7" t="str">
        <f aca="false">TRIM(SUBSTITUTE($B675,CHAR(160)," "))</f>
        <v>35 L מגן קרסול לבן</v>
      </c>
    </row>
    <row r="676" customFormat="false" ht="15" hidden="false" customHeight="false" outlineLevel="0" collapsed="false">
      <c r="A676" s="7" t="n">
        <v>4413049</v>
      </c>
      <c r="B676" s="7" t="s">
        <v>1173</v>
      </c>
      <c r="C676" s="7" t="str">
        <f aca="false">TRIM(SUBSTITUTE($B676,CHAR(160)," "))</f>
        <v>35 M מגן קרסול לבן</v>
      </c>
    </row>
    <row r="677" customFormat="false" ht="15" hidden="false" customHeight="false" outlineLevel="0" collapsed="false">
      <c r="A677" s="7" t="n">
        <v>4413047</v>
      </c>
      <c r="B677" s="7" t="s">
        <v>1174</v>
      </c>
      <c r="C677" s="7" t="str">
        <f aca="false">TRIM(SUBSTITUTE($B677,CHAR(160)," "))</f>
        <v>35 S מגן קרסול לבן</v>
      </c>
    </row>
    <row r="678" customFormat="false" ht="15" hidden="false" customHeight="false" outlineLevel="0" collapsed="false">
      <c r="A678" s="7" t="n">
        <v>4413050</v>
      </c>
      <c r="B678" s="7" t="s">
        <v>1175</v>
      </c>
      <c r="C678" s="7" t="str">
        <f aca="false">TRIM(SUBSTITUTE($B678,CHAR(160)," "))</f>
        <v>35 XL מגן קרסול לבן</v>
      </c>
    </row>
    <row r="679" customFormat="false" ht="15" hidden="false" customHeight="false" outlineLevel="0" collapsed="false">
      <c r="A679" s="7" t="n">
        <v>4413324</v>
      </c>
      <c r="B679" s="7" t="s">
        <v>1566</v>
      </c>
      <c r="C679" s="7" t="str">
        <f aca="false">TRIM(SUBSTITUTE($B679,CHAR(160)," "))</f>
        <v>35 XS מגן קרסול לבן</v>
      </c>
    </row>
    <row r="680" customFormat="false" ht="15" hidden="false" customHeight="false" outlineLevel="0" collapsed="false">
      <c r="A680" s="7" t="n">
        <v>4413051</v>
      </c>
      <c r="B680" s="7" t="s">
        <v>1176</v>
      </c>
      <c r="C680" s="7" t="str">
        <f aca="false">TRIM(SUBSTITUTE($B680,CHAR(160)," "))</f>
        <v>35 XXL מגן קרסול לבן</v>
      </c>
    </row>
    <row r="681" customFormat="false" ht="15" hidden="false" customHeight="false" outlineLevel="0" collapsed="false">
      <c r="A681" s="7" t="n">
        <v>4413490</v>
      </c>
      <c r="B681" s="7" t="s">
        <v>1177</v>
      </c>
      <c r="C681" s="7" t="str">
        <f aca="false">TRIM(SUBSTITUTE($B681,CHAR(160)," "))</f>
        <v>35B L מגן קרסול שחור</v>
      </c>
    </row>
    <row r="682" customFormat="false" ht="15" hidden="false" customHeight="false" outlineLevel="0" collapsed="false">
      <c r="A682" s="7" t="n">
        <v>4413492</v>
      </c>
      <c r="B682" s="7" t="s">
        <v>1178</v>
      </c>
      <c r="C682" s="7" t="str">
        <f aca="false">TRIM(SUBSTITUTE($B682,CHAR(160)," "))</f>
        <v>35B M מגן קרסול שחור</v>
      </c>
    </row>
    <row r="683" customFormat="false" ht="15" hidden="false" customHeight="false" outlineLevel="0" collapsed="false">
      <c r="A683" s="7" t="n">
        <v>4413493</v>
      </c>
      <c r="B683" s="7" t="s">
        <v>1179</v>
      </c>
      <c r="C683" s="7" t="str">
        <f aca="false">TRIM(SUBSTITUTE($B683,CHAR(160)," "))</f>
        <v>35B S מגן קרסול שחור</v>
      </c>
    </row>
    <row r="684" customFormat="false" ht="15" hidden="false" customHeight="false" outlineLevel="0" collapsed="false">
      <c r="A684" s="7" t="n">
        <v>4413491</v>
      </c>
      <c r="B684" s="7" t="s">
        <v>1180</v>
      </c>
      <c r="C684" s="7" t="str">
        <f aca="false">TRIM(SUBSTITUTE($B684,CHAR(160)," "))</f>
        <v>35B XL מגן קרסול שחור</v>
      </c>
    </row>
    <row r="685" customFormat="false" ht="15" hidden="false" customHeight="false" outlineLevel="0" collapsed="false">
      <c r="A685" s="7" t="n">
        <v>4413494</v>
      </c>
      <c r="B685" s="7" t="s">
        <v>1181</v>
      </c>
      <c r="C685" s="7" t="str">
        <f aca="false">TRIM(SUBSTITUTE($B685,CHAR(160)," "))</f>
        <v>35B XXL מגן קרסול שחור</v>
      </c>
    </row>
    <row r="686" customFormat="false" ht="15" hidden="false" customHeight="false" outlineLevel="0" collapsed="false">
      <c r="A686" s="7" t="n">
        <v>4413053</v>
      </c>
      <c r="B686" s="7" t="s">
        <v>1182</v>
      </c>
      <c r="C686" s="7" t="str">
        <f aca="false">TRIM(SUBSTITUTE($B686,CHAR(160)," "))</f>
        <v>35C L מגן קרסול חום</v>
      </c>
    </row>
    <row r="687" customFormat="false" ht="15" hidden="false" customHeight="false" outlineLevel="0" collapsed="false">
      <c r="A687" s="7" t="n">
        <v>4413054</v>
      </c>
      <c r="B687" s="7" t="s">
        <v>1183</v>
      </c>
      <c r="C687" s="7" t="str">
        <f aca="false">TRIM(SUBSTITUTE($B687,CHAR(160)," "))</f>
        <v>35C M מגן קרסול חום</v>
      </c>
    </row>
    <row r="688" customFormat="false" ht="15" hidden="false" customHeight="false" outlineLevel="0" collapsed="false">
      <c r="A688" s="7" t="n">
        <v>4413052</v>
      </c>
      <c r="B688" s="7" t="s">
        <v>1184</v>
      </c>
      <c r="C688" s="7" t="str">
        <f aca="false">TRIM(SUBSTITUTE($B688,CHAR(160)," "))</f>
        <v>35C S מגן קרסול חום</v>
      </c>
    </row>
    <row r="689" customFormat="false" ht="15" hidden="false" customHeight="false" outlineLevel="0" collapsed="false">
      <c r="A689" s="7" t="n">
        <v>4413055</v>
      </c>
      <c r="B689" s="7" t="s">
        <v>1185</v>
      </c>
      <c r="C689" s="7" t="str">
        <f aca="false">TRIM(SUBSTITUTE($B689,CHAR(160)," "))</f>
        <v>35C XL מגן קרסול חום</v>
      </c>
    </row>
    <row r="690" customFormat="false" ht="15" hidden="false" customHeight="false" outlineLevel="0" collapsed="false">
      <c r="A690" s="7" t="n">
        <v>4413530</v>
      </c>
      <c r="B690" s="7" t="s">
        <v>1567</v>
      </c>
      <c r="C690" s="7" t="str">
        <f aca="false">TRIM(SUBSTITUTE($B690,CHAR(160)," "))</f>
        <v>35C XXL מגן קרסול חום</v>
      </c>
    </row>
    <row r="691" customFormat="false" ht="15" hidden="false" customHeight="false" outlineLevel="0" collapsed="false">
      <c r="A691" s="7" t="n">
        <v>4413326</v>
      </c>
      <c r="B691" s="7" t="s">
        <v>1186</v>
      </c>
      <c r="C691" s="7" t="str">
        <f aca="false">TRIM(SUBSTITUTE($B691,CHAR(160)," "))</f>
        <v>AC37 מגן קרסול נושם</v>
      </c>
    </row>
    <row r="692" customFormat="false" ht="15" hidden="false" customHeight="false" outlineLevel="0" collapsed="false">
      <c r="A692" s="7" t="n">
        <v>4413534</v>
      </c>
      <c r="B692" s="7" t="s">
        <v>1187</v>
      </c>
      <c r="C692" s="7" t="str">
        <f aca="false">TRIM(SUBSTITUTE($B692,CHAR(160)," "))</f>
        <v>SH333 מקבע קרסול</v>
      </c>
    </row>
    <row r="693" customFormat="false" ht="15" hidden="false" customHeight="false" outlineLevel="0" collapsed="false">
      <c r="A693" s="7" t="n">
        <v>4408269</v>
      </c>
      <c r="B693" s="7" t="s">
        <v>1188</v>
      </c>
      <c r="C693" s="7" t="str">
        <f aca="false">TRIM(SUBSTITUTE($B693,CHAR(160)," "))</f>
        <v>ST37 חבק לקרסול</v>
      </c>
    </row>
    <row r="694" customFormat="false" ht="15" hidden="false" customHeight="false" outlineLevel="0" collapsed="false">
      <c r="A694" s="7" t="n">
        <v>4415105</v>
      </c>
      <c r="B694" s="7" t="s">
        <v>1568</v>
      </c>
      <c r="C694" s="7" t="str">
        <f aca="false">TRIM(SUBSTITUTE($B694,CHAR(160)," "))</f>
        <v>T32 S סד קרסול+מוטות אלומיניום</v>
      </c>
    </row>
    <row r="695" customFormat="false" ht="15" hidden="false" customHeight="false" outlineLevel="0" collapsed="false">
      <c r="A695" s="7" t="n">
        <v>4415084</v>
      </c>
      <c r="B695" s="7" t="s">
        <v>1569</v>
      </c>
      <c r="C695" s="7" t="str">
        <f aca="false">TRIM(SUBSTITUTE($B695,CHAR(160)," "))</f>
        <v>T33 L סד לקרסול</v>
      </c>
    </row>
    <row r="696" customFormat="false" ht="15" hidden="false" customHeight="false" outlineLevel="0" collapsed="false">
      <c r="A696" s="7" t="n">
        <v>4415083</v>
      </c>
      <c r="B696" s="7" t="s">
        <v>1570</v>
      </c>
      <c r="C696" s="7" t="str">
        <f aca="false">TRIM(SUBSTITUTE($B696,CHAR(160)," "))</f>
        <v>T33 M סד לקרסול</v>
      </c>
    </row>
    <row r="697" customFormat="false" ht="15" hidden="false" customHeight="false" outlineLevel="0" collapsed="false">
      <c r="A697" s="7" t="n">
        <v>4415120</v>
      </c>
      <c r="B697" s="7" t="s">
        <v>1571</v>
      </c>
      <c r="C697" s="7" t="str">
        <f aca="false">TRIM(SUBSTITUTE($B697,CHAR(160)," "))</f>
        <v>T33 XXL סד לקרסול</v>
      </c>
    </row>
    <row r="698" customFormat="false" ht="15" hidden="false" customHeight="false" outlineLevel="0" collapsed="false">
      <c r="A698" s="7" t="n">
        <v>4413217</v>
      </c>
      <c r="B698" s="7" t="s">
        <v>1572</v>
      </c>
      <c r="C698" s="7" t="str">
        <f aca="false">TRIM(SUBSTITUTE($B698,CHAR(160)," "))</f>
        <v>T35 Lמגן קרסול+ צמדן</v>
      </c>
    </row>
    <row r="699" customFormat="false" ht="15" hidden="false" customHeight="false" outlineLevel="0" collapsed="false">
      <c r="A699" s="7" t="n">
        <v>4413216</v>
      </c>
      <c r="B699" s="7" t="s">
        <v>1573</v>
      </c>
      <c r="C699" s="7" t="str">
        <f aca="false">TRIM(SUBSTITUTE($B699,CHAR(160)," "))</f>
        <v>T35 Mמגן קרסול+ צמדן</v>
      </c>
    </row>
    <row r="700" customFormat="false" ht="15" hidden="false" customHeight="false" outlineLevel="0" collapsed="false">
      <c r="A700" s="7" t="n">
        <v>4413215</v>
      </c>
      <c r="B700" s="7" t="s">
        <v>1574</v>
      </c>
      <c r="C700" s="7" t="str">
        <f aca="false">TRIM(SUBSTITUTE($B700,CHAR(160)," "))</f>
        <v>T35 Sמגן קרסול+ צמדן</v>
      </c>
    </row>
    <row r="701" customFormat="false" ht="15" hidden="false" customHeight="false" outlineLevel="0" collapsed="false">
      <c r="A701" s="7" t="n">
        <v>4413218</v>
      </c>
      <c r="B701" s="7" t="s">
        <v>1575</v>
      </c>
      <c r="C701" s="7" t="str">
        <f aca="false">TRIM(SUBSTITUTE($B701,CHAR(160)," "))</f>
        <v>T35 XLמגן קרסול+ צמדן</v>
      </c>
    </row>
    <row r="702" customFormat="false" ht="15" hidden="false" customHeight="false" outlineLevel="0" collapsed="false">
      <c r="A702" s="7" t="n">
        <v>4420036</v>
      </c>
      <c r="B702" s="7" t="s">
        <v>1189</v>
      </c>
      <c r="C702" s="7" t="str">
        <f aca="false">TRIM(SUBSTITUTE($B702,CHAR(160)," "))</f>
        <v>301CM 41-45 'רפידת ג'ל בז</v>
      </c>
    </row>
    <row r="703" customFormat="false" ht="15" hidden="false" customHeight="false" outlineLevel="0" collapsed="false">
      <c r="A703" s="7" t="n">
        <v>4420035</v>
      </c>
      <c r="B703" s="7" t="s">
        <v>1190</v>
      </c>
      <c r="C703" s="7" t="str">
        <f aca="false">TRIM(SUBSTITUTE($B703,CHAR(160)," "))</f>
        <v>301CW 36-40 'רפידת ג'ל בז</v>
      </c>
    </row>
    <row r="704" customFormat="false" ht="15" hidden="false" customHeight="false" outlineLevel="0" collapsed="false">
      <c r="A704" s="7" t="n">
        <v>4420038</v>
      </c>
      <c r="B704" s="7" t="s">
        <v>1576</v>
      </c>
      <c r="C704" s="7" t="str">
        <f aca="false">TRIM(SUBSTITUTE($B704,CHAR(160)," "))</f>
        <v>301JM רפידת ג'ל כחול40-45</v>
      </c>
    </row>
    <row r="705" customFormat="false" ht="15" hidden="false" customHeight="false" outlineLevel="0" collapsed="false">
      <c r="A705" s="7" t="n">
        <v>4420037</v>
      </c>
      <c r="B705" s="7" t="s">
        <v>1191</v>
      </c>
      <c r="C705" s="7" t="str">
        <f aca="false">TRIM(SUBSTITUTE($B705,CHAR(160)," "))</f>
        <v>301JW רפידת ג'ל כחול36-40</v>
      </c>
    </row>
    <row r="706" customFormat="false" ht="15" hidden="false" customHeight="false" outlineLevel="0" collapsed="false">
      <c r="A706" s="7" t="n">
        <v>4420028</v>
      </c>
      <c r="B706" s="7" t="s">
        <v>1577</v>
      </c>
      <c r="C706" s="7" t="str">
        <f aca="false">TRIM(SUBSTITUTE($B706,CHAR(160)," "))</f>
        <v>35-37 רפידת ספורט 376 מידה</v>
      </c>
    </row>
    <row r="707" customFormat="false" ht="15" hidden="false" customHeight="false" outlineLevel="0" collapsed="false">
      <c r="A707" s="7" t="n">
        <v>4420000</v>
      </c>
      <c r="B707" s="7" t="s">
        <v>1192</v>
      </c>
      <c r="C707" s="7" t="str">
        <f aca="false">TRIM(SUBSTITUTE($B707,CHAR(160)," "))</f>
        <v>370 רפידת נוחות-זוג</v>
      </c>
    </row>
    <row r="708" customFormat="false" ht="15" hidden="false" customHeight="false" outlineLevel="0" collapsed="false">
      <c r="A708" s="7" t="n">
        <v>4420027</v>
      </c>
      <c r="B708" s="7" t="s">
        <v>1193</v>
      </c>
      <c r="C708" s="7" t="str">
        <f aca="false">TRIM(SUBSTITUTE($B708,CHAR(160)," "))</f>
        <v>370K 0 רפידת לילדים אנטי ריח</v>
      </c>
    </row>
    <row r="709" customFormat="false" ht="15" hidden="false" customHeight="false" outlineLevel="0" collapsed="false">
      <c r="A709" s="7" t="n">
        <v>4420001</v>
      </c>
      <c r="B709" s="7" t="s">
        <v>1194</v>
      </c>
      <c r="C709" s="7" t="str">
        <f aca="false">TRIM(SUBSTITUTE($B709,CHAR(160)," "))</f>
        <v>371 רפידת מגבת כותנה-זוג</v>
      </c>
    </row>
    <row r="710" customFormat="false" ht="15" hidden="false" customHeight="false" outlineLevel="0" collapsed="false">
      <c r="A710" s="7" t="n">
        <v>4420002</v>
      </c>
      <c r="B710" s="7" t="s">
        <v>1195</v>
      </c>
      <c r="C710" s="7" t="str">
        <f aca="false">TRIM(SUBSTITUTE($B710,CHAR(160)," "))</f>
        <v>372 רפידת אנטי ריח -זוג</v>
      </c>
    </row>
    <row r="711" customFormat="false" ht="15" hidden="false" customHeight="false" outlineLevel="0" collapsed="false">
      <c r="A711" s="7" t="n">
        <v>4420003</v>
      </c>
      <c r="B711" s="7" t="s">
        <v>1196</v>
      </c>
      <c r="C711" s="7" t="str">
        <f aca="false">TRIM(SUBSTITUTE($B711,CHAR(160)," "))</f>
        <v>374 רפידת בולמת זעזועים -זוג</v>
      </c>
    </row>
    <row r="712" customFormat="false" ht="15" hidden="false" customHeight="false" outlineLevel="0" collapsed="false">
      <c r="A712" s="7" t="n">
        <v>4420007</v>
      </c>
      <c r="B712" s="7" t="s">
        <v>1578</v>
      </c>
      <c r="C712" s="7" t="str">
        <f aca="false">TRIM(SUBSTITUTE($B712,CHAR(160)," "))</f>
        <v>377 רפ.ורטופדית ספורט זוג38</v>
      </c>
    </row>
    <row r="713" customFormat="false" ht="15" hidden="false" customHeight="false" outlineLevel="0" collapsed="false">
      <c r="A713" s="7" t="n">
        <v>4420012</v>
      </c>
      <c r="B713" s="7" t="s">
        <v>1579</v>
      </c>
      <c r="C713" s="7" t="str">
        <f aca="false">TRIM(SUBSTITUTE($B713,CHAR(160)," "))</f>
        <v>377 רפידה אורט.ספורט זוג43</v>
      </c>
    </row>
    <row r="714" customFormat="false" ht="15" hidden="false" customHeight="false" outlineLevel="0" collapsed="false">
      <c r="A714" s="7" t="n">
        <v>4420004</v>
      </c>
      <c r="B714" s="7" t="s">
        <v>1198</v>
      </c>
      <c r="C714" s="7" t="str">
        <f aca="false">TRIM(SUBSTITUTE($B714,CHAR(160)," "))</f>
        <v>377 רפ.אורטופדית ספורט זוג35</v>
      </c>
    </row>
    <row r="715" customFormat="false" ht="15" hidden="false" customHeight="false" outlineLevel="0" collapsed="false">
      <c r="A715" s="7" t="n">
        <v>4420006</v>
      </c>
      <c r="B715" s="7" t="s">
        <v>1580</v>
      </c>
      <c r="C715" s="7" t="str">
        <f aca="false">TRIM(SUBSTITUTE($B715,CHAR(160)," "))</f>
        <v>377 רפ.אורטופדית ספורט זוג37</v>
      </c>
    </row>
    <row r="716" customFormat="false" ht="15" hidden="false" customHeight="false" outlineLevel="0" collapsed="false">
      <c r="A716" s="7" t="n">
        <v>4420008</v>
      </c>
      <c r="B716" s="7" t="s">
        <v>1581</v>
      </c>
      <c r="C716" s="7" t="str">
        <f aca="false">TRIM(SUBSTITUTE($B716,CHAR(160)," "))</f>
        <v>377 רפ.אורטופדית ספורט זוג39</v>
      </c>
    </row>
    <row r="717" customFormat="false" ht="15" hidden="false" customHeight="false" outlineLevel="0" collapsed="false">
      <c r="A717" s="7" t="n">
        <v>4420009</v>
      </c>
      <c r="B717" s="7" t="s">
        <v>1582</v>
      </c>
      <c r="C717" s="7" t="str">
        <f aca="false">TRIM(SUBSTITUTE($B717,CHAR(160)," "))</f>
        <v>377 רפ.אורטופדית ספורט זוג40</v>
      </c>
    </row>
    <row r="718" customFormat="false" ht="15" hidden="false" customHeight="false" outlineLevel="0" collapsed="false">
      <c r="A718" s="7" t="n">
        <v>4420015</v>
      </c>
      <c r="B718" s="7" t="s">
        <v>1583</v>
      </c>
      <c r="C718" s="7" t="str">
        <f aca="false">TRIM(SUBSTITUTE($B718,CHAR(160)," "))</f>
        <v>377 רפ.אורטופדית ספורט זוג46</v>
      </c>
    </row>
    <row r="719" customFormat="false" ht="15" hidden="false" customHeight="false" outlineLevel="0" collapsed="false">
      <c r="A719" s="7" t="n">
        <v>4420013</v>
      </c>
      <c r="B719" s="7" t="s">
        <v>1584</v>
      </c>
      <c r="C719" s="7" t="str">
        <f aca="false">TRIM(SUBSTITUTE($B719,CHAR(160)," "))</f>
        <v>377 רפידה אורט.ספורט זוג44</v>
      </c>
    </row>
    <row r="720" customFormat="false" ht="15" hidden="false" customHeight="false" outlineLevel="0" collapsed="false">
      <c r="A720" s="7" t="n">
        <v>4420010</v>
      </c>
      <c r="B720" s="7" t="s">
        <v>1585</v>
      </c>
      <c r="C720" s="7" t="str">
        <f aca="false">TRIM(SUBSTITUTE($B720,CHAR(160)," "))</f>
        <v>377 רפידה אורטופ.ספורט זוג41</v>
      </c>
    </row>
    <row r="721" customFormat="false" ht="15" hidden="false" customHeight="false" outlineLevel="0" collapsed="false">
      <c r="A721" s="7" t="n">
        <v>4420005</v>
      </c>
      <c r="B721" s="7" t="s">
        <v>1586</v>
      </c>
      <c r="C721" s="7" t="str">
        <f aca="false">TRIM(SUBSTITUTE($B721,CHAR(160)," "))</f>
        <v>377 רפ.אורטופדית ספורט זוג36</v>
      </c>
    </row>
    <row r="722" customFormat="false" ht="15" hidden="false" customHeight="false" outlineLevel="0" collapsed="false">
      <c r="A722" s="7" t="n">
        <v>4420014</v>
      </c>
      <c r="B722" s="7" t="s">
        <v>1587</v>
      </c>
      <c r="C722" s="7" t="str">
        <f aca="false">TRIM(SUBSTITUTE($B722,CHAR(160)," "))</f>
        <v>377 רפ.אורטופדית ספורט זוג45</v>
      </c>
    </row>
    <row r="723" customFormat="false" ht="15" hidden="false" customHeight="false" outlineLevel="0" collapsed="false">
      <c r="A723" s="7" t="n">
        <v>4420011</v>
      </c>
      <c r="B723" s="7" t="s">
        <v>1588</v>
      </c>
      <c r="C723" s="7" t="str">
        <f aca="false">TRIM(SUBSTITUTE($B723,CHAR(160)," "))</f>
        <v>377 רפידה אורטופ.ספורט זוג42</v>
      </c>
    </row>
    <row r="724" customFormat="false" ht="15" hidden="false" customHeight="false" outlineLevel="0" collapsed="false">
      <c r="A724" s="7" t="n">
        <v>4420029</v>
      </c>
      <c r="B724" s="7" t="s">
        <v>1589</v>
      </c>
      <c r="C724" s="7" t="str">
        <f aca="false">TRIM(SUBSTITUTE($B724,CHAR(160)," "))</f>
        <v>38-40 רפידת ספורט 376 מידה</v>
      </c>
    </row>
    <row r="725" customFormat="false" ht="15" hidden="false" customHeight="false" outlineLevel="0" collapsed="false">
      <c r="A725" s="7" t="n">
        <v>4420030</v>
      </c>
      <c r="B725" s="7" t="s">
        <v>1590</v>
      </c>
      <c r="C725" s="7" t="str">
        <f aca="false">TRIM(SUBSTITUTE($B725,CHAR(160)," "))</f>
        <v>41-43 רפידת ספורט 376 מידה</v>
      </c>
    </row>
    <row r="726" customFormat="false" ht="15" hidden="false" customHeight="false" outlineLevel="0" collapsed="false">
      <c r="A726" s="7" t="n">
        <v>4420031</v>
      </c>
      <c r="B726" s="7" t="s">
        <v>1591</v>
      </c>
      <c r="C726" s="7" t="str">
        <f aca="false">TRIM(SUBSTITUTE($B726,CHAR(160)," "))</f>
        <v>44-45 רפידת ספורט 376 מידה</v>
      </c>
    </row>
    <row r="727" customFormat="false" ht="15" hidden="false" customHeight="false" outlineLevel="0" collapsed="false">
      <c r="A727" s="7" t="n">
        <v>4420032</v>
      </c>
      <c r="B727" s="7" t="s">
        <v>1199</v>
      </c>
      <c r="C727" s="7" t="str">
        <f aca="false">TRIM(SUBSTITUTE($B727,CHAR(160)," "))</f>
        <v>46-47 רפידת ספורט 376 מידה</v>
      </c>
    </row>
    <row r="728" customFormat="false" ht="15" hidden="false" customHeight="false" outlineLevel="0" collapsed="false">
      <c r="A728" s="7" t="n">
        <v>4420033</v>
      </c>
      <c r="B728" s="7" t="s">
        <v>1592</v>
      </c>
      <c r="C728" s="7" t="str">
        <f aca="false">TRIM(SUBSTITUTE($B728,CHAR(160)," "))</f>
        <v>SP372 רפידה אנטי ריח ספורט</v>
      </c>
    </row>
    <row r="729" customFormat="false" ht="15" hidden="false" customHeight="false" outlineLevel="0" collapsed="false">
      <c r="A729" s="7" t="n">
        <v>4413112</v>
      </c>
      <c r="B729" s="7" t="s">
        <v>1200</v>
      </c>
      <c r="C729" s="7" t="str">
        <f aca="false">TRIM(SUBSTITUTE($B729,CHAR(160)," "))</f>
        <v>49 L מגן ירך</v>
      </c>
    </row>
    <row r="730" customFormat="false" ht="15" hidden="false" customHeight="false" outlineLevel="0" collapsed="false">
      <c r="A730" s="7" t="n">
        <v>4413113</v>
      </c>
      <c r="B730" s="7" t="s">
        <v>1201</v>
      </c>
      <c r="C730" s="7" t="str">
        <f aca="false">TRIM(SUBSTITUTE($B730,CHAR(160)," "))</f>
        <v>49 M מגן ירך</v>
      </c>
    </row>
    <row r="731" customFormat="false" ht="15" hidden="false" customHeight="false" outlineLevel="0" collapsed="false">
      <c r="A731" s="7" t="n">
        <v>4413111</v>
      </c>
      <c r="B731" s="7" t="s">
        <v>1202</v>
      </c>
      <c r="C731" s="7" t="str">
        <f aca="false">TRIM(SUBSTITUTE($B731,CHAR(160)," "))</f>
        <v>49 S מגן ירך</v>
      </c>
    </row>
    <row r="732" customFormat="false" ht="15" hidden="false" customHeight="false" outlineLevel="0" collapsed="false">
      <c r="A732" s="7" t="n">
        <v>4413114</v>
      </c>
      <c r="B732" s="7" t="s">
        <v>1203</v>
      </c>
      <c r="C732" s="7" t="str">
        <f aca="false">TRIM(SUBSTITUTE($B732,CHAR(160)," "))</f>
        <v>49 XL מגן ירך</v>
      </c>
    </row>
    <row r="733" customFormat="false" ht="15" hidden="false" customHeight="false" outlineLevel="0" collapsed="false">
      <c r="A733" s="7" t="n">
        <v>4413115</v>
      </c>
      <c r="B733" s="7" t="s">
        <v>1204</v>
      </c>
      <c r="C733" s="7" t="str">
        <f aca="false">TRIM(SUBSTITUTE($B733,CHAR(160)," "))</f>
        <v>49 XXL מגן ירך</v>
      </c>
    </row>
    <row r="734" customFormat="false" ht="15" hidden="false" customHeight="false" outlineLevel="0" collapsed="false">
      <c r="A734" s="7" t="n">
        <v>4413330</v>
      </c>
      <c r="B734" s="7" t="s">
        <v>1205</v>
      </c>
      <c r="C734" s="7" t="str">
        <f aca="false">TRIM(SUBSTITUTE($B734,CHAR(160)," "))</f>
        <v>AC49 מגן ירך</v>
      </c>
    </row>
    <row r="735" customFormat="false" ht="15" hidden="false" customHeight="false" outlineLevel="0" collapsed="false">
      <c r="A735" s="7" t="n">
        <v>4413533</v>
      </c>
      <c r="B735" s="7" t="s">
        <v>1206</v>
      </c>
      <c r="C735" s="7" t="str">
        <f aca="false">TRIM(SUBSTITUTE($B735,CHAR(160)," "))</f>
        <v>ST49 מגן ירך</v>
      </c>
    </row>
    <row r="736" customFormat="false" ht="15" hidden="false" customHeight="false" outlineLevel="0" collapsed="false">
      <c r="A736" s="7" t="n">
        <v>4413179</v>
      </c>
      <c r="B736" s="7" t="s">
        <v>1593</v>
      </c>
      <c r="C736" s="7" t="str">
        <f aca="false">TRIM(SUBSTITUTE($B736,CHAR(160)," "))</f>
        <v>T39 M מגן שוק</v>
      </c>
    </row>
    <row r="737" customFormat="false" ht="15" hidden="false" customHeight="false" outlineLevel="0" collapsed="false">
      <c r="A737" s="7" t="n">
        <v>4413180</v>
      </c>
      <c r="B737" s="7" t="s">
        <v>1208</v>
      </c>
      <c r="C737" s="7" t="str">
        <f aca="false">TRIM(SUBSTITUTE($B737,CHAR(160)," "))</f>
        <v>T39 S מגן שוק</v>
      </c>
    </row>
    <row r="738" customFormat="false" ht="15" hidden="false" customHeight="false" outlineLevel="0" collapsed="false">
      <c r="A738" s="7" t="n">
        <v>4413178</v>
      </c>
      <c r="B738" s="7" t="s">
        <v>1594</v>
      </c>
      <c r="C738" s="7" t="str">
        <f aca="false">TRIM(SUBSTITUTE($B738,CHAR(160)," "))</f>
        <v>T39 XL מגן שוק</v>
      </c>
    </row>
    <row r="739" customFormat="false" ht="15" hidden="false" customHeight="false" outlineLevel="0" collapsed="false">
      <c r="A739" s="7" t="n">
        <v>4413234</v>
      </c>
      <c r="B739" s="7" t="s">
        <v>1595</v>
      </c>
      <c r="C739" s="7" t="str">
        <f aca="false">TRIM(SUBSTITUTE($B739,CHAR(160)," "))</f>
        <v>T49 M מגן ירך</v>
      </c>
    </row>
    <row r="740" customFormat="false" ht="15" hidden="false" customHeight="false" outlineLevel="0" collapsed="false">
      <c r="A740" s="7" t="n">
        <v>4413402</v>
      </c>
      <c r="B740" s="7" t="s">
        <v>1596</v>
      </c>
      <c r="C740" s="7" t="str">
        <f aca="false">TRIM(SUBSTITUTE($B740,CHAR(160)," "))</f>
        <v>T49 XS מגן ירך</v>
      </c>
    </row>
    <row r="741" customFormat="false" ht="15" hidden="false" customHeight="false" outlineLevel="0" collapsed="false">
      <c r="A741" s="7" t="n">
        <v>4408207</v>
      </c>
      <c r="B741" s="7" t="s">
        <v>1209</v>
      </c>
      <c r="C741" s="7" t="str">
        <f aca="false">TRIM(SUBSTITUTE($B741,CHAR(160)," "))</f>
        <v>AC-25 חבק לשורש כף היד</v>
      </c>
    </row>
    <row r="742" customFormat="false" ht="15" hidden="false" customHeight="false" outlineLevel="0" collapsed="false">
      <c r="A742" s="7" t="n">
        <v>4415026</v>
      </c>
      <c r="B742" s="7" t="s">
        <v>1210</v>
      </c>
      <c r="C742" s="7" t="str">
        <f aca="false">TRIM(SUBSTITUTE($B742,CHAR(160)," "))</f>
        <v>AC-27L סד לש.כף יד שמאל</v>
      </c>
    </row>
    <row r="743" customFormat="false" ht="15" hidden="false" customHeight="false" outlineLevel="0" collapsed="false">
      <c r="A743" s="7" t="n">
        <v>4415027</v>
      </c>
      <c r="B743" s="7" t="s">
        <v>1211</v>
      </c>
      <c r="C743" s="7" t="str">
        <f aca="false">TRIM(SUBSTITUTE($B743,CHAR(160)," "))</f>
        <v>AC-27R סד לש.כף יד ימין</v>
      </c>
    </row>
    <row r="744" customFormat="false" ht="15" hidden="false" customHeight="false" outlineLevel="0" collapsed="false">
      <c r="A744" s="7" t="n">
        <v>4408249</v>
      </c>
      <c r="B744" s="7" t="s">
        <v>1212</v>
      </c>
      <c r="C744" s="7" t="str">
        <f aca="false">TRIM(SUBSTITUTE($B744,CHAR(160)," "))</f>
        <v>SC25 L חבק יד</v>
      </c>
    </row>
    <row r="745" customFormat="false" ht="15" hidden="false" customHeight="false" outlineLevel="0" collapsed="false">
      <c r="A745" s="7" t="n">
        <v>4408248</v>
      </c>
      <c r="B745" s="7" t="s">
        <v>1213</v>
      </c>
      <c r="C745" s="7" t="str">
        <f aca="false">TRIM(SUBSTITUTE($B745,CHAR(160)," "))</f>
        <v>SC25 M חבק יד</v>
      </c>
    </row>
    <row r="746" customFormat="false" ht="15" hidden="false" customHeight="false" outlineLevel="0" collapsed="false">
      <c r="A746" s="7" t="n">
        <v>4408247</v>
      </c>
      <c r="B746" s="7" t="s">
        <v>1215</v>
      </c>
      <c r="C746" s="7" t="str">
        <f aca="false">TRIM(SUBSTITUTE($B746,CHAR(160)," "))</f>
        <v>SC25 S חבק יד</v>
      </c>
    </row>
    <row r="747" customFormat="false" ht="15" hidden="false" customHeight="false" outlineLevel="0" collapsed="false">
      <c r="A747" s="7" t="n">
        <v>4408250</v>
      </c>
      <c r="B747" s="7" t="s">
        <v>1217</v>
      </c>
      <c r="C747" s="7" t="str">
        <f aca="false">TRIM(SUBSTITUTE($B747,CHAR(160)," "))</f>
        <v>SC25 XL חבק יד</v>
      </c>
    </row>
    <row r="748" customFormat="false" ht="15" hidden="false" customHeight="false" outlineLevel="0" collapsed="false">
      <c r="A748" s="7" t="n">
        <v>4413422</v>
      </c>
      <c r="B748" s="7" t="s">
        <v>1218</v>
      </c>
      <c r="C748" s="7" t="str">
        <f aca="false">TRIM(SUBSTITUTE($B748,CHAR(160)," "))</f>
        <v>SC35L L מגן קרסול שמאל</v>
      </c>
    </row>
    <row r="749" customFormat="false" ht="15" hidden="false" customHeight="false" outlineLevel="0" collapsed="false">
      <c r="A749" s="7" t="n">
        <v>4413421</v>
      </c>
      <c r="B749" s="7" t="s">
        <v>1220</v>
      </c>
      <c r="C749" s="7" t="str">
        <f aca="false">TRIM(SUBSTITUTE($B749,CHAR(160)," "))</f>
        <v>SC35L M מגן קרסול שמאל</v>
      </c>
    </row>
    <row r="750" customFormat="false" ht="15" hidden="false" customHeight="false" outlineLevel="0" collapsed="false">
      <c r="A750" s="7" t="n">
        <v>4413420</v>
      </c>
      <c r="B750" s="7" t="s">
        <v>1222</v>
      </c>
      <c r="C750" s="7" t="str">
        <f aca="false">TRIM(SUBSTITUTE($B750,CHAR(160)," "))</f>
        <v>SC35L S מגן קרסול שמאל</v>
      </c>
    </row>
    <row r="751" customFormat="false" ht="15" hidden="false" customHeight="false" outlineLevel="0" collapsed="false">
      <c r="A751" s="7" t="n">
        <v>4413423</v>
      </c>
      <c r="B751" s="7" t="s">
        <v>1224</v>
      </c>
      <c r="C751" s="7" t="str">
        <f aca="false">TRIM(SUBSTITUTE($B751,CHAR(160)," "))</f>
        <v>SC35L XL מגן קרסול שמאל</v>
      </c>
    </row>
    <row r="752" customFormat="false" ht="15" hidden="false" customHeight="false" outlineLevel="0" collapsed="false">
      <c r="A752" s="7" t="n">
        <v>4413426</v>
      </c>
      <c r="B752" s="7" t="s">
        <v>1225</v>
      </c>
      <c r="C752" s="7" t="str">
        <f aca="false">TRIM(SUBSTITUTE($B752,CHAR(160)," "))</f>
        <v>SC35R L מגן קרסול ימין</v>
      </c>
    </row>
    <row r="753" customFormat="false" ht="15" hidden="false" customHeight="false" outlineLevel="0" collapsed="false">
      <c r="A753" s="7" t="n">
        <v>4413425</v>
      </c>
      <c r="B753" s="7" t="s">
        <v>1227</v>
      </c>
      <c r="C753" s="7" t="str">
        <f aca="false">TRIM(SUBSTITUTE($B753,CHAR(160)," "))</f>
        <v>SC35R M מגן קרסול ימין</v>
      </c>
    </row>
    <row r="754" customFormat="false" ht="15" hidden="false" customHeight="false" outlineLevel="0" collapsed="false">
      <c r="A754" s="7" t="n">
        <v>4413424</v>
      </c>
      <c r="B754" s="7" t="s">
        <v>1229</v>
      </c>
      <c r="C754" s="7" t="str">
        <f aca="false">TRIM(SUBSTITUTE($B754,CHAR(160)," "))</f>
        <v>SC35R S מגן קרסול ימין</v>
      </c>
    </row>
    <row r="755" customFormat="false" ht="15" hidden="false" customHeight="false" outlineLevel="0" collapsed="false">
      <c r="A755" s="7" t="n">
        <v>4413427</v>
      </c>
      <c r="B755" s="7" t="s">
        <v>1231</v>
      </c>
      <c r="C755" s="7" t="str">
        <f aca="false">TRIM(SUBSTITUTE($B755,CHAR(160)," "))</f>
        <v>SC35R XLמגן קרסול ימין</v>
      </c>
    </row>
    <row r="756" customFormat="false" ht="15" hidden="false" customHeight="false" outlineLevel="0" collapsed="false">
      <c r="A756" s="7" t="n">
        <v>4413417</v>
      </c>
      <c r="B756" s="7" t="s">
        <v>1233</v>
      </c>
      <c r="C756" s="7" t="str">
        <f aca="false">TRIM(SUBSTITUTE($B756,CHAR(160)," "))</f>
        <v>SC39 L מגן שוק</v>
      </c>
    </row>
    <row r="757" customFormat="false" ht="15" hidden="false" customHeight="false" outlineLevel="0" collapsed="false">
      <c r="A757" s="7" t="n">
        <v>4413416</v>
      </c>
      <c r="B757" s="7" t="s">
        <v>1234</v>
      </c>
      <c r="C757" s="7" t="str">
        <f aca="false">TRIM(SUBSTITUTE($B757,CHAR(160)," "))</f>
        <v>SC39 M מגן שוק</v>
      </c>
    </row>
    <row r="758" customFormat="false" ht="15" hidden="false" customHeight="false" outlineLevel="0" collapsed="false">
      <c r="A758" s="7" t="n">
        <v>4413415</v>
      </c>
      <c r="B758" s="7" t="s">
        <v>1235</v>
      </c>
      <c r="C758" s="7" t="str">
        <f aca="false">TRIM(SUBSTITUTE($B758,CHAR(160)," "))</f>
        <v>SC39 S מגן שוק</v>
      </c>
    </row>
    <row r="759" customFormat="false" ht="15" hidden="false" customHeight="false" outlineLevel="0" collapsed="false">
      <c r="A759" s="7" t="n">
        <v>4413418</v>
      </c>
      <c r="B759" s="7" t="s">
        <v>1237</v>
      </c>
      <c r="C759" s="7" t="str">
        <f aca="false">TRIM(SUBSTITUTE($B759,CHAR(160)," "))</f>
        <v>SC39 XL מגן שוק</v>
      </c>
    </row>
    <row r="760" customFormat="false" ht="15" hidden="false" customHeight="false" outlineLevel="0" collapsed="false">
      <c r="A760" s="7" t="n">
        <v>4413419</v>
      </c>
      <c r="B760" s="7" t="s">
        <v>1239</v>
      </c>
      <c r="C760" s="7" t="str">
        <f aca="false">TRIM(SUBSTITUTE($B760,CHAR(160)," "))</f>
        <v>SC39 XXLמגן שוק</v>
      </c>
    </row>
    <row r="761" customFormat="false" ht="15" hidden="false" customHeight="false" outlineLevel="0" collapsed="false">
      <c r="A761" s="7" t="n">
        <v>4413440</v>
      </c>
      <c r="B761" s="7" t="s">
        <v>1240</v>
      </c>
      <c r="C761" s="7" t="str">
        <f aca="false">TRIM(SUBSTITUTE($B761,CHAR(160)," "))</f>
        <v>SC422 L מגן ברך</v>
      </c>
    </row>
    <row r="762" customFormat="false" ht="15" hidden="false" customHeight="false" outlineLevel="0" collapsed="false">
      <c r="A762" s="7" t="n">
        <v>4413439</v>
      </c>
      <c r="B762" s="7" t="s">
        <v>1241</v>
      </c>
      <c r="C762" s="7" t="str">
        <f aca="false">TRIM(SUBSTITUTE($B762,CHAR(160)," "))</f>
        <v>SC422 M מגן ברך</v>
      </c>
    </row>
    <row r="763" customFormat="false" ht="15" hidden="false" customHeight="false" outlineLevel="0" collapsed="false">
      <c r="A763" s="7" t="n">
        <v>4413441</v>
      </c>
      <c r="B763" s="7" t="s">
        <v>1243</v>
      </c>
      <c r="C763" s="7" t="str">
        <f aca="false">TRIM(SUBSTITUTE($B763,CHAR(160)," "))</f>
        <v>SC422 XL מגן ברך</v>
      </c>
    </row>
    <row r="764" customFormat="false" ht="15" hidden="false" customHeight="false" outlineLevel="0" collapsed="false">
      <c r="A764" s="7" t="n">
        <v>4413407</v>
      </c>
      <c r="B764" s="7" t="s">
        <v>1244</v>
      </c>
      <c r="C764" s="7" t="str">
        <f aca="false">TRIM(SUBSTITUTE($B764,CHAR(160)," "))</f>
        <v>SC95 L מגן מרפק</v>
      </c>
    </row>
    <row r="765" customFormat="false" ht="15" hidden="false" customHeight="false" outlineLevel="0" collapsed="false">
      <c r="A765" s="7" t="n">
        <v>4413406</v>
      </c>
      <c r="B765" s="7" t="s">
        <v>1246</v>
      </c>
      <c r="C765" s="7" t="str">
        <f aca="false">TRIM(SUBSTITUTE($B765,CHAR(160)," "))</f>
        <v>SC95 M מגן מרפק</v>
      </c>
    </row>
    <row r="766" customFormat="false" ht="15" hidden="false" customHeight="false" outlineLevel="0" collapsed="false">
      <c r="A766" s="7" t="n">
        <v>4413408</v>
      </c>
      <c r="B766" s="7" t="s">
        <v>1248</v>
      </c>
      <c r="C766" s="7" t="str">
        <f aca="false">TRIM(SUBSTITUTE($B766,CHAR(160)," "))</f>
        <v>SC95 XLמגן מרפק</v>
      </c>
    </row>
    <row r="767" customFormat="false" ht="15" hidden="false" customHeight="false" outlineLevel="0" collapsed="false">
      <c r="A767" s="7" t="n">
        <v>4413181</v>
      </c>
      <c r="B767" s="7" t="s">
        <v>1597</v>
      </c>
      <c r="C767" s="7" t="str">
        <f aca="false">TRIM(SUBSTITUTE($B767,CHAR(160)," "))</f>
        <v>T39 L מגן שוק</v>
      </c>
    </row>
    <row r="768" customFormat="false" ht="15" hidden="false" customHeight="false" outlineLevel="0" collapsed="false">
      <c r="A768" s="7" t="n">
        <v>4420034</v>
      </c>
      <c r="B768" s="7" t="s">
        <v>1250</v>
      </c>
      <c r="C768" s="7" t="str">
        <f aca="false">TRIM(SUBSTITUTE($B768,CHAR(160)," "))</f>
        <v>381 HV רצועה אלסטית</v>
      </c>
    </row>
    <row r="769" customFormat="false" ht="15" hidden="false" customHeight="false" outlineLevel="0" collapsed="false">
      <c r="A769" s="7" t="n">
        <v>4415299</v>
      </c>
      <c r="B769" s="7" t="s">
        <v>1251</v>
      </c>
      <c r="C769" s="7" t="str">
        <f aca="false">TRIM(SUBSTITUTE($B769,CHAR(160)," "))</f>
        <v>388B L סד לילה שחור לבוהן ימין</v>
      </c>
    </row>
    <row r="770" customFormat="false" ht="15" hidden="false" customHeight="false" outlineLevel="0" collapsed="false">
      <c r="A770" s="7" t="n">
        <v>4415298</v>
      </c>
      <c r="B770" s="7" t="s">
        <v>1252</v>
      </c>
      <c r="C770" s="7" t="str">
        <f aca="false">TRIM(SUBSTITUTE($B770,CHAR(160)," "))</f>
        <v>388B L סד לילה שחור לבוהן שמאל</v>
      </c>
    </row>
    <row r="771" customFormat="false" ht="15" hidden="false" customHeight="false" outlineLevel="0" collapsed="false">
      <c r="A771" s="7" t="n">
        <v>4422000</v>
      </c>
      <c r="B771" s="7" t="s">
        <v>1253</v>
      </c>
      <c r="C771" s="7" t="str">
        <f aca="false">TRIM(SUBSTITUTE($B771,CHAR(160)," "))</f>
        <v>801 תחבושת אלסטית מקררת</v>
      </c>
    </row>
    <row r="772" customFormat="false" ht="15" hidden="false" customHeight="false" outlineLevel="0" collapsed="false">
      <c r="A772" s="7" t="n">
        <v>4422023</v>
      </c>
      <c r="B772" s="7" t="s">
        <v>1254</v>
      </c>
      <c r="C772" s="7" t="str">
        <f aca="false">TRIM(SUBSTITUTE($B772,CHAR(160)," "))</f>
        <v>806CB-BEIGE תחבושת א.נצמ</v>
      </c>
    </row>
    <row r="773" customFormat="false" ht="15" hidden="false" customHeight="false" outlineLevel="0" collapsed="false">
      <c r="A773" s="7" t="n">
        <v>4422024</v>
      </c>
      <c r="B773" s="7" t="s">
        <v>1255</v>
      </c>
      <c r="C773" s="7" t="str">
        <f aca="false">TRIM(SUBSTITUTE($B773,CHAR(160)," "))</f>
        <v>806CB-BLACK תחבושת א.נצמ</v>
      </c>
    </row>
    <row r="774" customFormat="false" ht="15" hidden="false" customHeight="false" outlineLevel="0" collapsed="false">
      <c r="A774" s="7" t="n">
        <v>4422025</v>
      </c>
      <c r="B774" s="7" t="s">
        <v>1256</v>
      </c>
      <c r="C774" s="7" t="str">
        <f aca="false">TRIM(SUBSTITUTE($B774,CHAR(160)," "))</f>
        <v>806CB-GREEN תחבושת א.נצמ</v>
      </c>
    </row>
    <row r="775" customFormat="false" ht="15" hidden="false" customHeight="false" outlineLevel="0" collapsed="false">
      <c r="A775" s="7" t="n">
        <v>4422026</v>
      </c>
      <c r="B775" s="7" t="s">
        <v>1257</v>
      </c>
      <c r="C775" s="7" t="str">
        <f aca="false">TRIM(SUBSTITUTE($B775,CHAR(160)," "))</f>
        <v>806CB-PINK תחבושת א.נצמ</v>
      </c>
    </row>
    <row r="776" customFormat="false" ht="15" hidden="false" customHeight="false" outlineLevel="0" collapsed="false">
      <c r="A776" s="7" t="n">
        <v>4422032</v>
      </c>
      <c r="B776" s="7" t="s">
        <v>1598</v>
      </c>
      <c r="C776" s="7" t="str">
        <f aca="false">TRIM(SUBSTITUTE($B776,CHAR(160)," "))</f>
        <v>807B-Bתחבושת נצמדת שחור 20 מ""מ</v>
      </c>
    </row>
    <row r="777" customFormat="false" ht="15" hidden="false" customHeight="false" outlineLevel="0" collapsed="false">
      <c r="A777" s="7" t="n">
        <v>4422033</v>
      </c>
      <c r="B777" s="7" t="s">
        <v>1599</v>
      </c>
      <c r="C777" s="7" t="str">
        <f aca="false">TRIM(SUBSTITUTE($B777,CHAR(160)," "))</f>
        <v>807CB-BLתחבושת נצמדת כחול20מ""מ</v>
      </c>
    </row>
    <row r="778" customFormat="false" ht="15" hidden="false" customHeight="false" outlineLevel="0" collapsed="false">
      <c r="A778" s="7" t="n">
        <v>4422031</v>
      </c>
      <c r="B778" s="7" t="s">
        <v>1600</v>
      </c>
      <c r="C778" s="7" t="str">
        <f aca="false">TRIM(SUBSTITUTE($B778,CHAR(160)," "))</f>
        <v>807CB-Cתחבושת נצמדת בז' 20 מ""מ</v>
      </c>
    </row>
    <row r="779" customFormat="false" ht="15" hidden="false" customHeight="false" outlineLevel="0" collapsed="false">
      <c r="A779" s="7" t="n">
        <v>4422034</v>
      </c>
      <c r="B779" s="7" t="s">
        <v>1265</v>
      </c>
      <c r="C779" s="7" t="str">
        <f aca="false">TRIM(SUBSTITUTE($B779,CHAR(160)," "))</f>
        <v>807CB-P תחבושת נצמדת ורוד 20ממ</v>
      </c>
    </row>
    <row r="780" customFormat="false" ht="15" hidden="false" customHeight="false" outlineLevel="0" collapsed="false">
      <c r="A780" s="7" t="n">
        <v>4422027</v>
      </c>
      <c r="B780" s="7" t="s">
        <v>1601</v>
      </c>
      <c r="C780" s="7" t="str">
        <f aca="false">TRIM(SUBSTITUTE($B780,CHAR(160)," "))</f>
        <v>B10 - תחבושת אלסטית 10 ס""מ</v>
      </c>
    </row>
    <row r="781" customFormat="false" ht="15" hidden="false" customHeight="false" outlineLevel="0" collapsed="false">
      <c r="A781" s="7" t="n">
        <v>4422028</v>
      </c>
      <c r="B781" s="7" t="s">
        <v>1602</v>
      </c>
      <c r="C781" s="7" t="str">
        <f aca="false">TRIM(SUBSTITUTE($B781,CHAR(160)," "))</f>
        <v>B10 - תחבושת אלסטית 5ס""מ</v>
      </c>
    </row>
    <row r="782" customFormat="false" ht="15" hidden="false" customHeight="false" outlineLevel="0" collapsed="false">
      <c r="A782" s="7" t="n">
        <v>4422029</v>
      </c>
      <c r="B782" s="7" t="s">
        <v>1603</v>
      </c>
      <c r="C782" s="7" t="str">
        <f aca="false">TRIM(SUBSTITUTE($B782,CHAR(160)," "))</f>
        <v>B75 תחבושת אלסטית 7.5ס""מ</v>
      </c>
    </row>
  </sheetData>
  <mergeCells count="1"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2026-09-24T18:31:03Z</dcterms:created>
  <dc:creator>openpyxl</dc:creator>
  <dc:description/>
  <dc:language>en-US</dc:language>
  <cp:lastModifiedBy/>
  <dcterms:modified xsi:type="dcterms:W3CDTF">2026-09-24T18:31:57Z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