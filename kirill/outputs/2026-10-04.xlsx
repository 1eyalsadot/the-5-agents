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סהכ" sheetId="1" state="visible" r:id="rId3"/>
    <sheet name="Pplay1" sheetId="2" state="visible" r:id="rId4"/>
    <sheet name="ריכוז" sheetId="3" state="visible" r:id="rId5"/>
    <sheet name="PPLAY1_מקור" sheetId="4" state="visible" r:id="rId6"/>
    <sheet name="NetSuite_מקור" sheetId="5" state="visible" r:id="rId7"/>
    <sheet name="Amazon_מקור" sheetId="6" state="visible" r:id="rId8"/>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<sst xmlns="http://schemas.openxmlformats.org/spreadsheetml/2006/main" count="132" uniqueCount="102">
  <si>
    <t xml:space="preserve">דוח מכירות ספטמבר 2026</t>
  </si>
  <si>
    <t xml:space="preserve">#</t>
  </si>
  <si>
    <t xml:space="preserve">סופר פארם לייף</t>
  </si>
  <si>
    <t xml:space="preserve">סופרפארם</t>
  </si>
  <si>
    <t xml:space="preserve">BE</t>
  </si>
  <si>
    <t xml:space="preserve">בתי מרקחת</t>
  </si>
  <si>
    <t xml:space="preserve">כללית</t>
  </si>
  <si>
    <t xml:space="preserve">מאוחדת</t>
  </si>
  <si>
    <t xml:space="preserve">מכוני אורטופדיה</t>
  </si>
  <si>
    <t xml:space="preserve">לקוחות מפעל</t>
  </si>
  <si>
    <t xml:space="preserve">חנויות פרטיות</t>
  </si>
  <si>
    <t xml:space="preserve">מכוני פדיקור</t>
  </si>
  <si>
    <t xml:space="preserve">חנויות נעליים</t>
  </si>
  <si>
    <t xml:space="preserve">בתי חולים ושרות</t>
  </si>
  <si>
    <t xml:space="preserve">מכוני פיזיותרפיה</t>
  </si>
  <si>
    <t xml:space="preserve">סה"כ ישראל ללא אונליין</t>
  </si>
  <si>
    <t xml:space="preserve">לקוחות אינטרנט</t>
  </si>
  <si>
    <t xml:space="preserve">סופר פארם מרקט פלייס</t>
  </si>
  <si>
    <t xml:space="preserve">סה"כ ישראל</t>
  </si>
  <si>
    <t xml:space="preserve">AMAZON</t>
  </si>
  <si>
    <t xml:space="preserve">SUPER PHARM POLAND</t>
  </si>
  <si>
    <t xml:space="preserve">ORTHO- PARTNER AG.</t>
  </si>
  <si>
    <t xml:space="preserve">SANAFLEX ANATOMIC</t>
  </si>
  <si>
    <t xml:space="preserve">HEALTH CARE PROD. GMBH</t>
  </si>
  <si>
    <t xml:space="preserve">ORTHOMED  LTD</t>
  </si>
  <si>
    <t xml:space="preserve">SALUS</t>
  </si>
  <si>
    <t xml:space="preserve">MAX KONNARIS LTD</t>
  </si>
  <si>
    <t xml:space="preserve">MEDIPAL COMPANY</t>
  </si>
  <si>
    <t xml:space="preserve">ORTOPROFIL PROD. ROMANIA</t>
  </si>
  <si>
    <t xml:space="preserve">OY. EA. AB.</t>
  </si>
  <si>
    <t xml:space="preserve">SEVEN GEAR</t>
  </si>
  <si>
    <t xml:space="preserve">PHARMAG LACHMAIR GES. MBH</t>
  </si>
  <si>
    <t xml:space="preserve">REMEDICARE B.V.</t>
  </si>
  <si>
    <t xml:space="preserve">E.F.M.O.</t>
  </si>
  <si>
    <t xml:space="preserve">ALFRED GERA</t>
  </si>
  <si>
    <t xml:space="preserve">QUADRIFOGLIO MEDICAL</t>
  </si>
  <si>
    <t xml:space="preserve">YOUNG IN HEALTHCARE CO.,</t>
  </si>
  <si>
    <t xml:space="preserve">HANS</t>
  </si>
  <si>
    <t xml:space="preserve">NEW DISTRIBUTORS</t>
  </si>
  <si>
    <t xml:space="preserve">סה"כ חו"ל</t>
  </si>
  <si>
    <t xml:space="preserve">סה"כ מכירות </t>
  </si>
  <si>
    <t xml:space="preserve">מקרא</t>
  </si>
  <si>
    <t xml:space="preserve">עמודות מחושבות (נוספו)</t>
  </si>
  <si>
    <t xml:space="preserve">סופר פארם </t>
  </si>
  <si>
    <t xml:space="preserve">מאוחדת </t>
  </si>
  <si>
    <t xml:space="preserve">לקוח #</t>
  </si>
  <si>
    <t xml:space="preserve">סכום גולמי (PPLAY1)</t>
  </si>
  <si>
    <t xml:space="preserve">מכר נטו</t>
  </si>
  <si>
    <t xml:space="preserve">0בתי מרקחת</t>
  </si>
  <si>
    <t xml:space="preserve">0מפיצי משנה</t>
  </si>
  <si>
    <t xml:space="preserve">0פארמים</t>
  </si>
  <si>
    <t xml:space="preserve">אילת BE</t>
  </si>
  <si>
    <t xml:space="preserve">גוד פארם</t>
  </si>
  <si>
    <t xml:space="preserve">גוד פארם מרכז</t>
  </si>
  <si>
    <t xml:space="preserve">הפרכל הפרפארם</t>
  </si>
  <si>
    <t xml:space="preserve">שופרסל BE</t>
  </si>
  <si>
    <t xml:space="preserve">0צרכנים פרטיים</t>
  </si>
  <si>
    <t xml:space="preserve">0קופות חולים</t>
  </si>
  <si>
    <t xml:space="preserve">0שונות</t>
  </si>
  <si>
    <t xml:space="preserve">זיכויים BE</t>
  </si>
  <si>
    <t xml:space="preserve">מקרא </t>
  </si>
  <si>
    <t xml:space="preserve">סכום מכירות (NetSuite)</t>
  </si>
  <si>
    <t xml:space="preserve">102 - Orthopedic institutes</t>
  </si>
  <si>
    <t xml:space="preserve">111 - Superpharm Life</t>
  </si>
  <si>
    <t xml:space="preserve">103 - Physiotherapy institutes</t>
  </si>
  <si>
    <t xml:space="preserve">109 - Private Shops</t>
  </si>
  <si>
    <t xml:space="preserve">101 - Factory customers</t>
  </si>
  <si>
    <t xml:space="preserve">107 - Pharmacies</t>
  </si>
  <si>
    <t xml:space="preserve">106 - Hospitals</t>
  </si>
  <si>
    <t xml:space="preserve">113 - Kupat Holim Meuhedet</t>
  </si>
  <si>
    <t xml:space="preserve">112 - Kupat Holim Clalit</t>
  </si>
  <si>
    <t xml:space="preserve">114 - IL online</t>
  </si>
  <si>
    <t xml:space="preserve">115-SuperPharm Online</t>
  </si>
  <si>
    <t xml:space="preserve">205 - Health Care Prod. Gmbh GERMANY</t>
  </si>
  <si>
    <t xml:space="preserve">207 - Salus HUNGARY</t>
  </si>
  <si>
    <t xml:space="preserve">209 - Ortoprofil Prod ROMANIA</t>
  </si>
  <si>
    <t xml:space="preserve">202 - Super-Pharm POLAND</t>
  </si>
  <si>
    <t xml:space="preserve">214 - Alfred Gera&amp; Sons Ltd. MALTA</t>
  </si>
  <si>
    <t xml:space="preserve">203 - Ortho- Partner ag SWITZERLAND</t>
  </si>
  <si>
    <t xml:space="preserve">204 - Sanaflex Anatomic GREECE</t>
  </si>
  <si>
    <t xml:space="preserve">206 - Orthomed  Ltd BULGARIA</t>
  </si>
  <si>
    <t xml:space="preserve">216 - Max Konnaris CYPRUS</t>
  </si>
  <si>
    <t xml:space="preserve">208 - Medipal Company NABLUS</t>
  </si>
  <si>
    <t xml:space="preserve">210 - Oy. Ea. Ab. FINLAND</t>
  </si>
  <si>
    <t xml:space="preserve">201- Seven Gear FINLAND oy</t>
  </si>
  <si>
    <t xml:space="preserve">211 - Pharmag Lachmair Ges. Mbh AUSTRIA</t>
  </si>
  <si>
    <t xml:space="preserve">213 - E.f.m.o. SPAIN</t>
  </si>
  <si>
    <t xml:space="preserve">215 - Young In Healthcare Co. SOUTH KOREA</t>
  </si>
  <si>
    <t xml:space="preserve">200 - ROW : 217 - N3W FOODS USA</t>
  </si>
  <si>
    <t xml:space="preserve">105 - Pedicure Salons</t>
  </si>
  <si>
    <t xml:space="preserve">Source: PPlay1.xls, "PPlay1 of uriel (Reporter)", נוצר 04/10/2026 08:43:06, תקופה 2026/Sep (סגירת חודש ספטמבר ממשיכה להתעדכן — קובץ נמסר ב-04/10/2026, היום הרביעי של אוקטובר, אך תוכנו עדיין 2026/Sep. לפי המוסכמה: B1 בגיליון סהכ נשאר "ספטמבר 2026" כל עוד קבצי המקור מציגים את חודש ספטמבר ולא התחילו להצטבר מאוקטובר). שוב בפורמט MHTML ("Excel Web Page", MIME multipart) ולא XLSX/ZIP רגיל — זוהה ע"י `file` שמחזיר "MIME entity, ASCII text". פוענח ע"י email.message_from_binary_file + BeautifulSoup על part[2] (Content-Location "sheet001.htm"), decode windows-1255 — פרסור נקי בניסיון ראשון, אינדקס part[2] אומת מחדש ותואם לימים קודמים. נשלפו 10 שורות קטגוריה שיש להן נתונים עד כה החודש, מתוך 13 הקטגוריות במקרא גיליון Pplay1. 3 קטגוריות נותרות ללא נתונים עדיין החודש (גוד פארם מרכז, 0צרכנים פרטיים, 0שונות; תקין לסגירת חודש, לא נתון חסר — זהה לדוחות הקודמים). לעומת 01/10/2026 (הדוח היומי הקודם): 0בתי מרקחת ₪181,860.0→₪186,065.8, 0פארמים ₪533,408.1→₪639,577.2, סופרפארם ₪454,708.2→₪557,932.5, שופרסל BE ₪71,611.0→₪74,555.9, 0קופות חולים ₪60,089.3→₪60,936.5, אילת BE ₪6,632.0→₪6,632.0 (ללא שינוי) — עלייה נוספת, תקין וצפוי (חשבוניות נוספות שנקלטו למפרעה על חודש שעדיין בתהליך סגירה מלאה). 0מפיצי משנה, הפרכל הפרפארם, זיכויים BE, גוד פארם נותרו ללא שינוי בדיוק (אין תנועה חדשה שנקלטה במקור בפער זה — נבדק ואומת ישירות מול הטקסט הגולמי בקובץ המקור, לא שגיאת פענוח). שורת "Customers" בדוח המקור (₪887,157.2) היא שורת סה"כ-אב ואינה שווה לסכום שורות הקטגוריה (₪1,526,734.6) — תקין וצפוי, כרגיל — לא יובאה. מכר נטו = עמודה B × 0.91 (מקדם קבוע, מאושר ב-kirill.md; חל גם על ערך שלילי).</t>
  </si>
  <si>
    <t xml:space="preserve">2026/Sep (סכום גולמי, MTD)</t>
  </si>
  <si>
    <t xml:space="preserve">הערה</t>
  </si>
  <si>
    <t xml:space="preserve">Source: CustomSalesbyCustomerSummary929.xlsx, Meditex Group IL, Custom Sales by Customer Summary, 01 September 2026 - 30 September 2026 (סגירת חודש ספטמבר ממשיכה להתעדכן), נמסר 04/10/2026 עבור דוח 04/10/2026. קובץ xlsx תקני (2007+) — נטען ישירות ע"י openpyxl ללא צורך בתיקון קידוד. נשלפו 14 שורות הסיכום (קטגוריה) שיש להן מכירות בחודש, מתוך 28 הקטגוריות במקרא "ריכוז" (14 הקטגוריות הנותרות אין להן מכירות עדיין החודש — תקין, לא נתון חסר — אותן 14 חסרות כמו ב-01/10). לעומת 01/10/2026 (הדוח היומי הקודם): 101 - Factory customers ₪8,755.86→₪8,627.76 (ירידה של ₪128.10, נבדק ואומת ישירות מול הדוח הגולמי — ככל הנראה זיכוי/תיקון חשבונית שנקלט בין הדוחות, לא שגיאת פענוח); שאר 13 הקטגוריות (102, 103, 109, 111, 107, 112, 114, 115, 205, 209, 204, 106, 201) נותרו ללא שינוי בדיוק (אין חשבונית חדשה/מתוקנת לאותו לקוח בפער זה). לא יובאו שורות פירוט חשבוניות/לקוחות-בת מהדוח הגולמי, לפי מוסכמת עבודה. סה"כ שורת "Total" בדוח הגולמי המלא: ₪1,054,442.83 — תואם בדיוק לסכום 14 שורות הקטגוריה שנשלפו (₪1,054,442.83, אומת ידנית, הפרש &lt;0.01₪).</t>
  </si>
  <si>
    <t xml:space="preserve">Customer</t>
  </si>
  <si>
    <t xml:space="preserve">Sales</t>
  </si>
  <si>
    <t xml:space="preserve">Source: צילום מסך/נתונים שסופקו על ידי המשתמש (ראובן), לוח בקרה Sellerboard/Amazon Seller "Month to date, 1-30 September 2026" (חודש ספטמבר שלם), נמסר במקור 01/10/2026 עבור דוח 01/10/2026, מאומת בטקסט (לא תמלול תמונה). עדכון 04/10/2026: לא סופק צילום מסך חדש לדוח זה — לפי בקשה מפורשת של המשתמש, נעשה שימוש חוזר (recycle) באותם נתוני ספטמבר המלא (Sales $71,888.24, Refund cost -$5,648.73) ששימשו בדוח 01/10/2026, שגם הוא היה סגירת ספטמבר. אין נתון Amazon חדש/עצמאי לדוח 04/10/2026 עצמו. נתונים נוספים שסופקו במקור (לא בשימוש בנוסחה): Sales -1.6% מול תקופה קודמת, Orders/Units 2,299/2,349, Refunds 203, Est. payout $24,338.36, Gross profit $10,785.13, Net profit $10,785.13 -10.9% (זהה ל-Gross profit, כפי שמופיע במקור).</t>
  </si>
  <si>
    <t xml:space="preserve">תיאור</t>
  </si>
  <si>
    <t xml:space="preserve">סכום ($)</t>
  </si>
  <si>
    <t xml:space="preserve">משמש בנוסחת 'סהכ'!C20: =(Sales+Refund cost)×3. נתון מחזור (recycled) מדוח 01/10/2026 — אין צילום מסך חדש לדוח זה.</t>
  </si>
  <si>
    <t xml:space="preserve">Refund cost</t>
  </si>
  <si>
    <t xml:space="preserve">מכפיל ×3 לפי הנחיית המשתמש (לא מתועד במקור התמונה). נתון מחזור (recycled) מדוח 01/10/2026 — אין צילום מסך חדש לדוח זה.</t>
  </si>
</sst>
</file>

<file path=xl/styles.xml><?xml version="1.0" encoding="utf-8"?>
<styleSheet xmlns="http://schemas.openxmlformats.org/spreadsheetml/2006/main">
  <numFmts count="7">
    <numFmt numFmtId="164" formatCode="General"/>
    <numFmt numFmtId="165" formatCode="dd/mm/yy"/>
    <numFmt numFmtId="166" formatCode="0.0000"/>
    <numFmt numFmtId="167" formatCode="_ * #,##0_ ;_ * \-#,##0_ ;_ * \-??_ ;_ @_ "/>
    <numFmt numFmtId="168" formatCode="0"/>
    <numFmt numFmtId="169" formatCode="General"/>
    <numFmt numFmtId="170" formatCode="#,##0.00"/>
  </numFmts>
  <fonts count="19">
    <font>
      <sz val="11"/>
      <color theme="1"/>
      <name val="Arial"/>
      <family val="2"/>
      <charset val="177"/>
    </font>
    <font>
      <sz val="10"/>
      <name val="Arial"/>
      <family val="0"/>
    </font>
    <font>
      <sz val="10"/>
      <name val="Arial"/>
      <family val="0"/>
    </font>
    <font>
      <sz val="10"/>
      <name val="Arial"/>
      <family val="0"/>
    </font>
    <font>
      <b val="true"/>
      <sz val="12"/>
      <color theme="1"/>
      <name val="Arial"/>
      <family val="2"/>
      <charset val="1"/>
    </font>
    <font>
      <b val="true"/>
      <sz val="9"/>
      <color theme="1"/>
      <name val="Arial"/>
      <family val="2"/>
      <charset val="1"/>
    </font>
    <font>
      <b val="true"/>
      <sz val="10"/>
      <name val="Arial"/>
      <family val="2"/>
      <charset val="1"/>
    </font>
    <font>
      <b val="true"/>
      <sz val="8"/>
      <name val="Arial"/>
      <family val="2"/>
      <charset val="1"/>
    </font>
    <font>
      <sz val="10"/>
      <name val="Arial"/>
      <family val="2"/>
      <charset val="1"/>
    </font>
    <font>
      <b val="true"/>
      <sz val="8"/>
      <color theme="1"/>
      <name val="Arial"/>
      <family val="2"/>
      <charset val="1"/>
    </font>
    <font>
      <sz val="10"/>
      <color theme="1"/>
      <name val="Arial"/>
      <family val="2"/>
      <charset val="1"/>
    </font>
    <font>
      <b val="true"/>
      <sz val="11"/>
      <name val="Arial"/>
      <family val="2"/>
      <charset val="1"/>
    </font>
    <font>
      <b val="true"/>
      <sz val="11"/>
      <color theme="1"/>
      <name val="Arial"/>
      <family val="2"/>
      <charset val="1"/>
    </font>
    <font>
      <i val="true"/>
      <sz val="9"/>
      <name val="Arial"/>
      <family val="0"/>
      <charset val="1"/>
    </font>
    <font>
      <b val="true"/>
      <sz val="11"/>
      <name val="Arial"/>
      <family val="0"/>
      <charset val="1"/>
    </font>
    <font>
      <sz val="11"/>
      <name val="Arial"/>
      <family val="0"/>
      <charset val="1"/>
    </font>
    <font>
      <b val="true"/>
      <sz val="8"/>
      <color rgb="FF000000"/>
      <name val="Arial"/>
      <family val="2"/>
      <charset val="1"/>
    </font>
    <font>
      <sz val="9"/>
      <name val="Arial"/>
      <family val="0"/>
      <charset val="1"/>
    </font>
    <font>
      <sz val="8"/>
      <name val="Arial"/>
      <family val="0"/>
      <charset val="1"/>
    </font>
  </fonts>
  <fills count="7">
    <fill>
      <patternFill patternType="none"/>
    </fill>
    <fill>
      <patternFill patternType="gray125"/>
    </fill>
    <fill>
      <patternFill patternType="solid">
        <fgColor theme="4" tint="0.7998"/>
        <bgColor rgb="FFCCFFFF"/>
      </patternFill>
    </fill>
    <fill>
      <patternFill patternType="solid">
        <fgColor theme="7" tint="0.5998"/>
        <bgColor rgb="FFC1E5F5"/>
      </patternFill>
    </fill>
    <fill>
      <patternFill patternType="solid">
        <fgColor theme="9" tint="0.5998"/>
        <bgColor rgb="FFC1E5F5"/>
      </patternFill>
    </fill>
    <fill>
      <patternFill patternType="solid">
        <fgColor rgb="FF92D050"/>
        <bgColor rgb="FFB4E5A2"/>
      </patternFill>
    </fill>
    <fill>
      <patternFill patternType="solid">
        <fgColor rgb="FFFFFF00"/>
        <bgColor rgb="FFFFFF00"/>
      </patternFill>
    </fill>
  </fills>
  <borders count="3">
    <border diagonalUp="false" diagonalDown="false">
      <left/>
      <right/>
      <top/>
      <bottom/>
      <diagonal/>
    </border>
    <border diagonalUp="false" diagonalDown="false">
      <left style="thin"/>
      <right style="thin"/>
      <top style="thin"/>
      <bottom style="thin"/>
      <diagonal/>
    </border>
    <border diagonalUp="false" diagonalDown="false">
      <left style="thin"/>
      <right style="thin"/>
      <top/>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5">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center"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right" vertical="bottom" textRotation="0" wrapText="false" indent="0" shrinkToFit="false"/>
      <protection locked="true" hidden="false"/>
    </xf>
    <xf numFmtId="165" fontId="6" fillId="0" borderId="1" xfId="0" applyFont="true" applyBorder="true" applyAlignment="true" applyProtection="false">
      <alignment horizontal="center" vertical="bottom" textRotation="0" wrapText="false" indent="0" shrinkToFit="false"/>
      <protection locked="true" hidden="false"/>
    </xf>
    <xf numFmtId="166" fontId="6" fillId="2" borderId="1" xfId="0" applyFont="true" applyBorder="true" applyAlignment="true" applyProtection="false">
      <alignment horizontal="center" vertical="bottom" textRotation="0" wrapText="false" indent="0" shrinkToFit="false"/>
      <protection locked="true" hidden="false"/>
    </xf>
    <xf numFmtId="164" fontId="7" fillId="0" borderId="2" xfId="0" applyFont="true" applyBorder="true" applyAlignment="true" applyProtection="false">
      <alignment horizontal="right" vertical="bottom" textRotation="0" wrapText="false" indent="0" shrinkToFit="false"/>
      <protection locked="true" hidden="false"/>
    </xf>
    <xf numFmtId="164" fontId="8" fillId="0" borderId="1" xfId="0" applyFont="true" applyBorder="true" applyAlignment="true" applyProtection="false">
      <alignment horizontal="right" vertical="bottom" textRotation="0" wrapText="false" indent="0" shrinkToFit="false"/>
      <protection locked="true" hidden="false"/>
    </xf>
    <xf numFmtId="167" fontId="8" fillId="0" borderId="1" xfId="0" applyFont="true" applyBorder="true" applyAlignment="true" applyProtection="false">
      <alignment horizontal="center" vertical="bottom" textRotation="0" wrapText="false" indent="0" shrinkToFit="false"/>
      <protection locked="true" hidden="false"/>
    </xf>
    <xf numFmtId="164" fontId="7" fillId="0" borderId="1" xfId="0" applyFont="true" applyBorder="true" applyAlignment="true" applyProtection="false">
      <alignment horizontal="right" vertical="bottom" textRotation="0" wrapText="false" indent="0" shrinkToFit="false"/>
      <protection locked="true" hidden="false"/>
    </xf>
    <xf numFmtId="164" fontId="9" fillId="0" borderId="1" xfId="0" applyFont="true" applyBorder="true" applyAlignment="true" applyProtection="false">
      <alignment horizontal="right" vertical="bottom" textRotation="0" wrapText="false" indent="0" shrinkToFit="false"/>
      <protection locked="true" hidden="false"/>
    </xf>
    <xf numFmtId="164" fontId="10" fillId="0" borderId="1" xfId="0" applyFont="true" applyBorder="true" applyAlignment="true" applyProtection="false">
      <alignment horizontal="right" vertical="bottom" textRotation="0" wrapText="false" indent="0" shrinkToFit="false"/>
      <protection locked="true" hidden="false"/>
    </xf>
    <xf numFmtId="168" fontId="7" fillId="0" borderId="1" xfId="0" applyFont="true" applyBorder="true" applyAlignment="true" applyProtection="false">
      <alignment horizontal="right" vertical="bottom" textRotation="0" wrapText="false" indent="0" shrinkToFit="false" readingOrder="1"/>
      <protection locked="true" hidden="false"/>
    </xf>
    <xf numFmtId="168" fontId="11" fillId="3" borderId="1" xfId="0" applyFont="true" applyBorder="true" applyAlignment="true" applyProtection="false">
      <alignment horizontal="right" vertical="bottom" textRotation="0" wrapText="false" indent="0" shrinkToFit="false" readingOrder="1"/>
      <protection locked="true" hidden="false"/>
    </xf>
    <xf numFmtId="167" fontId="11" fillId="3" borderId="1" xfId="0" applyFont="true" applyBorder="true" applyAlignment="true" applyProtection="false">
      <alignment horizontal="center" vertical="bottom" textRotation="0" wrapText="false" indent="0" shrinkToFit="false"/>
      <protection locked="true" hidden="false"/>
    </xf>
    <xf numFmtId="168" fontId="11" fillId="3" borderId="1" xfId="0" applyFont="true" applyBorder="true" applyAlignment="true" applyProtection="false">
      <alignment horizontal="right" vertical="bottom" textRotation="0" wrapText="false" indent="0" shrinkToFit="false"/>
      <protection locked="true" hidden="false"/>
    </xf>
    <xf numFmtId="164" fontId="12" fillId="4" borderId="1" xfId="0" applyFont="true" applyBorder="true" applyAlignment="true" applyProtection="false">
      <alignment horizontal="right" vertical="bottom" textRotation="0" wrapText="false" indent="0" shrinkToFit="false"/>
      <protection locked="true" hidden="false"/>
    </xf>
    <xf numFmtId="167" fontId="12" fillId="4" borderId="1" xfId="0" applyFont="true" applyBorder="true" applyAlignment="true" applyProtection="false">
      <alignment horizontal="center" vertical="bottom" textRotation="0" wrapText="false" indent="0" shrinkToFit="false"/>
      <protection locked="true" hidden="false"/>
    </xf>
    <xf numFmtId="164" fontId="12" fillId="5" borderId="1" xfId="0" applyFont="true" applyBorder="true" applyAlignment="true" applyProtection="false">
      <alignment horizontal="right" vertical="bottom" textRotation="0" wrapText="false" indent="0" shrinkToFit="false"/>
      <protection locked="true" hidden="false"/>
    </xf>
    <xf numFmtId="167" fontId="12" fillId="5" borderId="1" xfId="0" applyFont="true" applyBorder="true" applyAlignment="true" applyProtection="false">
      <alignment horizontal="center" vertical="bottom" textRotation="0" wrapText="false" indent="0" shrinkToFit="false"/>
      <protection locked="true" hidden="false"/>
    </xf>
    <xf numFmtId="164" fontId="12" fillId="0" borderId="0" xfId="0" applyFont="true" applyBorder="false" applyAlignment="true" applyProtection="false">
      <alignment horizontal="general" vertical="bottom" textRotation="0" wrapText="false" indent="0" shrinkToFit="false"/>
      <protection locked="true" hidden="false"/>
    </xf>
    <xf numFmtId="164" fontId="13" fillId="0" borderId="0" xfId="0" applyFont="true" applyBorder="false" applyAlignment="tru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center" vertical="bottom" textRotation="0" wrapText="false" indent="0" shrinkToFit="false"/>
      <protection locked="true" hidden="false"/>
    </xf>
    <xf numFmtId="164" fontId="14"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9" fontId="15" fillId="0" borderId="0" xfId="0" applyFont="true" applyBorder="false" applyAlignment="true" applyProtection="false">
      <alignment horizontal="general" vertical="bottom" textRotation="0" wrapText="false" indent="0" shrinkToFit="false"/>
      <protection locked="true" hidden="false"/>
    </xf>
    <xf numFmtId="170" fontId="15" fillId="0" borderId="0" xfId="0" applyFont="true" applyBorder="false" applyAlignment="true" applyProtection="false">
      <alignment horizontal="general" vertical="bottom" textRotation="0" wrapText="false" indent="0" shrinkToFit="false"/>
      <protection locked="true" hidden="false"/>
    </xf>
    <xf numFmtId="164" fontId="16" fillId="0" borderId="0" xfId="0" applyFont="true" applyBorder="false" applyAlignment="true" applyProtection="false">
      <alignment horizontal="left" vertical="center" textRotation="0" wrapText="false" indent="0" shrinkToFit="false"/>
      <protection locked="true" hidden="false"/>
    </xf>
    <xf numFmtId="170" fontId="15" fillId="6" borderId="0" xfId="0" applyFont="true" applyBorder="false" applyAlignment="true" applyProtection="false">
      <alignment horizontal="general" vertical="bottom" textRotation="0" wrapText="false" indent="0" shrinkToFit="false"/>
      <protection locked="true" hidden="false"/>
    </xf>
    <xf numFmtId="164" fontId="17" fillId="0" borderId="0" xfId="0" applyFont="true" applyBorder="false" applyAlignment="true" applyProtection="false">
      <alignment horizontal="general" vertical="bottom" textRotation="0" wrapText="false" indent="0" shrinkToFit="false"/>
      <protection locked="true" hidden="false"/>
    </xf>
    <xf numFmtId="164" fontId="18" fillId="0" borderId="0" xfId="0" applyFont="true" applyBorder="false" applyAlignment="true" applyProtection="false">
      <alignment horizontal="left" vertical="center" textRotation="0" wrapText="false" indent="0" shrinkToFit="false"/>
      <protection locked="true" hidden="false"/>
    </xf>
    <xf numFmtId="170" fontId="18" fillId="0" borderId="0" xfId="0" applyFont="true" applyBorder="false" applyAlignment="true" applyProtection="false">
      <alignment horizontal="right" vertical="center" textRotation="0" wrapText="false" indent="0" shrinkToFit="false"/>
      <protection locked="true" hidden="false"/>
    </xf>
    <xf numFmtId="164" fontId="15" fillId="0" borderId="0" xfId="0" applyFont="true" applyBorder="false" applyAlignment="true" applyProtection="false">
      <alignment horizontal="left" vertical="center" textRotation="0" wrapText="false" indent="0" shrinkToFit="false"/>
      <protection locked="true" hidden="false"/>
    </xf>
    <xf numFmtId="170" fontId="15" fillId="0" borderId="0" xfId="0" applyFont="true" applyBorder="false" applyAlignment="true" applyProtection="false">
      <alignment horizontal="right" vertical="center"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1E5F5"/>
      <rgbColor rgb="FF000080"/>
      <rgbColor rgb="FFFF00FF"/>
      <rgbColor rgb="FFFFFF00"/>
      <rgbColor rgb="FF00FFFF"/>
      <rgbColor rgb="FF800080"/>
      <rgbColor rgb="FF800000"/>
      <rgbColor rgb="FF008080"/>
      <rgbColor rgb="FF0000FF"/>
      <rgbColor rgb="FF00CCFF"/>
      <rgbColor rgb="FFCCFFFF"/>
      <rgbColor rgb="FFB4E5A2"/>
      <rgbColor rgb="FFFFFF99"/>
      <rgbColor rgb="FF96DCF8"/>
      <rgbColor rgb="FFFF99CC"/>
      <rgbColor rgb="FFCC99FF"/>
      <rgbColor rgb="FFFFCC99"/>
      <rgbColor rgb="FF3366FF"/>
      <rgbColor rgb="FF33CCCC"/>
      <rgbColor rgb="FF92D05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ערכת נושא Offic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pitchFamily="0" charset="1"/>
        <a:ea typeface=""/>
        <a:cs typeface=""/>
      </a:majorFont>
      <a:minorFont>
        <a:latin typeface="Aptos Narrow" panose="0211000402020202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41"/>
  <sheetViews>
    <sheetView showFormulas="false" showGridLines="true" showRowColHeaders="true" showZeros="true" rightToLeft="true" tabSelected="true" showOutlineSymbols="true" defaultGridColor="true" view="normal" topLeftCell="A9" colorId="64" zoomScale="100" zoomScaleNormal="100" zoomScalePageLayoutView="100" workbookViewId="0">
      <selection pane="topLeft" activeCell="E37" activeCellId="0" sqref="E37"/>
    </sheetView>
  </sheetViews>
  <sheetFormatPr defaultColWidth="8.625" defaultRowHeight="14.25" zeroHeight="false" outlineLevelRow="0" outlineLevelCol="0"/>
  <cols>
    <col collapsed="false" customWidth="true" hidden="false" outlineLevel="0" max="1" min="1" style="1" width="2.38"/>
    <col collapsed="false" customWidth="true" hidden="false" outlineLevel="0" max="2" min="2" style="1" width="27"/>
    <col collapsed="false" customWidth="true" hidden="false" outlineLevel="0" max="3" min="3" style="1" width="9.87"/>
  </cols>
  <sheetData>
    <row r="1" customFormat="false" ht="15.75" hidden="false" customHeight="true" outlineLevel="0" collapsed="false">
      <c r="B1" s="2" t="s">
        <v>0</v>
      </c>
      <c r="C1" s="3"/>
    </row>
    <row r="2" customFormat="false" ht="14.25" hidden="false" customHeight="true" outlineLevel="0" collapsed="false">
      <c r="A2" s="4" t="s">
        <v>1</v>
      </c>
      <c r="B2" s="5" t="n">
        <v>46299</v>
      </c>
      <c r="C2" s="6" t="n">
        <v>9.2026</v>
      </c>
    </row>
    <row r="3" customFormat="false" ht="14.25" hidden="false" customHeight="true" outlineLevel="0" collapsed="false">
      <c r="A3" s="7" t="n">
        <v>5</v>
      </c>
      <c r="B3" s="8" t="s">
        <v>2</v>
      </c>
      <c r="C3" s="9" t="n">
        <f aca="false">SUMIF(Pplay1!$F$3:$F$15,A3,Pplay1!$H$3:$H$15)+SUMIF(ריכוז!$B$3:$B$30,A3,ריכוז!$C$3:$C$30)</f>
        <v>193941.5</v>
      </c>
    </row>
    <row r="4" customFormat="false" ht="14.25" hidden="false" customHeight="true" outlineLevel="0" collapsed="false">
      <c r="A4" s="10" t="n">
        <v>1</v>
      </c>
      <c r="B4" s="8" t="s">
        <v>3</v>
      </c>
      <c r="C4" s="9" t="n">
        <f aca="false">SUMIF(Pplay1!$F$3:$F$15,A4,Pplay1!$H$3:$H$15)+SUMIF(ריכוז!$B$3:$B$30,A4,ריכוז!$C$3:$C$30)</f>
        <v>507718.575</v>
      </c>
    </row>
    <row r="5" customFormat="false" ht="14.25" hidden="false" customHeight="true" outlineLevel="0" collapsed="false">
      <c r="A5" s="10" t="n">
        <v>7</v>
      </c>
      <c r="B5" s="8" t="s">
        <v>4</v>
      </c>
      <c r="C5" s="9" t="n">
        <f aca="false">SUMIF(Pplay1!$F$3:$F$15,A5,Pplay1!$H$3:$H$15)+SUMIF(ריכוז!$B$3:$B$30,A5,ריכוז!$C$3:$C$30)</f>
        <v>73475.311</v>
      </c>
    </row>
    <row r="6" customFormat="false" ht="14.25" hidden="false" customHeight="true" outlineLevel="0" collapsed="false">
      <c r="A6" s="10" t="n">
        <v>4</v>
      </c>
      <c r="B6" s="8" t="s">
        <v>5</v>
      </c>
      <c r="C6" s="9" t="n">
        <f aca="false">SUMIF(Pplay1!$F$3:$F$15,A6,Pplay1!$H$3:$H$15)+SUMIF(ריכוז!$B$3:$B$30,A6,ריכוז!$C$3:$C$30)</f>
        <v>182488.743</v>
      </c>
    </row>
    <row r="7" customFormat="false" ht="14.25" hidden="false" customHeight="true" outlineLevel="0" collapsed="false">
      <c r="A7" s="10" t="n">
        <v>3</v>
      </c>
      <c r="B7" s="8" t="s">
        <v>6</v>
      </c>
      <c r="C7" s="9" t="n">
        <f aca="false">SUMIF(Pplay1!$F$3:$F$15,A7,Pplay1!$H$3:$H$15)+SUMIF(ריכוז!$B$3:$B$30,A7,ריכוז!$C$3:$C$30)</f>
        <v>296928.1</v>
      </c>
    </row>
    <row r="8" customFormat="false" ht="14.25" hidden="false" customHeight="true" outlineLevel="0" collapsed="false">
      <c r="A8" s="10" t="n">
        <v>8</v>
      </c>
      <c r="B8" s="8" t="s">
        <v>7</v>
      </c>
      <c r="C8" s="9" t="n">
        <f aca="false">SUMIF(Pplay1!$F$3:$F$15,A8,Pplay1!$H$3:$H$15)+SUMIF(ריכוז!$B$3:$B$30,A8,ריכוז!$C$3:$C$30)</f>
        <v>55452.215</v>
      </c>
    </row>
    <row r="9" customFormat="false" ht="14.25" hidden="false" customHeight="true" outlineLevel="0" collapsed="false">
      <c r="A9" s="10" t="n">
        <v>6</v>
      </c>
      <c r="B9" s="8" t="s">
        <v>8</v>
      </c>
      <c r="C9" s="9" t="n">
        <f aca="false">SUMIF(Pplay1!$F$3:$F$15,A9,Pplay1!$H$3:$H$15)+SUMIF(ריכוז!$B$3:$B$30,A9,ריכוז!$C$3:$C$30)</f>
        <v>60353.17</v>
      </c>
    </row>
    <row r="10" customFormat="false" ht="14.25" hidden="false" customHeight="true" outlineLevel="0" collapsed="false">
      <c r="A10" s="11" t="n">
        <v>10</v>
      </c>
      <c r="B10" s="12" t="s">
        <v>9</v>
      </c>
      <c r="C10" s="9" t="n">
        <f aca="false">SUMIF(Pplay1!$F$3:$F$15,A10,Pplay1!$H$3:$H$15)+SUMIF(ריכוז!$B$3:$B$30,A10,ריכוז!$C$3:$C$30)</f>
        <v>8627.76</v>
      </c>
    </row>
    <row r="11" customFormat="false" ht="14.25" hidden="false" customHeight="true" outlineLevel="0" collapsed="false">
      <c r="A11" s="10" t="n">
        <v>11</v>
      </c>
      <c r="B11" s="8" t="s">
        <v>10</v>
      </c>
      <c r="C11" s="9" t="n">
        <f aca="false">SUMIF(Pplay1!$F$3:$F$15,A11,Pplay1!$H$3:$H$15)+SUMIF(ריכוז!$B$3:$B$30,A11,ריכוז!$C$3:$C$30)</f>
        <v>5091.7</v>
      </c>
    </row>
    <row r="12" customFormat="false" ht="14.25" hidden="false" customHeight="true" outlineLevel="0" collapsed="false">
      <c r="A12" s="10" t="n">
        <v>14</v>
      </c>
      <c r="B12" s="8" t="s">
        <v>11</v>
      </c>
      <c r="C12" s="9" t="n">
        <f aca="false">SUMIF(Pplay1!$F$3:$F$15,A12,Pplay1!$H$3:$H$15)+SUMIF(ריכוז!$B$3:$B$30,A12,ריכוז!$C$3:$C$30)</f>
        <v>0</v>
      </c>
    </row>
    <row r="13" customFormat="false" ht="14.25" hidden="false" customHeight="true" outlineLevel="0" collapsed="false">
      <c r="A13" s="10" t="n">
        <v>15</v>
      </c>
      <c r="B13" s="8" t="s">
        <v>12</v>
      </c>
      <c r="C13" s="9" t="n">
        <f aca="false">SUMIF(Pplay1!$F$3:$F$15,A13,Pplay1!$H$3:$H$15)+SUMIF(ריכוז!$B$3:$B$30,A13,ריכוז!$C$3:$C$30)</f>
        <v>0</v>
      </c>
    </row>
    <row r="14" customFormat="false" ht="14.25" hidden="false" customHeight="true" outlineLevel="0" collapsed="false">
      <c r="A14" s="10" t="n">
        <v>13</v>
      </c>
      <c r="B14" s="8" t="s">
        <v>13</v>
      </c>
      <c r="C14" s="9" t="n">
        <f aca="false">SUMIF(Pplay1!$F$3:$F$15,A14,Pplay1!$H$3:$H$15)+SUMIF(ריכוז!$B$3:$B$30,A14,ריכוז!$C$3:$C$30)</f>
        <v>6726.56</v>
      </c>
    </row>
    <row r="15" customFormat="false" ht="14.25" hidden="false" customHeight="true" outlineLevel="0" collapsed="false">
      <c r="A15" s="10" t="n">
        <v>9</v>
      </c>
      <c r="B15" s="8" t="s">
        <v>14</v>
      </c>
      <c r="C15" s="9" t="n">
        <f aca="false">SUMIF(Pplay1!$F$3:$F$15,A15,Pplay1!$H$3:$H$15)+SUMIF(ריכוז!$B$3:$B$30,A15,ריכוז!$C$3:$C$30)</f>
        <v>9421.74</v>
      </c>
    </row>
    <row r="16" customFormat="false" ht="15" hidden="false" customHeight="true" outlineLevel="0" collapsed="false">
      <c r="A16" s="13"/>
      <c r="B16" s="14" t="s">
        <v>15</v>
      </c>
      <c r="C16" s="15" t="n">
        <f aca="false">SUM(C3:C15)</f>
        <v>1400225.374</v>
      </c>
    </row>
    <row r="17" customFormat="false" ht="14.25" hidden="false" customHeight="true" outlineLevel="0" collapsed="false">
      <c r="A17" s="10" t="n">
        <v>2</v>
      </c>
      <c r="B17" s="8" t="s">
        <v>16</v>
      </c>
      <c r="C17" s="9" t="n">
        <f aca="false">SUMIF(Pplay1!$F$3:$F$15,A17,Pplay1!$H$3:$H$15)+SUMIF(ריכוז!$B$3:$B$30,A17,ריכוז!$C$3:$C$30)</f>
        <v>347579.04</v>
      </c>
    </row>
    <row r="18" customFormat="false" ht="14.25" hidden="false" customHeight="true" outlineLevel="0" collapsed="false">
      <c r="A18" s="10" t="n">
        <v>12</v>
      </c>
      <c r="B18" s="8" t="s">
        <v>17</v>
      </c>
      <c r="C18" s="9" t="n">
        <f aca="false">SUMIF(Pplay1!$F$3:$F$15,A18,Pplay1!$H$3:$H$15)+SUMIF(ריכוז!$B$3:$B$30,A18,ריכוז!$C$3:$C$30)</f>
        <v>547.02</v>
      </c>
    </row>
    <row r="19" customFormat="false" ht="15" hidden="false" customHeight="true" outlineLevel="0" collapsed="false">
      <c r="A19" s="11"/>
      <c r="B19" s="16" t="s">
        <v>18</v>
      </c>
      <c r="C19" s="15" t="n">
        <f aca="false">C18+C17+C16</f>
        <v>1748351.434</v>
      </c>
    </row>
    <row r="20" customFormat="false" ht="14.25" hidden="false" customHeight="true" outlineLevel="0" collapsed="false">
      <c r="A20" s="11" t="n">
        <v>50</v>
      </c>
      <c r="B20" s="12" t="s">
        <v>19</v>
      </c>
      <c r="C20" s="9" t="n">
        <f aca="false">(Amazon_מקור!B3+Amazon_מקור!B4)*3</f>
        <v>198718.53</v>
      </c>
    </row>
    <row r="21" customFormat="false" ht="14.25" hidden="false" customHeight="true" outlineLevel="0" collapsed="false">
      <c r="A21" s="11" t="n">
        <v>20</v>
      </c>
      <c r="B21" s="12" t="s">
        <v>20</v>
      </c>
      <c r="C21" s="9" t="n">
        <f aca="false">SUMIF(Pplay1!$F$3:$F$15,A21,Pplay1!$H$3:$H$15)+SUMIF(ריכוז!$B$3:$B$30,A21,ריכוז!$C$3:$C$30)</f>
        <v>0</v>
      </c>
    </row>
    <row r="22" customFormat="false" ht="14.25" hidden="false" customHeight="true" outlineLevel="0" collapsed="false">
      <c r="A22" s="11" t="n">
        <v>21</v>
      </c>
      <c r="B22" s="12" t="s">
        <v>21</v>
      </c>
      <c r="C22" s="9" t="n">
        <f aca="false">SUMIF(Pplay1!$F$3:$F$15,A22,Pplay1!$H$3:$H$15)+SUMIF(ריכוז!$B$3:$B$30,A22,ריכוז!$C$3:$C$30)</f>
        <v>0</v>
      </c>
    </row>
    <row r="23" customFormat="false" ht="14.25" hidden="false" customHeight="true" outlineLevel="0" collapsed="false">
      <c r="A23" s="11" t="n">
        <v>22</v>
      </c>
      <c r="B23" s="12" t="s">
        <v>22</v>
      </c>
      <c r="C23" s="9" t="n">
        <f aca="false">SUMIF(Pplay1!$F$3:$F$15,A23,Pplay1!$H$3:$H$15)+SUMIF(ריכוז!$B$3:$B$30,A23,ריכוז!$C$3:$C$30)</f>
        <v>51223.23</v>
      </c>
    </row>
    <row r="24" customFormat="false" ht="14.25" hidden="false" customHeight="true" outlineLevel="0" collapsed="false">
      <c r="A24" s="11" t="n">
        <v>23</v>
      </c>
      <c r="B24" s="12" t="s">
        <v>23</v>
      </c>
      <c r="C24" s="9" t="n">
        <f aca="false">SUMIF(Pplay1!$F$3:$F$15,A24,Pplay1!$H$3:$H$15)+SUMIF(ריכוז!$B$3:$B$30,A24,ריכוז!$C$3:$C$30)</f>
        <v>15160.58</v>
      </c>
    </row>
    <row r="25" customFormat="false" ht="14.25" hidden="false" customHeight="true" outlineLevel="0" collapsed="false">
      <c r="A25" s="11" t="n">
        <v>24</v>
      </c>
      <c r="B25" s="12" t="s">
        <v>24</v>
      </c>
      <c r="C25" s="9" t="n">
        <f aca="false">SUMIF(Pplay1!$F$3:$F$15,A25,Pplay1!$H$3:$H$15)+SUMIF(ריכוז!$B$3:$B$30,A25,ריכוז!$C$3:$C$30)</f>
        <v>0</v>
      </c>
    </row>
    <row r="26" customFormat="false" ht="14.25" hidden="false" customHeight="true" outlineLevel="0" collapsed="false">
      <c r="A26" s="11" t="n">
        <v>25</v>
      </c>
      <c r="B26" s="12" t="s">
        <v>25</v>
      </c>
      <c r="C26" s="9" t="n">
        <f aca="false">SUMIF(Pplay1!$F$3:$F$15,A26,Pplay1!$H$3:$H$15)+SUMIF(ריכוז!$B$3:$B$30,A26,ריכוז!$C$3:$C$30)</f>
        <v>0</v>
      </c>
    </row>
    <row r="27" customFormat="false" ht="14.25" hidden="false" customHeight="true" outlineLevel="0" collapsed="false">
      <c r="A27" s="11" t="n">
        <v>26</v>
      </c>
      <c r="B27" s="12" t="s">
        <v>26</v>
      </c>
      <c r="C27" s="9" t="n">
        <f aca="false">SUMIF(Pplay1!$F$3:$F$15,A27,Pplay1!$H$3:$H$15)+SUMIF(ריכוז!$B$3:$B$30,A27,ריכוז!$C$3:$C$30)</f>
        <v>0</v>
      </c>
    </row>
    <row r="28" customFormat="false" ht="14.25" hidden="false" customHeight="true" outlineLevel="0" collapsed="false">
      <c r="A28" s="11" t="n">
        <v>27</v>
      </c>
      <c r="B28" s="12" t="s">
        <v>27</v>
      </c>
      <c r="C28" s="9" t="n">
        <f aca="false">SUMIF(Pplay1!$F$3:$F$15,A28,Pplay1!$H$3:$H$15)+SUMIF(ריכוז!$B$3:$B$30,A28,ריכוז!$C$3:$C$30)</f>
        <v>0</v>
      </c>
    </row>
    <row r="29" customFormat="false" ht="14.25" hidden="false" customHeight="true" outlineLevel="0" collapsed="false">
      <c r="A29" s="11" t="n">
        <v>28</v>
      </c>
      <c r="B29" s="12" t="s">
        <v>28</v>
      </c>
      <c r="C29" s="9" t="n">
        <f aca="false">SUMIF(Pplay1!$F$3:$F$15,A29,Pplay1!$H$3:$H$15)+SUMIF(ריכוז!$B$3:$B$30,A29,ריכוז!$C$3:$C$30)</f>
        <v>25430.19</v>
      </c>
    </row>
    <row r="30" customFormat="false" ht="14.25" hidden="false" customHeight="true" outlineLevel="0" collapsed="false">
      <c r="A30" s="11" t="n">
        <v>29</v>
      </c>
      <c r="B30" s="12" t="s">
        <v>29</v>
      </c>
      <c r="C30" s="9" t="n">
        <f aca="false">SUMIF(Pplay1!$F$3:$F$15,A30,Pplay1!$H$3:$H$15)+SUMIF(ריכוז!$B$3:$B$30,A30,ריכוז!$C$3:$C$30)</f>
        <v>0</v>
      </c>
    </row>
    <row r="31" customFormat="false" ht="14.25" hidden="false" customHeight="true" outlineLevel="0" collapsed="false">
      <c r="A31" s="11" t="n">
        <v>30</v>
      </c>
      <c r="B31" s="12" t="s">
        <v>30</v>
      </c>
      <c r="C31" s="9" t="n">
        <f aca="false">SUMIF(Pplay1!$F$3:$F$15,A31,Pplay1!$H$3:$H$15)+SUMIF(ריכוז!$B$3:$B$30,A31,ריכוז!$C$3:$C$30)</f>
        <v>21590.63</v>
      </c>
    </row>
    <row r="32" customFormat="false" ht="14.25" hidden="false" customHeight="true" outlineLevel="0" collapsed="false">
      <c r="A32" s="11" t="n">
        <v>31</v>
      </c>
      <c r="B32" s="12" t="s">
        <v>31</v>
      </c>
      <c r="C32" s="9" t="n">
        <f aca="false">SUMIF(Pplay1!$F$3:$F$15,A32,Pplay1!$H$3:$H$15)+SUMIF(ריכוז!$B$3:$B$30,A32,ריכוז!$C$3:$C$30)</f>
        <v>0</v>
      </c>
    </row>
    <row r="33" customFormat="false" ht="14.25" hidden="false" customHeight="true" outlineLevel="0" collapsed="false">
      <c r="A33" s="11" t="n">
        <v>37</v>
      </c>
      <c r="B33" s="12" t="s">
        <v>32</v>
      </c>
      <c r="C33" s="9" t="n">
        <f aca="false">SUMIF(Pplay1!$F$3:$F$15,A33,Pplay1!$H$3:$H$15)+SUMIF(ריכוז!$B$3:$B$30,A33,ריכוז!$C$3:$C$30)</f>
        <v>0</v>
      </c>
    </row>
    <row r="34" customFormat="false" ht="14.25" hidden="false" customHeight="true" outlineLevel="0" collapsed="false">
      <c r="A34" s="11" t="n">
        <v>32</v>
      </c>
      <c r="B34" s="12" t="s">
        <v>33</v>
      </c>
      <c r="C34" s="9" t="n">
        <f aca="false">SUMIF(Pplay1!$F$3:$F$15,A34,Pplay1!$H$3:$H$15)+SUMIF(ריכוז!$B$3:$B$30,A34,ריכוז!$C$3:$C$30)</f>
        <v>0</v>
      </c>
    </row>
    <row r="35" customFormat="false" ht="14.25" hidden="false" customHeight="true" outlineLevel="0" collapsed="false">
      <c r="A35" s="11" t="n">
        <v>33</v>
      </c>
      <c r="B35" s="12" t="s">
        <v>34</v>
      </c>
      <c r="C35" s="9" t="n">
        <f aca="false">SUMIF(Pplay1!$F$3:$F$15,A35,Pplay1!$H$3:$H$15)+SUMIF(ריכוז!$B$3:$B$30,A35,ריכוז!$C$3:$C$30)</f>
        <v>0</v>
      </c>
    </row>
    <row r="36" customFormat="false" ht="14.25" hidden="false" customHeight="true" outlineLevel="0" collapsed="false">
      <c r="A36" s="11" t="n">
        <v>38</v>
      </c>
      <c r="B36" s="12" t="s">
        <v>35</v>
      </c>
      <c r="C36" s="9" t="n">
        <f aca="false">SUMIF(Pplay1!$F$3:$F$15,A36,Pplay1!$H$3:$H$15)+SUMIF(ריכוז!$B$3:$B$30,A36,ריכוז!$C$3:$C$30)</f>
        <v>0</v>
      </c>
    </row>
    <row r="37" customFormat="false" ht="14.25" hidden="false" customHeight="true" outlineLevel="0" collapsed="false">
      <c r="A37" s="11" t="n">
        <v>34</v>
      </c>
      <c r="B37" s="12" t="s">
        <v>36</v>
      </c>
      <c r="C37" s="9" t="n">
        <f aca="false">SUMIF(Pplay1!$F$3:$F$15,A37,Pplay1!$H$3:$H$15)+SUMIF(ריכוז!$B$3:$B$30,A37,ריכוז!$C$3:$C$30)</f>
        <v>0</v>
      </c>
    </row>
    <row r="38" customFormat="false" ht="14.25" hidden="false" customHeight="true" outlineLevel="0" collapsed="false">
      <c r="A38" s="11" t="n">
        <v>35</v>
      </c>
      <c r="B38" s="12" t="s">
        <v>37</v>
      </c>
      <c r="C38" s="9" t="n">
        <f aca="false">SUMIF(Pplay1!$F$3:$F$15,A38,Pplay1!$H$3:$H$15)+SUMIF(ריכוז!$B$3:$B$30,A38,ריכוז!$C$3:$C$30)</f>
        <v>0</v>
      </c>
    </row>
    <row r="39" customFormat="false" ht="14.25" hidden="false" customHeight="true" outlineLevel="0" collapsed="false">
      <c r="A39" s="11" t="n">
        <v>36</v>
      </c>
      <c r="B39" s="12" t="s">
        <v>38</v>
      </c>
      <c r="C39" s="9" t="n">
        <f aca="false">SUMIF(Pplay1!$F$3:$F$15,A39,Pplay1!$H$3:$H$15)+SUMIF(ריכוז!$B$3:$B$30,A39,ריכוז!$C$3:$C$30)</f>
        <v>0</v>
      </c>
    </row>
    <row r="40" customFormat="false" ht="15" hidden="false" customHeight="true" outlineLevel="0" collapsed="false">
      <c r="A40" s="11"/>
      <c r="B40" s="17" t="s">
        <v>39</v>
      </c>
      <c r="C40" s="18" t="n">
        <f aca="false">SUM(C20:C39)</f>
        <v>312123.16</v>
      </c>
    </row>
    <row r="41" customFormat="false" ht="15" hidden="false" customHeight="true" outlineLevel="0" collapsed="false">
      <c r="A41" s="11"/>
      <c r="B41" s="19" t="s">
        <v>40</v>
      </c>
      <c r="C41" s="20" t="n">
        <f aca="false">C40+C19</f>
        <v>2060474.594</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5"/>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25" defaultRowHeight="14.25" zeroHeight="false" outlineLevelRow="0" outlineLevelCol="0"/>
  <cols>
    <col collapsed="false" customWidth="true" hidden="false" outlineLevel="0" max="1" min="1" style="1" width="17.88"/>
    <col collapsed="false" customWidth="true" hidden="false" outlineLevel="0" max="2" min="2" style="1" width="11.5"/>
  </cols>
  <sheetData>
    <row r="1" customFormat="false" ht="15" hidden="false" customHeight="true" outlineLevel="0" collapsed="false">
      <c r="A1" s="21" t="s">
        <v>41</v>
      </c>
      <c r="F1" s="22" t="s">
        <v>42</v>
      </c>
    </row>
    <row r="2" customFormat="false" ht="14.25" hidden="false" customHeight="true" outlineLevel="0" collapsed="false">
      <c r="B2" s="23" t="s">
        <v>5</v>
      </c>
      <c r="C2" s="23" t="s">
        <v>4</v>
      </c>
      <c r="D2" s="23" t="s">
        <v>43</v>
      </c>
      <c r="E2" s="23" t="s">
        <v>44</v>
      </c>
      <c r="F2" s="24" t="s">
        <v>45</v>
      </c>
      <c r="G2" s="24" t="s">
        <v>46</v>
      </c>
      <c r="H2" s="24" t="s">
        <v>47</v>
      </c>
    </row>
    <row r="3" customFormat="false" ht="14.25" hidden="false" customHeight="true" outlineLevel="0" collapsed="false">
      <c r="A3" s="25" t="s">
        <v>48</v>
      </c>
      <c r="B3" s="23" t="n">
        <v>4</v>
      </c>
      <c r="C3" s="23"/>
      <c r="D3" s="23"/>
      <c r="E3" s="23"/>
      <c r="F3" s="26" t="n">
        <f aca="false">IF(B3&lt;&gt;"",B3,IF(C3&lt;&gt;"",C3,IF(D3&lt;&gt;"",D3,IF(E3&lt;&gt;"",E3,""))))</f>
        <v>4</v>
      </c>
      <c r="G3" s="27" t="n">
        <f aca="false">IFERROR(INDEX(PPLAY1_מקור!$B:$B,MATCH(A3,PPLAY1_מקור!$A:$A,0)),"")</f>
        <v>186065.8</v>
      </c>
      <c r="H3" s="27" t="n">
        <f aca="false">IF(G3="","",G3*0.91)</f>
        <v>169319.878</v>
      </c>
    </row>
    <row r="4" customFormat="false" ht="14.25" hidden="false" customHeight="true" outlineLevel="0" collapsed="false">
      <c r="A4" s="25" t="s">
        <v>49</v>
      </c>
      <c r="B4" s="23" t="n">
        <v>4</v>
      </c>
      <c r="C4" s="23"/>
      <c r="D4" s="23"/>
      <c r="E4" s="23"/>
      <c r="F4" s="26" t="n">
        <f aca="false">IF(B4&lt;&gt;"",B4,IF(C4&lt;&gt;"",C4,IF(D4&lt;&gt;"",D4,IF(E4&lt;&gt;"",E4,""))))</f>
        <v>4</v>
      </c>
      <c r="G4" s="27" t="n">
        <f aca="false">IFERROR(INDEX(PPLAY1_מקור!$B:$B,MATCH(A4,PPLAY1_מקור!$A:$A,0)),"")</f>
        <v>577.7</v>
      </c>
      <c r="H4" s="27" t="n">
        <f aca="false">IF(G4="","",G4*0.91)</f>
        <v>525.707</v>
      </c>
    </row>
    <row r="5" customFormat="false" ht="14.25" hidden="false" customHeight="true" outlineLevel="0" collapsed="false">
      <c r="A5" s="25" t="s">
        <v>50</v>
      </c>
      <c r="B5" s="23"/>
      <c r="C5" s="23"/>
      <c r="D5" s="23"/>
      <c r="E5" s="23"/>
      <c r="F5" s="26" t="str">
        <f aca="false">IF(B5&lt;&gt;"",B5,IF(C5&lt;&gt;"",C5,IF(D5&lt;&gt;"",D5,IF(E5&lt;&gt;"",E5,""))))</f>
        <v/>
      </c>
      <c r="G5" s="27" t="n">
        <f aca="false">IFERROR(INDEX(PPLAY1_מקור!$B:$B,MATCH(A5,PPLAY1_מקור!$A:$A,0)),"")</f>
        <v>639577.2</v>
      </c>
      <c r="H5" s="27" t="n">
        <f aca="false">IF(G5="","",G5*0.91)</f>
        <v>582015.252</v>
      </c>
    </row>
    <row r="6" customFormat="false" ht="14.25" hidden="false" customHeight="true" outlineLevel="0" collapsed="false">
      <c r="A6" s="25" t="s">
        <v>51</v>
      </c>
      <c r="B6" s="23"/>
      <c r="C6" s="23" t="n">
        <v>7</v>
      </c>
      <c r="D6" s="23"/>
      <c r="E6" s="23"/>
      <c r="F6" s="26" t="n">
        <f aca="false">IF(B6&lt;&gt;"",B6,IF(C6&lt;&gt;"",C6,IF(D6&lt;&gt;"",D6,IF(E6&lt;&gt;"",E6,""))))</f>
        <v>7</v>
      </c>
      <c r="G6" s="27" t="n">
        <f aca="false">IFERROR(INDEX(PPLAY1_מקור!$B:$B,MATCH(A6,PPLAY1_מקור!$A:$A,0)),"")</f>
        <v>6632</v>
      </c>
      <c r="H6" s="27" t="n">
        <f aca="false">IF(G6="","",G6*0.91)</f>
        <v>6035.12</v>
      </c>
    </row>
    <row r="7" customFormat="false" ht="14.25" hidden="false" customHeight="true" outlineLevel="0" collapsed="false">
      <c r="A7" s="25" t="s">
        <v>52</v>
      </c>
      <c r="B7" s="23" t="n">
        <v>4</v>
      </c>
      <c r="C7" s="23"/>
      <c r="D7" s="23"/>
      <c r="E7" s="23"/>
      <c r="F7" s="26" t="n">
        <f aca="false">IF(B7&lt;&gt;"",B7,IF(C7&lt;&gt;"",C7,IF(D7&lt;&gt;"",D7,IF(E7&lt;&gt;"",E7,""))))</f>
        <v>4</v>
      </c>
      <c r="G7" s="27" t="n">
        <f aca="false">IFERROR(INDEX(PPLAY1_מקור!$B:$B,MATCH(A7,PPLAY1_מקור!$A:$A,0)),"")</f>
        <v>902.8</v>
      </c>
      <c r="H7" s="27" t="n">
        <f aca="false">IF(G7="","",G7*0.91)</f>
        <v>821.548</v>
      </c>
    </row>
    <row r="8" customFormat="false" ht="14.25" hidden="false" customHeight="true" outlineLevel="0" collapsed="false">
      <c r="A8" s="25" t="s">
        <v>53</v>
      </c>
      <c r="B8" s="23" t="n">
        <v>4</v>
      </c>
      <c r="C8" s="23"/>
      <c r="D8" s="23"/>
      <c r="E8" s="23"/>
      <c r="F8" s="26" t="n">
        <f aca="false">IF(B8&lt;&gt;"",B8,IF(C8&lt;&gt;"",C8,IF(D8&lt;&gt;"",D8,IF(E8&lt;&gt;"",E8,""))))</f>
        <v>4</v>
      </c>
      <c r="G8" s="27" t="str">
        <f aca="false">IFERROR(INDEX(PPLAY1_מקור!$B:$B,MATCH(A8,PPLAY1_מקור!$A:$A,0)),"")</f>
        <v/>
      </c>
      <c r="H8" s="27" t="str">
        <f aca="false">IF(G8="","",G8*0.91)</f>
        <v/>
      </c>
    </row>
    <row r="9" customFormat="false" ht="14.25" hidden="false" customHeight="true" outlineLevel="0" collapsed="false">
      <c r="A9" s="25" t="s">
        <v>54</v>
      </c>
      <c r="B9" s="23"/>
      <c r="C9" s="23" t="n">
        <v>7</v>
      </c>
      <c r="D9" s="23"/>
      <c r="E9" s="23"/>
      <c r="F9" s="26" t="n">
        <f aca="false">IF(B9&lt;&gt;"",B9,IF(C9&lt;&gt;"",C9,IF(D9&lt;&gt;"",D9,IF(E9&lt;&gt;"",E9,""))))</f>
        <v>7</v>
      </c>
      <c r="G9" s="27" t="n">
        <f aca="false">IFERROR(INDEX(PPLAY1_מקור!$B:$B,MATCH(A9,PPLAY1_מקור!$A:$A,0)),"")</f>
        <v>362.9</v>
      </c>
      <c r="H9" s="27" t="n">
        <f aca="false">IF(G9="","",G9*0.91)</f>
        <v>330.239</v>
      </c>
    </row>
    <row r="10" customFormat="false" ht="14.25" hidden="false" customHeight="true" outlineLevel="0" collapsed="false">
      <c r="A10" s="25" t="s">
        <v>3</v>
      </c>
      <c r="B10" s="23"/>
      <c r="C10" s="23"/>
      <c r="D10" s="23" t="n">
        <v>1</v>
      </c>
      <c r="E10" s="23"/>
      <c r="F10" s="26" t="n">
        <f aca="false">IF(B10&lt;&gt;"",B10,IF(C10&lt;&gt;"",C10,IF(D10&lt;&gt;"",D10,IF(E10&lt;&gt;"",E10,""))))</f>
        <v>1</v>
      </c>
      <c r="G10" s="27" t="n">
        <f aca="false">IFERROR(INDEX(PPLAY1_מקור!$B:$B,MATCH(A10,PPLAY1_מקור!$A:$A,0)),"")</f>
        <v>557932.5</v>
      </c>
      <c r="H10" s="27" t="n">
        <f aca="false">IF(G10="","",G10*0.91)</f>
        <v>507718.575</v>
      </c>
    </row>
    <row r="11" customFormat="false" ht="14.25" hidden="false" customHeight="true" outlineLevel="0" collapsed="false">
      <c r="A11" s="25" t="s">
        <v>55</v>
      </c>
      <c r="B11" s="23"/>
      <c r="C11" s="23" t="n">
        <v>7</v>
      </c>
      <c r="D11" s="23"/>
      <c r="E11" s="23"/>
      <c r="F11" s="26" t="n">
        <f aca="false">IF(B11&lt;&gt;"",B11,IF(C11&lt;&gt;"",C11,IF(D11&lt;&gt;"",D11,IF(E11&lt;&gt;"",E11,""))))</f>
        <v>7</v>
      </c>
      <c r="G11" s="27" t="n">
        <f aca="false">IFERROR(INDEX(PPLAY1_מקור!$B:$B,MATCH(A11,PPLAY1_מקור!$A:$A,0)),"")</f>
        <v>74555.9</v>
      </c>
      <c r="H11" s="27" t="n">
        <f aca="false">IF(G11="","",G11*0.91)</f>
        <v>67845.869</v>
      </c>
    </row>
    <row r="12" customFormat="false" ht="14.25" hidden="false" customHeight="true" outlineLevel="0" collapsed="false">
      <c r="A12" s="25" t="s">
        <v>56</v>
      </c>
      <c r="B12" s="23" t="n">
        <v>4</v>
      </c>
      <c r="C12" s="23"/>
      <c r="D12" s="23"/>
      <c r="E12" s="23"/>
      <c r="F12" s="26" t="n">
        <f aca="false">IF(B12&lt;&gt;"",B12,IF(C12&lt;&gt;"",C12,IF(D12&lt;&gt;"",D12,IF(E12&lt;&gt;"",E12,""))))</f>
        <v>4</v>
      </c>
      <c r="G12" s="27" t="str">
        <f aca="false">IFERROR(INDEX(PPLAY1_מקור!$B:$B,MATCH(A12,PPLAY1_מקור!$A:$A,0)),"")</f>
        <v/>
      </c>
      <c r="H12" s="27" t="str">
        <f aca="false">IF(G12="","",G12*0.91)</f>
        <v/>
      </c>
    </row>
    <row r="13" customFormat="false" ht="14.25" hidden="false" customHeight="true" outlineLevel="0" collapsed="false">
      <c r="A13" s="25" t="s">
        <v>57</v>
      </c>
      <c r="B13" s="23"/>
      <c r="C13" s="23"/>
      <c r="D13" s="23"/>
      <c r="E13" s="23" t="n">
        <v>8</v>
      </c>
      <c r="F13" s="26" t="n">
        <f aca="false">IF(B13&lt;&gt;"",B13,IF(C13&lt;&gt;"",C13,IF(D13&lt;&gt;"",D13,IF(E13&lt;&gt;"",E13,""))))</f>
        <v>8</v>
      </c>
      <c r="G13" s="27" t="n">
        <f aca="false">IFERROR(INDEX(PPLAY1_מקור!$B:$B,MATCH(A13,PPLAY1_מקור!$A:$A,0)),"")</f>
        <v>60936.5</v>
      </c>
      <c r="H13" s="27" t="n">
        <f aca="false">IF(G13="","",G13*0.91)</f>
        <v>55452.215</v>
      </c>
    </row>
    <row r="14" customFormat="false" ht="14.25" hidden="false" customHeight="true" outlineLevel="0" collapsed="false">
      <c r="A14" s="25" t="s">
        <v>58</v>
      </c>
      <c r="B14" s="23" t="n">
        <v>4</v>
      </c>
      <c r="C14" s="23"/>
      <c r="D14" s="23"/>
      <c r="E14" s="23"/>
      <c r="F14" s="26" t="n">
        <f aca="false">IF(B14&lt;&gt;"",B14,IF(C14&lt;&gt;"",C14,IF(D14&lt;&gt;"",D14,IF(E14&lt;&gt;"",E14,""))))</f>
        <v>4</v>
      </c>
      <c r="G14" s="27" t="str">
        <f aca="false">IFERROR(INDEX(PPLAY1_מקור!$B:$B,MATCH(A14,PPLAY1_מקור!$A:$A,0)),"")</f>
        <v/>
      </c>
      <c r="H14" s="27" t="str">
        <f aca="false">IF(G14="","",G14*0.91)</f>
        <v/>
      </c>
    </row>
    <row r="15" customFormat="false" ht="14.25" hidden="false" customHeight="true" outlineLevel="0" collapsed="false">
      <c r="A15" s="25" t="s">
        <v>59</v>
      </c>
      <c r="B15" s="23"/>
      <c r="C15" s="23" t="n">
        <v>7</v>
      </c>
      <c r="D15" s="23"/>
      <c r="E15" s="23"/>
      <c r="F15" s="26" t="n">
        <f aca="false">IF(B15&lt;&gt;"",B15,IF(C15&lt;&gt;"",C15,IF(D15&lt;&gt;"",D15,IF(E15&lt;&gt;"",E15,""))))</f>
        <v>7</v>
      </c>
      <c r="G15" s="27" t="n">
        <f aca="false">IFERROR(INDEX(PPLAY1_מקור!$B:$B,MATCH(A15,PPLAY1_מקור!$A:$A,0)),"")</f>
        <v>-808.7</v>
      </c>
      <c r="H15" s="27" t="n">
        <f aca="false">IF(G15="","",G15*0.91)</f>
        <v>-735.917</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0"/>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selection pane="topLeft" activeCell="C34" activeCellId="0" sqref="C34"/>
    </sheetView>
  </sheetViews>
  <sheetFormatPr defaultColWidth="8.625" defaultRowHeight="14.25" zeroHeight="false" outlineLevelRow="0" outlineLevelCol="0"/>
  <cols>
    <col collapsed="false" customWidth="true" hidden="false" outlineLevel="0" max="1" min="1" style="1" width="28.25"/>
    <col collapsed="false" customWidth="true" hidden="false" outlineLevel="0" max="3" min="3" style="1" width="20"/>
  </cols>
  <sheetData>
    <row r="1" customFormat="false" ht="15" hidden="false" customHeight="true" outlineLevel="0" collapsed="false">
      <c r="A1" s="21" t="s">
        <v>60</v>
      </c>
      <c r="C1" s="24" t="s">
        <v>61</v>
      </c>
    </row>
    <row r="2" customFormat="false" ht="15" hidden="false" customHeight="true" outlineLevel="0" collapsed="false">
      <c r="A2" s="21"/>
    </row>
    <row r="3" customFormat="false" ht="14.25" hidden="false" customHeight="true" outlineLevel="0" collapsed="false">
      <c r="A3" s="28" t="s">
        <v>62</v>
      </c>
      <c r="B3" s="1" t="n">
        <v>6</v>
      </c>
      <c r="C3" s="27" t="n">
        <f aca="false">IFERROR(INDEX(NetSuite_מקור!$D:$D,MATCH(A3,NetSuite_מקור!$A:$A,0)),"")</f>
        <v>60353.17</v>
      </c>
    </row>
    <row r="4" customFormat="false" ht="14.25" hidden="false" customHeight="true" outlineLevel="0" collapsed="false">
      <c r="A4" s="28" t="s">
        <v>63</v>
      </c>
      <c r="B4" s="1" t="n">
        <v>5</v>
      </c>
      <c r="C4" s="27" t="n">
        <f aca="false">IFERROR(INDEX(NetSuite_מקור!$D:$D,MATCH(A4,NetSuite_מקור!$A:$A,0)),"")</f>
        <v>193941.5</v>
      </c>
    </row>
    <row r="5" customFormat="false" ht="14.25" hidden="false" customHeight="true" outlineLevel="0" collapsed="false">
      <c r="A5" s="28" t="s">
        <v>64</v>
      </c>
      <c r="B5" s="1" t="n">
        <v>9</v>
      </c>
      <c r="C5" s="27" t="n">
        <f aca="false">IFERROR(INDEX(NetSuite_מקור!$D:$D,MATCH(A5,NetSuite_מקור!$A:$A,0)),"")</f>
        <v>9421.74</v>
      </c>
    </row>
    <row r="6" customFormat="false" ht="14.25" hidden="false" customHeight="true" outlineLevel="0" collapsed="false">
      <c r="A6" s="28" t="s">
        <v>65</v>
      </c>
      <c r="B6" s="1" t="n">
        <v>11</v>
      </c>
      <c r="C6" s="27" t="n">
        <f aca="false">IFERROR(INDEX(NetSuite_מקור!$D:$D,MATCH(A6,NetSuite_מקור!$A:$A,0)),"")</f>
        <v>5091.7</v>
      </c>
    </row>
    <row r="7" customFormat="false" ht="14.25" hidden="false" customHeight="true" outlineLevel="0" collapsed="false">
      <c r="A7" s="28" t="s">
        <v>66</v>
      </c>
      <c r="B7" s="1" t="n">
        <v>10</v>
      </c>
      <c r="C7" s="27" t="n">
        <f aca="false">IFERROR(INDEX(NetSuite_מקור!$D:$D,MATCH(A7,NetSuite_מקור!$A:$A,0)),"")</f>
        <v>8627.76</v>
      </c>
    </row>
    <row r="8" customFormat="false" ht="14.25" hidden="false" customHeight="true" outlineLevel="0" collapsed="false">
      <c r="A8" s="28" t="s">
        <v>67</v>
      </c>
      <c r="B8" s="1" t="n">
        <v>4</v>
      </c>
      <c r="C8" s="27" t="n">
        <f aca="false">IFERROR(INDEX(NetSuite_מקור!$D:$D,MATCH(A8,NetSuite_מקור!$A:$A,0)),"")</f>
        <v>11821.61</v>
      </c>
    </row>
    <row r="9" customFormat="false" ht="14.25" hidden="false" customHeight="true" outlineLevel="0" collapsed="false">
      <c r="A9" s="28" t="s">
        <v>68</v>
      </c>
      <c r="B9" s="1" t="n">
        <v>13</v>
      </c>
      <c r="C9" s="27" t="n">
        <f aca="false">IFERROR(INDEX(NetSuite_מקור!$D:$D,MATCH(A9,NetSuite_מקור!$A:$A,0)),"")</f>
        <v>6726.56</v>
      </c>
    </row>
    <row r="10" customFormat="false" ht="14.25" hidden="false" customHeight="true" outlineLevel="0" collapsed="false">
      <c r="A10" s="28" t="s">
        <v>69</v>
      </c>
      <c r="B10" s="1" t="n">
        <v>8</v>
      </c>
      <c r="C10" s="27" t="str">
        <f aca="false">IFERROR(INDEX(NetSuite_מקור!$D:$D,MATCH(A10,NetSuite_מקור!$A:$A,0)),"")</f>
        <v/>
      </c>
    </row>
    <row r="11" customFormat="false" ht="14.25" hidden="false" customHeight="true" outlineLevel="0" collapsed="false">
      <c r="A11" s="28" t="s">
        <v>70</v>
      </c>
      <c r="B11" s="1" t="n">
        <v>3</v>
      </c>
      <c r="C11" s="27" t="n">
        <f aca="false">IFERROR(INDEX(NetSuite_מקור!$D:$D,MATCH(A11,NetSuite_מקור!$A:$A,0)),"")</f>
        <v>296928.1</v>
      </c>
    </row>
    <row r="12" customFormat="false" ht="14.25" hidden="false" customHeight="true" outlineLevel="0" collapsed="false">
      <c r="A12" s="28" t="s">
        <v>71</v>
      </c>
      <c r="B12" s="1" t="n">
        <v>2</v>
      </c>
      <c r="C12" s="27" t="n">
        <f aca="false">IFERROR(INDEX(NetSuite_מקור!$D:$D,MATCH(A12,NetSuite_מקור!$A:$A,0)),"")</f>
        <v>347579.04</v>
      </c>
    </row>
    <row r="13" customFormat="false" ht="14.25" hidden="false" customHeight="true" outlineLevel="0" collapsed="false">
      <c r="A13" s="28" t="s">
        <v>72</v>
      </c>
      <c r="B13" s="1" t="n">
        <v>12</v>
      </c>
      <c r="C13" s="27" t="n">
        <f aca="false">IFERROR(INDEX(NetSuite_מקור!$D:$D,MATCH(A13,NetSuite_מקור!$A:$A,0)),"")</f>
        <v>547.02</v>
      </c>
    </row>
    <row r="14" customFormat="false" ht="14.25" hidden="false" customHeight="true" outlineLevel="0" collapsed="false">
      <c r="A14" s="28" t="s">
        <v>73</v>
      </c>
      <c r="B14" s="1" t="n">
        <v>23</v>
      </c>
      <c r="C14" s="27" t="n">
        <f aca="false">IFERROR(INDEX(NetSuite_מקור!$D:$D,MATCH(A14,NetSuite_מקור!$A:$A,0)),"")</f>
        <v>15160.58</v>
      </c>
    </row>
    <row r="15" customFormat="false" ht="14.25" hidden="false" customHeight="true" outlineLevel="0" collapsed="false">
      <c r="A15" s="28" t="s">
        <v>74</v>
      </c>
      <c r="B15" s="1" t="n">
        <v>25</v>
      </c>
      <c r="C15" s="27" t="str">
        <f aca="false">IFERROR(INDEX(NetSuite_מקור!$D:$D,MATCH(A15,NetSuite_מקור!$A:$A,0)),"")</f>
        <v/>
      </c>
    </row>
    <row r="16" customFormat="false" ht="14.25" hidden="false" customHeight="true" outlineLevel="0" collapsed="false">
      <c r="A16" s="28" t="s">
        <v>75</v>
      </c>
      <c r="B16" s="1" t="n">
        <v>28</v>
      </c>
      <c r="C16" s="27" t="n">
        <f aca="false">IFERROR(INDEX(NetSuite_מקור!$D:$D,MATCH(A16,NetSuite_מקור!$A:$A,0)),"")</f>
        <v>25430.19</v>
      </c>
    </row>
    <row r="17" customFormat="false" ht="14.25" hidden="false" customHeight="true" outlineLevel="0" collapsed="false">
      <c r="A17" s="28" t="s">
        <v>76</v>
      </c>
      <c r="B17" s="1" t="n">
        <v>20</v>
      </c>
      <c r="C17" s="29" t="str">
        <f aca="false">IFERROR(INDEX(NetSuite_מקור!$D:$D,MATCH(A17,NetSuite_מקור!$A:$A,0)),"")</f>
        <v/>
      </c>
    </row>
    <row r="18" customFormat="false" ht="14.25" hidden="false" customHeight="true" outlineLevel="0" collapsed="false">
      <c r="A18" s="28" t="s">
        <v>77</v>
      </c>
      <c r="B18" s="1" t="n">
        <v>33</v>
      </c>
      <c r="C18" s="29" t="str">
        <f aca="false">IFERROR(INDEX(NetSuite_מקור!$D:$D,MATCH(A18,NetSuite_מקור!$A:$A,0)),"")</f>
        <v/>
      </c>
    </row>
    <row r="19" customFormat="false" ht="14.25" hidden="false" customHeight="true" outlineLevel="0" collapsed="false">
      <c r="A19" s="28" t="s">
        <v>78</v>
      </c>
      <c r="B19" s="1" t="n">
        <v>21</v>
      </c>
      <c r="C19" s="29" t="str">
        <f aca="false">IFERROR(INDEX(NetSuite_מקור!$D:$D,MATCH(A19,NetSuite_מקור!$A:$A,0)),"")</f>
        <v/>
      </c>
    </row>
    <row r="20" customFormat="false" ht="14.25" hidden="false" customHeight="true" outlineLevel="0" collapsed="false">
      <c r="A20" s="28" t="s">
        <v>79</v>
      </c>
      <c r="B20" s="1" t="n">
        <v>22</v>
      </c>
      <c r="C20" s="29" t="n">
        <f aca="false">IFERROR(INDEX(NetSuite_מקור!$D:$D,MATCH(A20,NetSuite_מקור!$A:$A,0)),"")</f>
        <v>51223.23</v>
      </c>
    </row>
    <row r="21" customFormat="false" ht="14.25" hidden="false" customHeight="true" outlineLevel="0" collapsed="false">
      <c r="A21" s="28" t="s">
        <v>80</v>
      </c>
      <c r="B21" s="1" t="n">
        <v>24</v>
      </c>
      <c r="C21" s="29" t="str">
        <f aca="false">IFERROR(INDEX(NetSuite_מקור!$D:$D,MATCH(A21,NetSuite_מקור!$A:$A,0)),"")</f>
        <v/>
      </c>
    </row>
    <row r="22" customFormat="false" ht="14.25" hidden="false" customHeight="true" outlineLevel="0" collapsed="false">
      <c r="A22" s="28" t="s">
        <v>81</v>
      </c>
      <c r="B22" s="1" t="n">
        <v>26</v>
      </c>
      <c r="C22" s="29" t="str">
        <f aca="false">IFERROR(INDEX(NetSuite_מקור!$D:$D,MATCH(A22,NetSuite_מקור!$A:$A,0)),"")</f>
        <v/>
      </c>
    </row>
    <row r="23" customFormat="false" ht="14.25" hidden="false" customHeight="true" outlineLevel="0" collapsed="false">
      <c r="A23" s="28" t="s">
        <v>82</v>
      </c>
      <c r="B23" s="1" t="n">
        <v>27</v>
      </c>
      <c r="C23" s="29" t="str">
        <f aca="false">IFERROR(INDEX(NetSuite_מקור!$D:$D,MATCH(A23,NetSuite_מקור!$A:$A,0)),"")</f>
        <v/>
      </c>
    </row>
    <row r="24" customFormat="false" ht="14.25" hidden="false" customHeight="true" outlineLevel="0" collapsed="false">
      <c r="A24" s="28" t="s">
        <v>83</v>
      </c>
      <c r="B24" s="1" t="n">
        <v>29</v>
      </c>
      <c r="C24" s="29" t="str">
        <f aca="false">IFERROR(INDEX(NetSuite_מקור!$D:$D,MATCH(A24,NetSuite_מקור!$A:$A,0)),"")</f>
        <v/>
      </c>
    </row>
    <row r="25" customFormat="false" ht="14.25" hidden="false" customHeight="true" outlineLevel="0" collapsed="false">
      <c r="A25" s="28" t="s">
        <v>84</v>
      </c>
      <c r="B25" s="1" t="n">
        <v>30</v>
      </c>
      <c r="C25" s="29" t="n">
        <f aca="false">IFERROR(INDEX(NetSuite_מקור!$D:$D,MATCH(A25,NetSuite_מקור!$A:$A,0)),"")</f>
        <v>21590.63</v>
      </c>
    </row>
    <row r="26" customFormat="false" ht="14.25" hidden="false" customHeight="true" outlineLevel="0" collapsed="false">
      <c r="A26" s="28" t="s">
        <v>85</v>
      </c>
      <c r="B26" s="1" t="n">
        <v>31</v>
      </c>
      <c r="C26" s="29" t="str">
        <f aca="false">IFERROR(INDEX(NetSuite_מקור!$D:$D,MATCH(A26,NetSuite_מקור!$A:$A,0)),"")</f>
        <v/>
      </c>
    </row>
    <row r="27" customFormat="false" ht="14.25" hidden="false" customHeight="true" outlineLevel="0" collapsed="false">
      <c r="A27" s="28" t="s">
        <v>86</v>
      </c>
      <c r="B27" s="1" t="n">
        <v>32</v>
      </c>
      <c r="C27" s="29" t="str">
        <f aca="false">IFERROR(INDEX(NetSuite_מקור!$D:$D,MATCH(A27,NetSuite_מקור!$A:$A,0)),"")</f>
        <v/>
      </c>
    </row>
    <row r="28" customFormat="false" ht="14.25" hidden="false" customHeight="true" outlineLevel="0" collapsed="false">
      <c r="A28" s="28" t="s">
        <v>87</v>
      </c>
      <c r="B28" s="1" t="n">
        <v>34</v>
      </c>
      <c r="C28" s="29" t="str">
        <f aca="false">IFERROR(INDEX(NetSuite_מקור!$D:$D,MATCH(A28,NetSuite_מקור!$A:$A,0)),"")</f>
        <v/>
      </c>
    </row>
    <row r="29" customFormat="false" ht="14.25" hidden="false" customHeight="true" outlineLevel="0" collapsed="false">
      <c r="A29" s="28" t="s">
        <v>88</v>
      </c>
      <c r="B29" s="1" t="n">
        <v>35</v>
      </c>
      <c r="C29" s="29" t="str">
        <f aca="false">IFERROR(INDEX(NetSuite_מקור!$D:$D,MATCH(A29,NetSuite_מקור!$A:$A,0)),"")</f>
        <v/>
      </c>
    </row>
    <row r="30" customFormat="false" ht="14.25" hidden="false" customHeight="true" outlineLevel="0" collapsed="false">
      <c r="A30" s="28" t="s">
        <v>89</v>
      </c>
      <c r="B30" s="1" t="n">
        <v>14</v>
      </c>
      <c r="C30" s="29" t="str">
        <f aca="false">IFERROR(INDEX(NetSuite_מקור!$D:$D,MATCH(A30,NetSuite_מקור!$A:$A,0)),"")</f>
        <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25" defaultRowHeight="14.25" zeroHeight="false" outlineLevelRow="0" outlineLevelCol="0"/>
  <cols>
    <col collapsed="false" customWidth="true" hidden="false" outlineLevel="0" max="1" min="1" style="1" width="20"/>
    <col collapsed="false" customWidth="true" hidden="false" outlineLevel="0" max="2" min="2" style="1" width="18"/>
    <col collapsed="false" customWidth="true" hidden="false" outlineLevel="0" max="3" min="3" style="1" width="14"/>
    <col collapsed="false" customWidth="true" hidden="false" outlineLevel="0" max="4" min="4" style="1" width="100"/>
  </cols>
  <sheetData>
    <row r="1" customFormat="false" ht="15" hidden="false" customHeight="true" outlineLevel="0" collapsed="false">
      <c r="A1" s="24" t="s">
        <v>90</v>
      </c>
      <c r="B1" s="24" t="s">
        <v>91</v>
      </c>
      <c r="C1" s="24" t="s">
        <v>47</v>
      </c>
      <c r="D1" s="24" t="s">
        <v>92</v>
      </c>
    </row>
    <row r="2" customFormat="false" ht="14.25" hidden="false" customHeight="true" outlineLevel="0" collapsed="false">
      <c r="A2" s="26" t="s">
        <v>48</v>
      </c>
      <c r="B2" s="27" t="n">
        <v>186065.8</v>
      </c>
      <c r="C2" s="27" t="n">
        <f aca="false">B2*0.91</f>
        <v>169319.878</v>
      </c>
      <c r="D2" s="30"/>
    </row>
    <row r="3" customFormat="false" ht="14.25" hidden="false" customHeight="true" outlineLevel="0" collapsed="false">
      <c r="A3" s="26" t="s">
        <v>49</v>
      </c>
      <c r="B3" s="27" t="n">
        <v>577.7</v>
      </c>
      <c r="C3" s="27" t="n">
        <f aca="false">B3*0.91</f>
        <v>525.707</v>
      </c>
      <c r="D3" s="30"/>
    </row>
    <row r="4" customFormat="false" ht="14.25" hidden="false" customHeight="true" outlineLevel="0" collapsed="false">
      <c r="A4" s="26" t="s">
        <v>50</v>
      </c>
      <c r="B4" s="27" t="n">
        <v>639577.2</v>
      </c>
      <c r="C4" s="27" t="n">
        <f aca="false">B4*0.91</f>
        <v>582015.252</v>
      </c>
      <c r="D4" s="30"/>
    </row>
    <row r="5" customFormat="false" ht="14.25" hidden="false" customHeight="true" outlineLevel="0" collapsed="false">
      <c r="A5" s="26" t="s">
        <v>51</v>
      </c>
      <c r="B5" s="27" t="n">
        <v>6632</v>
      </c>
      <c r="C5" s="27" t="n">
        <f aca="false">B5*0.91</f>
        <v>6035.12</v>
      </c>
      <c r="D5" s="30"/>
    </row>
    <row r="6" customFormat="false" ht="14.25" hidden="false" customHeight="true" outlineLevel="0" collapsed="false">
      <c r="A6" s="26" t="s">
        <v>54</v>
      </c>
      <c r="B6" s="27" t="n">
        <v>362.9</v>
      </c>
      <c r="C6" s="27" t="n">
        <f aca="false">B6*0.91</f>
        <v>330.239</v>
      </c>
      <c r="D6" s="30"/>
    </row>
    <row r="7" customFormat="false" ht="14.25" hidden="false" customHeight="true" outlineLevel="0" collapsed="false">
      <c r="A7" s="26" t="s">
        <v>59</v>
      </c>
      <c r="B7" s="27" t="n">
        <v>-808.7</v>
      </c>
      <c r="C7" s="27" t="n">
        <f aca="false">B7*0.91</f>
        <v>-735.917</v>
      </c>
      <c r="D7" s="30"/>
    </row>
    <row r="8" customFormat="false" ht="14.25" hidden="false" customHeight="true" outlineLevel="0" collapsed="false">
      <c r="A8" s="26" t="s">
        <v>3</v>
      </c>
      <c r="B8" s="27" t="n">
        <v>557932.5</v>
      </c>
      <c r="C8" s="27" t="n">
        <f aca="false">B8*0.91</f>
        <v>507718.575</v>
      </c>
      <c r="D8" s="30"/>
    </row>
    <row r="9" customFormat="false" ht="14.25" hidden="false" customHeight="true" outlineLevel="0" collapsed="false">
      <c r="A9" s="26" t="s">
        <v>55</v>
      </c>
      <c r="B9" s="27" t="n">
        <v>74555.9</v>
      </c>
      <c r="C9" s="27" t="n">
        <f aca="false">B9*0.91</f>
        <v>67845.869</v>
      </c>
    </row>
    <row r="10" customFormat="false" ht="14.25" hidden="false" customHeight="true" outlineLevel="0" collapsed="false">
      <c r="A10" s="26" t="s">
        <v>57</v>
      </c>
      <c r="B10" s="27" t="n">
        <v>60936.5</v>
      </c>
      <c r="C10" s="27" t="n">
        <f aca="false">B10*0.91</f>
        <v>55452.215</v>
      </c>
    </row>
    <row r="11" customFormat="false" ht="14.25" hidden="false" customHeight="true" outlineLevel="0" collapsed="false">
      <c r="A11" s="1" t="s">
        <v>52</v>
      </c>
      <c r="B11" s="1" t="n">
        <v>902.8</v>
      </c>
      <c r="C11" s="1" t="n">
        <f aca="false">B11*0.91</f>
        <v>821.548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D31" activeCellId="0" sqref="D31"/>
    </sheetView>
  </sheetViews>
  <sheetFormatPr defaultColWidth="8.625" defaultRowHeight="14.25" zeroHeight="false" outlineLevelRow="0" outlineLevelCol="0"/>
  <cols>
    <col collapsed="false" customWidth="true" hidden="false" outlineLevel="0" max="1" min="1" style="1" width="45"/>
    <col collapsed="false" customWidth="true" hidden="false" outlineLevel="0" max="4" min="4" style="1" width="14"/>
  </cols>
  <sheetData>
    <row r="1" customFormat="false" ht="15" hidden="false" customHeight="true" outlineLevel="0" collapsed="false">
      <c r="A1" s="30" t="s">
        <v>93</v>
      </c>
    </row>
    <row r="2" customFormat="false" ht="15" hidden="false" customHeight="true" outlineLevel="0" collapsed="false">
      <c r="A2" s="24" t="s">
        <v>94</v>
      </c>
      <c r="D2" s="24" t="s">
        <v>95</v>
      </c>
    </row>
    <row r="3" customFormat="false" ht="15" hidden="false" customHeight="true" outlineLevel="0" collapsed="false">
      <c r="A3" s="26" t="s">
        <v>62</v>
      </c>
      <c r="D3" s="29" t="n">
        <v>60353.17</v>
      </c>
    </row>
    <row r="4" customFormat="false" ht="15" hidden="false" customHeight="true" outlineLevel="0" collapsed="false">
      <c r="A4" s="26" t="s">
        <v>64</v>
      </c>
      <c r="D4" s="29" t="n">
        <v>9421.74</v>
      </c>
    </row>
    <row r="5" customFormat="false" ht="15" hidden="false" customHeight="true" outlineLevel="0" collapsed="false">
      <c r="A5" s="26" t="s">
        <v>65</v>
      </c>
      <c r="D5" s="29" t="n">
        <v>5091.7</v>
      </c>
    </row>
    <row r="6" customFormat="false" ht="15" hidden="false" customHeight="true" outlineLevel="0" collapsed="false">
      <c r="A6" s="26" t="s">
        <v>63</v>
      </c>
      <c r="D6" s="29" t="n">
        <v>193941.5</v>
      </c>
    </row>
    <row r="7" customFormat="false" ht="15" hidden="false" customHeight="true" outlineLevel="0" collapsed="false">
      <c r="A7" s="26" t="s">
        <v>66</v>
      </c>
      <c r="D7" s="29" t="n">
        <v>8627.76</v>
      </c>
    </row>
    <row r="8" customFormat="false" ht="15" hidden="false" customHeight="true" outlineLevel="0" collapsed="false">
      <c r="A8" s="26" t="s">
        <v>67</v>
      </c>
      <c r="D8" s="29" t="n">
        <v>11821.61</v>
      </c>
    </row>
    <row r="9" customFormat="false" ht="15" hidden="false" customHeight="true" outlineLevel="0" collapsed="false">
      <c r="A9" s="26" t="s">
        <v>70</v>
      </c>
      <c r="D9" s="29" t="n">
        <v>296928.1</v>
      </c>
    </row>
    <row r="10" customFormat="false" ht="14.25" hidden="false" customHeight="true" outlineLevel="0" collapsed="false">
      <c r="A10" s="26" t="s">
        <v>71</v>
      </c>
      <c r="D10" s="29" t="n">
        <v>347579.04</v>
      </c>
    </row>
    <row r="11" customFormat="false" ht="14.25" hidden="false" customHeight="true" outlineLevel="0" collapsed="false">
      <c r="A11" s="26" t="s">
        <v>72</v>
      </c>
      <c r="D11" s="29" t="n">
        <v>547.02</v>
      </c>
    </row>
    <row r="12" customFormat="false" ht="14.25" hidden="false" customHeight="true" outlineLevel="0" collapsed="false">
      <c r="A12" s="26" t="s">
        <v>73</v>
      </c>
      <c r="B12" s="31"/>
      <c r="C12" s="31"/>
      <c r="D12" s="29" t="n">
        <v>15160.58</v>
      </c>
      <c r="E12" s="32"/>
    </row>
    <row r="13" customFormat="false" ht="14.25" hidden="false" customHeight="true" outlineLevel="0" collapsed="false">
      <c r="A13" s="33" t="s">
        <v>75</v>
      </c>
      <c r="B13" s="31"/>
      <c r="C13" s="31"/>
      <c r="D13" s="34" t="n">
        <v>25430.19</v>
      </c>
      <c r="E13" s="32"/>
    </row>
    <row r="14" customFormat="false" ht="14.25" hidden="false" customHeight="true" outlineLevel="0" collapsed="false">
      <c r="A14" s="26" t="s">
        <v>79</v>
      </c>
      <c r="D14" s="27" t="n">
        <v>51223.23</v>
      </c>
    </row>
    <row r="15" customFormat="false" ht="14.25" hidden="false" customHeight="true" outlineLevel="0" collapsed="false">
      <c r="A15" s="26" t="s">
        <v>68</v>
      </c>
      <c r="D15" s="27" t="n">
        <v>6726.56</v>
      </c>
    </row>
    <row r="16" customFormat="false" ht="14.25" hidden="false" customHeight="true" outlineLevel="0" collapsed="false">
      <c r="A16" s="26" t="s">
        <v>84</v>
      </c>
      <c r="D16" s="27" t="n">
        <v>21590.63</v>
      </c>
    </row>
    <row r="17" customFormat="false" ht="14.25" hidden="false" customHeight="true" outlineLevel="0" collapsed="false"/>
    <row r="18" customFormat="false" ht="14.25" hidden="false" customHeight="true" outlineLevel="0" collapsed="false"/>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D35" activeCellId="0" sqref="D35"/>
    </sheetView>
  </sheetViews>
  <sheetFormatPr defaultColWidth="8.625" defaultRowHeight="14.25" zeroHeight="false" outlineLevelRow="0" outlineLevelCol="0"/>
  <cols>
    <col collapsed="false" customWidth="true" hidden="false" outlineLevel="0" max="1" min="1" style="1" width="16"/>
    <col collapsed="false" customWidth="true" hidden="false" outlineLevel="0" max="2" min="2" style="1" width="14"/>
    <col collapsed="false" customWidth="true" hidden="false" outlineLevel="0" max="3" min="3" style="1" width="48"/>
  </cols>
  <sheetData>
    <row r="1" customFormat="false" ht="15" hidden="false" customHeight="true" outlineLevel="0" collapsed="false">
      <c r="A1" s="30" t="s">
        <v>96</v>
      </c>
    </row>
    <row r="2" customFormat="false" ht="15" hidden="false" customHeight="true" outlineLevel="0" collapsed="false">
      <c r="A2" s="24" t="s">
        <v>97</v>
      </c>
      <c r="B2" s="24" t="s">
        <v>98</v>
      </c>
      <c r="C2" s="24" t="s">
        <v>92</v>
      </c>
    </row>
    <row r="3" customFormat="false" ht="15" hidden="false" customHeight="true" outlineLevel="0" collapsed="false">
      <c r="A3" s="26" t="s">
        <v>95</v>
      </c>
      <c r="B3" s="27" t="n">
        <v>71888.24</v>
      </c>
      <c r="C3" s="30" t="s">
        <v>99</v>
      </c>
    </row>
    <row r="4" customFormat="false" ht="15" hidden="false" customHeight="true" outlineLevel="0" collapsed="false">
      <c r="A4" s="26" t="s">
        <v>100</v>
      </c>
      <c r="B4" s="27" t="n">
        <v>-5648.73</v>
      </c>
      <c r="C4" s="30" t="s">
        <v>101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2026-08-01T12:16:05Z</dcterms:created>
  <dc:creator>Eyal Sadot</dc:creator>
  <dc:description/>
  <dc:language>en-US</dc:language>
  <cp:lastModifiedBy>Eyal Sadot</cp:lastModifiedBy>
  <dcterms:modified xsi:type="dcterms:W3CDTF">2026-10-04T05:48:30Z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