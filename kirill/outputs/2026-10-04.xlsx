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<sst xmlns="http://schemas.openxmlformats.org/spreadsheetml/2006/main" count="116" uniqueCount="102">
  <si>
    <t xml:space="preserve">דוח מכירות אוקטובר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</si>
  <si>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</si>
  <si>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</si>
  <si>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</si>
  <si>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</si>
  <si>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</si>
  <si>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</si>
  <si>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</si>
  <si>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</si>
  <si>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</si>
  <si>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</si>
  <si>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</si>
  <si>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</si>
  <si>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</si>
  <si>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</si>
  <si>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</si>
  <si>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</si>
  <si>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</si>
  <si>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</si>
  <si>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</si>
  <si>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</si>
  <si>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</si>
  <si>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</si>
  <si>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</si>
  <si>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</si>
  <si>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</si>
  <si>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</si>
  <si>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</si>
  <si>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</si>
  <si>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</si>
  <si>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</si>
  <si>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</si>
  <si>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</si>
  <si>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</si>
  <si>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</si>
  <si>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</si>
  <si>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</si>
  <si>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</si>
  <si>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</si>
  <si>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</si>
  <si>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</si>
  <si>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</si>
  <si>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</si>
  <si>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</si>
  <si>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</si>
  <si>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</si>
  <si>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</si>
  <si>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</si>
  <si>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</si>
  <si>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</si>
  <si>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</si>
  <si>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</si>
  <si>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</si>
  <si>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</si>
  <si>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</si>
  <si>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</si>
  <si>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</si>
  <si>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</si>
  <si>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</si>
  <si>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</si>
  <si>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</si>
  <si>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</si>
  <si>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</si>
  <si>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</si>
  <si>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</si>
  <si>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</si>
  <si>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</si>
  <si>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</si>
  <si>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</si>
  <si>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</si>
  <si>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</si>
  <si>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</si>
  <si>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</si>
  <si>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</si>
  <si>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</si>
  <si>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</si>
  <si>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</si>
  <si>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</si>
  <si>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</si>
  <si>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</si>
  <si>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</si>
  <si>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</si>
  <si>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</si>
  <si>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</si>
  <si>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</si>
  <si>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</si>
  <si>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</si>
  <si>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</si>
  <si>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</si>
  <si>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</si>
  <si>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PPlay1.xls, "PPlay1 of uriel (Reporter)", נוצר 04/10/2026 09:38:30, תקופה 2026/Oct (חודש אוקטובר 2026 - החודש החדש: קבצי המקור עברו להציג MTD שמצטבר מאוקטובר, ולכן B1 בגיליון סהכ עבר ל"אוקטובר 2026", לפי המוסכמה הקבועה. זהו הדוח היומי הראשון של החודש - צפויה הצטברות MTD נמוכה מאוד (רק 1-4 ימים לתוך החודש) בהשוואה לדוח הקודם שהיה סגירת חודש ספטמבר מלא - זו ירידה צפויה ותקינה, לא נתון חסר ולא שגיאת חישוב). שוב בפורמט MHTML ("Excel Web Page", MIME multipart) ולא XLSX/ZIP רגיל - זוהה ע"י `file` שמחזיר "MIME entity, ASCII text". פוענח ע"י email.message_from_binary_file + BeautifulSoup על part[2] (Content-Location "sheet001.htm"), decode windows-1255 - פרסור נקי בניסיון ראשון, אינדקס part[2] אומת מחדש ותואם לימים קודמים. נשלפו 6 שורות קטגוריה שיש להן נתונים עד כה החודש (0בתי מרקחת, 0פארמים, גוד פארם מרכז, סופרפארם, שופרסל BE, 0קופות חולים), מתוך 13 הקטגוריות במקרא גיליון Pplay1. 7 קטגוריות נותרות ללא נתונים עדיין החודש (0מפיצי משנה, אילת BE, הפרכל הפרפארם, זיכויים BE, גוד פארם, 0צרכנים פרטיים, 0שונות) - תקין לתחילת חודש, לא נתון חסר. גוד פארם מרכז מציגה סכום שלילי (₪-284.7) - זיכוי/החזר שנקלט בתחילת החודש, נבדק ואומת ישירות מול הטקסט הגולמי בקובץ המקור, לא שגיאת פענוח. אין שורת "Customers" (סה"כ-אב) בפלט הגולמי הפעם - השורה היחידה שמכילה את המחרוזת "Customers" היא שורת מטא-דאטה של רשימת שדות ה-pivot ("2026/Oct,Months,Companies,Customers,..."), לא שורת סכום, ולכן אין מה להחריג. מכר נטו = עמודה B × 0.91 (מקדם קבוע, מאושר ב-kirill.md; חל גם על ערך שלילי).</t>
  </si>
  <si>
    <t xml:space="preserve">2026/Oct (סכום גולמי, MTD)</t>
  </si>
  <si>
    <t xml:space="preserve">הערה</t>
  </si>
  <si>
    <t xml:space="preserve">Source: CustomSalesbyCustomerSummary836.xlsx, Meditex Group IL, Custom Sales by Customer Summary, 01 October 2026 - 31 October 2026 (MTD, החודש החדש - אוקטובר), נמסר 04/10/2026 עבור דוח 04/10/2026. קובץ xlsx תקני (2007+) - נטען ישירות ע"י openpyxl ללא צורך בתיקון קידוד. נשלפו 2 שורות הסיכום (קטגוריה) שיש להן מכירות בחודש עד כה (112 - Kupat Holim Clalit, 114 - IL online), מתוך 28 הקטגוריות במקרא "ריכוז" - 26 הקטגוריות הנותרות אין להן מכירות עדיין החודש, תקין וצפוי לתחילת חודש (רק 1-4 ימים לתוך אוקטובר), לא נתון חסר. לא יובאו שורות פירוט חשבוניות/לקוחות-בת מהדוח הגולמי, לפי מוסכמת עבודה. סה"כ שורת "Total" בדוח הגולמי המלא: ₪58,251.29 - תואם בדיוק לסכום 2 שורות הקטגוריה שנשלפו (₪27,768.00+₪30,483.29=₪58,251.29, אומת ידנית).</t>
  </si>
  <si>
    <t xml:space="preserve">Customer</t>
  </si>
  <si>
    <t xml:space="preserve">Sales</t>
  </si>
  <si>
    <t xml:space="preserve">Source: צילום מסך/נתונים שסופקו על ידי המשתמש (ראובן), לוח בקרה Sellerboard/Amazon Seller "Month to date, 1-3 October 2026" (3 ימים לתוך החודש החדש), נמסר 04/10/2026 עבור דוח 04/10/2026, מאומת בטקסט (לא תמלול תמונה). נתונים נוספים שסופקו במקור (לא בשימוש בנוסחה): Sales +37.0% מול תקופה קודמת, Orders/Units 268/279, Refunds 27, Est. payout $2,839.48, Gross profit $1,370.93, Net profit $1,370.93 +32.6% (זהה ל-Gross profit, כפי שמופיע במקור).</t>
  </si>
  <si>
    <t xml:space="preserve">תיאור</t>
  </si>
  <si>
    <t xml:space="preserve">סכום ($)</t>
  </si>
  <si>
    <t xml:space="preserve">משמש בנוסחת 'סהכ'!C20: =(Sales+Refund cost)×3.</t>
  </si>
  <si>
    <t xml:space="preserve">Refund cost</t>
  </si>
  <si>
    <t xml:space="preserve">מכפיל ×3 לפי הנחיית המשתמש (לא מתועד במקור התמונה).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</si>
</sst>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46299</v>
      </c>
      <c r="C2" s="6" t="n">
        <v>10.2026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SUMIF(Pplay1!$F$3:$F$15,A3,Pplay1!$H$3:$H$15)+SUMIF(ריכוז!$B$3:$B$30,A3,ריכוז!$C$3:$C$30)</f>
        <v>0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SUMIF(Pplay1!$F$3:$F$15,A4,Pplay1!$H$3:$H$15)+SUMIF(ריכוז!$B$3:$B$30,A4,ריכוז!$C$3:$C$30)</f>
        <v>6919.185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SUMIF(Pplay1!$F$3:$F$15,A5,Pplay1!$H$3:$H$15)+SUMIF(ריכוז!$B$3:$B$30,A5,ריכוז!$C$3:$C$30)</f>
        <v>1693.51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SUMIF(Pplay1!$F$3:$F$15,A6,Pplay1!$H$3:$H$15)+SUMIF(ריכוז!$B$3:$B$30,A6,ריכוז!$C$3:$C$30)</f>
        <v>1518.153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SUMIF(Pplay1!$F$3:$F$15,A7,Pplay1!$H$3:$H$15)+SUMIF(ריכוז!$B$3:$B$30,A7,ריכוז!$C$3:$C$30)</f>
        <v>27768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SUMIF(Pplay1!$F$3:$F$15,A8,Pplay1!$H$3:$H$15)+SUMIF(ריכוז!$B$3:$B$30,A8,ריכוז!$C$3:$C$30)</f>
        <v>803.621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SUMIF(Pplay1!$F$3:$F$15,A9,Pplay1!$H$3:$H$15)+SUMIF(ריכוז!$B$3:$B$30,A9,ריכוז!$C$3:$C$30)</f>
        <v>0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SUMIF(Pplay1!$F$3:$F$15,A10,Pplay1!$H$3:$H$15)+SUMIF(ריכוז!$B$3:$B$30,A10,ריכוז!$C$3:$C$30)</f>
        <v>0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SUMIF(Pplay1!$F$3:$F$15,A11,Pplay1!$H$3:$H$15)+SUMIF(ריכוז!$B$3:$B$30,A11,ריכוז!$C$3:$C$30)</f>
        <v>0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SUMIF(Pplay1!$F$3:$F$15,A12,Pplay1!$H$3:$H$15)+SUMIF(ריכוז!$B$3:$B$30,A12,ריכוז!$C$3:$C$30)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SUMIF(Pplay1!$F$3:$F$15,A13,Pplay1!$H$3:$H$15)+SUMIF(ריכוז!$B$3:$B$30,A13,ריכוז!$C$3:$C$30)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SUMIF(Pplay1!$F$3:$F$15,A14,Pplay1!$H$3:$H$15)+SUMIF(ריכוז!$B$3:$B$30,A14,ריכוז!$C$3:$C$30)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SUMIF(Pplay1!$F$3:$F$15,A15,Pplay1!$H$3:$H$15)+SUMIF(ריכוז!$B$3:$B$30,A15,ריכוז!$C$3:$C$30)</f>
        <v>0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38702.469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SUMIF(Pplay1!$F$3:$F$15,A17,Pplay1!$H$3:$H$15)+SUMIF(ריכוז!$B$3:$B$30,A17,ריכוז!$C$3:$C$30)</f>
        <v>30483.29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SUMIF(Pplay1!$F$3:$F$15,A18,Pplay1!$H$3:$H$15)+SUMIF(ריכוז!$B$3:$B$30,A18,ריכוז!$C$3:$C$30)</f>
        <v>0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69185.759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22723.8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SUMIF(Pplay1!$F$3:$F$15,A21,Pplay1!$H$3:$H$15)+SUMIF(ריכוז!$B$3:$B$30,A21,ריכוז!$C$3:$C$30)</f>
        <v>0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SUMIF(Pplay1!$F$3:$F$15,A22,Pplay1!$H$3:$H$15)+SUMIF(ריכוז!$B$3:$B$30,A22,ריכוז!$C$3:$C$30)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SUMIF(Pplay1!$F$3:$F$15,A23,Pplay1!$H$3:$H$15)+SUMIF(ריכוז!$B$3:$B$30,A23,ריכוז!$C$3:$C$30)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SUMIF(Pplay1!$F$3:$F$15,A24,Pplay1!$H$3:$H$15)+SUMIF(ריכוז!$B$3:$B$30,A24,ריכוז!$C$3:$C$30)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SUMIF(Pplay1!$F$3:$F$15,A25,Pplay1!$H$3:$H$15)+SUMIF(ריכוז!$B$3:$B$30,A25,ריכוז!$C$3:$C$30)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SUMIF(Pplay1!$F$3:$F$15,A26,Pplay1!$H$3:$H$15)+SUMIF(ריכוז!$B$3:$B$30,A26,ריכוז!$C$3:$C$30)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SUMIF(Pplay1!$F$3:$F$15,A27,Pplay1!$H$3:$H$15)+SUMIF(ריכוז!$B$3:$B$30,A27,ריכוז!$C$3:$C$30)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SUMIF(Pplay1!$F$3:$F$15,A28,Pplay1!$H$3:$H$15)+SUMIF(ריכוז!$B$3:$B$30,A28,ריכוז!$C$3:$C$30)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SUMIF(Pplay1!$F$3:$F$15,A29,Pplay1!$H$3:$H$15)+SUMIF(ריכוז!$B$3:$B$30,A29,ריכוז!$C$3:$C$30)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SUMIF(Pplay1!$F$3:$F$15,A30,Pplay1!$H$3:$H$15)+SUMIF(ריכוז!$B$3:$B$30,A30,ריכוז!$C$3:$C$30)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SUMIF(Pplay1!$F$3:$F$15,A31,Pplay1!$H$3:$H$15)+SUMIF(ריכוז!$B$3:$B$30,A31,ריכוז!$C$3:$C$30)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SUMIF(Pplay1!$F$3:$F$15,A32,Pplay1!$H$3:$H$15)+SUMIF(ריכוז!$B$3:$B$30,A32,ריכוז!$C$3:$C$30)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SUMIF(Pplay1!$F$3:$F$15,A33,Pplay1!$H$3:$H$15)+SUMIF(ריכוז!$B$3:$B$30,A33,ריכוז!$C$3:$C$30)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SUMIF(Pplay1!$F$3:$F$15,A34,Pplay1!$H$3:$H$15)+SUMIF(ריכוז!$B$3:$B$30,A34,ריכוז!$C$3:$C$30)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SUMIF(Pplay1!$F$3:$F$15,A35,Pplay1!$H$3:$H$15)+SUMIF(ריכוז!$B$3:$B$30,A35,ריכוז!$C$3:$C$30)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SUMIF(Pplay1!$F$3:$F$15,A36,Pplay1!$H$3:$H$15)+SUMIF(ריכוז!$B$3:$B$30,A36,ריכוז!$C$3:$C$30)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SUMIF(Pplay1!$F$3:$F$15,A37,Pplay1!$H$3:$H$15)+SUMIF(ריכוז!$B$3:$B$30,A37,ריכוז!$C$3:$C$30)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SUMIF(Pplay1!$F$3:$F$15,A38,Pplay1!$H$3:$H$15)+SUMIF(ריכוז!$B$3:$B$30,A38,ריכוז!$C$3:$C$30)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SUMIF(Pplay1!$F$3:$F$15,A39,Pplay1!$H$3:$H$15)+SUMIF(ריכוז!$B$3:$B$30,A39,ריכוז!$C$3:$C$30)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22723.8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91909.559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1953</v>
      </c>
      <c r="H3" s="27" t="n">
        <f aca="false">IF(G3="","",G3*0.91)</f>
        <v>1777.23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str">
        <f aca="false">IFERROR(INDEX(PPLAY1_מקור!$B:$B,MATCH(A4,PPLAY1_מקור!$A:$A,0)),"")</f>
        <v/>
      </c>
      <c r="H4" s="27" t="str">
        <f aca="false">IF(G4="","",G4*0.91)</f>
        <v/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9179.8</v>
      </c>
      <c r="H5" s="27" t="n">
        <f aca="false">IF(G5="","",G5*0.91)</f>
        <v>8353.618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str">
        <f aca="false">IFERROR(INDEX(PPLAY1_מקור!$B:$B,MATCH(A6,PPLAY1_מקור!$A:$A,0)),"")</f>
        <v/>
      </c>
      <c r="H6" s="27" t="str">
        <f aca="false">IF(G6="","",G6*0.91)</f>
        <v/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str">
        <f aca="false">IFERROR(INDEX(PPLAY1_מקור!$B:$B,MATCH(A7,PPLAY1_מקור!$A:$A,0)),"")</f>
        <v/>
      </c>
      <c r="H7" s="27" t="str">
        <f aca="false">IF(G7="","",G7*0.91)</f>
        <v/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-284.7</v>
      </c>
      <c r="H8" s="27" t="n">
        <f aca="false">IF(G8="","",G8*0.91)</f>
        <v>-259.077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str">
        <f aca="false">IFERROR(INDEX(PPLAY1_מקור!$B:$B,MATCH(A9,PPLAY1_מקור!$A:$A,0)),"")</f>
        <v/>
      </c>
      <c r="H9" s="27" t="str">
        <f aca="false">IF(G9="","",G9*0.91)</f>
        <v/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7603.5</v>
      </c>
      <c r="H10" s="27" t="n">
        <f aca="false">IF(G10="","",G10*0.91)</f>
        <v>6919.185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1861</v>
      </c>
      <c r="H11" s="27" t="n">
        <f aca="false">IF(G11="","",G11*0.91)</f>
        <v>1693.51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883.1</v>
      </c>
      <c r="H13" s="27" t="n">
        <f aca="false">IF(G13="","",G13*0.91)</f>
        <v>803.621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  <row r="15" customFormat="false" ht="14.25" hidden="false" customHeight="tru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str">
        <f aca="false">IFERROR(INDEX(PPLAY1_מקור!$B:$B,MATCH(A15,PPLAY1_מקור!$A:$A,0)),"")</f>
        <v/>
      </c>
      <c r="H15" s="27" t="str">
        <f aca="false">IF(G15="","",G15*0.91)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60</v>
      </c>
      <c r="C1" s="24" t="s">
        <v>61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62</v>
      </c>
      <c r="B3" s="1" t="n">
        <v>6</v>
      </c>
      <c r="C3" s="27" t="str">
        <f aca="false">IFERROR(INDEX(NetSuite_מקור!$D:$D,MATCH(A3,NetSuite_מקור!$A:$A,0)),"")</f>
        <v/>
      </c>
    </row>
    <row r="4" customFormat="false" ht="14.25" hidden="false" customHeight="true" outlineLevel="0" collapsed="false">
      <c r="A4" s="28" t="s">
        <v>63</v>
      </c>
      <c r="B4" s="1" t="n">
        <v>5</v>
      </c>
      <c r="C4" s="27" t="str">
        <f aca="false">IFERROR(INDEX(NetSuite_מקור!$D:$D,MATCH(A4,NetSuite_מקור!$A:$A,0)),"")</f>
        <v/>
      </c>
    </row>
    <row r="5" customFormat="false" ht="14.25" hidden="false" customHeight="true" outlineLevel="0" collapsed="false">
      <c r="A5" s="28" t="s">
        <v>64</v>
      </c>
      <c r="B5" s="1" t="n">
        <v>9</v>
      </c>
      <c r="C5" s="27" t="str">
        <f aca="false">IFERROR(INDEX(NetSuite_מקור!$D:$D,MATCH(A5,NetSuite_מקור!$A:$A,0)),"")</f>
        <v/>
      </c>
    </row>
    <row r="6" customFormat="false" ht="14.25" hidden="false" customHeight="true" outlineLevel="0" collapsed="false">
      <c r="A6" s="28" t="s">
        <v>65</v>
      </c>
      <c r="B6" s="1" t="n">
        <v>11</v>
      </c>
      <c r="C6" s="27" t="str">
        <f aca="false">IFERROR(INDEX(NetSuite_מקור!$D:$D,MATCH(A6,NetSuite_מקור!$A:$A,0)),"")</f>
        <v/>
      </c>
    </row>
    <row r="7" customFormat="false" ht="14.25" hidden="false" customHeight="true" outlineLevel="0" collapsed="false">
      <c r="A7" s="28" t="s">
        <v>66</v>
      </c>
      <c r="B7" s="1" t="n">
        <v>10</v>
      </c>
      <c r="C7" s="27" t="str">
        <f aca="false">IFERROR(INDEX(NetSuite_מקור!$D:$D,MATCH(A7,NetSuite_מקור!$A:$A,0)),"")</f>
        <v/>
      </c>
    </row>
    <row r="8" customFormat="false" ht="14.25" hidden="false" customHeight="true" outlineLevel="0" collapsed="false">
      <c r="A8" s="28" t="s">
        <v>67</v>
      </c>
      <c r="B8" s="1" t="n">
        <v>4</v>
      </c>
      <c r="C8" s="27" t="str">
        <f aca="false">IFERROR(INDEX(NetSuite_מקור!$D:$D,MATCH(A8,NetSuite_מקור!$A:$A,0)),"")</f>
        <v/>
      </c>
    </row>
    <row r="9" customFormat="false" ht="14.25" hidden="false" customHeight="true" outlineLevel="0" collapsed="false">
      <c r="A9" s="28" t="s">
        <v>68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69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70</v>
      </c>
      <c r="B11" s="1" t="n">
        <v>3</v>
      </c>
      <c r="C11" s="27" t="n">
        <f aca="false">IFERROR(INDEX(NetSuite_מקור!$D:$D,MATCH(A11,NetSuite_מקור!$A:$A,0)),"")</f>
        <v>27768</v>
      </c>
    </row>
    <row r="12" customFormat="false" ht="14.25" hidden="false" customHeight="true" outlineLevel="0" collapsed="false">
      <c r="A12" s="28" t="s">
        <v>71</v>
      </c>
      <c r="B12" s="1" t="n">
        <v>2</v>
      </c>
      <c r="C12" s="27" t="n">
        <f aca="false">IFERROR(INDEX(NetSuite_מקור!$D:$D,MATCH(A12,NetSuite_מקור!$A:$A,0)),"")</f>
        <v>30483.29</v>
      </c>
    </row>
    <row r="13" customFormat="false" ht="14.25" hidden="false" customHeight="true" outlineLevel="0" collapsed="false">
      <c r="A13" s="28" t="s">
        <v>72</v>
      </c>
      <c r="B13" s="1" t="n">
        <v>12</v>
      </c>
      <c r="C13" s="27" t="str">
        <f aca="false">IFERROR(INDEX(NetSuite_מקור!$D:$D,MATCH(A13,NetSuite_מקור!$A:$A,0)),"")</f>
        <v/>
      </c>
    </row>
    <row r="14" customFormat="false" ht="14.25" hidden="false" customHeight="true" outlineLevel="0" collapsed="false">
      <c r="A14" s="28" t="s">
        <v>73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74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75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76</v>
      </c>
      <c r="B17" s="1" t="n">
        <v>20</v>
      </c>
      <c r="C17" s="29" t="str">
        <f aca="false">IFERROR(INDEX(NetSuite_מקור!$D:$D,MATCH(A17,NetSuite_מקור!$A:$A,0)),"")</f>
        <v/>
      </c>
    </row>
    <row r="18" customFormat="false" ht="14.25" hidden="false" customHeight="true" outlineLevel="0" collapsed="false">
      <c r="A18" s="28" t="s">
        <v>77</v>
      </c>
      <c r="B18" s="1" t="n">
        <v>33</v>
      </c>
      <c r="C18" s="29" t="str">
        <f aca="false">IFERROR(INDEX(NetSuite_מקור!$D:$D,MATCH(A18,NetSuite_מקור!$A:$A,0)),"")</f>
        <v/>
      </c>
    </row>
    <row r="19" customFormat="false" ht="14.25" hidden="false" customHeight="true" outlineLevel="0" collapsed="false">
      <c r="A19" s="28" t="s">
        <v>78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79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80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81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82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83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84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85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86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87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88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89</v>
      </c>
      <c r="B30" s="1" t="n">
        <v>14</v>
      </c>
      <c r="C30" s="29" t="str">
        <f aca="false">IFERROR(INDEX(NetSuite_מקור!$D:$D,MATCH(A30,NetSuite_מקור!$A:$A,0)),"")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90</v>
      </c>
      <c r="B1" s="24" t="s">
        <v>91</v>
      </c>
      <c r="C1" s="24" t="s">
        <v>47</v>
      </c>
      <c r="D1" s="24" t="s">
        <v>92</v>
      </c>
    </row>
    <row r="2" customFormat="false" ht="14.25" hidden="false" customHeight="true" outlineLevel="0" collapsed="false">
      <c r="A2" s="26" t="s">
        <v>48</v>
      </c>
      <c r="B2" s="27" t="n">
        <v>1953</v>
      </c>
      <c r="C2" s="27" t="n">
        <f aca="false">B2*0.91</f>
        <v>1777.23</v>
      </c>
      <c r="D2" s="30"/>
    </row>
    <row r="3" customFormat="false" ht="14.25" hidden="false" customHeight="true" outlineLevel="0" collapsed="false">
      <c r="A3" s="26" t="s">
        <v>50</v>
      </c>
      <c r="B3" s="27" t="n">
        <v>9179.8</v>
      </c>
      <c r="C3" s="27" t="n">
        <f aca="false">B3*0.91</f>
        <v>8353.618</v>
      </c>
      <c r="D3" s="30"/>
    </row>
    <row r="4" customFormat="false" ht="14.25" hidden="false" customHeight="true" outlineLevel="0" collapsed="false">
      <c r="A4" s="26" t="s">
        <v>53</v>
      </c>
      <c r="B4" s="27" t="n">
        <v>-284.7</v>
      </c>
      <c r="C4" s="27" t="n">
        <f aca="false">B4*0.91</f>
        <v>-259.077</v>
      </c>
      <c r="D4" s="30"/>
    </row>
    <row r="5" customFormat="false" ht="14.25" hidden="false" customHeight="true" outlineLevel="0" collapsed="false">
      <c r="A5" s="26" t="s">
        <v>3</v>
      </c>
      <c r="B5" s="27" t="n">
        <v>7603.5</v>
      </c>
      <c r="C5" s="27" t="n">
        <f aca="false">B5*0.91</f>
        <v>6919.185</v>
      </c>
      <c r="D5" s="30"/>
    </row>
    <row r="6" customFormat="false" ht="14.25" hidden="false" customHeight="true" outlineLevel="0" collapsed="false">
      <c r="A6" s="26" t="s">
        <v>55</v>
      </c>
      <c r="B6" s="27" t="n">
        <v>1861</v>
      </c>
      <c r="C6" s="27" t="n">
        <f aca="false">B6*0.91</f>
        <v>1693.51</v>
      </c>
      <c r="D6" s="30"/>
    </row>
    <row r="7" customFormat="false" ht="14.25" hidden="false" customHeight="true" outlineLevel="0" collapsed="false">
      <c r="A7" s="26" t="s">
        <v>57</v>
      </c>
      <c r="B7" s="27" t="n">
        <v>883.1</v>
      </c>
      <c r="C7" s="27" t="n">
        <f aca="false">B7*0.91</f>
        <v>803.621</v>
      </c>
      <c r="D7" s="30"/>
    </row>
    <row r="8" customFormat="false" ht="14.25" hidden="false" customHeight="true" outlineLevel="0" collapsed="false">
      <c r="A8" s="26"/>
      <c r="B8" s="27"/>
      <c r="C8" s="27"/>
      <c r="D8" s="30"/>
    </row>
    <row r="9" customFormat="false" ht="14.25" hidden="false" customHeight="true" outlineLevel="0" collapsed="false">
      <c r="A9" s="26"/>
      <c r="B9" s="27"/>
      <c r="C9" s="27"/>
    </row>
    <row r="10" customFormat="false" ht="14.25" hidden="false" customHeight="true" outlineLevel="0" collapsed="false">
      <c r="A10" s="26"/>
      <c r="B10" s="27"/>
      <c r="C10" s="27"/>
    </row>
    <row r="11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93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70</v>
      </c>
      <c r="D3" s="29" t="n">
        <v>27768</v>
      </c>
    </row>
    <row r="4" customFormat="false" ht="15" hidden="false" customHeight="true" outlineLevel="0" collapsed="false">
      <c r="A4" s="26" t="s">
        <v>71</v>
      </c>
      <c r="D4" s="29" t="n">
        <v>30483.29</v>
      </c>
    </row>
    <row r="5" customFormat="false" ht="15" hidden="false" customHeight="true" outlineLevel="0" collapsed="false">
      <c r="A5" s="26"/>
      <c r="D5" s="29"/>
    </row>
    <row r="6" customFormat="false" ht="15" hidden="false" customHeight="true" outlineLevel="0" collapsed="false">
      <c r="A6" s="26"/>
      <c r="D6" s="29"/>
    </row>
    <row r="7" customFormat="false" ht="15" hidden="false" customHeight="true" outlineLevel="0" collapsed="false">
      <c r="A7" s="26"/>
      <c r="D7" s="29"/>
    </row>
    <row r="8" customFormat="false" ht="15" hidden="false" customHeight="true" outlineLevel="0" collapsed="false">
      <c r="A8" s="26"/>
      <c r="D8" s="29"/>
    </row>
    <row r="9" customFormat="false" ht="15" hidden="false" customHeight="true" outlineLevel="0" collapsed="false">
      <c r="A9" s="26"/>
      <c r="D9" s="29"/>
    </row>
    <row r="10" customFormat="false" ht="14.25" hidden="false" customHeight="true" outlineLevel="0" collapsed="false">
      <c r="A10" s="26"/>
      <c r="D10" s="29"/>
    </row>
    <row r="11" customFormat="false" ht="14.25" hidden="false" customHeight="true" outlineLevel="0" collapsed="false">
      <c r="A11" s="26"/>
      <c r="D11" s="29"/>
    </row>
    <row r="12" customFormat="false" ht="14.25" hidden="false" customHeight="true" outlineLevel="0" collapsed="false">
      <c r="A12" s="26"/>
      <c r="B12" s="31"/>
      <c r="C12" s="31"/>
      <c r="D12" s="29"/>
      <c r="E12" s="32"/>
    </row>
    <row r="13" customFormat="false" ht="14.25" hidden="false" customHeight="true" outlineLevel="0" collapsed="false">
      <c r="A13" s="33"/>
      <c r="B13" s="31"/>
      <c r="C13" s="31"/>
      <c r="D13" s="34"/>
      <c r="E13" s="32"/>
    </row>
    <row r="14" customFormat="false" ht="14.25" hidden="false" customHeight="true" outlineLevel="0" collapsed="false">
      <c r="A14" s="26"/>
      <c r="D14" s="27"/>
    </row>
    <row r="15" customFormat="false" ht="14.25" hidden="false" customHeight="true" outlineLevel="0" collapsed="false">
      <c r="A15" s="26"/>
      <c r="D15" s="27"/>
    </row>
    <row r="16" customFormat="false" ht="14.25" hidden="false" customHeight="true" outlineLevel="0" collapsed="false">
      <c r="A16" s="26"/>
      <c r="D16" s="27"/>
    </row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97</v>
      </c>
      <c r="B2" s="24" t="s">
        <v>98</v>
      </c>
      <c r="C2" s="24" t="s">
        <v>92</v>
      </c>
    </row>
    <row r="3" customFormat="false" ht="15" hidden="false" customHeight="true" outlineLevel="0" collapsed="false">
      <c r="A3" s="26" t="s">
        <v>95</v>
      </c>
      <c r="B3" s="27" t="n">
        <v>8443.05</v>
      </c>
      <c r="C3" s="30" t="s">
        <v>99</v>
      </c>
    </row>
    <row r="4" customFormat="false" ht="15" hidden="false" customHeight="true" outlineLevel="0" collapsed="false">
      <c r="A4" s="26" t="s">
        <v>100</v>
      </c>
      <c r="B4" s="27" t="n">
        <v>-868.45</v>
      </c>
      <c r="C4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2026-10-04T06:46:46Z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