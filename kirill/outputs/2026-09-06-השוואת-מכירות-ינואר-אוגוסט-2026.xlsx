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5" autoFilterDateGrouping="1"/>
  </bookViews>
  <sheets>
    <sheet name="השוואה כוללת" sheetId="1" state="visible" r:id="rId1"/>
    <sheet name="סה&quot;כ לפי חודש" sheetId="2" state="visible" r:id="rId2"/>
    <sheet name="הכי נמכרים 2025" sheetId="3" state="visible" r:id="rId3"/>
    <sheet name="הכי נמכרים 2026" sheetId="4" state="visible" r:id="rId4"/>
    <sheet name="עליות הכי גדולות" sheetId="5" state="visible" r:id="rId5"/>
    <sheet name="ירידות הכי גדולות" sheetId="6" state="visible" r:id="rId6"/>
    <sheet name="סיכום ומסקנות" sheetId="7" state="visible" r:id="rId7"/>
    <sheet name="מקור-01" sheetId="8" state="visible" r:id="rId8"/>
    <sheet name="מקור-02" sheetId="9" state="visible" r:id="rId9"/>
    <sheet name="מקור-03" sheetId="10" state="visible" r:id="rId10"/>
    <sheet name="מקור-04" sheetId="11" state="visible" r:id="rId11"/>
    <sheet name="מקור-05" sheetId="12" state="visible" r:id="rId12"/>
    <sheet name="מקור-06" sheetId="13" state="visible" r:id="rId13"/>
    <sheet name="מקור-07" sheetId="14" state="visible" r:id="rId14"/>
    <sheet name="מקור-08" sheetId="15" state="visible" r:id="rId15"/>
    <sheet name="יוני-יולי-אוגוסט 2026" sheetId="16" state="visible" r:id="rId16"/>
  </sheets>
  <definedNames>
    <definedName name="_xlnm._FilterDatabase" localSheetId="0" hidden="1">'השוואה כוללת'!$A$5:$F$234</definedName>
    <definedName name="_xlnm._FilterDatabase" localSheetId="15" hidden="1">'יוני-יולי-אוגוסט 2026'!$A$4:$F$223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"/>
    <numFmt numFmtId="165" formatCode="0.0%"/>
  </numFmts>
  <fonts count="12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sz val="11"/>
    </font>
    <font>
      <name val="Arial"/>
      <charset val="1"/>
      <i val="1"/>
      <sz val="9"/>
    </font>
    <font>
      <name val="Arial"/>
      <charset val="1"/>
      <b val="1"/>
      <color rgb="FFFFFFFF"/>
      <sz val="11"/>
    </font>
    <font>
      <name val="Arial"/>
      <charset val="1"/>
      <b val="1"/>
      <sz val="11"/>
    </font>
    <font>
      <name val="Arial"/>
      <family val="2"/>
      <color theme="0"/>
      <sz val="11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D9D9D9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2F5597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  <xf numFmtId="37" fontId="2" fillId="0" borderId="1" pivotButton="0" quotePrefix="0" xfId="0"/>
    <xf numFmtId="165" fontId="2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37" fontId="5" fillId="3" borderId="1" pivotButton="0" quotePrefix="0" xfId="0"/>
    <xf numFmtId="165" fontId="5" fillId="3" borderId="1" pivotButton="0" quotePrefix="0" xfId="0"/>
    <xf numFmtId="0" fontId="4" fillId="2" borderId="0" applyAlignment="1" pivotButton="0" quotePrefix="0" xfId="0">
      <alignment horizontal="center" wrapText="1"/>
    </xf>
    <xf numFmtId="3" fontId="2" fillId="0" borderId="0" pivotButton="0" quotePrefix="0" xfId="0"/>
    <xf numFmtId="37" fontId="2" fillId="0" borderId="0" pivotButton="0" quotePrefix="0" xfId="0"/>
    <xf numFmtId="165" fontId="2" fillId="0" borderId="0" pivotButton="0" quotePrefix="0" xfId="0"/>
    <xf numFmtId="0" fontId="5" fillId="3" borderId="0" pivotButton="0" quotePrefix="0" xfId="0"/>
    <xf numFmtId="3" fontId="5" fillId="3" borderId="0" pivotButton="0" quotePrefix="0" xfId="0"/>
    <xf numFmtId="37" fontId="5" fillId="3" borderId="0" pivotButton="0" quotePrefix="0" xfId="0"/>
    <xf numFmtId="165" fontId="5" fillId="3" borderId="0" pivotButton="0" quotePrefix="0" xfId="0"/>
    <xf numFmtId="0" fontId="4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/>
    </xf>
    <xf numFmtId="0" fontId="6" fillId="4" borderId="1" pivotButton="0" quotePrefix="0" xfId="0"/>
    <xf numFmtId="0" fontId="2" fillId="5" borderId="1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right" vertical="top" wrapText="1"/>
    </xf>
    <xf numFmtId="0" fontId="9" fillId="6" borderId="2" applyAlignment="1" pivotButton="0" quotePrefix="0" xfId="0">
      <alignment horizontal="center" vertical="center" wrapText="1"/>
    </xf>
    <xf numFmtId="0" fontId="10" fillId="0" borderId="2" pivotButton="0" quotePrefix="0" xfId="0"/>
    <xf numFmtId="3" fontId="10" fillId="0" borderId="2" pivotButton="0" quotePrefix="0" xfId="0"/>
    <xf numFmtId="3" fontId="11" fillId="7" borderId="2" pivotButton="0" quotePrefix="0" xfId="0"/>
    <xf numFmtId="0" fontId="11" fillId="7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יחידות לפי חודשים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he-IL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'סה"כ לפי חודש'!$C$5</f>
              <strCache>
                <ptCount val="1"/>
                <pt idx="0">
                  <v>יחידות 2025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he-IL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'סה"כ לפי חודש'!$B$6:$B$12</f>
              <strCache>
                <ptCount val="7"/>
                <pt idx="0">
                  <v>ינואר</v>
                </pt>
                <pt idx="1">
                  <v>פברואר</v>
                </pt>
                <pt idx="2">
                  <v>מרץ</v>
                </pt>
                <pt idx="3">
                  <v>אפריל</v>
                </pt>
                <pt idx="4">
                  <v>מאי</v>
                </pt>
                <pt idx="5">
                  <v>יוני</v>
                </pt>
                <pt idx="6">
                  <v>יולי</v>
                </pt>
              </strCache>
            </strRef>
          </cat>
          <val>
            <numRef>
              <f>'סה"כ לפי חודש'!$C$6:$C$12</f>
              <numCache>
                <formatCode>#,##0</formatCode>
                <ptCount val="7"/>
                <pt idx="0">
                  <v>2241</v>
                </pt>
                <pt idx="1">
                  <v>1942</v>
                </pt>
                <pt idx="2">
                  <v>2063</v>
                </pt>
                <pt idx="3">
                  <v>2021</v>
                </pt>
                <pt idx="4">
                  <v>2249</v>
                </pt>
                <pt idx="5">
                  <v>1924</v>
                </pt>
                <pt idx="6">
                  <v>2261</v>
                </pt>
              </numCache>
            </numRef>
          </val>
        </ser>
        <ser>
          <idx val="1"/>
          <order val="1"/>
          <tx>
            <strRef>
              <f>'סה"כ לפי חודש'!$D$5</f>
              <strCache>
                <ptCount val="1"/>
                <pt idx="0">
                  <v>יחידות 2026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he-IL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'סה"כ לפי חודש'!$B$6:$B$12</f>
              <strCache>
                <ptCount val="7"/>
                <pt idx="0">
                  <v>ינואר</v>
                </pt>
                <pt idx="1">
                  <v>פברואר</v>
                </pt>
                <pt idx="2">
                  <v>מרץ</v>
                </pt>
                <pt idx="3">
                  <v>אפריל</v>
                </pt>
                <pt idx="4">
                  <v>מאי</v>
                </pt>
                <pt idx="5">
                  <v>יוני</v>
                </pt>
                <pt idx="6">
                  <v>יולי</v>
                </pt>
              </strCache>
            </strRef>
          </cat>
          <val>
            <numRef>
              <f>'סה"כ לפי חודש'!$D$6:$D$12</f>
              <numCache>
                <formatCode>#,##0</formatCode>
                <ptCount val="7"/>
                <pt idx="0">
                  <v>2119</v>
                </pt>
                <pt idx="1">
                  <v>2203</v>
                </pt>
                <pt idx="2">
                  <v>1781</v>
                </pt>
                <pt idx="3">
                  <v>2002</v>
                </pt>
                <pt idx="4">
                  <v>2321</v>
                </pt>
                <pt idx="5">
                  <v>2374</v>
                </pt>
                <pt idx="6">
                  <v>2315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833618960"/>
        <axId val="833617520"/>
      </barChart>
      <catAx>
        <axId val="833618960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he-IL"/>
          </a:p>
        </txPr>
        <crossAx val="833617520"/>
        <crosses val="autoZero"/>
        <auto val="1"/>
        <lblAlgn val="ctr"/>
        <lblOffset val="100"/>
        <noMultiLvlLbl val="0"/>
      </catAx>
      <valAx>
        <axId val="833617520"/>
        <scaling>
          <orientation val="minMax"/>
        </scaling>
        <delete val="1"/>
        <axPos val="r"/>
        <numFmt formatCode="#,##0" sourceLinked="1"/>
        <majorTickMark val="none"/>
        <minorTickMark val="none"/>
        <tickLblPos val="nextTo"/>
        <crossAx val="83361896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he-IL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257176</colOff>
      <row>14</row>
      <rowOff>47631</rowOff>
    </from>
    <to>
      <col>13</col>
      <colOff>66675</colOff>
      <row>36</row>
      <rowOff>85725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F240"/>
  <sheetViews>
    <sheetView rightToLeft="1" zoomScaleNormal="100" workbookViewId="0">
      <pane ySplit="5" topLeftCell="A27" activePane="bottomLeft" state="frozen"/>
      <selection pane="bottomLeft" activeCell="A5" sqref="A5:A28"/>
    </sheetView>
  </sheetViews>
  <sheetFormatPr baseColWidth="8" defaultColWidth="8.5703125" defaultRowHeight="15"/>
  <cols>
    <col width="12" customWidth="1" min="1" max="1"/>
    <col width="34" customWidth="1" min="2" max="2"/>
    <col width="16" customWidth="1" min="3" max="4"/>
    <col width="14" customWidth="1" min="5" max="5"/>
    <col width="12" customWidth="1" min="6" max="6"/>
  </cols>
  <sheetData>
    <row r="1" ht="16.5" customHeight="1">
      <c r="A1" s="1" t="inlineStr">
        <is>
          <t>השוואה כוללת - מכירות ינואר-אוגוסט, 2025 מול 2026</t>
        </is>
      </c>
    </row>
    <row r="2" ht="15" customHeight="1">
      <c r="A2" s="2" t="inlineStr">
        <is>
          <t>תאריך חישוב:</t>
        </is>
      </c>
      <c r="B2" s="3" t="n">
        <v>46243</v>
      </c>
    </row>
    <row r="3" ht="15" customHeight="1">
      <c r="A3" s="4" t="inlineStr">
        <is>
          <t>מקורות: month-01.xlsx עד month-08.xlsx (ינואר-אוגוסט 2026 מול אותם חודשים ב-2025), kirill/reference/2026-sales-comparison/</t>
        </is>
      </c>
    </row>
    <row r="5" ht="26.25" customHeight="1">
      <c r="A5" s="5" t="inlineStr">
        <is>
          <t>קוד SKU</t>
        </is>
      </c>
      <c r="B5" s="5" t="inlineStr">
        <is>
          <t>שם מוצר</t>
        </is>
      </c>
      <c r="C5" s="5" t="inlineStr">
        <is>
          <t>יחידות ינואר-יולי 2025</t>
        </is>
      </c>
      <c r="D5" s="5" t="inlineStr">
        <is>
          <t>יחידות ינואר-יולי 2026</t>
        </is>
      </c>
      <c r="E5" s="5" t="inlineStr">
        <is>
          <t>הפרש (יחידות)</t>
        </is>
      </c>
      <c r="F5" s="5" t="inlineStr">
        <is>
          <t>שינוי %</t>
        </is>
      </c>
    </row>
    <row r="6" hidden="1" ht="15" customHeight="1">
      <c r="A6" s="6" t="n">
        <v>8616</v>
      </c>
      <c r="B6" s="6" t="inlineStr">
        <is>
          <t>URI 3623 1 כרית ליישור אצבע</t>
        </is>
      </c>
      <c r="C6" s="7">
        <f>SUMIF('מקור-01'!$A:$A,$A6,'מקור-01'!$C:$C)+SUMIF('מקור-02'!$A:$A,$A6,'מקור-02'!$C:$C)+SUMIF('מקור-03'!$A:$A,$A6,'מקור-03'!$C:$C)+SUMIF('מקור-04'!$A:$A,$A6,'מקור-04'!$C:$C)+SUMIF('מקור-05'!$A:$A,$A6,'מקור-05'!$C:$C)+SUMIF('מקור-06'!$A:$A,$A6,'מקור-06'!$C:$C)+SUMIF('מקור-07'!$A:$A,$A6,'מקור-07'!$C:$C)+SUMIF('מקור-08'!$A:$A,$A6,'מקור-08'!$C:$C)</f>
        <v>100</v>
      </c>
      <c r="D6" s="7">
        <f>SUMIF('מקור-01'!$A:$A,$A6,'מקור-01'!$D:$D)+SUMIF('מקור-02'!$A:$A,$A6,'מקור-02'!$D:$D)+SUMIF('מקור-03'!$A:$A,$A6,'מקור-03'!$D:$D)+SUMIF('מקור-04'!$A:$A,$A6,'מקור-04'!$D:$D)+SUMIF('מקור-05'!$A:$A,$A6,'מקור-05'!$D:$D)+SUMIF('מקור-06'!$A:$A,$A6,'מקור-06'!$D:$D)+SUMIF('מקור-07'!$A:$A,$A6,'מקור-07'!$D:$D)+SUMIF('מקור-08'!$A:$A,$A6,'מקור-08'!$D:$D)</f>
        <v>109</v>
      </c>
      <c r="E6" s="8">
        <f>D6-C6</f>
        <v>9</v>
      </c>
      <c r="F6" s="9">
        <f>IF(C6=0,"מוצר חדש",(D6-C6)/C6)</f>
        <v>0.09</v>
      </c>
    </row>
    <row r="7" hidden="1" ht="15" customHeight="1">
      <c r="A7" s="6" t="n">
        <v>8618</v>
      </c>
      <c r="B7" s="6" t="inlineStr">
        <is>
          <t>URI 311         1 מדבקת ג'ל</t>
        </is>
      </c>
      <c r="C7" s="7">
        <f>SUMIF('מקור-01'!$A:$A,$A7,'מקור-01'!$C:$C)+SUMIF('מקור-02'!$A:$A,$A7,'מקור-02'!$C:$C)+SUMIF('מקור-03'!$A:$A,$A7,'מקור-03'!$C:$C)+SUMIF('מקור-04'!$A:$A,$A7,'מקור-04'!$C:$C)+SUMIF('מקור-05'!$A:$A,$A7,'מקור-05'!$C:$C)+SUMIF('מקור-06'!$A:$A,$A7,'מקור-06'!$C:$C)+SUMIF('מקור-07'!$A:$A,$A7,'מקור-07'!$C:$C)+SUMIF('מקור-08'!$A:$A,$A7,'מקור-08'!$C:$C)</f>
        <v>151</v>
      </c>
      <c r="D7" s="7">
        <f>SUMIF('מקור-01'!$A:$A,$A7,'מקור-01'!$D:$D)+SUMIF('מקור-02'!$A:$A,$A7,'מקור-02'!$D:$D)+SUMIF('מקור-03'!$A:$A,$A7,'מקור-03'!$D:$D)+SUMIF('מקור-04'!$A:$A,$A7,'מקור-04'!$D:$D)+SUMIF('מקור-05'!$A:$A,$A7,'מקור-05'!$D:$D)+SUMIF('מקור-06'!$A:$A,$A7,'מקור-06'!$D:$D)+SUMIF('מקור-07'!$A:$A,$A7,'מקור-07'!$D:$D)+SUMIF('מקור-08'!$A:$A,$A7,'מקור-08'!$D:$D)</f>
        <v>150</v>
      </c>
      <c r="E7" s="8">
        <f>D7-C7</f>
        <v>-1</v>
      </c>
      <c r="F7" s="9">
        <f>IF(C7=0,"מוצר חדש",(D7-C7)/C7)</f>
        <v>-0.006622516556291391</v>
      </c>
    </row>
    <row r="8" hidden="1" ht="15" customHeight="1">
      <c r="A8" s="6" t="n">
        <v>9771</v>
      </c>
      <c r="B8" s="6" t="inlineStr">
        <is>
          <t>URI 307 M 1 זוג עקב סיל+נ כ</t>
        </is>
      </c>
      <c r="C8" s="7">
        <f>SUMIF('מקור-01'!$A:$A,$A8,'מקור-01'!$C:$C)+SUMIF('מקור-02'!$A:$A,$A8,'מקור-02'!$C:$C)+SUMIF('מקור-03'!$A:$A,$A8,'מקור-03'!$C:$C)+SUMIF('מקור-04'!$A:$A,$A8,'מקור-04'!$C:$C)+SUMIF('מקור-05'!$A:$A,$A8,'מקור-05'!$C:$C)+SUMIF('מקור-06'!$A:$A,$A8,'מקור-06'!$C:$C)+SUMIF('מקור-07'!$A:$A,$A8,'מקור-07'!$C:$C)+SUMIF('מקור-08'!$A:$A,$A8,'מקור-08'!$C:$C)</f>
        <v>157</v>
      </c>
      <c r="D8" s="7">
        <f>SUMIF('מקור-01'!$A:$A,$A8,'מקור-01'!$D:$D)+SUMIF('מקור-02'!$A:$A,$A8,'מקור-02'!$D:$D)+SUMIF('מקור-03'!$A:$A,$A8,'מקור-03'!$D:$D)+SUMIF('מקור-04'!$A:$A,$A8,'מקור-04'!$D:$D)+SUMIF('מקור-05'!$A:$A,$A8,'מקור-05'!$D:$D)+SUMIF('מקור-06'!$A:$A,$A8,'מקור-06'!$D:$D)+SUMIF('מקור-07'!$A:$A,$A8,'מקור-07'!$D:$D)+SUMIF('מקור-08'!$A:$A,$A8,'מקור-08'!$D:$D)</f>
        <v>165</v>
      </c>
      <c r="E8" s="8">
        <f>D8-C8</f>
        <v>8</v>
      </c>
      <c r="F8" s="9">
        <f>IF(C8=0,"מוצר חדש",(D8-C8)/C8)</f>
        <v>0.050955414012738856</v>
      </c>
    </row>
    <row r="9" hidden="1" ht="15" customHeight="1">
      <c r="A9" s="6" t="n">
        <v>9772</v>
      </c>
      <c r="B9" s="6" t="inlineStr">
        <is>
          <t>URI 307 L 1 זוג עקב סיל+נ כ</t>
        </is>
      </c>
      <c r="C9" s="7">
        <f>SUMIF('מקור-01'!$A:$A,$A9,'מקור-01'!$C:$C)+SUMIF('מקור-02'!$A:$A,$A9,'מקור-02'!$C:$C)+SUMIF('מקור-03'!$A:$A,$A9,'מקור-03'!$C:$C)+SUMIF('מקור-04'!$A:$A,$A9,'מקור-04'!$C:$C)+SUMIF('מקור-05'!$A:$A,$A9,'מקור-05'!$C:$C)+SUMIF('מקור-06'!$A:$A,$A9,'מקור-06'!$C:$C)+SUMIF('מקור-07'!$A:$A,$A9,'מקור-07'!$C:$C)+SUMIF('מקור-08'!$A:$A,$A9,'מקור-08'!$C:$C)</f>
        <v>164</v>
      </c>
      <c r="D9" s="7">
        <f>SUMIF('מקור-01'!$A:$A,$A9,'מקור-01'!$D:$D)+SUMIF('מקור-02'!$A:$A,$A9,'מקור-02'!$D:$D)+SUMIF('מקור-03'!$A:$A,$A9,'מקור-03'!$D:$D)+SUMIF('מקור-04'!$A:$A,$A9,'מקור-04'!$D:$D)+SUMIF('מקור-05'!$A:$A,$A9,'מקור-05'!$D:$D)+SUMIF('מקור-06'!$A:$A,$A9,'מקור-06'!$D:$D)+SUMIF('מקור-07'!$A:$A,$A9,'מקור-07'!$D:$D)+SUMIF('מקור-08'!$A:$A,$A9,'מקור-08'!$D:$D)</f>
        <v>156</v>
      </c>
      <c r="E9" s="8">
        <f>D9-C9</f>
        <v>-8</v>
      </c>
      <c r="F9" s="9">
        <f>IF(C9=0,"מוצר חדש",(D9-C9)/C9)</f>
        <v>-0.04878048780487805</v>
      </c>
    </row>
    <row r="10" hidden="1" ht="15" customHeight="1">
      <c r="A10" s="6" t="n">
        <v>16211</v>
      </c>
      <c r="B10" s="6" t="inlineStr">
        <is>
          <t>394B-35-381 גרבי קיץ לסוכרת</t>
        </is>
      </c>
      <c r="C10" s="7">
        <f>SUMIF('מקור-01'!$A:$A,$A10,'מקור-01'!$C:$C)+SUMIF('מקור-02'!$A:$A,$A10,'מקור-02'!$C:$C)+SUMIF('מקור-03'!$A:$A,$A10,'מקור-03'!$C:$C)+SUMIF('מקור-04'!$A:$A,$A10,'מקור-04'!$C:$C)+SUMIF('מקור-05'!$A:$A,$A10,'מקור-05'!$C:$C)+SUMIF('מקור-06'!$A:$A,$A10,'מקור-06'!$C:$C)+SUMIF('מקור-07'!$A:$A,$A10,'מקור-07'!$C:$C)+SUMIF('מקור-08'!$A:$A,$A10,'מקור-08'!$C:$C)</f>
        <v>41</v>
      </c>
      <c r="D10" s="7">
        <f>SUMIF('מקור-01'!$A:$A,$A10,'מקור-01'!$D:$D)+SUMIF('מקור-02'!$A:$A,$A10,'מקור-02'!$D:$D)+SUMIF('מקור-03'!$A:$A,$A10,'מקור-03'!$D:$D)+SUMIF('מקור-04'!$A:$A,$A10,'מקור-04'!$D:$D)+SUMIF('מקור-05'!$A:$A,$A10,'מקור-05'!$D:$D)+SUMIF('מקור-06'!$A:$A,$A10,'מקור-06'!$D:$D)+SUMIF('מקור-07'!$A:$A,$A10,'מקור-07'!$D:$D)+SUMIF('מקור-08'!$A:$A,$A10,'מקור-08'!$D:$D)</f>
        <v>35</v>
      </c>
      <c r="E10" s="8">
        <f>D10-C10</f>
        <v>-6</v>
      </c>
      <c r="F10" s="9">
        <f>IF(C10=0,"מוצר חדש",(D10-C10)/C10)</f>
        <v>-0.14634146341463414</v>
      </c>
    </row>
    <row r="11" hidden="1" ht="15" customHeight="1">
      <c r="A11" s="6" t="n">
        <v>16212</v>
      </c>
      <c r="B11" s="6" t="inlineStr">
        <is>
          <t>394B-39-421 גרבי קיץ לסוכרת</t>
        </is>
      </c>
      <c r="C11" s="7">
        <f>SUMIF('מקור-01'!$A:$A,$A11,'מקור-01'!$C:$C)+SUMIF('מקור-02'!$A:$A,$A11,'מקור-02'!$C:$C)+SUMIF('מקור-03'!$A:$A,$A11,'מקור-03'!$C:$C)+SUMIF('מקור-04'!$A:$A,$A11,'מקור-04'!$C:$C)+SUMIF('מקור-05'!$A:$A,$A11,'מקור-05'!$C:$C)+SUMIF('מקור-06'!$A:$A,$A11,'מקור-06'!$C:$C)+SUMIF('מקור-07'!$A:$A,$A11,'מקור-07'!$C:$C)+SUMIF('מקור-08'!$A:$A,$A11,'מקור-08'!$C:$C)</f>
        <v>107</v>
      </c>
      <c r="D11" s="7">
        <f>SUMIF('מקור-01'!$A:$A,$A11,'מקור-01'!$D:$D)+SUMIF('מקור-02'!$A:$A,$A11,'מקור-02'!$D:$D)+SUMIF('מקור-03'!$A:$A,$A11,'מקור-03'!$D:$D)+SUMIF('מקור-04'!$A:$A,$A11,'מקור-04'!$D:$D)+SUMIF('מקור-05'!$A:$A,$A11,'מקור-05'!$D:$D)+SUMIF('מקור-06'!$A:$A,$A11,'מקור-06'!$D:$D)+SUMIF('מקור-07'!$A:$A,$A11,'מקור-07'!$D:$D)+SUMIF('מקור-08'!$A:$A,$A11,'מקור-08'!$D:$D)</f>
        <v>55</v>
      </c>
      <c r="E11" s="8">
        <f>D11-C11</f>
        <v>-52</v>
      </c>
      <c r="F11" s="9">
        <f>IF(C11=0,"מוצר חדש",(D11-C11)/C11)</f>
        <v>-0.48598130841121495</v>
      </c>
    </row>
    <row r="12" hidden="1" ht="15" customHeight="1">
      <c r="A12" s="6" t="n">
        <v>16213</v>
      </c>
      <c r="B12" s="6" t="inlineStr">
        <is>
          <t>394B-43-461 גרבי קיץ לסוכרת</t>
        </is>
      </c>
      <c r="C12" s="7">
        <f>SUMIF('מקור-01'!$A:$A,$A12,'מקור-01'!$C:$C)+SUMIF('מקור-02'!$A:$A,$A12,'מקור-02'!$C:$C)+SUMIF('מקור-03'!$A:$A,$A12,'מקור-03'!$C:$C)+SUMIF('מקור-04'!$A:$A,$A12,'מקור-04'!$C:$C)+SUMIF('מקור-05'!$A:$A,$A12,'מקור-05'!$C:$C)+SUMIF('מקור-06'!$A:$A,$A12,'מקור-06'!$C:$C)+SUMIF('מקור-07'!$A:$A,$A12,'מקור-07'!$C:$C)+SUMIF('מקור-08'!$A:$A,$A12,'מקור-08'!$C:$C)</f>
        <v>131</v>
      </c>
      <c r="D12" s="7">
        <f>SUMIF('מקור-01'!$A:$A,$A12,'מקור-01'!$D:$D)+SUMIF('מקור-02'!$A:$A,$A12,'מקור-02'!$D:$D)+SUMIF('מקור-03'!$A:$A,$A12,'מקור-03'!$D:$D)+SUMIF('מקור-04'!$A:$A,$A12,'מקור-04'!$D:$D)+SUMIF('מקור-05'!$A:$A,$A12,'מקור-05'!$D:$D)+SUMIF('מקור-06'!$A:$A,$A12,'מקור-06'!$D:$D)+SUMIF('מקור-07'!$A:$A,$A12,'מקור-07'!$D:$D)+SUMIF('מקור-08'!$A:$A,$A12,'מקור-08'!$D:$D)</f>
        <v>87</v>
      </c>
      <c r="E12" s="8">
        <f>D12-C12</f>
        <v>-44</v>
      </c>
      <c r="F12" s="9">
        <f>IF(C12=0,"מוצר חדש",(D12-C12)/C12)</f>
        <v>-0.33587786259541985</v>
      </c>
    </row>
    <row r="13" hidden="1" ht="15" customHeight="1">
      <c r="A13" s="6" t="n">
        <v>16214</v>
      </c>
      <c r="B13" s="6" t="inlineStr">
        <is>
          <t>394-G-35-31 גרבי קיץ לסוכרת</t>
        </is>
      </c>
      <c r="C13" s="7">
        <f>SUMIF('מקור-01'!$A:$A,$A13,'מקור-01'!$C:$C)+SUMIF('מקור-02'!$A:$A,$A13,'מקור-02'!$C:$C)+SUMIF('מקור-03'!$A:$A,$A13,'מקור-03'!$C:$C)+SUMIF('מקור-04'!$A:$A,$A13,'מקור-04'!$C:$C)+SUMIF('מקור-05'!$A:$A,$A13,'מקור-05'!$C:$C)+SUMIF('מקור-06'!$A:$A,$A13,'מקור-06'!$C:$C)+SUMIF('מקור-07'!$A:$A,$A13,'מקור-07'!$C:$C)+SUMIF('מקור-08'!$A:$A,$A13,'מקור-08'!$C:$C)</f>
        <v>20</v>
      </c>
      <c r="D13" s="7">
        <f>SUMIF('מקור-01'!$A:$A,$A13,'מקור-01'!$D:$D)+SUMIF('מקור-02'!$A:$A,$A13,'מקור-02'!$D:$D)+SUMIF('מקור-03'!$A:$A,$A13,'מקור-03'!$D:$D)+SUMIF('מקור-04'!$A:$A,$A13,'מקור-04'!$D:$D)+SUMIF('מקור-05'!$A:$A,$A13,'מקור-05'!$D:$D)+SUMIF('מקור-06'!$A:$A,$A13,'מקור-06'!$D:$D)+SUMIF('מקור-07'!$A:$A,$A13,'מקור-07'!$D:$D)+SUMIF('מקור-08'!$A:$A,$A13,'מקור-08'!$D:$D)</f>
        <v>19</v>
      </c>
      <c r="E13" s="8">
        <f>D13-C13</f>
        <v>-1</v>
      </c>
      <c r="F13" s="9">
        <f>IF(C13=0,"מוצר חדש",(D13-C13)/C13)</f>
        <v>-0.05</v>
      </c>
    </row>
    <row r="14" hidden="1" ht="15" customHeight="1">
      <c r="A14" s="6" t="n">
        <v>16217</v>
      </c>
      <c r="B14" s="6" t="inlineStr">
        <is>
          <t>394G-39-421 גרבי קיץ לסוכרת</t>
        </is>
      </c>
      <c r="C14" s="7">
        <f>SUMIF('מקור-01'!$A:$A,$A14,'מקור-01'!$C:$C)+SUMIF('מקור-02'!$A:$A,$A14,'מקור-02'!$C:$C)+SUMIF('מקור-03'!$A:$A,$A14,'מקור-03'!$C:$C)+SUMIF('מקור-04'!$A:$A,$A14,'מקור-04'!$C:$C)+SUMIF('מקור-05'!$A:$A,$A14,'מקור-05'!$C:$C)+SUMIF('מקור-06'!$A:$A,$A14,'מקור-06'!$C:$C)+SUMIF('מקור-07'!$A:$A,$A14,'מקור-07'!$C:$C)+SUMIF('מקור-08'!$A:$A,$A14,'מקור-08'!$C:$C)</f>
        <v>33</v>
      </c>
      <c r="D14" s="7">
        <f>SUMIF('מקור-01'!$A:$A,$A14,'מקור-01'!$D:$D)+SUMIF('מקור-02'!$A:$A,$A14,'מקור-02'!$D:$D)+SUMIF('מקור-03'!$A:$A,$A14,'מקור-03'!$D:$D)+SUMIF('מקור-04'!$A:$A,$A14,'מקור-04'!$D:$D)+SUMIF('מקור-05'!$A:$A,$A14,'מקור-05'!$D:$D)+SUMIF('מקור-06'!$A:$A,$A14,'מקור-06'!$D:$D)+SUMIF('מקור-07'!$A:$A,$A14,'מקור-07'!$D:$D)+SUMIF('מקור-08'!$A:$A,$A14,'מקור-08'!$D:$D)</f>
        <v>18</v>
      </c>
      <c r="E14" s="8">
        <f>D14-C14</f>
        <v>-15</v>
      </c>
      <c r="F14" s="9">
        <f>IF(C14=0,"מוצר חדש",(D14-C14)/C14)</f>
        <v>-0.45454545454545453</v>
      </c>
    </row>
    <row r="15" hidden="1" ht="15" customHeight="1">
      <c r="A15" s="6" t="n">
        <v>16237</v>
      </c>
      <c r="B15" s="6" t="inlineStr">
        <is>
          <t>394G-43-461 גרבי קיץ לסוכרת</t>
        </is>
      </c>
      <c r="C15" s="7">
        <f>SUMIF('מקור-01'!$A:$A,$A15,'מקור-01'!$C:$C)+SUMIF('מקור-02'!$A:$A,$A15,'מקור-02'!$C:$C)+SUMIF('מקור-03'!$A:$A,$A15,'מקור-03'!$C:$C)+SUMIF('מקור-04'!$A:$A,$A15,'מקור-04'!$C:$C)+SUMIF('מקור-05'!$A:$A,$A15,'מקור-05'!$C:$C)+SUMIF('מקור-06'!$A:$A,$A15,'מקור-06'!$C:$C)+SUMIF('מקור-07'!$A:$A,$A15,'מקור-07'!$C:$C)+SUMIF('מקור-08'!$A:$A,$A15,'מקור-08'!$C:$C)</f>
        <v>36</v>
      </c>
      <c r="D15" s="7">
        <f>SUMIF('מקור-01'!$A:$A,$A15,'מקור-01'!$D:$D)+SUMIF('מקור-02'!$A:$A,$A15,'מקור-02'!$D:$D)+SUMIF('מקור-03'!$A:$A,$A15,'מקור-03'!$D:$D)+SUMIF('מקור-04'!$A:$A,$A15,'מקור-04'!$D:$D)+SUMIF('מקור-05'!$A:$A,$A15,'מקור-05'!$D:$D)+SUMIF('מקור-06'!$A:$A,$A15,'מקור-06'!$D:$D)+SUMIF('מקור-07'!$A:$A,$A15,'מקור-07'!$D:$D)+SUMIF('מקור-08'!$A:$A,$A15,'מקור-08'!$D:$D)</f>
        <v>10</v>
      </c>
      <c r="E15" s="8">
        <f>D15-C15</f>
        <v>-26</v>
      </c>
      <c r="F15" s="9">
        <f>IF(C15=0,"מוצר חדש",(D15-C15)/C15)</f>
        <v>-0.7222222222222222</v>
      </c>
    </row>
    <row r="16" hidden="1" ht="15" customHeight="1">
      <c r="A16" s="6" t="n">
        <v>16239</v>
      </c>
      <c r="B16" s="6" t="inlineStr">
        <is>
          <t>394W-35-381 גרבי קיץ לסוכרת</t>
        </is>
      </c>
      <c r="C16" s="7">
        <f>SUMIF('מקור-01'!$A:$A,$A16,'מקור-01'!$C:$C)+SUMIF('מקור-02'!$A:$A,$A16,'מקור-02'!$C:$C)+SUMIF('מקור-03'!$A:$A,$A16,'מקור-03'!$C:$C)+SUMIF('מקור-04'!$A:$A,$A16,'מקור-04'!$C:$C)+SUMIF('מקור-05'!$A:$A,$A16,'מקור-05'!$C:$C)+SUMIF('מקור-06'!$A:$A,$A16,'מקור-06'!$C:$C)+SUMIF('מקור-07'!$A:$A,$A16,'מקור-07'!$C:$C)+SUMIF('מקור-08'!$A:$A,$A16,'מקור-08'!$C:$C)</f>
        <v>30</v>
      </c>
      <c r="D16" s="7">
        <f>SUMIF('מקור-01'!$A:$A,$A16,'מקור-01'!$D:$D)+SUMIF('מקור-02'!$A:$A,$A16,'מקור-02'!$D:$D)+SUMIF('מקור-03'!$A:$A,$A16,'מקור-03'!$D:$D)+SUMIF('מקור-04'!$A:$A,$A16,'מקור-04'!$D:$D)+SUMIF('מקור-05'!$A:$A,$A16,'מקור-05'!$D:$D)+SUMIF('מקור-06'!$A:$A,$A16,'מקור-06'!$D:$D)+SUMIF('מקור-07'!$A:$A,$A16,'מקור-07'!$D:$D)+SUMIF('מקור-08'!$A:$A,$A16,'מקור-08'!$D:$D)</f>
        <v>18</v>
      </c>
      <c r="E16" s="8">
        <f>D16-C16</f>
        <v>-12</v>
      </c>
      <c r="F16" s="9">
        <f>IF(C16=0,"מוצר חדש",(D16-C16)/C16)</f>
        <v>-0.4</v>
      </c>
    </row>
    <row r="17" hidden="1" ht="15" customHeight="1">
      <c r="A17" s="6" t="n">
        <v>16244</v>
      </c>
      <c r="B17" s="6" t="inlineStr">
        <is>
          <t>394W-39-421 גרבי קיץ לסוכרת</t>
        </is>
      </c>
      <c r="C17" s="7">
        <f>SUMIF('מקור-01'!$A:$A,$A17,'מקור-01'!$C:$C)+SUMIF('מקור-02'!$A:$A,$A17,'מקור-02'!$C:$C)+SUMIF('מקור-03'!$A:$A,$A17,'מקור-03'!$C:$C)+SUMIF('מקור-04'!$A:$A,$A17,'מקור-04'!$C:$C)+SUMIF('מקור-05'!$A:$A,$A17,'מקור-05'!$C:$C)+SUMIF('מקור-06'!$A:$A,$A17,'מקור-06'!$C:$C)+SUMIF('מקור-07'!$A:$A,$A17,'מקור-07'!$C:$C)+SUMIF('מקור-08'!$A:$A,$A17,'מקור-08'!$C:$C)</f>
        <v>31</v>
      </c>
      <c r="D17" s="7">
        <f>SUMIF('מקור-01'!$A:$A,$A17,'מקור-01'!$D:$D)+SUMIF('מקור-02'!$A:$A,$A17,'מקור-02'!$D:$D)+SUMIF('מקור-03'!$A:$A,$A17,'מקור-03'!$D:$D)+SUMIF('מקור-04'!$A:$A,$A17,'מקור-04'!$D:$D)+SUMIF('מקור-05'!$A:$A,$A17,'מקור-05'!$D:$D)+SUMIF('מקור-06'!$A:$A,$A17,'מקור-06'!$D:$D)+SUMIF('מקור-07'!$A:$A,$A17,'מקור-07'!$D:$D)+SUMIF('מקור-08'!$A:$A,$A17,'מקור-08'!$D:$D)</f>
        <v>26</v>
      </c>
      <c r="E17" s="8">
        <f>D17-C17</f>
        <v>-5</v>
      </c>
      <c r="F17" s="9">
        <f>IF(C17=0,"מוצר חדש",(D17-C17)/C17)</f>
        <v>-0.16129032258064516</v>
      </c>
    </row>
    <row r="18" hidden="1" ht="15" customHeight="1">
      <c r="A18" s="6" t="n">
        <v>16245</v>
      </c>
      <c r="B18" s="6" t="inlineStr">
        <is>
          <t>394W-43-461 גרבי קיץ לסוכרת</t>
        </is>
      </c>
      <c r="C18" s="7">
        <f>SUMIF('מקור-01'!$A:$A,$A18,'מקור-01'!$C:$C)+SUMIF('מקור-02'!$A:$A,$A18,'מקור-02'!$C:$C)+SUMIF('מקור-03'!$A:$A,$A18,'מקור-03'!$C:$C)+SUMIF('מקור-04'!$A:$A,$A18,'מקור-04'!$C:$C)+SUMIF('מקור-05'!$A:$A,$A18,'מקור-05'!$C:$C)+SUMIF('מקור-06'!$A:$A,$A18,'מקור-06'!$C:$C)+SUMIF('מקור-07'!$A:$A,$A18,'מקור-07'!$C:$C)+SUMIF('מקור-08'!$A:$A,$A18,'מקור-08'!$C:$C)</f>
        <v>32</v>
      </c>
      <c r="D18" s="7">
        <f>SUMIF('מקור-01'!$A:$A,$A18,'מקור-01'!$D:$D)+SUMIF('מקור-02'!$A:$A,$A18,'מקור-02'!$D:$D)+SUMIF('מקור-03'!$A:$A,$A18,'מקור-03'!$D:$D)+SUMIF('מקור-04'!$A:$A,$A18,'מקור-04'!$D:$D)+SUMIF('מקור-05'!$A:$A,$A18,'מקור-05'!$D:$D)+SUMIF('מקור-06'!$A:$A,$A18,'מקור-06'!$D:$D)+SUMIF('מקור-07'!$A:$A,$A18,'מקור-07'!$D:$D)+SUMIF('מקור-08'!$A:$A,$A18,'מקור-08'!$D:$D)</f>
        <v>31</v>
      </c>
      <c r="E18" s="8">
        <f>D18-C18</f>
        <v>-1</v>
      </c>
      <c r="F18" s="9">
        <f>IF(C18=0,"מוצר חדש",(D18-C18)/C18)</f>
        <v>-0.03125</v>
      </c>
    </row>
    <row r="19" hidden="1" ht="15" customHeight="1">
      <c r="A19" s="6" t="n">
        <v>18559</v>
      </c>
      <c r="B19" s="6" t="inlineStr">
        <is>
          <t>URI 8200    1 כרית חום וקור</t>
        </is>
      </c>
      <c r="C19" s="7">
        <f>SUMIF('מקור-01'!$A:$A,$A19,'מקור-01'!$C:$C)+SUMIF('מקור-02'!$A:$A,$A19,'מקור-02'!$C:$C)+SUMIF('מקור-03'!$A:$A,$A19,'מקור-03'!$C:$C)+SUMIF('מקור-04'!$A:$A,$A19,'מקור-04'!$C:$C)+SUMIF('מקור-05'!$A:$A,$A19,'מקור-05'!$C:$C)+SUMIF('מקור-06'!$A:$A,$A19,'מקור-06'!$C:$C)+SUMIF('מקור-07'!$A:$A,$A19,'מקור-07'!$C:$C)+SUMIF('מקור-08'!$A:$A,$A19,'מקור-08'!$C:$C)</f>
        <v>49</v>
      </c>
      <c r="D19" s="7">
        <f>SUMIF('מקור-01'!$A:$A,$A19,'מקור-01'!$D:$D)+SUMIF('מקור-02'!$A:$A,$A19,'מקור-02'!$D:$D)+SUMIF('מקור-03'!$A:$A,$A19,'מקור-03'!$D:$D)+SUMIF('מקור-04'!$A:$A,$A19,'מקור-04'!$D:$D)+SUMIF('מקור-05'!$A:$A,$A19,'מקור-05'!$D:$D)+SUMIF('מקור-06'!$A:$A,$A19,'מקור-06'!$D:$D)+SUMIF('מקור-07'!$A:$A,$A19,'מקור-07'!$D:$D)+SUMIF('מקור-08'!$A:$A,$A19,'מקור-08'!$D:$D)</f>
        <v>40</v>
      </c>
      <c r="E19" s="8">
        <f>D19-C19</f>
        <v>-9</v>
      </c>
      <c r="F19" s="9">
        <f>IF(C19=0,"מוצר חדש",(D19-C19)/C19)</f>
        <v>-0.1836734693877551</v>
      </c>
    </row>
    <row r="20" hidden="1" ht="15" customHeight="1">
      <c r="A20" s="6" t="n">
        <v>19082</v>
      </c>
      <c r="B20" s="6" t="inlineStr">
        <is>
          <t>URI 34 S 1 מגן קרסול ס בעקב</t>
        </is>
      </c>
      <c r="C20" s="7">
        <f>SUMIF('מקור-01'!$A:$A,$A20,'מקור-01'!$C:$C)+SUMIF('מקור-02'!$A:$A,$A20,'מקור-02'!$C:$C)+SUMIF('מקור-03'!$A:$A,$A20,'מקור-03'!$C:$C)+SUMIF('מקור-04'!$A:$A,$A20,'מקור-04'!$C:$C)+SUMIF('מקור-05'!$A:$A,$A20,'מקור-05'!$C:$C)+SUMIF('מקור-06'!$A:$A,$A20,'מקור-06'!$C:$C)+SUMIF('מקור-07'!$A:$A,$A20,'מקור-07'!$C:$C)+SUMIF('מקור-08'!$A:$A,$A20,'מקור-08'!$C:$C)</f>
        <v>63</v>
      </c>
      <c r="D20" s="7">
        <f>SUMIF('מקור-01'!$A:$A,$A20,'מקור-01'!$D:$D)+SUMIF('מקור-02'!$A:$A,$A20,'מקור-02'!$D:$D)+SUMIF('מקור-03'!$A:$A,$A20,'מקור-03'!$D:$D)+SUMIF('מקור-04'!$A:$A,$A20,'מקור-04'!$D:$D)+SUMIF('מקור-05'!$A:$A,$A20,'מקור-05'!$D:$D)+SUMIF('מקור-06'!$A:$A,$A20,'מקור-06'!$D:$D)+SUMIF('מקור-07'!$A:$A,$A20,'מקור-07'!$D:$D)+SUMIF('מקור-08'!$A:$A,$A20,'מקור-08'!$D:$D)</f>
        <v>69</v>
      </c>
      <c r="E20" s="8">
        <f>D20-C20</f>
        <v>6</v>
      </c>
      <c r="F20" s="9">
        <f>IF(C20=0,"מוצר חדש",(D20-C20)/C20)</f>
        <v>0.09523809523809523</v>
      </c>
    </row>
    <row r="21" hidden="1" ht="15" customHeight="1">
      <c r="A21" s="6" t="n">
        <v>19083</v>
      </c>
      <c r="B21" s="6" t="inlineStr">
        <is>
          <t>URI 40    1 רצועת פיקה לברך</t>
        </is>
      </c>
      <c r="C21" s="7">
        <f>SUMIF('מקור-01'!$A:$A,$A21,'מקור-01'!$C:$C)+SUMIF('מקור-02'!$A:$A,$A21,'מקור-02'!$C:$C)+SUMIF('מקור-03'!$A:$A,$A21,'מקור-03'!$C:$C)+SUMIF('מקור-04'!$A:$A,$A21,'מקור-04'!$C:$C)+SUMIF('מקור-05'!$A:$A,$A21,'מקור-05'!$C:$C)+SUMIF('מקור-06'!$A:$A,$A21,'מקור-06'!$C:$C)+SUMIF('מקור-07'!$A:$A,$A21,'מקור-07'!$C:$C)+SUMIF('מקור-08'!$A:$A,$A21,'מקור-08'!$C:$C)</f>
        <v>24</v>
      </c>
      <c r="D21" s="7">
        <f>SUMIF('מקור-01'!$A:$A,$A21,'מקור-01'!$D:$D)+SUMIF('מקור-02'!$A:$A,$A21,'מקור-02'!$D:$D)+SUMIF('מקור-03'!$A:$A,$A21,'מקור-03'!$D:$D)+SUMIF('מקור-04'!$A:$A,$A21,'מקור-04'!$D:$D)+SUMIF('מקור-05'!$A:$A,$A21,'מקור-05'!$D:$D)+SUMIF('מקור-06'!$A:$A,$A21,'מקור-06'!$D:$D)+SUMIF('מקור-07'!$A:$A,$A21,'מקור-07'!$D:$D)+SUMIF('מקור-08'!$A:$A,$A21,'מקור-08'!$D:$D)</f>
        <v>28</v>
      </c>
      <c r="E21" s="8">
        <f>D21-C21</f>
        <v>4</v>
      </c>
      <c r="F21" s="9">
        <f>IF(C21=0,"מוצר חדש",(D21-C21)/C21)</f>
        <v>0.16666666666666666</v>
      </c>
    </row>
    <row r="22" hidden="1" ht="15" customHeight="1">
      <c r="A22" s="6" t="n">
        <v>20948</v>
      </c>
      <c r="B22" s="6" t="inlineStr">
        <is>
          <t>URI 35 XST 1 מגן קרסול פתוח</t>
        </is>
      </c>
      <c r="C22" s="7">
        <f>SUMIF('מקור-01'!$A:$A,$A22,'מקור-01'!$C:$C)+SUMIF('מקור-02'!$A:$A,$A22,'מקור-02'!$C:$C)+SUMIF('מקור-03'!$A:$A,$A22,'מקור-03'!$C:$C)+SUMIF('מקור-04'!$A:$A,$A22,'מקור-04'!$C:$C)+SUMIF('מקור-05'!$A:$A,$A22,'מקור-05'!$C:$C)+SUMIF('מקור-06'!$A:$A,$A22,'מקור-06'!$C:$C)+SUMIF('מקור-07'!$A:$A,$A22,'מקור-07'!$C:$C)+SUMIF('מקור-08'!$A:$A,$A22,'מקור-08'!$C:$C)</f>
        <v>4</v>
      </c>
      <c r="D22" s="7">
        <f>SUMIF('מקור-01'!$A:$A,$A22,'מקור-01'!$D:$D)+SUMIF('מקור-02'!$A:$A,$A22,'מקור-02'!$D:$D)+SUMIF('מקור-03'!$A:$A,$A22,'מקור-03'!$D:$D)+SUMIF('מקור-04'!$A:$A,$A22,'מקור-04'!$D:$D)+SUMIF('מקור-05'!$A:$A,$A22,'מקור-05'!$D:$D)+SUMIF('מקור-06'!$A:$A,$A22,'מקור-06'!$D:$D)+SUMIF('מקור-07'!$A:$A,$A22,'מקור-07'!$D:$D)+SUMIF('מקור-08'!$A:$A,$A22,'מקור-08'!$D:$D)</f>
        <v>6</v>
      </c>
      <c r="E22" s="8">
        <f>D22-C22</f>
        <v>2</v>
      </c>
      <c r="F22" s="9">
        <f>IF(C22=0,"מוצר חדש",(D22-C22)/C22)</f>
        <v>0.5</v>
      </c>
    </row>
    <row r="23" hidden="1" ht="15" customHeight="1">
      <c r="A23" s="6" t="n">
        <v>20996</v>
      </c>
      <c r="B23" s="6" t="inlineStr">
        <is>
          <t>URI 07AU XXL 1</t>
        </is>
      </c>
      <c r="C23" s="7">
        <f>SUMIF('מקור-01'!$A:$A,$A23,'מקור-01'!$C:$C)+SUMIF('מקור-02'!$A:$A,$A23,'מקור-02'!$C:$C)+SUMIF('מקור-03'!$A:$A,$A23,'מקור-03'!$C:$C)+SUMIF('מקור-04'!$A:$A,$A23,'מקור-04'!$C:$C)+SUMIF('מקור-05'!$A:$A,$A23,'מקור-05'!$C:$C)+SUMIF('מקור-06'!$A:$A,$A23,'מקור-06'!$C:$C)+SUMIF('מקור-07'!$A:$A,$A23,'מקור-07'!$C:$C)+SUMIF('מקור-08'!$A:$A,$A23,'מקור-08'!$C:$C)</f>
        <v>23</v>
      </c>
      <c r="D23" s="7">
        <f>SUMIF('מקור-01'!$A:$A,$A23,'מקור-01'!$D:$D)+SUMIF('מקור-02'!$A:$A,$A23,'מקור-02'!$D:$D)+SUMIF('מקור-03'!$A:$A,$A23,'מקור-03'!$D:$D)+SUMIF('מקור-04'!$A:$A,$A23,'מקור-04'!$D:$D)+SUMIF('מקור-05'!$A:$A,$A23,'מקור-05'!$D:$D)+SUMIF('מקור-06'!$A:$A,$A23,'מקור-06'!$D:$D)+SUMIF('מקור-07'!$A:$A,$A23,'מקור-07'!$D:$D)+SUMIF('מקור-08'!$A:$A,$A23,'מקור-08'!$D:$D)</f>
        <v>20</v>
      </c>
      <c r="E23" s="8">
        <f>D23-C23</f>
        <v>-3</v>
      </c>
      <c r="F23" s="9">
        <f>IF(C23=0,"מוצר חדש",(D23-C23)/C23)</f>
        <v>-0.13043478260869565</v>
      </c>
    </row>
    <row r="24" hidden="1" ht="15" customHeight="1">
      <c r="A24" s="6" t="n">
        <v>20998</v>
      </c>
      <c r="B24" s="6" t="inlineStr">
        <is>
          <t>URI 11 XXL  1 ח.בטן אורירית</t>
        </is>
      </c>
      <c r="C24" s="7">
        <f>SUMIF('מקור-01'!$A:$A,$A24,'מקור-01'!$C:$C)+SUMIF('מקור-02'!$A:$A,$A24,'מקור-02'!$C:$C)+SUMIF('מקור-03'!$A:$A,$A24,'מקור-03'!$C:$C)+SUMIF('מקור-04'!$A:$A,$A24,'מקור-04'!$C:$C)+SUMIF('מקור-05'!$A:$A,$A24,'מקור-05'!$C:$C)+SUMIF('מקור-06'!$A:$A,$A24,'מקור-06'!$C:$C)+SUMIF('מקור-07'!$A:$A,$A24,'מקור-07'!$C:$C)+SUMIF('מקור-08'!$A:$A,$A24,'מקור-08'!$C:$C)</f>
        <v>44</v>
      </c>
      <c r="D24" s="7">
        <f>SUMIF('מקור-01'!$A:$A,$A24,'מקור-01'!$D:$D)+SUMIF('מקור-02'!$A:$A,$A24,'מקור-02'!$D:$D)+SUMIF('מקור-03'!$A:$A,$A24,'מקור-03'!$D:$D)+SUMIF('מקור-04'!$A:$A,$A24,'מקור-04'!$D:$D)+SUMIF('מקור-05'!$A:$A,$A24,'מקור-05'!$D:$D)+SUMIF('מקור-06'!$A:$A,$A24,'מקור-06'!$D:$D)+SUMIF('מקור-07'!$A:$A,$A24,'מקור-07'!$D:$D)+SUMIF('מקור-08'!$A:$A,$A24,'מקור-08'!$D:$D)</f>
        <v>37</v>
      </c>
      <c r="E24" s="8">
        <f>D24-C24</f>
        <v>-7</v>
      </c>
      <c r="F24" s="9">
        <f>IF(C24=0,"מוצר חדש",(D24-C24)/C24)</f>
        <v>-0.1590909090909091</v>
      </c>
    </row>
    <row r="25" hidden="1" ht="15" customHeight="1">
      <c r="A25" s="6" t="n">
        <v>21003</v>
      </c>
      <c r="B25" s="6" t="inlineStr">
        <is>
          <t>URI 45 XXL        1 מגן ברך</t>
        </is>
      </c>
      <c r="C25" s="7">
        <f>SUMIF('מקור-01'!$A:$A,$A25,'מקור-01'!$C:$C)+SUMIF('מקור-02'!$A:$A,$A25,'מקור-02'!$C:$C)+SUMIF('מקור-03'!$A:$A,$A25,'מקור-03'!$C:$C)+SUMIF('מקור-04'!$A:$A,$A25,'מקור-04'!$C:$C)+SUMIF('מקור-05'!$A:$A,$A25,'מקור-05'!$C:$C)+SUMIF('מקור-06'!$A:$A,$A25,'מקור-06'!$C:$C)+SUMIF('מקור-07'!$A:$A,$A25,'מקור-07'!$C:$C)+SUMIF('מקור-08'!$A:$A,$A25,'מקור-08'!$C:$C)</f>
        <v>102</v>
      </c>
      <c r="D25" s="7">
        <f>SUMIF('מקור-01'!$A:$A,$A25,'מקור-01'!$D:$D)+SUMIF('מקור-02'!$A:$A,$A25,'מקור-02'!$D:$D)+SUMIF('מקור-03'!$A:$A,$A25,'מקור-03'!$D:$D)+SUMIF('מקור-04'!$A:$A,$A25,'מקור-04'!$D:$D)+SUMIF('מקור-05'!$A:$A,$A25,'מקור-05'!$D:$D)+SUMIF('מקור-06'!$A:$A,$A25,'מקור-06'!$D:$D)+SUMIF('מקור-07'!$A:$A,$A25,'מקור-07'!$D:$D)+SUMIF('מקור-08'!$A:$A,$A25,'מקור-08'!$D:$D)</f>
        <v>117</v>
      </c>
      <c r="E25" s="8">
        <f>D25-C25</f>
        <v>15</v>
      </c>
      <c r="F25" s="9">
        <f>IF(C25=0,"מוצר חדש",(D25-C25)/C25)</f>
        <v>0.14705882352941177</v>
      </c>
    </row>
    <row r="26" hidden="1" ht="15" customHeight="1">
      <c r="A26" s="6" t="n">
        <v>21004</v>
      </c>
      <c r="B26" s="6" t="inlineStr">
        <is>
          <t>URI 45E XXL  1 מגן ברך ארוך</t>
        </is>
      </c>
      <c r="C26" s="7">
        <f>SUMIF('מקור-01'!$A:$A,$A26,'מקור-01'!$C:$C)+SUMIF('מקור-02'!$A:$A,$A26,'מקור-02'!$C:$C)+SUMIF('מקור-03'!$A:$A,$A26,'מקור-03'!$C:$C)+SUMIF('מקור-04'!$A:$A,$A26,'מקור-04'!$C:$C)+SUMIF('מקור-05'!$A:$A,$A26,'מקור-05'!$C:$C)+SUMIF('מקור-06'!$A:$A,$A26,'מקור-06'!$C:$C)+SUMIF('מקור-07'!$A:$A,$A26,'מקור-07'!$C:$C)+SUMIF('מקור-08'!$A:$A,$A26,'מקור-08'!$C:$C)</f>
        <v>65</v>
      </c>
      <c r="D26" s="7">
        <f>SUMIF('מקור-01'!$A:$A,$A26,'מקור-01'!$D:$D)+SUMIF('מקור-02'!$A:$A,$A26,'מקור-02'!$D:$D)+SUMIF('מקור-03'!$A:$A,$A26,'מקור-03'!$D:$D)+SUMIF('מקור-04'!$A:$A,$A26,'מקור-04'!$D:$D)+SUMIF('מקור-05'!$A:$A,$A26,'מקור-05'!$D:$D)+SUMIF('מקור-06'!$A:$A,$A26,'מקור-06'!$D:$D)+SUMIF('מקור-07'!$A:$A,$A26,'מקור-07'!$D:$D)+SUMIF('מקור-08'!$A:$A,$A26,'מקור-08'!$D:$D)</f>
        <v>75</v>
      </c>
      <c r="E26" s="8">
        <f>D26-C26</f>
        <v>10</v>
      </c>
      <c r="F26" s="9">
        <f>IF(C26=0,"מוצר חדש",(D26-C26)/C26)</f>
        <v>0.15384615384615385</v>
      </c>
    </row>
    <row r="27" ht="15" customHeight="1">
      <c r="A27" s="6" t="n">
        <v>21896</v>
      </c>
      <c r="B27" s="6" t="inlineStr">
        <is>
          <t>URI 388L    1 סד לילה לבוהן</t>
        </is>
      </c>
      <c r="C27" s="7">
        <f>SUMIF('מקור-01'!$A:$A,$A27,'מקור-01'!$C:$C)+SUMIF('מקור-02'!$A:$A,$A27,'מקור-02'!$C:$C)+SUMIF('מקור-03'!$A:$A,$A27,'מקור-03'!$C:$C)+SUMIF('מקור-04'!$A:$A,$A27,'מקור-04'!$C:$C)+SUMIF('מקור-05'!$A:$A,$A27,'מקור-05'!$C:$C)+SUMIF('מקור-06'!$A:$A,$A27,'מקור-06'!$C:$C)+SUMIF('מקור-07'!$A:$A,$A27,'מקור-07'!$C:$C)+SUMIF('מקור-08'!$A:$A,$A27,'מקור-08'!$C:$C)</f>
        <v>8</v>
      </c>
      <c r="D27" s="7">
        <f>SUMIF('מקור-01'!$A:$A,$A27,'מקור-01'!$D:$D)+SUMIF('מקור-02'!$A:$A,$A27,'מקור-02'!$D:$D)+SUMIF('מקור-03'!$A:$A,$A27,'מקור-03'!$D:$D)+SUMIF('מקור-04'!$A:$A,$A27,'מקור-04'!$D:$D)+SUMIF('מקור-05'!$A:$A,$A27,'מקור-05'!$D:$D)+SUMIF('מקור-06'!$A:$A,$A27,'מקור-06'!$D:$D)+SUMIF('מקור-07'!$A:$A,$A27,'מקור-07'!$D:$D)+SUMIF('מקור-08'!$A:$A,$A27,'מקור-08'!$D:$D)</f>
        <v>3</v>
      </c>
      <c r="E27" s="8">
        <f>D27-C27</f>
        <v>-5</v>
      </c>
      <c r="F27" s="9">
        <f>IF(C27=0,"מוצר חדש",(D27-C27)/C27)</f>
        <v>-0.625</v>
      </c>
    </row>
    <row r="28" ht="15" customHeight="1">
      <c r="A28" s="6" t="n">
        <v>21897</v>
      </c>
      <c r="B28" s="6" t="inlineStr">
        <is>
          <t>URI 388R    1 סד לילה לבוהן</t>
        </is>
      </c>
      <c r="C28" s="7">
        <f>SUMIF('מקור-01'!$A:$A,$A28,'מקור-01'!$C:$C)+SUMIF('מקור-02'!$A:$A,$A28,'מקור-02'!$C:$C)+SUMIF('מקור-03'!$A:$A,$A28,'מקור-03'!$C:$C)+SUMIF('מקור-04'!$A:$A,$A28,'מקור-04'!$C:$C)+SUMIF('מקור-05'!$A:$A,$A28,'מקור-05'!$C:$C)+SUMIF('מקור-06'!$A:$A,$A28,'מקור-06'!$C:$C)+SUMIF('מקור-07'!$A:$A,$A28,'מקור-07'!$C:$C)+SUMIF('מקור-08'!$A:$A,$A28,'מקור-08'!$C:$C)</f>
        <v>9</v>
      </c>
      <c r="D28" s="7">
        <f>SUMIF('מקור-01'!$A:$A,$A28,'מקור-01'!$D:$D)+SUMIF('מקור-02'!$A:$A,$A28,'מקור-02'!$D:$D)+SUMIF('מקור-03'!$A:$A,$A28,'מקור-03'!$D:$D)+SUMIF('מקור-04'!$A:$A,$A28,'מקור-04'!$D:$D)+SUMIF('מקור-05'!$A:$A,$A28,'מקור-05'!$D:$D)+SUMIF('מקור-06'!$A:$A,$A28,'מקור-06'!$D:$D)+SUMIF('מקור-07'!$A:$A,$A28,'מקור-07'!$D:$D)+SUMIF('מקור-08'!$A:$A,$A28,'מקור-08'!$D:$D)</f>
        <v>1</v>
      </c>
      <c r="E28" s="8">
        <f>D28-C28</f>
        <v>-8</v>
      </c>
      <c r="F28" s="9">
        <f>IF(C28=0,"מוצר חדש",(D28-C28)/C28)</f>
        <v>-0.8888888888888888</v>
      </c>
    </row>
    <row r="29" hidden="1" ht="15" customHeight="1">
      <c r="A29" s="6" t="n">
        <v>23008</v>
      </c>
      <c r="B29" s="6" t="inlineStr">
        <is>
          <t>URI 364 XL 1</t>
        </is>
      </c>
      <c r="C29" s="7">
        <f>SUMIF('מקור-01'!$A:$A,$A29,'מקור-01'!$C:$C)+SUMIF('מקור-02'!$A:$A,$A29,'מקור-02'!$C:$C)+SUMIF('מקור-03'!$A:$A,$A29,'מקור-03'!$C:$C)+SUMIF('מקור-04'!$A:$A,$A29,'מקור-04'!$C:$C)+SUMIF('מקור-05'!$A:$A,$A29,'מקור-05'!$C:$C)+SUMIF('מקור-06'!$A:$A,$A29,'מקור-06'!$C:$C)+SUMIF('מקור-07'!$A:$A,$A29,'מקור-07'!$C:$C)+SUMIF('מקור-08'!$A:$A,$A29,'מקור-08'!$C:$C)</f>
        <v>212</v>
      </c>
      <c r="D29" s="7">
        <f>SUMIF('מקור-01'!$A:$A,$A29,'מקור-01'!$D:$D)+SUMIF('מקור-02'!$A:$A,$A29,'מקור-02'!$D:$D)+SUMIF('מקור-03'!$A:$A,$A29,'מקור-03'!$D:$D)+SUMIF('מקור-04'!$A:$A,$A29,'מקור-04'!$D:$D)+SUMIF('מקור-05'!$A:$A,$A29,'מקור-05'!$D:$D)+SUMIF('מקור-06'!$A:$A,$A29,'מקור-06'!$D:$D)+SUMIF('מקור-07'!$A:$A,$A29,'מקור-07'!$D:$D)+SUMIF('מקור-08'!$A:$A,$A29,'מקור-08'!$D:$D)</f>
        <v>246</v>
      </c>
      <c r="E29" s="8">
        <f>D29-C29</f>
        <v>34</v>
      </c>
      <c r="F29" s="9">
        <f>IF(C29=0,"מוצר חדש",(D29-C29)/C29)</f>
        <v>0.16037735849056603</v>
      </c>
    </row>
    <row r="30" hidden="1" ht="15" customHeight="1">
      <c r="A30" s="6" t="n">
        <v>24612</v>
      </c>
      <c r="B30" s="6" t="inlineStr">
        <is>
          <t>URI AC28        1 סד לאגודל</t>
        </is>
      </c>
      <c r="C30" s="7">
        <f>SUMIF('מקור-01'!$A:$A,$A30,'מקור-01'!$C:$C)+SUMIF('מקור-02'!$A:$A,$A30,'מקור-02'!$C:$C)+SUMIF('מקור-03'!$A:$A,$A30,'מקור-03'!$C:$C)+SUMIF('מקור-04'!$A:$A,$A30,'מקור-04'!$C:$C)+SUMIF('מקור-05'!$A:$A,$A30,'מקור-05'!$C:$C)+SUMIF('מקור-06'!$A:$A,$A30,'מקור-06'!$C:$C)+SUMIF('מקור-07'!$A:$A,$A30,'מקור-07'!$C:$C)+SUMIF('מקור-08'!$A:$A,$A30,'מקור-08'!$C:$C)</f>
        <v>363</v>
      </c>
      <c r="D30" s="7">
        <f>SUMIF('מקור-01'!$A:$A,$A30,'מקור-01'!$D:$D)+SUMIF('מקור-02'!$A:$A,$A30,'מקור-02'!$D:$D)+SUMIF('מקור-03'!$A:$A,$A30,'מקור-03'!$D:$D)+SUMIF('מקור-04'!$A:$A,$A30,'מקור-04'!$D:$D)+SUMIF('מקור-05'!$A:$A,$A30,'מקור-05'!$D:$D)+SUMIF('מקור-06'!$A:$A,$A30,'מקור-06'!$D:$D)+SUMIF('מקור-07'!$A:$A,$A30,'מקור-07'!$D:$D)+SUMIF('מקור-08'!$A:$A,$A30,'מקור-08'!$D:$D)</f>
        <v>286</v>
      </c>
      <c r="E30" s="8">
        <f>D30-C30</f>
        <v>-77</v>
      </c>
      <c r="F30" s="9">
        <f>IF(C30=0,"מוצר חדש",(D30-C30)/C30)</f>
        <v>-0.21212121212121213</v>
      </c>
    </row>
    <row r="31" hidden="1" ht="15" customHeight="1">
      <c r="A31" s="6" t="n">
        <v>25386</v>
      </c>
      <c r="B31" s="6" t="inlineStr">
        <is>
          <t>URI 3666  1 מפריד הלקס+כרית</t>
        </is>
      </c>
      <c r="C31" s="7">
        <f>SUMIF('מקור-01'!$A:$A,$A31,'מקור-01'!$C:$C)+SUMIF('מקור-02'!$A:$A,$A31,'מקור-02'!$C:$C)+SUMIF('מקור-03'!$A:$A,$A31,'מקור-03'!$C:$C)+SUMIF('מקור-04'!$A:$A,$A31,'מקור-04'!$C:$C)+SUMIF('מקור-05'!$A:$A,$A31,'מקור-05'!$C:$C)+SUMIF('מקור-06'!$A:$A,$A31,'מקור-06'!$C:$C)+SUMIF('מקור-07'!$A:$A,$A31,'מקור-07'!$C:$C)+SUMIF('מקור-08'!$A:$A,$A31,'מקור-08'!$C:$C)</f>
        <v>34</v>
      </c>
      <c r="D31" s="7">
        <f>SUMIF('מקור-01'!$A:$A,$A31,'מקור-01'!$D:$D)+SUMIF('מקור-02'!$A:$A,$A31,'מקור-02'!$D:$D)+SUMIF('מקור-03'!$A:$A,$A31,'מקור-03'!$D:$D)+SUMIF('מקור-04'!$A:$A,$A31,'מקור-04'!$D:$D)+SUMIF('מקור-05'!$A:$A,$A31,'מקור-05'!$D:$D)+SUMIF('מקור-06'!$A:$A,$A31,'מקור-06'!$D:$D)+SUMIF('מקור-07'!$A:$A,$A31,'מקור-07'!$D:$D)+SUMIF('מקור-08'!$A:$A,$A31,'מקור-08'!$D:$D)</f>
        <v>38</v>
      </c>
      <c r="E31" s="8">
        <f>D31-C31</f>
        <v>4</v>
      </c>
      <c r="F31" s="9">
        <f>IF(C31=0,"מוצר חדש",(D31-C31)/C31)</f>
        <v>0.11764705882352941</v>
      </c>
    </row>
    <row r="32" hidden="1" ht="15" customHeight="1">
      <c r="A32" s="6" t="n">
        <v>28297</v>
      </c>
      <c r="B32" s="6" t="inlineStr">
        <is>
          <t>URI 13 XL1 חגורה ללשבר טבור</t>
        </is>
      </c>
      <c r="C32" s="7">
        <f>SUMIF('מקור-01'!$A:$A,$A32,'מקור-01'!$C:$C)+SUMIF('מקור-02'!$A:$A,$A32,'מקור-02'!$C:$C)+SUMIF('מקור-03'!$A:$A,$A32,'מקור-03'!$C:$C)+SUMIF('מקור-04'!$A:$A,$A32,'מקור-04'!$C:$C)+SUMIF('מקור-05'!$A:$A,$A32,'מקור-05'!$C:$C)+SUMIF('מקור-06'!$A:$A,$A32,'מקור-06'!$C:$C)+SUMIF('מקור-07'!$A:$A,$A32,'מקור-07'!$C:$C)+SUMIF('מקור-08'!$A:$A,$A32,'מקור-08'!$C:$C)</f>
        <v>4</v>
      </c>
      <c r="D32" s="7">
        <f>SUMIF('מקור-01'!$A:$A,$A32,'מקור-01'!$D:$D)+SUMIF('מקור-02'!$A:$A,$A32,'מקור-02'!$D:$D)+SUMIF('מקור-03'!$A:$A,$A32,'מקור-03'!$D:$D)+SUMIF('מקור-04'!$A:$A,$A32,'מקור-04'!$D:$D)+SUMIF('מקור-05'!$A:$A,$A32,'מקור-05'!$D:$D)+SUMIF('מקור-06'!$A:$A,$A32,'מקור-06'!$D:$D)+SUMIF('מקור-07'!$A:$A,$A32,'מקור-07'!$D:$D)+SUMIF('מקור-08'!$A:$A,$A32,'מקור-08'!$D:$D)</f>
        <v>2</v>
      </c>
      <c r="E32" s="8">
        <f>D32-C32</f>
        <v>-2</v>
      </c>
      <c r="F32" s="9">
        <f>IF(C32=0,"מוצר חדש",(D32-C32)/C32)</f>
        <v>-0.5</v>
      </c>
    </row>
    <row r="33" hidden="1" ht="15" customHeight="1">
      <c r="A33" s="6" t="n">
        <v>28302</v>
      </c>
      <c r="B33" s="6" t="inlineStr">
        <is>
          <t>URI 34+XXL1 מ קרסול+עכב סגו</t>
        </is>
      </c>
      <c r="C33" s="7">
        <f>SUMIF('מקור-01'!$A:$A,$A33,'מקור-01'!$C:$C)+SUMIF('מקור-02'!$A:$A,$A33,'מקור-02'!$C:$C)+SUMIF('מקור-03'!$A:$A,$A33,'מקור-03'!$C:$C)+SUMIF('מקור-04'!$A:$A,$A33,'מקור-04'!$C:$C)+SUMIF('מקור-05'!$A:$A,$A33,'מקור-05'!$C:$C)+SUMIF('מקור-06'!$A:$A,$A33,'מקור-06'!$C:$C)+SUMIF('מקור-07'!$A:$A,$A33,'מקור-07'!$C:$C)+SUMIF('מקור-08'!$A:$A,$A33,'מקור-08'!$C:$C)</f>
        <v>14</v>
      </c>
      <c r="D33" s="7">
        <f>SUMIF('מקור-01'!$A:$A,$A33,'מקור-01'!$D:$D)+SUMIF('מקור-02'!$A:$A,$A33,'מקור-02'!$D:$D)+SUMIF('מקור-03'!$A:$A,$A33,'מקור-03'!$D:$D)+SUMIF('מקור-04'!$A:$A,$A33,'מקור-04'!$D:$D)+SUMIF('מקור-05'!$A:$A,$A33,'מקור-05'!$D:$D)+SUMIF('מקור-06'!$A:$A,$A33,'מקור-06'!$D:$D)+SUMIF('מקור-07'!$A:$A,$A33,'מקור-07'!$D:$D)+SUMIF('מקור-08'!$A:$A,$A33,'מקור-08'!$D:$D)</f>
        <v>6</v>
      </c>
      <c r="E33" s="8">
        <f>D33-C33</f>
        <v>-8</v>
      </c>
      <c r="F33" s="9">
        <f>IF(C33=0,"מוצר חדש",(D33-C33)/C33)</f>
        <v>-0.5714285714285714</v>
      </c>
    </row>
    <row r="34" hidden="1" ht="15" customHeight="1">
      <c r="A34" s="6" t="n">
        <v>28323</v>
      </c>
      <c r="B34" s="6" t="inlineStr">
        <is>
          <t>URI T33 XXL     1 סד לקרסול</t>
        </is>
      </c>
      <c r="C34" s="7">
        <f>SUMIF('מקור-01'!$A:$A,$A34,'מקור-01'!$C:$C)+SUMIF('מקור-02'!$A:$A,$A34,'מקור-02'!$C:$C)+SUMIF('מקור-03'!$A:$A,$A34,'מקור-03'!$C:$C)+SUMIF('מקור-04'!$A:$A,$A34,'מקור-04'!$C:$C)+SUMIF('מקור-05'!$A:$A,$A34,'מקור-05'!$C:$C)+SUMIF('מקור-06'!$A:$A,$A34,'מקור-06'!$C:$C)+SUMIF('מקור-07'!$A:$A,$A34,'מקור-07'!$C:$C)+SUMIF('מקור-08'!$A:$A,$A34,'מקור-08'!$C:$C)</f>
        <v>2</v>
      </c>
      <c r="D34" s="7">
        <f>SUMIF('מקור-01'!$A:$A,$A34,'מקור-01'!$D:$D)+SUMIF('מקור-02'!$A:$A,$A34,'מקור-02'!$D:$D)+SUMIF('מקור-03'!$A:$A,$A34,'מקור-03'!$D:$D)+SUMIF('מקור-04'!$A:$A,$A34,'מקור-04'!$D:$D)+SUMIF('מקור-05'!$A:$A,$A34,'מקור-05'!$D:$D)+SUMIF('מקור-06'!$A:$A,$A34,'מקור-06'!$D:$D)+SUMIF('מקור-07'!$A:$A,$A34,'מקור-07'!$D:$D)+SUMIF('מקור-08'!$A:$A,$A34,'מקור-08'!$D:$D)</f>
        <v>2</v>
      </c>
      <c r="E34" s="8">
        <f>D34-C34</f>
        <v>0</v>
      </c>
      <c r="F34" s="9">
        <f>IF(C34=0,"מוצר חדש",(D34-C34)/C34)</f>
        <v>0</v>
      </c>
    </row>
    <row r="35" hidden="1" ht="15" customHeight="1">
      <c r="A35" s="6" t="n">
        <v>28331</v>
      </c>
      <c r="B35" s="6" t="inlineStr">
        <is>
          <t>URI T78 XXL 1 תומך זרוע כתף</t>
        </is>
      </c>
      <c r="C35" s="7">
        <f>SUMIF('מקור-01'!$A:$A,$A35,'מקור-01'!$C:$C)+SUMIF('מקור-02'!$A:$A,$A35,'מקור-02'!$C:$C)+SUMIF('מקור-03'!$A:$A,$A35,'מקור-03'!$C:$C)+SUMIF('מקור-04'!$A:$A,$A35,'מקור-04'!$C:$C)+SUMIF('מקור-05'!$A:$A,$A35,'מקור-05'!$C:$C)+SUMIF('מקור-06'!$A:$A,$A35,'מקור-06'!$C:$C)+SUMIF('מקור-07'!$A:$A,$A35,'מקור-07'!$C:$C)+SUMIF('מקור-08'!$A:$A,$A35,'מקור-08'!$C:$C)</f>
        <v>2</v>
      </c>
      <c r="D35" s="7">
        <f>SUMIF('מקור-01'!$A:$A,$A35,'מקור-01'!$D:$D)+SUMIF('מקור-02'!$A:$A,$A35,'מקור-02'!$D:$D)+SUMIF('מקור-03'!$A:$A,$A35,'מקור-03'!$D:$D)+SUMIF('מקור-04'!$A:$A,$A35,'מקור-04'!$D:$D)+SUMIF('מקור-05'!$A:$A,$A35,'מקור-05'!$D:$D)+SUMIF('מקור-06'!$A:$A,$A35,'מקור-06'!$D:$D)+SUMIF('מקור-07'!$A:$A,$A35,'מקור-07'!$D:$D)+SUMIF('מקור-08'!$A:$A,$A35,'מקור-08'!$D:$D)</f>
        <v>2</v>
      </c>
      <c r="E35" s="8">
        <f>D35-C35</f>
        <v>0</v>
      </c>
      <c r="F35" s="9">
        <f>IF(C35=0,"מוצר חדש",(D35-C35)/C35)</f>
        <v>0</v>
      </c>
    </row>
    <row r="36" hidden="1" ht="15" customHeight="1">
      <c r="A36" s="6" t="n">
        <v>29790</v>
      </c>
      <c r="B36" s="6" t="inlineStr">
        <is>
          <t>URI 11STO L1 חגורה אחר ניתו</t>
        </is>
      </c>
      <c r="C36" s="7">
        <f>SUMIF('מקור-01'!$A:$A,$A36,'מקור-01'!$C:$C)+SUMIF('מקור-02'!$A:$A,$A36,'מקור-02'!$C:$C)+SUMIF('מקור-03'!$A:$A,$A36,'מקור-03'!$C:$C)+SUMIF('מקור-04'!$A:$A,$A36,'מקור-04'!$C:$C)+SUMIF('מקור-05'!$A:$A,$A36,'מקור-05'!$C:$C)+SUMIF('מקור-06'!$A:$A,$A36,'מקור-06'!$C:$C)+SUMIF('מקור-07'!$A:$A,$A36,'מקור-07'!$C:$C)+SUMIF('מקור-08'!$A:$A,$A36,'מקור-08'!$C:$C)</f>
        <v>2</v>
      </c>
      <c r="D36" s="7">
        <f>SUMIF('מקור-01'!$A:$A,$A36,'מקור-01'!$D:$D)+SUMIF('מקור-02'!$A:$A,$A36,'מקור-02'!$D:$D)+SUMIF('מקור-03'!$A:$A,$A36,'מקור-03'!$D:$D)+SUMIF('מקור-04'!$A:$A,$A36,'מקור-04'!$D:$D)+SUMIF('מקור-05'!$A:$A,$A36,'מקור-05'!$D:$D)+SUMIF('מקור-06'!$A:$A,$A36,'מקור-06'!$D:$D)+SUMIF('מקור-07'!$A:$A,$A36,'מקור-07'!$D:$D)+SUMIF('מקור-08'!$A:$A,$A36,'מקור-08'!$D:$D)</f>
        <v>2</v>
      </c>
      <c r="E36" s="8">
        <f>D36-C36</f>
        <v>0</v>
      </c>
      <c r="F36" s="9">
        <f>IF(C36=0,"מוצר חדש",(D36-C36)/C36)</f>
        <v>0</v>
      </c>
    </row>
    <row r="37" hidden="1" ht="15" customHeight="1">
      <c r="A37" s="6" t="n">
        <v>29792</v>
      </c>
      <c r="B37" s="6" t="inlineStr">
        <is>
          <t>URI 11STO S1 חגורה אחר ניתו</t>
        </is>
      </c>
      <c r="C37" s="7">
        <f>SUMIF('מקור-01'!$A:$A,$A37,'מקור-01'!$C:$C)+SUMIF('מקור-02'!$A:$A,$A37,'מקור-02'!$C:$C)+SUMIF('מקור-03'!$A:$A,$A37,'מקור-03'!$C:$C)+SUMIF('מקור-04'!$A:$A,$A37,'מקור-04'!$C:$C)+SUMIF('מקור-05'!$A:$A,$A37,'מקור-05'!$C:$C)+SUMIF('מקור-06'!$A:$A,$A37,'מקור-06'!$C:$C)+SUMIF('מקור-07'!$A:$A,$A37,'מקור-07'!$C:$C)+SUMIF('מקור-08'!$A:$A,$A37,'מקור-08'!$C:$C)</f>
        <v>0</v>
      </c>
      <c r="D37" s="7">
        <f>SUMIF('מקור-01'!$A:$A,$A37,'מקור-01'!$D:$D)+SUMIF('מקור-02'!$A:$A,$A37,'מקור-02'!$D:$D)+SUMIF('מקור-03'!$A:$A,$A37,'מקור-03'!$D:$D)+SUMIF('מקור-04'!$A:$A,$A37,'מקור-04'!$D:$D)+SUMIF('מקור-05'!$A:$A,$A37,'מקור-05'!$D:$D)+SUMIF('מקור-06'!$A:$A,$A37,'מקור-06'!$D:$D)+SUMIF('מקור-07'!$A:$A,$A37,'מקור-07'!$D:$D)+SUMIF('מקור-08'!$A:$A,$A37,'מקור-08'!$D:$D)</f>
        <v>1</v>
      </c>
      <c r="E37" s="8">
        <f>D37-C37</f>
        <v>1</v>
      </c>
      <c t="str" r="F37" s="9">
        <f>IF(C37=0,"מוצר חדש",(D37-C37)/C37)</f>
        <v>מוצר חדש</v>
      </c>
    </row>
    <row r="38" hidden="1" ht="15" customHeight="1">
      <c r="A38" s="6" t="n">
        <v>29793</v>
      </c>
      <c r="B38" s="6" t="inlineStr">
        <is>
          <t>URI 11STO XL1 חגורה אחר נית</t>
        </is>
      </c>
      <c r="C38" s="7">
        <f>SUMIF('מקור-01'!$A:$A,$A38,'מקור-01'!$C:$C)+SUMIF('מקור-02'!$A:$A,$A38,'מקור-02'!$C:$C)+SUMIF('מקור-03'!$A:$A,$A38,'מקור-03'!$C:$C)+SUMIF('מקור-04'!$A:$A,$A38,'מקור-04'!$C:$C)+SUMIF('מקור-05'!$A:$A,$A38,'מקור-05'!$C:$C)+SUMIF('מקור-06'!$A:$A,$A38,'מקור-06'!$C:$C)+SUMIF('מקור-07'!$A:$A,$A38,'מקור-07'!$C:$C)+SUMIF('מקור-08'!$A:$A,$A38,'מקור-08'!$C:$C)</f>
        <v>2</v>
      </c>
      <c r="D38" s="7">
        <f>SUMIF('מקור-01'!$A:$A,$A38,'מקור-01'!$D:$D)+SUMIF('מקור-02'!$A:$A,$A38,'מקור-02'!$D:$D)+SUMIF('מקור-03'!$A:$A,$A38,'מקור-03'!$D:$D)+SUMIF('מקור-04'!$A:$A,$A38,'מקור-04'!$D:$D)+SUMIF('מקור-05'!$A:$A,$A38,'מקור-05'!$D:$D)+SUMIF('מקור-06'!$A:$A,$A38,'מקור-06'!$D:$D)+SUMIF('מקור-07'!$A:$A,$A38,'מקור-07'!$D:$D)+SUMIF('מקור-08'!$A:$A,$A38,'מקור-08'!$D:$D)</f>
        <v>3</v>
      </c>
      <c r="E38" s="8">
        <f>D38-C38</f>
        <v>1</v>
      </c>
      <c r="F38" s="9">
        <f>IF(C38=0,"מוצר חדש",(D38-C38)/C38)</f>
        <v>0.5</v>
      </c>
    </row>
    <row r="39" hidden="1" ht="15" customHeight="1">
      <c r="A39" s="6" t="n">
        <v>29794</v>
      </c>
      <c r="B39" s="6" t="inlineStr">
        <is>
          <t>URI 11STO XXL1 חגורה א ניתו</t>
        </is>
      </c>
      <c r="C39" s="7">
        <f>SUMIF('מקור-01'!$A:$A,$A39,'מקור-01'!$C:$C)+SUMIF('מקור-02'!$A:$A,$A39,'מקור-02'!$C:$C)+SUMIF('מקור-03'!$A:$A,$A39,'מקור-03'!$C:$C)+SUMIF('מקור-04'!$A:$A,$A39,'מקור-04'!$C:$C)+SUMIF('מקור-05'!$A:$A,$A39,'מקור-05'!$C:$C)+SUMIF('מקור-06'!$A:$A,$A39,'מקור-06'!$C:$C)+SUMIF('מקור-07'!$A:$A,$A39,'מקור-07'!$C:$C)+SUMIF('מקור-08'!$A:$A,$A39,'מקור-08'!$C:$C)</f>
        <v>2</v>
      </c>
      <c r="D39" s="7">
        <f>SUMIF('מקור-01'!$A:$A,$A39,'מקור-01'!$D:$D)+SUMIF('מקור-02'!$A:$A,$A39,'מקור-02'!$D:$D)+SUMIF('מקור-03'!$A:$A,$A39,'מקור-03'!$D:$D)+SUMIF('מקור-04'!$A:$A,$A39,'מקור-04'!$D:$D)+SUMIF('מקור-05'!$A:$A,$A39,'מקור-05'!$D:$D)+SUMIF('מקור-06'!$A:$A,$A39,'מקור-06'!$D:$D)+SUMIF('מקור-07'!$A:$A,$A39,'מקור-07'!$D:$D)+SUMIF('מקור-08'!$A:$A,$A39,'מקור-08'!$D:$D)</f>
        <v>1</v>
      </c>
      <c r="E39" s="8">
        <f>D39-C39</f>
        <v>-1</v>
      </c>
      <c r="F39" s="9">
        <f>IF(C39=0,"מוצר חדש",(D39-C39)/C39)</f>
        <v>-0.5</v>
      </c>
    </row>
    <row r="40" hidden="1" ht="15" customHeight="1">
      <c r="A40" s="6" t="n">
        <v>29881</v>
      </c>
      <c r="B40" s="6" t="inlineStr">
        <is>
          <t>URI 34 XXL 1 מגן קרסול סגור</t>
        </is>
      </c>
      <c r="C40" s="7">
        <f>SUMIF('מקור-01'!$A:$A,$A40,'מקור-01'!$C:$C)+SUMIF('מקור-02'!$A:$A,$A40,'מקור-02'!$C:$C)+SUMIF('מקור-03'!$A:$A,$A40,'מקור-03'!$C:$C)+SUMIF('מקור-04'!$A:$A,$A40,'מקור-04'!$C:$C)+SUMIF('מקור-05'!$A:$A,$A40,'מקור-05'!$C:$C)+SUMIF('מקור-06'!$A:$A,$A40,'מקור-06'!$C:$C)+SUMIF('מקור-07'!$A:$A,$A40,'מקור-07'!$C:$C)+SUMIF('מקור-08'!$A:$A,$A40,'מקור-08'!$C:$C)</f>
        <v>40</v>
      </c>
      <c r="D40" s="7">
        <f>SUMIF('מקור-01'!$A:$A,$A40,'מקור-01'!$D:$D)+SUMIF('מקור-02'!$A:$A,$A40,'מקור-02'!$D:$D)+SUMIF('מקור-03'!$A:$A,$A40,'מקור-03'!$D:$D)+SUMIF('מקור-04'!$A:$A,$A40,'מקור-04'!$D:$D)+SUMIF('מקור-05'!$A:$A,$A40,'מקור-05'!$D:$D)+SUMIF('מקור-06'!$A:$A,$A40,'מקור-06'!$D:$D)+SUMIF('מקור-07'!$A:$A,$A40,'מקור-07'!$D:$D)+SUMIF('מקור-08'!$A:$A,$A40,'מקור-08'!$D:$D)</f>
        <v>39</v>
      </c>
      <c r="E40" s="8">
        <f>D40-C40</f>
        <v>-1</v>
      </c>
      <c r="F40" s="9">
        <f>IF(C40=0,"מוצר חדש",(D40-C40)/C40)</f>
        <v>-0.025</v>
      </c>
    </row>
    <row r="41" hidden="1" ht="15" customHeight="1">
      <c r="A41" s="6" t="n">
        <v>29977</v>
      </c>
      <c r="B41" s="6" t="inlineStr">
        <is>
          <t>URI 11TO XXL    1 חגורת בטן</t>
        </is>
      </c>
      <c r="C41" s="7">
        <f>SUMIF('מקור-01'!$A:$A,$A41,'מקור-01'!$C:$C)+SUMIF('מקור-02'!$A:$A,$A41,'מקור-02'!$C:$C)+SUMIF('מקור-03'!$A:$A,$A41,'מקור-03'!$C:$C)+SUMIF('מקור-04'!$A:$A,$A41,'מקור-04'!$C:$C)+SUMIF('מקור-05'!$A:$A,$A41,'מקור-05'!$C:$C)+SUMIF('מקור-06'!$A:$A,$A41,'מקור-06'!$C:$C)+SUMIF('מקור-07'!$A:$A,$A41,'מקור-07'!$C:$C)+SUMIF('מקור-08'!$A:$A,$A41,'מקור-08'!$C:$C)</f>
        <v>5</v>
      </c>
      <c r="D41" s="7">
        <f>SUMIF('מקור-01'!$A:$A,$A41,'מקור-01'!$D:$D)+SUMIF('מקור-02'!$A:$A,$A41,'מקור-02'!$D:$D)+SUMIF('מקור-03'!$A:$A,$A41,'מקור-03'!$D:$D)+SUMIF('מקור-04'!$A:$A,$A41,'מקור-04'!$D:$D)+SUMIF('מקור-05'!$A:$A,$A41,'מקור-05'!$D:$D)+SUMIF('מקור-06'!$A:$A,$A41,'מקור-06'!$D:$D)+SUMIF('מקור-07'!$A:$A,$A41,'מקור-07'!$D:$D)+SUMIF('מקור-08'!$A:$A,$A41,'מקור-08'!$D:$D)</f>
        <v>9</v>
      </c>
      <c r="E41" s="8">
        <f>D41-C41</f>
        <v>4</v>
      </c>
      <c r="F41" s="9">
        <f>IF(C41=0,"מוצר חדש",(D41-C41)/C41)</f>
        <v>0.8</v>
      </c>
    </row>
    <row r="42" hidden="1" ht="15" customHeight="1">
      <c r="A42" s="6" t="n">
        <v>29981</v>
      </c>
      <c r="B42" s="6" t="inlineStr">
        <is>
          <t>URI 35 XXL  1 מגן קרסול לבן</t>
        </is>
      </c>
      <c r="C42" s="7">
        <f>SUMIF('מקור-01'!$A:$A,$A42,'מקור-01'!$C:$C)+SUMIF('מקור-02'!$A:$A,$A42,'מקור-02'!$C:$C)+SUMIF('מקור-03'!$A:$A,$A42,'מקור-03'!$C:$C)+SUMIF('מקור-04'!$A:$A,$A42,'מקור-04'!$C:$C)+SUMIF('מקור-05'!$A:$A,$A42,'מקור-05'!$C:$C)+SUMIF('מקור-06'!$A:$A,$A42,'מקור-06'!$C:$C)+SUMIF('מקור-07'!$A:$A,$A42,'מקור-07'!$C:$C)+SUMIF('מקור-08'!$A:$A,$A42,'מקור-08'!$C:$C)</f>
        <v>50</v>
      </c>
      <c r="D42" s="7">
        <f>SUMIF('מקור-01'!$A:$A,$A42,'מקור-01'!$D:$D)+SUMIF('מקור-02'!$A:$A,$A42,'מקור-02'!$D:$D)+SUMIF('מקור-03'!$A:$A,$A42,'מקור-03'!$D:$D)+SUMIF('מקור-04'!$A:$A,$A42,'מקור-04'!$D:$D)+SUMIF('מקור-05'!$A:$A,$A42,'מקור-05'!$D:$D)+SUMIF('מקור-06'!$A:$A,$A42,'מקור-06'!$D:$D)+SUMIF('מקור-07'!$A:$A,$A42,'מקור-07'!$D:$D)+SUMIF('מקור-08'!$A:$A,$A42,'מקור-08'!$D:$D)</f>
        <v>28</v>
      </c>
      <c r="E42" s="8">
        <f>D42-C42</f>
        <v>-22</v>
      </c>
      <c r="F42" s="9">
        <f>IF(C42=0,"מוצר חדש",(D42-C42)/C42)</f>
        <v>-0.44</v>
      </c>
    </row>
    <row r="43" hidden="1" ht="15" customHeight="1">
      <c r="A43" s="6" t="n">
        <v>29984</v>
      </c>
      <c r="B43" s="6" t="inlineStr">
        <is>
          <t>URI 95 XS        1 מגן מרפק</t>
        </is>
      </c>
      <c r="C43" s="7">
        <f>SUMIF('מקור-01'!$A:$A,$A43,'מקור-01'!$C:$C)+SUMIF('מקור-02'!$A:$A,$A43,'מקור-02'!$C:$C)+SUMIF('מקור-03'!$A:$A,$A43,'מקור-03'!$C:$C)+SUMIF('מקור-04'!$A:$A,$A43,'מקור-04'!$C:$C)+SUMIF('מקור-05'!$A:$A,$A43,'מקור-05'!$C:$C)+SUMIF('מקור-06'!$A:$A,$A43,'מקור-06'!$C:$C)+SUMIF('מקור-07'!$A:$A,$A43,'מקור-07'!$C:$C)+SUMIF('מקור-08'!$A:$A,$A43,'מקור-08'!$C:$C)</f>
        <v>26</v>
      </c>
      <c r="D43" s="7">
        <f>SUMIF('מקור-01'!$A:$A,$A43,'מקור-01'!$D:$D)+SUMIF('מקור-02'!$A:$A,$A43,'מקור-02'!$D:$D)+SUMIF('מקור-03'!$A:$A,$A43,'מקור-03'!$D:$D)+SUMIF('מקור-04'!$A:$A,$A43,'מקור-04'!$D:$D)+SUMIF('מקור-05'!$A:$A,$A43,'מקור-05'!$D:$D)+SUMIF('מקור-06'!$A:$A,$A43,'מקור-06'!$D:$D)+SUMIF('מקור-07'!$A:$A,$A43,'מקור-07'!$D:$D)+SUMIF('מקור-08'!$A:$A,$A43,'מקור-08'!$D:$D)</f>
        <v>9</v>
      </c>
      <c r="E43" s="8">
        <f>D43-C43</f>
        <v>-17</v>
      </c>
      <c r="F43" s="9">
        <f>IF(C43=0,"מוצר חדש",(D43-C43)/C43)</f>
        <v>-0.6538461538461539</v>
      </c>
    </row>
    <row r="44" hidden="1" ht="15" customHeight="1">
      <c r="A44" s="6" t="n">
        <v>31183</v>
      </c>
      <c r="B44" s="6" t="inlineStr">
        <is>
          <t>URI 370       1 רפידת נוחות</t>
        </is>
      </c>
      <c r="C44" s="7">
        <f>SUMIF('מקור-01'!$A:$A,$A44,'מקור-01'!$C:$C)+SUMIF('מקור-02'!$A:$A,$A44,'מקור-02'!$C:$C)+SUMIF('מקור-03'!$A:$A,$A44,'מקור-03'!$C:$C)+SUMIF('מקור-04'!$A:$A,$A44,'מקור-04'!$C:$C)+SUMIF('מקור-05'!$A:$A,$A44,'מקור-05'!$C:$C)+SUMIF('מקור-06'!$A:$A,$A44,'מקור-06'!$C:$C)+SUMIF('מקור-07'!$A:$A,$A44,'מקור-07'!$C:$C)+SUMIF('מקור-08'!$A:$A,$A44,'מקור-08'!$C:$C)</f>
        <v>219</v>
      </c>
      <c r="D44" s="7">
        <f>SUMIF('מקור-01'!$A:$A,$A44,'מקור-01'!$D:$D)+SUMIF('מקור-02'!$A:$A,$A44,'מקור-02'!$D:$D)+SUMIF('מקור-03'!$A:$A,$A44,'מקור-03'!$D:$D)+SUMIF('מקור-04'!$A:$A,$A44,'מקור-04'!$D:$D)+SUMIF('מקור-05'!$A:$A,$A44,'מקור-05'!$D:$D)+SUMIF('מקור-06'!$A:$A,$A44,'מקור-06'!$D:$D)+SUMIF('מקור-07'!$A:$A,$A44,'מקור-07'!$D:$D)+SUMIF('מקור-08'!$A:$A,$A44,'מקור-08'!$D:$D)</f>
        <v>221</v>
      </c>
      <c r="E44" s="8">
        <f>D44-C44</f>
        <v>2</v>
      </c>
      <c r="F44" s="9">
        <f>IF(C44=0,"מוצר חדש",(D44-C44)/C44)</f>
        <v>0.0091324200913242</v>
      </c>
    </row>
    <row r="45" hidden="1" ht="15" customHeight="1">
      <c r="A45" s="6" t="n">
        <v>31188</v>
      </c>
      <c r="B45" s="6" t="inlineStr">
        <is>
          <t>URI 372    1 רפידת אנטי ריח</t>
        </is>
      </c>
      <c r="C45" s="7">
        <f>SUMIF('מקור-01'!$A:$A,$A45,'מקור-01'!$C:$C)+SUMIF('מקור-02'!$A:$A,$A45,'מקור-02'!$C:$C)+SUMIF('מקור-03'!$A:$A,$A45,'מקור-03'!$C:$C)+SUMIF('מקור-04'!$A:$A,$A45,'מקור-04'!$C:$C)+SUMIF('מקור-05'!$A:$A,$A45,'מקור-05'!$C:$C)+SUMIF('מקור-06'!$A:$A,$A45,'מקור-06'!$C:$C)+SUMIF('מקור-07'!$A:$A,$A45,'מקור-07'!$C:$C)+SUMIF('מקור-08'!$A:$A,$A45,'מקור-08'!$C:$C)</f>
        <v>359</v>
      </c>
      <c r="D45" s="7">
        <f>SUMIF('מקור-01'!$A:$A,$A45,'מקור-01'!$D:$D)+SUMIF('מקור-02'!$A:$A,$A45,'מקור-02'!$D:$D)+SUMIF('מקור-03'!$A:$A,$A45,'מקור-03'!$D:$D)+SUMIF('מקור-04'!$A:$A,$A45,'מקור-04'!$D:$D)+SUMIF('מקור-05'!$A:$A,$A45,'מקור-05'!$D:$D)+SUMIF('מקור-06'!$A:$A,$A45,'מקור-06'!$D:$D)+SUMIF('מקור-07'!$A:$A,$A45,'מקור-07'!$D:$D)+SUMIF('מקור-08'!$A:$A,$A45,'מקור-08'!$D:$D)</f>
        <v>352</v>
      </c>
      <c r="E45" s="8">
        <f>D45-C45</f>
        <v>-7</v>
      </c>
      <c r="F45" s="9">
        <f>IF(C45=0,"מוצר חדש",(D45-C45)/C45)</f>
        <v>-0.019498607242339833</v>
      </c>
    </row>
    <row r="46" hidden="1" ht="15" customHeight="1">
      <c r="A46" s="6" t="n">
        <v>31190</v>
      </c>
      <c r="B46" s="6" t="inlineStr">
        <is>
          <t>URI 374 1 רפידה בולמת זעזוע</t>
        </is>
      </c>
      <c r="C46" s="7">
        <f>SUMIF('מקור-01'!$A:$A,$A46,'מקור-01'!$C:$C)+SUMIF('מקור-02'!$A:$A,$A46,'מקור-02'!$C:$C)+SUMIF('מקור-03'!$A:$A,$A46,'מקור-03'!$C:$C)+SUMIF('מקור-04'!$A:$A,$A46,'מקור-04'!$C:$C)+SUMIF('מקור-05'!$A:$A,$A46,'מקור-05'!$C:$C)+SUMIF('מקור-06'!$A:$A,$A46,'מקור-06'!$C:$C)+SUMIF('מקור-07'!$A:$A,$A46,'מקור-07'!$C:$C)+SUMIF('מקור-08'!$A:$A,$A46,'מקור-08'!$C:$C)</f>
        <v>141</v>
      </c>
      <c r="D46" s="7">
        <f>SUMIF('מקור-01'!$A:$A,$A46,'מקור-01'!$D:$D)+SUMIF('מקור-02'!$A:$A,$A46,'מקור-02'!$D:$D)+SUMIF('מקור-03'!$A:$A,$A46,'מקור-03'!$D:$D)+SUMIF('מקור-04'!$A:$A,$A46,'מקור-04'!$D:$D)+SUMIF('מקור-05'!$A:$A,$A46,'מקור-05'!$D:$D)+SUMIF('מקור-06'!$A:$A,$A46,'מקור-06'!$D:$D)+SUMIF('מקור-07'!$A:$A,$A46,'מקור-07'!$D:$D)+SUMIF('מקור-08'!$A:$A,$A46,'מקור-08'!$D:$D)</f>
        <v>101</v>
      </c>
      <c r="E46" s="8">
        <f>D46-C46</f>
        <v>-40</v>
      </c>
      <c r="F46" s="9">
        <f>IF(C46=0,"מוצר חדש",(D46-C46)/C46)</f>
        <v>-0.28368794326241137</v>
      </c>
    </row>
    <row r="47" hidden="1" ht="15" customHeight="1">
      <c r="A47" s="6" t="n">
        <v>34874</v>
      </c>
      <c r="B47" s="6" t="inlineStr">
        <is>
          <t>URI 333         1 סד לקרסול</t>
        </is>
      </c>
      <c r="C47" s="7">
        <f>SUMIF('מקור-01'!$A:$A,$A47,'מקור-01'!$C:$C)+SUMIF('מקור-02'!$A:$A,$A47,'מקור-02'!$C:$C)+SUMIF('מקור-03'!$A:$A,$A47,'מקור-03'!$C:$C)+SUMIF('מקור-04'!$A:$A,$A47,'מקור-04'!$C:$C)+SUMIF('מקור-05'!$A:$A,$A47,'מקור-05'!$C:$C)+SUMIF('מקור-06'!$A:$A,$A47,'מקור-06'!$C:$C)+SUMIF('מקור-07'!$A:$A,$A47,'מקור-07'!$C:$C)+SUMIF('מקור-08'!$A:$A,$A47,'מקור-08'!$C:$C)</f>
        <v>22</v>
      </c>
      <c r="D47" s="7">
        <f>SUMIF('מקור-01'!$A:$A,$A47,'מקור-01'!$D:$D)+SUMIF('מקור-02'!$A:$A,$A47,'מקור-02'!$D:$D)+SUMIF('מקור-03'!$A:$A,$A47,'מקור-03'!$D:$D)+SUMIF('מקור-04'!$A:$A,$A47,'מקור-04'!$D:$D)+SUMIF('מקור-05'!$A:$A,$A47,'מקור-05'!$D:$D)+SUMIF('מקור-06'!$A:$A,$A47,'מקור-06'!$D:$D)+SUMIF('מקור-07'!$A:$A,$A47,'מקור-07'!$D:$D)+SUMIF('מקור-08'!$A:$A,$A47,'מקור-08'!$D:$D)</f>
        <v>12</v>
      </c>
      <c r="E47" s="8">
        <f>D47-C47</f>
        <v>-10</v>
      </c>
      <c r="F47" s="9">
        <f>IF(C47=0,"מוצר חדש",(D47-C47)/C47)</f>
        <v>-0.45454545454545453</v>
      </c>
    </row>
    <row r="48" hidden="1" ht="15" customHeight="1">
      <c r="A48" s="6" t="n">
        <v>35339</v>
      </c>
      <c r="B48" s="6" t="inlineStr">
        <is>
          <t>URI 307 S 1 זוג עקב סיל+נ כ</t>
        </is>
      </c>
      <c r="C48" s="7">
        <f>SUMIF('מקור-01'!$A:$A,$A48,'מקור-01'!$C:$C)+SUMIF('מקור-02'!$A:$A,$A48,'מקור-02'!$C:$C)+SUMIF('מקור-03'!$A:$A,$A48,'מקור-03'!$C:$C)+SUMIF('מקור-04'!$A:$A,$A48,'מקור-04'!$C:$C)+SUMIF('מקור-05'!$A:$A,$A48,'מקור-05'!$C:$C)+SUMIF('מקור-06'!$A:$A,$A48,'מקור-06'!$C:$C)+SUMIF('מקור-07'!$A:$A,$A48,'מקור-07'!$C:$C)+SUMIF('מקור-08'!$A:$A,$A48,'מקור-08'!$C:$C)</f>
        <v>31</v>
      </c>
      <c r="D48" s="7">
        <f>SUMIF('מקור-01'!$A:$A,$A48,'מקור-01'!$D:$D)+SUMIF('מקור-02'!$A:$A,$A48,'מקור-02'!$D:$D)+SUMIF('מקור-03'!$A:$A,$A48,'מקור-03'!$D:$D)+SUMIF('מקור-04'!$A:$A,$A48,'מקור-04'!$D:$D)+SUMIF('מקור-05'!$A:$A,$A48,'מקור-05'!$D:$D)+SUMIF('מקור-06'!$A:$A,$A48,'מקור-06'!$D:$D)+SUMIF('מקור-07'!$A:$A,$A48,'מקור-07'!$D:$D)+SUMIF('מקור-08'!$A:$A,$A48,'מקור-08'!$D:$D)</f>
        <v>39</v>
      </c>
      <c r="E48" s="8">
        <f>D48-C48</f>
        <v>8</v>
      </c>
      <c r="F48" s="9">
        <f>IF(C48=0,"מוצר חדש",(D48-C48)/C48)</f>
        <v>0.25806451612903225</v>
      </c>
    </row>
    <row r="49" hidden="1" ht="15" customHeight="1">
      <c r="A49" s="6" t="n">
        <v>42964</v>
      </c>
      <c r="B49" s="6" t="inlineStr">
        <is>
          <t>URI 45E  1 מגן ברך ארוך לבן</t>
        </is>
      </c>
      <c r="C49" s="7">
        <f>SUMIF('מקור-01'!$A:$A,$A49,'מקור-01'!$C:$C)+SUMIF('מקור-02'!$A:$A,$A49,'מקור-02'!$C:$C)+SUMIF('מקור-03'!$A:$A,$A49,'מקור-03'!$C:$C)+SUMIF('מקור-04'!$A:$A,$A49,'מקור-04'!$C:$C)+SUMIF('מקור-05'!$A:$A,$A49,'מקור-05'!$C:$C)+SUMIF('מקור-06'!$A:$A,$A49,'מקור-06'!$C:$C)+SUMIF('מקור-07'!$A:$A,$A49,'מקור-07'!$C:$C)+SUMIF('מקור-08'!$A:$A,$A49,'מקור-08'!$C:$C)</f>
        <v>52</v>
      </c>
      <c r="D49" s="7">
        <f>SUMIF('מקור-01'!$A:$A,$A49,'מקור-01'!$D:$D)+SUMIF('מקור-02'!$A:$A,$A49,'מקור-02'!$D:$D)+SUMIF('מקור-03'!$A:$A,$A49,'מקור-03'!$D:$D)+SUMIF('מקור-04'!$A:$A,$A49,'מקור-04'!$D:$D)+SUMIF('מקור-05'!$A:$A,$A49,'מקור-05'!$D:$D)+SUMIF('מקור-06'!$A:$A,$A49,'מקור-06'!$D:$D)+SUMIF('מקור-07'!$A:$A,$A49,'מקור-07'!$D:$D)+SUMIF('מקור-08'!$A:$A,$A49,'מקור-08'!$D:$D)</f>
        <v>61</v>
      </c>
      <c r="E49" s="8">
        <f>D49-C49</f>
        <v>9</v>
      </c>
      <c r="F49" s="9">
        <f>IF(C49=0,"מוצר חדש",(D49-C49)/C49)</f>
        <v>0.17307692307692307</v>
      </c>
    </row>
    <row r="50" hidden="1" ht="15" customHeight="1">
      <c r="A50" s="6" t="n">
        <v>43277</v>
      </c>
      <c r="B50" s="6" t="inlineStr">
        <is>
          <t>397A-39-42      1 גרבי טיסה</t>
        </is>
      </c>
      <c r="C50" s="7">
        <f>SUMIF('מקור-01'!$A:$A,$A50,'מקור-01'!$C:$C)+SUMIF('מקור-02'!$A:$A,$A50,'מקור-02'!$C:$C)+SUMIF('מקור-03'!$A:$A,$A50,'מקור-03'!$C:$C)+SUMIF('מקור-04'!$A:$A,$A50,'מקור-04'!$C:$C)+SUMIF('מקור-05'!$A:$A,$A50,'מקור-05'!$C:$C)+SUMIF('מקור-06'!$A:$A,$A50,'מקור-06'!$C:$C)+SUMIF('מקור-07'!$A:$A,$A50,'מקור-07'!$C:$C)+SUMIF('מקור-08'!$A:$A,$A50,'מקור-08'!$C:$C)</f>
        <v>0</v>
      </c>
      <c r="D50" s="7">
        <f>SUMIF('מקור-01'!$A:$A,$A50,'מקור-01'!$D:$D)+SUMIF('מקור-02'!$A:$A,$A50,'מקור-02'!$D:$D)+SUMIF('מקור-03'!$A:$A,$A50,'מקור-03'!$D:$D)+SUMIF('מקור-04'!$A:$A,$A50,'מקור-04'!$D:$D)+SUMIF('מקור-05'!$A:$A,$A50,'מקור-05'!$D:$D)+SUMIF('מקור-06'!$A:$A,$A50,'מקור-06'!$D:$D)+SUMIF('מקור-07'!$A:$A,$A50,'מקור-07'!$D:$D)+SUMIF('מקור-08'!$A:$A,$A50,'מקור-08'!$D:$D)</f>
        <v>77</v>
      </c>
      <c r="E50" s="8">
        <f>D50-C50</f>
        <v>77</v>
      </c>
      <c t="str" r="F50" s="9">
        <f>IF(C50=0,"מוצר חדש",(D50-C50)/C50)</f>
        <v>מוצר חדש</v>
      </c>
    </row>
    <row r="51" hidden="1" ht="15" customHeight="1">
      <c r="A51" s="6" t="n">
        <v>43283</v>
      </c>
      <c r="B51" s="6" t="inlineStr">
        <is>
          <t>397A-43-46      1 גרבי טיסה</t>
        </is>
      </c>
      <c r="C51" s="7">
        <f>SUMIF('מקור-01'!$A:$A,$A51,'מקור-01'!$C:$C)+SUMIF('מקור-02'!$A:$A,$A51,'מקור-02'!$C:$C)+SUMIF('מקור-03'!$A:$A,$A51,'מקור-03'!$C:$C)+SUMIF('מקור-04'!$A:$A,$A51,'מקור-04'!$C:$C)+SUMIF('מקור-05'!$A:$A,$A51,'מקור-05'!$C:$C)+SUMIF('מקור-06'!$A:$A,$A51,'מקור-06'!$C:$C)+SUMIF('מקור-07'!$A:$A,$A51,'מקור-07'!$C:$C)+SUMIF('מקור-08'!$A:$A,$A51,'מקור-08'!$C:$C)</f>
        <v>0</v>
      </c>
      <c r="D51" s="7">
        <f>SUMIF('מקור-01'!$A:$A,$A51,'מקור-01'!$D:$D)+SUMIF('מקור-02'!$A:$A,$A51,'מקור-02'!$D:$D)+SUMIF('מקור-03'!$A:$A,$A51,'מקור-03'!$D:$D)+SUMIF('מקור-04'!$A:$A,$A51,'מקור-04'!$D:$D)+SUMIF('מקור-05'!$A:$A,$A51,'מקור-05'!$D:$D)+SUMIF('מקור-06'!$A:$A,$A51,'מקור-06'!$D:$D)+SUMIF('מקור-07'!$A:$A,$A51,'מקור-07'!$D:$D)+SUMIF('מקור-08'!$A:$A,$A51,'מקור-08'!$D:$D)</f>
        <v>69</v>
      </c>
      <c r="E51" s="8">
        <f>D51-C51</f>
        <v>69</v>
      </c>
      <c t="str" r="F51" s="9">
        <f>IF(C51=0,"מוצר חדש",(D51-C51)/C51)</f>
        <v>מוצר חדש</v>
      </c>
    </row>
    <row r="52" hidden="1" ht="15" customHeight="1">
      <c r="A52" s="6" t="n">
        <v>44007</v>
      </c>
      <c r="B52" s="6" t="inlineStr">
        <is>
          <t>URI 07AU  1 חגור.גב איטלקית</t>
        </is>
      </c>
      <c r="C52" s="7">
        <f>SUMIF('מקור-01'!$A:$A,$A52,'מקור-01'!$C:$C)+SUMIF('מקור-02'!$A:$A,$A52,'מקור-02'!$C:$C)+SUMIF('מקור-03'!$A:$A,$A52,'מקור-03'!$C:$C)+SUMIF('מקור-04'!$A:$A,$A52,'מקור-04'!$C:$C)+SUMIF('מקור-05'!$A:$A,$A52,'מקור-05'!$C:$C)+SUMIF('מקור-06'!$A:$A,$A52,'מקור-06'!$C:$C)+SUMIF('מקור-07'!$A:$A,$A52,'מקור-07'!$C:$C)+SUMIF('מקור-08'!$A:$A,$A52,'מקור-08'!$C:$C)</f>
        <v>4</v>
      </c>
      <c r="D52" s="7">
        <f>SUMIF('מקור-01'!$A:$A,$A52,'מקור-01'!$D:$D)+SUMIF('מקור-02'!$A:$A,$A52,'מקור-02'!$D:$D)+SUMIF('מקור-03'!$A:$A,$A52,'מקור-03'!$D:$D)+SUMIF('מקור-04'!$A:$A,$A52,'מקור-04'!$D:$D)+SUMIF('מקור-05'!$A:$A,$A52,'מקור-05'!$D:$D)+SUMIF('מקור-06'!$A:$A,$A52,'מקור-06'!$D:$D)+SUMIF('מקור-07'!$A:$A,$A52,'מקור-07'!$D:$D)+SUMIF('מקור-08'!$A:$A,$A52,'מקור-08'!$D:$D)</f>
        <v>1</v>
      </c>
      <c r="E52" s="8">
        <f>D52-C52</f>
        <v>-3</v>
      </c>
      <c r="F52" s="9">
        <f>IF(C52=0,"מוצר חדש",(D52-C52)/C52)</f>
        <v>-0.75</v>
      </c>
    </row>
    <row r="53" hidden="1" ht="15" customHeight="1">
      <c r="A53" s="6" t="n">
        <v>45264</v>
      </c>
      <c r="B53" s="6" t="inlineStr">
        <is>
          <t>URI 34+        1 מגן לקרסול</t>
        </is>
      </c>
      <c r="C53" s="7">
        <f>SUMIF('מקור-01'!$A:$A,$A53,'מקור-01'!$C:$C)+SUMIF('מקור-02'!$A:$A,$A53,'מקור-02'!$C:$C)+SUMIF('מקור-03'!$A:$A,$A53,'מקור-03'!$C:$C)+SUMIF('מקור-04'!$A:$A,$A53,'מקור-04'!$C:$C)+SUMIF('מקור-05'!$A:$A,$A53,'מקור-05'!$C:$C)+SUMIF('מקור-06'!$A:$A,$A53,'מקור-06'!$C:$C)+SUMIF('מקור-07'!$A:$A,$A53,'מקור-07'!$C:$C)+SUMIF('מקור-08'!$A:$A,$A53,'מקור-08'!$C:$C)</f>
        <v>22</v>
      </c>
      <c r="D53" s="7">
        <f>SUMIF('מקור-01'!$A:$A,$A53,'מקור-01'!$D:$D)+SUMIF('מקור-02'!$A:$A,$A53,'מקור-02'!$D:$D)+SUMIF('מקור-03'!$A:$A,$A53,'מקור-03'!$D:$D)+SUMIF('מקור-04'!$A:$A,$A53,'מקור-04'!$D:$D)+SUMIF('מקור-05'!$A:$A,$A53,'מקור-05'!$D:$D)+SUMIF('מקור-06'!$A:$A,$A53,'מקור-06'!$D:$D)+SUMIF('מקור-07'!$A:$A,$A53,'מקור-07'!$D:$D)+SUMIF('מקור-08'!$A:$A,$A53,'מקור-08'!$D:$D)</f>
        <v>27</v>
      </c>
      <c r="E53" s="8">
        <f>D53-C53</f>
        <v>5</v>
      </c>
      <c r="F53" s="9">
        <f>IF(C53=0,"מוצר חדש",(D53-C53)/C53)</f>
        <v>0.22727272727272727</v>
      </c>
    </row>
    <row r="54" hidden="1" ht="15" customHeight="1">
      <c r="A54" s="6" t="n">
        <v>46306</v>
      </c>
      <c r="B54" s="6" t="inlineStr">
        <is>
          <t>STRAP4U 239B S-M 1</t>
        </is>
      </c>
      <c r="C54" s="7">
        <f>SUMIF('מקור-01'!$A:$A,$A54,'מקור-01'!$C:$C)+SUMIF('מקור-02'!$A:$A,$A54,'מקור-02'!$C:$C)+SUMIF('מקור-03'!$A:$A,$A54,'מקור-03'!$C:$C)+SUMIF('מקור-04'!$A:$A,$A54,'מקור-04'!$C:$C)+SUMIF('מקור-05'!$A:$A,$A54,'מקור-05'!$C:$C)+SUMIF('מקור-06'!$A:$A,$A54,'מקור-06'!$C:$C)+SUMIF('מקור-07'!$A:$A,$A54,'מקור-07'!$C:$C)+SUMIF('מקור-08'!$A:$A,$A54,'מקור-08'!$C:$C)</f>
        <v>4</v>
      </c>
      <c r="D54" s="7">
        <f>SUMIF('מקור-01'!$A:$A,$A54,'מקור-01'!$D:$D)+SUMIF('מקור-02'!$A:$A,$A54,'מקור-02'!$D:$D)+SUMIF('מקור-03'!$A:$A,$A54,'מקור-03'!$D:$D)+SUMIF('מקור-04'!$A:$A,$A54,'מקור-04'!$D:$D)+SUMIF('מקור-05'!$A:$A,$A54,'מקור-05'!$D:$D)+SUMIF('מקור-06'!$A:$A,$A54,'מקור-06'!$D:$D)+SUMIF('מקור-07'!$A:$A,$A54,'מקור-07'!$D:$D)+SUMIF('מקור-08'!$A:$A,$A54,'מקור-08'!$D:$D)</f>
        <v>7</v>
      </c>
      <c r="E54" s="8">
        <f>D54-C54</f>
        <v>3</v>
      </c>
      <c r="F54" s="9">
        <f>IF(C54=0,"מוצר חדש",(D54-C54)/C54)</f>
        <v>0.75</v>
      </c>
    </row>
    <row r="55" hidden="1" ht="15" customHeight="1">
      <c r="A55" s="6" t="n">
        <v>46309</v>
      </c>
      <c r="B55" s="6" t="inlineStr">
        <is>
          <t>STRAP4U 239B L-XL 1</t>
        </is>
      </c>
      <c r="C55" s="7">
        <f>SUMIF('מקור-01'!$A:$A,$A55,'מקור-01'!$C:$C)+SUMIF('מקור-02'!$A:$A,$A55,'מקור-02'!$C:$C)+SUMIF('מקור-03'!$A:$A,$A55,'מקור-03'!$C:$C)+SUMIF('מקור-04'!$A:$A,$A55,'מקור-04'!$C:$C)+SUMIF('מקור-05'!$A:$A,$A55,'מקור-05'!$C:$C)+SUMIF('מקור-06'!$A:$A,$A55,'מקור-06'!$C:$C)+SUMIF('מקור-07'!$A:$A,$A55,'מקור-07'!$C:$C)+SUMIF('מקור-08'!$A:$A,$A55,'מקור-08'!$C:$C)</f>
        <v>2</v>
      </c>
      <c r="D55" s="7">
        <f>SUMIF('מקור-01'!$A:$A,$A55,'מקור-01'!$D:$D)+SUMIF('מקור-02'!$A:$A,$A55,'מקור-02'!$D:$D)+SUMIF('מקור-03'!$A:$A,$A55,'מקור-03'!$D:$D)+SUMIF('מקור-04'!$A:$A,$A55,'מקור-04'!$D:$D)+SUMIF('מקור-05'!$A:$A,$A55,'מקור-05'!$D:$D)+SUMIF('מקור-06'!$A:$A,$A55,'מקור-06'!$D:$D)+SUMIF('מקור-07'!$A:$A,$A55,'מקור-07'!$D:$D)+SUMIF('מקור-08'!$A:$A,$A55,'מקור-08'!$D:$D)</f>
        <v>7</v>
      </c>
      <c r="E55" s="8">
        <f>D55-C55</f>
        <v>5</v>
      </c>
      <c r="F55" s="9">
        <f>IF(C55=0,"מוצר חדש",(D55-C55)/C55)</f>
        <v>2.5</v>
      </c>
    </row>
    <row r="56" hidden="1" ht="15" customHeight="1">
      <c r="A56" s="6" t="n">
        <v>46310</v>
      </c>
      <c r="B56" s="6" t="inlineStr">
        <is>
          <t>STRAP4U 239TR L-XL 1</t>
        </is>
      </c>
      <c r="C56" s="7">
        <f>SUMIF('מקור-01'!$A:$A,$A56,'מקור-01'!$C:$C)+SUMIF('מקור-02'!$A:$A,$A56,'מקור-02'!$C:$C)+SUMIF('מקור-03'!$A:$A,$A56,'מקור-03'!$C:$C)+SUMIF('מקור-04'!$A:$A,$A56,'מקור-04'!$C:$C)+SUMIF('מקור-05'!$A:$A,$A56,'מקור-05'!$C:$C)+SUMIF('מקור-06'!$A:$A,$A56,'מקור-06'!$C:$C)+SUMIF('מקור-07'!$A:$A,$A56,'מקור-07'!$C:$C)+SUMIF('מקור-08'!$A:$A,$A56,'מקור-08'!$C:$C)</f>
        <v>0</v>
      </c>
      <c r="D56" s="7">
        <f>SUMIF('מקור-01'!$A:$A,$A56,'מקור-01'!$D:$D)+SUMIF('מקור-02'!$A:$A,$A56,'מקור-02'!$D:$D)+SUMIF('מקור-03'!$A:$A,$A56,'מקור-03'!$D:$D)+SUMIF('מקור-04'!$A:$A,$A56,'מקור-04'!$D:$D)+SUMIF('מקור-05'!$A:$A,$A56,'מקור-05'!$D:$D)+SUMIF('מקור-06'!$A:$A,$A56,'מקור-06'!$D:$D)+SUMIF('מקור-07'!$A:$A,$A56,'מקור-07'!$D:$D)+SUMIF('מקור-08'!$A:$A,$A56,'מקור-08'!$D:$D)</f>
        <v>0</v>
      </c>
      <c r="E56" s="8">
        <f>D56-C56</f>
        <v>0</v>
      </c>
      <c t="str" r="F56" s="9">
        <f>IF(C56=0,"מוצר חדש",(D56-C56)/C56)</f>
        <v>מוצר חדש</v>
      </c>
    </row>
    <row r="57" hidden="1" ht="15" customHeight="1">
      <c r="A57" s="6" t="n">
        <v>47877</v>
      </c>
      <c r="B57" s="6" t="inlineStr">
        <is>
          <t>URI 21        1 חבק יד ארוך</t>
        </is>
      </c>
      <c r="C57" s="7">
        <f>SUMIF('מקור-01'!$A:$A,$A57,'מקור-01'!$C:$C)+SUMIF('מקור-02'!$A:$A,$A57,'מקור-02'!$C:$C)+SUMIF('מקור-03'!$A:$A,$A57,'מקור-03'!$C:$C)+SUMIF('מקור-04'!$A:$A,$A57,'מקור-04'!$C:$C)+SUMIF('מקור-05'!$A:$A,$A57,'מקור-05'!$C:$C)+SUMIF('מקור-06'!$A:$A,$A57,'מקור-06'!$C:$C)+SUMIF('מקור-07'!$A:$A,$A57,'מקור-07'!$C:$C)+SUMIF('מקור-08'!$A:$A,$A57,'מקור-08'!$C:$C)</f>
        <v>110</v>
      </c>
      <c r="D57" s="7">
        <f>SUMIF('מקור-01'!$A:$A,$A57,'מקור-01'!$D:$D)+SUMIF('מקור-02'!$A:$A,$A57,'מקור-02'!$D:$D)+SUMIF('מקור-03'!$A:$A,$A57,'מקור-03'!$D:$D)+SUMIF('מקור-04'!$A:$A,$A57,'מקור-04'!$D:$D)+SUMIF('מקור-05'!$A:$A,$A57,'מקור-05'!$D:$D)+SUMIF('מקור-06'!$A:$A,$A57,'מקור-06'!$D:$D)+SUMIF('מקור-07'!$A:$A,$A57,'מקור-07'!$D:$D)+SUMIF('מקור-08'!$A:$A,$A57,'מקור-08'!$D:$D)</f>
        <v>88</v>
      </c>
      <c r="E57" s="8">
        <f>D57-C57</f>
        <v>-22</v>
      </c>
      <c r="F57" s="9">
        <f>IF(C57=0,"מוצר חדש",(D57-C57)/C57)</f>
        <v>-0.2</v>
      </c>
    </row>
    <row r="58" hidden="1" ht="15" customHeight="1">
      <c r="A58" s="6" t="n">
        <v>49718</v>
      </c>
      <c r="B58" s="6" t="inlineStr">
        <is>
          <t>THERMOFLEX 33   1 סד לקרסול</t>
        </is>
      </c>
      <c r="C58" s="7">
        <f>SUMIF('מקור-01'!$A:$A,$A58,'מקור-01'!$C:$C)+SUMIF('מקור-02'!$A:$A,$A58,'מקור-02'!$C:$C)+SUMIF('מקור-03'!$A:$A,$A58,'מקור-03'!$C:$C)+SUMIF('מקור-04'!$A:$A,$A58,'מקור-04'!$C:$C)+SUMIF('מקור-05'!$A:$A,$A58,'מקור-05'!$C:$C)+SUMIF('מקור-06'!$A:$A,$A58,'מקור-06'!$C:$C)+SUMIF('מקור-07'!$A:$A,$A58,'מקור-07'!$C:$C)+SUMIF('מקור-08'!$A:$A,$A58,'מקור-08'!$C:$C)</f>
        <v>1</v>
      </c>
      <c r="D58" s="7">
        <f>SUMIF('מקור-01'!$A:$A,$A58,'מקור-01'!$D:$D)+SUMIF('מקור-02'!$A:$A,$A58,'מקור-02'!$D:$D)+SUMIF('מקור-03'!$A:$A,$A58,'מקור-03'!$D:$D)+SUMIF('מקור-04'!$A:$A,$A58,'מקור-04'!$D:$D)+SUMIF('מקור-05'!$A:$A,$A58,'מקור-05'!$D:$D)+SUMIF('מקור-06'!$A:$A,$A58,'מקור-06'!$D:$D)+SUMIF('מקור-07'!$A:$A,$A58,'מקור-07'!$D:$D)+SUMIF('מקור-08'!$A:$A,$A58,'מקור-08'!$D:$D)</f>
        <v>0</v>
      </c>
      <c r="E58" s="8">
        <f>D58-C58</f>
        <v>-1</v>
      </c>
      <c r="F58" s="9">
        <f>IF(C58=0,"מוצר חדש",(D58-C58)/C58)</f>
        <v>-1</v>
      </c>
    </row>
    <row r="59" hidden="1" ht="15" customHeight="1">
      <c r="A59" s="6" t="n">
        <v>49770</v>
      </c>
      <c r="B59" s="6" t="inlineStr">
        <is>
          <t>THERMOFLEX 78        1 תומך</t>
        </is>
      </c>
      <c r="C59" s="7">
        <f>SUMIF('מקור-01'!$A:$A,$A59,'מקור-01'!$C:$C)+SUMIF('מקור-02'!$A:$A,$A59,'מקור-02'!$C:$C)+SUMIF('מקור-03'!$A:$A,$A59,'מקור-03'!$C:$C)+SUMIF('מקור-04'!$A:$A,$A59,'מקור-04'!$C:$C)+SUMIF('מקור-05'!$A:$A,$A59,'מקור-05'!$C:$C)+SUMIF('מקור-06'!$A:$A,$A59,'מקור-06'!$C:$C)+SUMIF('מקור-07'!$A:$A,$A59,'מקור-07'!$C:$C)+SUMIF('מקור-08'!$A:$A,$A59,'מקור-08'!$C:$C)</f>
        <v>0</v>
      </c>
      <c r="D59" s="7">
        <f>SUMIF('מקור-01'!$A:$A,$A59,'מקור-01'!$D:$D)+SUMIF('מקור-02'!$A:$A,$A59,'מקור-02'!$D:$D)+SUMIF('מקור-03'!$A:$A,$A59,'מקור-03'!$D:$D)+SUMIF('מקור-04'!$A:$A,$A59,'מקור-04'!$D:$D)+SUMIF('מקור-05'!$A:$A,$A59,'מקור-05'!$D:$D)+SUMIF('מקור-06'!$A:$A,$A59,'מקור-06'!$D:$D)+SUMIF('מקור-07'!$A:$A,$A59,'מקור-07'!$D:$D)+SUMIF('מקור-08'!$A:$A,$A59,'מקור-08'!$D:$D)</f>
        <v>1</v>
      </c>
      <c r="E59" s="8">
        <f>D59-C59</f>
        <v>1</v>
      </c>
      <c t="str" r="F59" s="9">
        <f>IF(C59=0,"מוצר חדש",(D59-C59)/C59)</f>
        <v>מוצר חדש</v>
      </c>
    </row>
    <row r="60" hidden="1" ht="15" customHeight="1">
      <c r="A60" s="6" t="n">
        <v>49772</v>
      </c>
      <c r="B60" s="6" t="inlineStr">
        <is>
          <t>THERMOFLEX 90  1 רצועת טניס</t>
        </is>
      </c>
      <c r="C60" s="7">
        <f>SUMIF('מקור-01'!$A:$A,$A60,'מקור-01'!$C:$C)+SUMIF('מקור-02'!$A:$A,$A60,'מקור-02'!$C:$C)+SUMIF('מקור-03'!$A:$A,$A60,'מקור-03'!$C:$C)+SUMIF('מקור-04'!$A:$A,$A60,'מקור-04'!$C:$C)+SUMIF('מקור-05'!$A:$A,$A60,'מקור-05'!$C:$C)+SUMIF('מקור-06'!$A:$A,$A60,'מקור-06'!$C:$C)+SUMIF('מקור-07'!$A:$A,$A60,'מקור-07'!$C:$C)+SUMIF('מקור-08'!$A:$A,$A60,'מקור-08'!$C:$C)</f>
        <v>48</v>
      </c>
      <c r="D60" s="7">
        <f>SUMIF('מקור-01'!$A:$A,$A60,'מקור-01'!$D:$D)+SUMIF('מקור-02'!$A:$A,$A60,'מקור-02'!$D:$D)+SUMIF('מקור-03'!$A:$A,$A60,'מקור-03'!$D:$D)+SUMIF('מקור-04'!$A:$A,$A60,'מקור-04'!$D:$D)+SUMIF('מקור-05'!$A:$A,$A60,'מקור-05'!$D:$D)+SUMIF('מקור-06'!$A:$A,$A60,'מקור-06'!$D:$D)+SUMIF('מקור-07'!$A:$A,$A60,'מקור-07'!$D:$D)+SUMIF('מקור-08'!$A:$A,$A60,'מקור-08'!$D:$D)</f>
        <v>31</v>
      </c>
      <c r="E60" s="8">
        <f>D60-C60</f>
        <v>-17</v>
      </c>
      <c r="F60" s="9">
        <f>IF(C60=0,"מוצר חדש",(D60-C60)/C60)</f>
        <v>-0.3541666666666667</v>
      </c>
    </row>
    <row r="61" hidden="1" ht="15" customHeight="1">
      <c r="A61" s="6" t="n">
        <v>50022</v>
      </c>
      <c r="B61" s="6" t="inlineStr">
        <is>
          <t>URI 38  1 חבישת הלוקס ולגוס</t>
        </is>
      </c>
      <c r="C61" s="7">
        <f>SUMIF('מקור-01'!$A:$A,$A61,'מקור-01'!$C:$C)+SUMIF('מקור-02'!$A:$A,$A61,'מקור-02'!$C:$C)+SUMIF('מקור-03'!$A:$A,$A61,'מקור-03'!$C:$C)+SUMIF('מקור-04'!$A:$A,$A61,'מקור-04'!$C:$C)+SUMIF('מקור-05'!$A:$A,$A61,'מקור-05'!$C:$C)+SUMIF('מקור-06'!$A:$A,$A61,'מקור-06'!$C:$C)+SUMIF('מקור-07'!$A:$A,$A61,'מקור-07'!$C:$C)+SUMIF('מקור-08'!$A:$A,$A61,'מקור-08'!$C:$C)</f>
        <v>7</v>
      </c>
      <c r="D61" s="7">
        <f>SUMIF('מקור-01'!$A:$A,$A61,'מקור-01'!$D:$D)+SUMIF('מקור-02'!$A:$A,$A61,'מקור-02'!$D:$D)+SUMIF('מקור-03'!$A:$A,$A61,'מקור-03'!$D:$D)+SUMIF('מקור-04'!$A:$A,$A61,'מקור-04'!$D:$D)+SUMIF('מקור-05'!$A:$A,$A61,'מקור-05'!$D:$D)+SUMIF('מקור-06'!$A:$A,$A61,'מקור-06'!$D:$D)+SUMIF('מקור-07'!$A:$A,$A61,'מקור-07'!$D:$D)+SUMIF('מקור-08'!$A:$A,$A61,'מקור-08'!$D:$D)</f>
        <v>5</v>
      </c>
      <c r="E61" s="8">
        <f>D61-C61</f>
        <v>-2</v>
      </c>
      <c r="F61" s="9">
        <f>IF(C61=0,"מוצר חדש",(D61-C61)/C61)</f>
        <v>-0.2857142857142857</v>
      </c>
    </row>
    <row r="62" hidden="1" ht="15" customHeight="1">
      <c r="A62" s="6" t="n">
        <v>50055</v>
      </c>
      <c r="B62" s="6" t="inlineStr">
        <is>
          <t>URI 74    1 רצועה לשבר בעצם</t>
        </is>
      </c>
      <c r="C62" s="7">
        <f>SUMIF('מקור-01'!$A:$A,$A62,'מקור-01'!$C:$C)+SUMIF('מקור-02'!$A:$A,$A62,'מקור-02'!$C:$C)+SUMIF('מקור-03'!$A:$A,$A62,'מקור-03'!$C:$C)+SUMIF('מקור-04'!$A:$A,$A62,'מקור-04'!$C:$C)+SUMIF('מקור-05'!$A:$A,$A62,'מקור-05'!$C:$C)+SUMIF('מקור-06'!$A:$A,$A62,'מקור-06'!$C:$C)+SUMIF('מקור-07'!$A:$A,$A62,'מקור-07'!$C:$C)+SUMIF('מקור-08'!$A:$A,$A62,'מקור-08'!$C:$C)</f>
        <v>5</v>
      </c>
      <c r="D62" s="7">
        <f>SUMIF('מקור-01'!$A:$A,$A62,'מקור-01'!$D:$D)+SUMIF('מקור-02'!$A:$A,$A62,'מקור-02'!$D:$D)+SUMIF('מקור-03'!$A:$A,$A62,'מקור-03'!$D:$D)+SUMIF('מקור-04'!$A:$A,$A62,'מקור-04'!$D:$D)+SUMIF('מקור-05'!$A:$A,$A62,'מקור-05'!$D:$D)+SUMIF('מקור-06'!$A:$A,$A62,'מקור-06'!$D:$D)+SUMIF('מקור-07'!$A:$A,$A62,'מקור-07'!$D:$D)+SUMIF('מקור-08'!$A:$A,$A62,'מקור-08'!$D:$D)</f>
        <v>3</v>
      </c>
      <c r="E62" s="8">
        <f>D62-C62</f>
        <v>-2</v>
      </c>
      <c r="F62" s="9">
        <f>IF(C62=0,"מוצר חדש",(D62-C62)/C62)</f>
        <v>-0.4</v>
      </c>
    </row>
    <row r="63" hidden="1" ht="15" customHeight="1">
      <c r="A63" s="6" t="n">
        <v>50057</v>
      </c>
      <c r="B63" s="6" t="inlineStr">
        <is>
          <t>URI 76          1 מיישר כתף</t>
        </is>
      </c>
      <c r="C63" s="7">
        <f>SUMIF('מקור-01'!$A:$A,$A63,'מקור-01'!$C:$C)+SUMIF('מקור-02'!$A:$A,$A63,'מקור-02'!$C:$C)+SUMIF('מקור-03'!$A:$A,$A63,'מקור-03'!$C:$C)+SUMIF('מקור-04'!$A:$A,$A63,'מקור-04'!$C:$C)+SUMIF('מקור-05'!$A:$A,$A63,'מקור-05'!$C:$C)+SUMIF('מקור-06'!$A:$A,$A63,'מקור-06'!$C:$C)+SUMIF('מקור-07'!$A:$A,$A63,'מקור-07'!$C:$C)+SUMIF('מקור-08'!$A:$A,$A63,'מקור-08'!$C:$C)</f>
        <v>9</v>
      </c>
      <c r="D63" s="7">
        <f>SUMIF('מקור-01'!$A:$A,$A63,'מקור-01'!$D:$D)+SUMIF('מקור-02'!$A:$A,$A63,'מקור-02'!$D:$D)+SUMIF('מקור-03'!$A:$A,$A63,'מקור-03'!$D:$D)+SUMIF('מקור-04'!$A:$A,$A63,'מקור-04'!$D:$D)+SUMIF('מקור-05'!$A:$A,$A63,'מקור-05'!$D:$D)+SUMIF('מקור-06'!$A:$A,$A63,'מקור-06'!$D:$D)+SUMIF('מקור-07'!$A:$A,$A63,'מקור-07'!$D:$D)+SUMIF('מקור-08'!$A:$A,$A63,'מקור-08'!$D:$D)</f>
        <v>4</v>
      </c>
      <c r="E63" s="8">
        <f>D63-C63</f>
        <v>-5</v>
      </c>
      <c r="F63" s="9">
        <f>IF(C63=0,"מוצר חדש",(D63-C63)/C63)</f>
        <v>-0.5555555555555556</v>
      </c>
    </row>
    <row r="64" hidden="1" ht="15" customHeight="1">
      <c r="A64" s="6" t="n">
        <v>50061</v>
      </c>
      <c r="B64" s="6" t="inlineStr">
        <is>
          <t>URI 87 S 1 חגו.קיבוע תמ.אמה</t>
        </is>
      </c>
      <c r="C64" s="7">
        <f>SUMIF('מקור-01'!$A:$A,$A64,'מקור-01'!$C:$C)+SUMIF('מקור-02'!$A:$A,$A64,'מקור-02'!$C:$C)+SUMIF('מקור-03'!$A:$A,$A64,'מקור-03'!$C:$C)+SUMIF('מקור-04'!$A:$A,$A64,'מקור-04'!$C:$C)+SUMIF('מקור-05'!$A:$A,$A64,'מקור-05'!$C:$C)+SUMIF('מקור-06'!$A:$A,$A64,'מקור-06'!$C:$C)+SUMIF('מקור-07'!$A:$A,$A64,'מקור-07'!$C:$C)+SUMIF('מקור-08'!$A:$A,$A64,'מקור-08'!$C:$C)</f>
        <v>3</v>
      </c>
      <c r="D64" s="7">
        <f>SUMIF('מקור-01'!$A:$A,$A64,'מקור-01'!$D:$D)+SUMIF('מקור-02'!$A:$A,$A64,'מקור-02'!$D:$D)+SUMIF('מקור-03'!$A:$A,$A64,'מקור-03'!$D:$D)+SUMIF('מקור-04'!$A:$A,$A64,'מקור-04'!$D:$D)+SUMIF('מקור-05'!$A:$A,$A64,'מקור-05'!$D:$D)+SUMIF('מקור-06'!$A:$A,$A64,'מקור-06'!$D:$D)+SUMIF('מקור-07'!$A:$A,$A64,'מקור-07'!$D:$D)+SUMIF('מקור-08'!$A:$A,$A64,'מקור-08'!$D:$D)</f>
        <v>3</v>
      </c>
      <c r="E64" s="8">
        <f>D64-C64</f>
        <v>0</v>
      </c>
      <c r="F64" s="9">
        <f>IF(C64=0,"מוצר חדש",(D64-C64)/C64)</f>
        <v>0</v>
      </c>
    </row>
    <row r="65" hidden="1" ht="15" customHeight="1">
      <c r="A65" s="6" t="n">
        <v>51567</v>
      </c>
      <c r="B65" s="6" t="inlineStr">
        <is>
          <t xml:space="preserve">                                   1 סד יד דו צדדי</t>
        </is>
      </c>
      <c r="C65" s="7">
        <f>SUMIF('מקור-01'!$A:$A,$A65,'מקור-01'!$C:$C)+SUMIF('מקור-02'!$A:$A,$A65,'מקור-02'!$C:$C)+SUMIF('מקור-03'!$A:$A,$A65,'מקור-03'!$C:$C)+SUMIF('מקור-04'!$A:$A,$A65,'מקור-04'!$C:$C)+SUMIF('מקור-05'!$A:$A,$A65,'מקור-05'!$C:$C)+SUMIF('מקור-06'!$A:$A,$A65,'מקור-06'!$C:$C)+SUMIF('מקור-07'!$A:$A,$A65,'מקור-07'!$C:$C)+SUMIF('מקור-08'!$A:$A,$A65,'מקור-08'!$C:$C)</f>
        <v>1085</v>
      </c>
      <c r="D65" s="7">
        <f>SUMIF('מקור-01'!$A:$A,$A65,'מקור-01'!$D:$D)+SUMIF('מקור-02'!$A:$A,$A65,'מקור-02'!$D:$D)+SUMIF('מקור-03'!$A:$A,$A65,'מקור-03'!$D:$D)+SUMIF('מקור-04'!$A:$A,$A65,'מקור-04'!$D:$D)+SUMIF('מקור-05'!$A:$A,$A65,'מקור-05'!$D:$D)+SUMIF('מקור-06'!$A:$A,$A65,'מקור-06'!$D:$D)+SUMIF('מקור-07'!$A:$A,$A65,'מקור-07'!$D:$D)+SUMIF('מקור-08'!$A:$A,$A65,'מקור-08'!$D:$D)</f>
        <v>1104</v>
      </c>
      <c r="E65" s="8">
        <f>D65-C65</f>
        <v>19</v>
      </c>
      <c r="F65" s="9">
        <f>IF(C65=0,"מוצר חדש",(D65-C65)/C65)</f>
        <v>0.017511520737327188</v>
      </c>
    </row>
    <row r="66" hidden="1" ht="15" customHeight="1">
      <c r="A66" s="6" t="n">
        <v>51568</v>
      </c>
      <c r="B66" s="6" t="inlineStr">
        <is>
          <t xml:space="preserve">                                       1 סד לאגודל</t>
        </is>
      </c>
      <c r="C66" s="7">
        <f>SUMIF('מקור-01'!$A:$A,$A66,'מקור-01'!$C:$C)+SUMIF('מקור-02'!$A:$A,$A66,'מקור-02'!$C:$C)+SUMIF('מקור-03'!$A:$A,$A66,'מקור-03'!$C:$C)+SUMIF('מקור-04'!$A:$A,$A66,'מקור-04'!$C:$C)+SUMIF('מקור-05'!$A:$A,$A66,'מקור-05'!$C:$C)+SUMIF('מקור-06'!$A:$A,$A66,'מקור-06'!$C:$C)+SUMIF('מקור-07'!$A:$A,$A66,'מקור-07'!$C:$C)+SUMIF('מקור-08'!$A:$A,$A66,'מקור-08'!$C:$C)</f>
        <v>347</v>
      </c>
      <c r="D66" s="7">
        <f>SUMIF('מקור-01'!$A:$A,$A66,'מקור-01'!$D:$D)+SUMIF('מקור-02'!$A:$A,$A66,'מקור-02'!$D:$D)+SUMIF('מקור-03'!$A:$A,$A66,'מקור-03'!$D:$D)+SUMIF('מקור-04'!$A:$A,$A66,'מקור-04'!$D:$D)+SUMIF('מקור-05'!$A:$A,$A66,'מקור-05'!$D:$D)+SUMIF('מקור-06'!$A:$A,$A66,'מקור-06'!$D:$D)+SUMIF('מקור-07'!$A:$A,$A66,'מקור-07'!$D:$D)+SUMIF('מקור-08'!$A:$A,$A66,'מקור-08'!$D:$D)</f>
        <v>472</v>
      </c>
      <c r="E66" s="8">
        <f>D66-C66</f>
        <v>125</v>
      </c>
      <c r="F66" s="9">
        <f>IF(C66=0,"מוצר חדש",(D66-C66)/C66)</f>
        <v>0.36023054755043227</v>
      </c>
    </row>
    <row r="67" hidden="1" ht="15" customHeight="1">
      <c r="A67" s="6" t="n">
        <v>52147</v>
      </c>
      <c r="B67" s="6" t="inlineStr">
        <is>
          <t>URI FC321  1 מלח אמבט לכף ר</t>
        </is>
      </c>
      <c r="C67" s="7">
        <f>SUMIF('מקור-01'!$A:$A,$A67,'מקור-01'!$C:$C)+SUMIF('מקור-02'!$A:$A,$A67,'מקור-02'!$C:$C)+SUMIF('מקור-03'!$A:$A,$A67,'מקור-03'!$C:$C)+SUMIF('מקור-04'!$A:$A,$A67,'מקור-04'!$C:$C)+SUMIF('מקור-05'!$A:$A,$A67,'מקור-05'!$C:$C)+SUMIF('מקור-06'!$A:$A,$A67,'מקור-06'!$C:$C)+SUMIF('מקור-07'!$A:$A,$A67,'מקור-07'!$C:$C)+SUMIF('מקור-08'!$A:$A,$A67,'מקור-08'!$C:$C)</f>
        <v>80</v>
      </c>
      <c r="D67" s="7">
        <f>SUMIF('מקור-01'!$A:$A,$A67,'מקור-01'!$D:$D)+SUMIF('מקור-02'!$A:$A,$A67,'מקור-02'!$D:$D)+SUMIF('מקור-03'!$A:$A,$A67,'מקור-03'!$D:$D)+SUMIF('מקור-04'!$A:$A,$A67,'מקור-04'!$D:$D)+SUMIF('מקור-05'!$A:$A,$A67,'מקור-05'!$D:$D)+SUMIF('מקור-06'!$A:$A,$A67,'מקור-06'!$D:$D)+SUMIF('מקור-07'!$A:$A,$A67,'מקור-07'!$D:$D)+SUMIF('מקור-08'!$A:$A,$A67,'מקור-08'!$D:$D)</f>
        <v>139</v>
      </c>
      <c r="E67" s="8">
        <f>D67-C67</f>
        <v>59</v>
      </c>
      <c r="F67" s="9">
        <f>IF(C67=0,"מוצר חדש",(D67-C67)/C67)</f>
        <v>0.7375</v>
      </c>
    </row>
    <row r="68" hidden="1" ht="15" customHeight="1">
      <c r="A68" s="6" t="n">
        <v>52323</v>
      </c>
      <c r="B68" s="6" t="inlineStr">
        <is>
          <t>URI 078G L 1 חגורת גב אפורה</t>
        </is>
      </c>
      <c r="C68" s="7">
        <f>SUMIF('מקור-01'!$A:$A,$A68,'מקור-01'!$C:$C)+SUMIF('מקור-02'!$A:$A,$A68,'מקור-02'!$C:$C)+SUMIF('מקור-03'!$A:$A,$A68,'מקור-03'!$C:$C)+SUMIF('מקור-04'!$A:$A,$A68,'מקור-04'!$C:$C)+SUMIF('מקור-05'!$A:$A,$A68,'מקור-05'!$C:$C)+SUMIF('מקור-06'!$A:$A,$A68,'מקור-06'!$C:$C)+SUMIF('מקור-07'!$A:$A,$A68,'מקור-07'!$C:$C)+SUMIF('מקור-08'!$A:$A,$A68,'מקור-08'!$C:$C)</f>
        <v>199</v>
      </c>
      <c r="D68" s="7">
        <f>SUMIF('מקור-01'!$A:$A,$A68,'מקור-01'!$D:$D)+SUMIF('מקור-02'!$A:$A,$A68,'מקור-02'!$D:$D)+SUMIF('מקור-03'!$A:$A,$A68,'מקור-03'!$D:$D)+SUMIF('מקור-04'!$A:$A,$A68,'מקור-04'!$D:$D)+SUMIF('מקור-05'!$A:$A,$A68,'מקור-05'!$D:$D)+SUMIF('מקור-06'!$A:$A,$A68,'מקור-06'!$D:$D)+SUMIF('מקור-07'!$A:$A,$A68,'מקור-07'!$D:$D)+SUMIF('מקור-08'!$A:$A,$A68,'מקור-08'!$D:$D)</f>
        <v>201</v>
      </c>
      <c r="E68" s="8">
        <f>D68-C68</f>
        <v>2</v>
      </c>
      <c r="F68" s="9">
        <f>IF(C68=0,"מוצר חדש",(D68-C68)/C68)</f>
        <v>0.010050251256281407</v>
      </c>
    </row>
    <row r="69" hidden="1" ht="15" customHeight="1">
      <c r="A69" s="6" t="n">
        <v>52324</v>
      </c>
      <c r="B69" s="6" t="inlineStr">
        <is>
          <t>URI 078G M 1 חגורת גב אפורה</t>
        </is>
      </c>
      <c r="C69" s="7">
        <f>SUMIF('מקור-01'!$A:$A,$A69,'מקור-01'!$C:$C)+SUMIF('מקור-02'!$A:$A,$A69,'מקור-02'!$C:$C)+SUMIF('מקור-03'!$A:$A,$A69,'מקור-03'!$C:$C)+SUMIF('מקור-04'!$A:$A,$A69,'מקור-04'!$C:$C)+SUMIF('מקור-05'!$A:$A,$A69,'מקור-05'!$C:$C)+SUMIF('מקור-06'!$A:$A,$A69,'מקור-06'!$C:$C)+SUMIF('מקור-07'!$A:$A,$A69,'מקור-07'!$C:$C)+SUMIF('מקור-08'!$A:$A,$A69,'מקור-08'!$C:$C)</f>
        <v>80</v>
      </c>
      <c r="D69" s="7">
        <f>SUMIF('מקור-01'!$A:$A,$A69,'מקור-01'!$D:$D)+SUMIF('מקור-02'!$A:$A,$A69,'מקור-02'!$D:$D)+SUMIF('מקור-03'!$A:$A,$A69,'מקור-03'!$D:$D)+SUMIF('מקור-04'!$A:$A,$A69,'מקור-04'!$D:$D)+SUMIF('מקור-05'!$A:$A,$A69,'מקור-05'!$D:$D)+SUMIF('מקור-06'!$A:$A,$A69,'מקור-06'!$D:$D)+SUMIF('מקור-07'!$A:$A,$A69,'מקור-07'!$D:$D)+SUMIF('מקור-08'!$A:$A,$A69,'מקור-08'!$D:$D)</f>
        <v>79</v>
      </c>
      <c r="E69" s="8">
        <f>D69-C69</f>
        <v>-1</v>
      </c>
      <c r="F69" s="9">
        <f>IF(C69=0,"מוצר חדש",(D69-C69)/C69)</f>
        <v>-0.0125</v>
      </c>
    </row>
    <row r="70" hidden="1" ht="15" customHeight="1">
      <c r="A70" s="6" t="n">
        <v>52326</v>
      </c>
      <c r="B70" s="6" t="inlineStr">
        <is>
          <t>URI 078G S 1 חגורת גב אפורה</t>
        </is>
      </c>
      <c r="C70" s="7">
        <f>SUMIF('מקור-01'!$A:$A,$A70,'מקור-01'!$C:$C)+SUMIF('מקור-02'!$A:$A,$A70,'מקור-02'!$C:$C)+SUMIF('מקור-03'!$A:$A,$A70,'מקור-03'!$C:$C)+SUMIF('מקור-04'!$A:$A,$A70,'מקור-04'!$C:$C)+SUMIF('מקור-05'!$A:$A,$A70,'מקור-05'!$C:$C)+SUMIF('מקור-06'!$A:$A,$A70,'מקור-06'!$C:$C)+SUMIF('מקור-07'!$A:$A,$A70,'מקור-07'!$C:$C)+SUMIF('מקור-08'!$A:$A,$A70,'מקור-08'!$C:$C)</f>
        <v>6</v>
      </c>
      <c r="D70" s="7">
        <f>SUMIF('מקור-01'!$A:$A,$A70,'מקור-01'!$D:$D)+SUMIF('מקור-02'!$A:$A,$A70,'מקור-02'!$D:$D)+SUMIF('מקור-03'!$A:$A,$A70,'מקור-03'!$D:$D)+SUMIF('מקור-04'!$A:$A,$A70,'מקור-04'!$D:$D)+SUMIF('מקור-05'!$A:$A,$A70,'מקור-05'!$D:$D)+SUMIF('מקור-06'!$A:$A,$A70,'מקור-06'!$D:$D)+SUMIF('מקור-07'!$A:$A,$A70,'מקור-07'!$D:$D)+SUMIF('מקור-08'!$A:$A,$A70,'מקור-08'!$D:$D)</f>
        <v>10</v>
      </c>
      <c r="E70" s="8">
        <f>D70-C70</f>
        <v>4</v>
      </c>
      <c r="F70" s="9">
        <f>IF(C70=0,"מוצר חדש",(D70-C70)/C70)</f>
        <v>0.6666666666666666</v>
      </c>
    </row>
    <row r="71" hidden="1" ht="15" customHeight="1">
      <c r="A71" s="6" t="n">
        <v>52328</v>
      </c>
      <c r="B71" s="6" t="inlineStr">
        <is>
          <t>URI 078G XL 1 חגורת גב אפור</t>
        </is>
      </c>
      <c r="C71" s="7">
        <f>SUMIF('מקור-01'!$A:$A,$A71,'מקור-01'!$C:$C)+SUMIF('מקור-02'!$A:$A,$A71,'מקור-02'!$C:$C)+SUMIF('מקור-03'!$A:$A,$A71,'מקור-03'!$C:$C)+SUMIF('מקור-04'!$A:$A,$A71,'מקור-04'!$C:$C)+SUMIF('מקור-05'!$A:$A,$A71,'מקור-05'!$C:$C)+SUMIF('מקור-06'!$A:$A,$A71,'מקור-06'!$C:$C)+SUMIF('מקור-07'!$A:$A,$A71,'מקור-07'!$C:$C)+SUMIF('מקור-08'!$A:$A,$A71,'מקור-08'!$C:$C)</f>
        <v>152</v>
      </c>
      <c r="D71" s="7">
        <f>SUMIF('מקור-01'!$A:$A,$A71,'מקור-01'!$D:$D)+SUMIF('מקור-02'!$A:$A,$A71,'מקור-02'!$D:$D)+SUMIF('מקור-03'!$A:$A,$A71,'מקור-03'!$D:$D)+SUMIF('מקור-04'!$A:$A,$A71,'מקור-04'!$D:$D)+SUMIF('מקור-05'!$A:$A,$A71,'מקור-05'!$D:$D)+SUMIF('מקור-06'!$A:$A,$A71,'מקור-06'!$D:$D)+SUMIF('מקור-07'!$A:$A,$A71,'מקור-07'!$D:$D)+SUMIF('מקור-08'!$A:$A,$A71,'מקור-08'!$D:$D)</f>
        <v>120</v>
      </c>
      <c r="E71" s="8">
        <f>D71-C71</f>
        <v>-32</v>
      </c>
      <c r="F71" s="9">
        <f>IF(C71=0,"מוצר חדש",(D71-C71)/C71)</f>
        <v>-0.21052631578947367</v>
      </c>
    </row>
    <row r="72" hidden="1" ht="15" customHeight="1">
      <c r="A72" s="6" t="n">
        <v>53789</v>
      </c>
      <c r="B72" s="6" t="inlineStr">
        <is>
          <t>URI 397-35-38   1 גרבי טיסה</t>
        </is>
      </c>
      <c r="C72" s="7">
        <f>SUMIF('מקור-01'!$A:$A,$A72,'מקור-01'!$C:$C)+SUMIF('מקור-02'!$A:$A,$A72,'מקור-02'!$C:$C)+SUMIF('מקור-03'!$A:$A,$A72,'מקור-03'!$C:$C)+SUMIF('מקור-04'!$A:$A,$A72,'מקור-04'!$C:$C)+SUMIF('מקור-05'!$A:$A,$A72,'מקור-05'!$C:$C)+SUMIF('מקור-06'!$A:$A,$A72,'מקור-06'!$C:$C)+SUMIF('מקור-07'!$A:$A,$A72,'מקור-07'!$C:$C)+SUMIF('מקור-08'!$A:$A,$A72,'מקור-08'!$C:$C)</f>
        <v>20</v>
      </c>
      <c r="D72" s="7">
        <f>SUMIF('מקור-01'!$A:$A,$A72,'מקור-01'!$D:$D)+SUMIF('מקור-02'!$A:$A,$A72,'מקור-02'!$D:$D)+SUMIF('מקור-03'!$A:$A,$A72,'מקור-03'!$D:$D)+SUMIF('מקור-04'!$A:$A,$A72,'מקור-04'!$D:$D)+SUMIF('מקור-05'!$A:$A,$A72,'מקור-05'!$D:$D)+SUMIF('מקור-06'!$A:$A,$A72,'מקור-06'!$D:$D)+SUMIF('מקור-07'!$A:$A,$A72,'מקור-07'!$D:$D)+SUMIF('מקור-08'!$A:$A,$A72,'מקור-08'!$D:$D)</f>
        <v>24</v>
      </c>
      <c r="E72" s="8">
        <f>D72-C72</f>
        <v>4</v>
      </c>
      <c r="F72" s="9">
        <f>IF(C72=0,"מוצר חדש",(D72-C72)/C72)</f>
        <v>0.2</v>
      </c>
    </row>
    <row r="73" hidden="1" ht="15" customHeight="1">
      <c r="A73" s="6" t="n">
        <v>53790</v>
      </c>
      <c r="B73" s="6" t="inlineStr">
        <is>
          <t>URI 397-39-42   1 גרבי טיסה</t>
        </is>
      </c>
      <c r="C73" s="7">
        <f>SUMIF('מקור-01'!$A:$A,$A73,'מקור-01'!$C:$C)+SUMIF('מקור-02'!$A:$A,$A73,'מקור-02'!$C:$C)+SUMIF('מקור-03'!$A:$A,$A73,'מקור-03'!$C:$C)+SUMIF('מקור-04'!$A:$A,$A73,'מקור-04'!$C:$C)+SUMIF('מקור-05'!$A:$A,$A73,'מקור-05'!$C:$C)+SUMIF('מקור-06'!$A:$A,$A73,'מקור-06'!$C:$C)+SUMIF('מקור-07'!$A:$A,$A73,'מקור-07'!$C:$C)+SUMIF('מקור-08'!$A:$A,$A73,'מקור-08'!$C:$C)</f>
        <v>43</v>
      </c>
      <c r="D73" s="7">
        <f>SUMIF('מקור-01'!$A:$A,$A73,'מקור-01'!$D:$D)+SUMIF('מקור-02'!$A:$A,$A73,'מקור-02'!$D:$D)+SUMIF('מקור-03'!$A:$A,$A73,'מקור-03'!$D:$D)+SUMIF('מקור-04'!$A:$A,$A73,'מקור-04'!$D:$D)+SUMIF('מקור-05'!$A:$A,$A73,'מקור-05'!$D:$D)+SUMIF('מקור-06'!$A:$A,$A73,'מקור-06'!$D:$D)+SUMIF('מקור-07'!$A:$A,$A73,'מקור-07'!$D:$D)+SUMIF('מקור-08'!$A:$A,$A73,'מקור-08'!$D:$D)</f>
        <v>42</v>
      </c>
      <c r="E73" s="8">
        <f>D73-C73</f>
        <v>-1</v>
      </c>
      <c r="F73" s="9">
        <f>IF(C73=0,"מוצר חדש",(D73-C73)/C73)</f>
        <v>-0.023255813953488372</v>
      </c>
    </row>
    <row r="74" hidden="1" ht="15" customHeight="1">
      <c r="A74" s="6" t="n">
        <v>53791</v>
      </c>
      <c r="B74" s="6" t="inlineStr">
        <is>
          <t>URI 397-43-46  1 גרבי טיסה</t>
        </is>
      </c>
      <c r="C74" s="7">
        <f>SUMIF('מקור-01'!$A:$A,$A74,'מקור-01'!$C:$C)+SUMIF('מקור-02'!$A:$A,$A74,'מקור-02'!$C:$C)+SUMIF('מקור-03'!$A:$A,$A74,'מקור-03'!$C:$C)+SUMIF('מקור-04'!$A:$A,$A74,'מקור-04'!$C:$C)+SUMIF('מקור-05'!$A:$A,$A74,'מקור-05'!$C:$C)+SUMIF('מקור-06'!$A:$A,$A74,'מקור-06'!$C:$C)+SUMIF('מקור-07'!$A:$A,$A74,'מקור-07'!$C:$C)+SUMIF('מקור-08'!$A:$A,$A74,'מקור-08'!$C:$C)</f>
        <v>53</v>
      </c>
      <c r="D74" s="7">
        <f>SUMIF('מקור-01'!$A:$A,$A74,'מקור-01'!$D:$D)+SUMIF('מקור-02'!$A:$A,$A74,'מקור-02'!$D:$D)+SUMIF('מקור-03'!$A:$A,$A74,'מקור-03'!$D:$D)+SUMIF('מקור-04'!$A:$A,$A74,'מקור-04'!$D:$D)+SUMIF('מקור-05'!$A:$A,$A74,'מקור-05'!$D:$D)+SUMIF('מקור-06'!$A:$A,$A74,'מקור-06'!$D:$D)+SUMIF('מקור-07'!$A:$A,$A74,'מקור-07'!$D:$D)+SUMIF('מקור-08'!$A:$A,$A74,'מקור-08'!$D:$D)</f>
        <v>27</v>
      </c>
      <c r="E74" s="8">
        <f>D74-C74</f>
        <v>-26</v>
      </c>
      <c r="F74" s="9">
        <f>IF(C74=0,"מוצר חדש",(D74-C74)/C74)</f>
        <v>-0.49056603773584906</v>
      </c>
    </row>
    <row r="75" hidden="1" ht="15" customHeight="1">
      <c r="A75" s="6" t="n">
        <v>55066</v>
      </c>
      <c r="B75" s="6" t="inlineStr">
        <is>
          <t>URI 422EN M .1 מ.ברך+כר.סיל</t>
        </is>
      </c>
      <c r="C75" s="7">
        <f>SUMIF('מקור-01'!$A:$A,$A75,'מקור-01'!$C:$C)+SUMIF('מקור-02'!$A:$A,$A75,'מקור-02'!$C:$C)+SUMIF('מקור-03'!$A:$A,$A75,'מקור-03'!$C:$C)+SUMIF('מקור-04'!$A:$A,$A75,'מקור-04'!$C:$C)+SUMIF('מקור-05'!$A:$A,$A75,'מקור-05'!$C:$C)+SUMIF('מקור-06'!$A:$A,$A75,'מקור-06'!$C:$C)+SUMIF('מקור-07'!$A:$A,$A75,'מקור-07'!$C:$C)+SUMIF('מקור-08'!$A:$A,$A75,'מקור-08'!$C:$C)</f>
        <v>0</v>
      </c>
      <c r="D75" s="7">
        <f>SUMIF('מקור-01'!$A:$A,$A75,'מקור-01'!$D:$D)+SUMIF('מקור-02'!$A:$A,$A75,'מקור-02'!$D:$D)+SUMIF('מקור-03'!$A:$A,$A75,'מקור-03'!$D:$D)+SUMIF('מקור-04'!$A:$A,$A75,'מקור-04'!$D:$D)+SUMIF('מקור-05'!$A:$A,$A75,'מקור-05'!$D:$D)+SUMIF('מקור-06'!$A:$A,$A75,'מקור-06'!$D:$D)+SUMIF('מקור-07'!$A:$A,$A75,'מקור-07'!$D:$D)+SUMIF('מקור-08'!$A:$A,$A75,'מקור-08'!$D:$D)</f>
        <v>2</v>
      </c>
      <c r="E75" s="8">
        <f>D75-C75</f>
        <v>2</v>
      </c>
      <c t="str" r="F75" s="9">
        <f>IF(C75=0,"מוצר חדש",(D75-C75)/C75)</f>
        <v>מוצר חדש</v>
      </c>
    </row>
    <row r="76" hidden="1" ht="15" customHeight="1">
      <c r="A76" s="6" t="n">
        <v>55868</v>
      </c>
      <c r="B76" s="6" t="inlineStr">
        <is>
          <t>URI 078G XXL1 חגורת גב אפור</t>
        </is>
      </c>
      <c r="C76" s="7">
        <f>SUMIF('מקור-01'!$A:$A,$A76,'מקור-01'!$C:$C)+SUMIF('מקור-02'!$A:$A,$A76,'מקור-02'!$C:$C)+SUMIF('מקור-03'!$A:$A,$A76,'מקור-03'!$C:$C)+SUMIF('מקור-04'!$A:$A,$A76,'מקור-04'!$C:$C)+SUMIF('מקור-05'!$A:$A,$A76,'מקור-05'!$C:$C)+SUMIF('מקור-06'!$A:$A,$A76,'מקור-06'!$C:$C)+SUMIF('מקור-07'!$A:$A,$A76,'מקור-07'!$C:$C)+SUMIF('מקור-08'!$A:$A,$A76,'מקור-08'!$C:$C)</f>
        <v>76</v>
      </c>
      <c r="D76" s="7">
        <f>SUMIF('מקור-01'!$A:$A,$A76,'מקור-01'!$D:$D)+SUMIF('מקור-02'!$A:$A,$A76,'מקור-02'!$D:$D)+SUMIF('מקור-03'!$A:$A,$A76,'מקור-03'!$D:$D)+SUMIF('מקור-04'!$A:$A,$A76,'מקור-04'!$D:$D)+SUMIF('מקור-05'!$A:$A,$A76,'מקור-05'!$D:$D)+SUMIF('מקור-06'!$A:$A,$A76,'מקור-06'!$D:$D)+SUMIF('מקור-07'!$A:$A,$A76,'מקור-07'!$D:$D)+SUMIF('מקור-08'!$A:$A,$A76,'מקור-08'!$D:$D)</f>
        <v>70</v>
      </c>
      <c r="E76" s="8">
        <f>D76-C76</f>
        <v>-6</v>
      </c>
      <c r="F76" s="9">
        <f>IF(C76=0,"מוצר חדש",(D76-C76)/C76)</f>
        <v>-0.07894736842105263</v>
      </c>
    </row>
    <row r="77" hidden="1" ht="15" customHeight="1">
      <c r="A77" s="6" t="n">
        <v>57662</v>
      </c>
      <c r="B77" s="6" t="inlineStr">
        <is>
          <t>808KT-P   1 טייפ קינזיולוגי</t>
        </is>
      </c>
      <c r="C77" s="7">
        <f>SUMIF('מקור-01'!$A:$A,$A77,'מקור-01'!$C:$C)+SUMIF('מקור-02'!$A:$A,$A77,'מקור-02'!$C:$C)+SUMIF('מקור-03'!$A:$A,$A77,'מקור-03'!$C:$C)+SUMIF('מקור-04'!$A:$A,$A77,'מקור-04'!$C:$C)+SUMIF('מקור-05'!$A:$A,$A77,'מקור-05'!$C:$C)+SUMIF('מקור-06'!$A:$A,$A77,'מקור-06'!$C:$C)+SUMIF('מקור-07'!$A:$A,$A77,'מקור-07'!$C:$C)+SUMIF('מקור-08'!$A:$A,$A77,'מקור-08'!$C:$C)</f>
        <v>16</v>
      </c>
      <c r="D77" s="7">
        <f>SUMIF('מקור-01'!$A:$A,$A77,'מקור-01'!$D:$D)+SUMIF('מקור-02'!$A:$A,$A77,'מקור-02'!$D:$D)+SUMIF('מקור-03'!$A:$A,$A77,'מקור-03'!$D:$D)+SUMIF('מקור-04'!$A:$A,$A77,'מקור-04'!$D:$D)+SUMIF('מקור-05'!$A:$A,$A77,'מקור-05'!$D:$D)+SUMIF('מקור-06'!$A:$A,$A77,'מקור-06'!$D:$D)+SUMIF('מקור-07'!$A:$A,$A77,'מקור-07'!$D:$D)+SUMIF('מקור-08'!$A:$A,$A77,'מקור-08'!$D:$D)</f>
        <v>56</v>
      </c>
      <c r="E77" s="8">
        <f>D77-C77</f>
        <v>40</v>
      </c>
      <c r="F77" s="9">
        <f>IF(C77=0,"מוצר חדש",(D77-C77)/C77)</f>
        <v>2.5</v>
      </c>
    </row>
    <row r="78" hidden="1" ht="15" customHeight="1">
      <c r="A78" s="6" t="n">
        <v>57664</v>
      </c>
      <c r="B78" s="6" t="inlineStr">
        <is>
          <t>808KT-BL  1 טייפ קינזיולוגי</t>
        </is>
      </c>
      <c r="C78" s="7">
        <f>SUMIF('מקור-01'!$A:$A,$A78,'מקור-01'!$C:$C)+SUMIF('מקור-02'!$A:$A,$A78,'מקור-02'!$C:$C)+SUMIF('מקור-03'!$A:$A,$A78,'מקור-03'!$C:$C)+SUMIF('מקור-04'!$A:$A,$A78,'מקור-04'!$C:$C)+SUMIF('מקור-05'!$A:$A,$A78,'מקור-05'!$C:$C)+SUMIF('מקור-06'!$A:$A,$A78,'מקור-06'!$C:$C)+SUMIF('מקור-07'!$A:$A,$A78,'מקור-07'!$C:$C)+SUMIF('מקור-08'!$A:$A,$A78,'מקור-08'!$C:$C)</f>
        <v>26</v>
      </c>
      <c r="D78" s="7">
        <f>SUMIF('מקור-01'!$A:$A,$A78,'מקור-01'!$D:$D)+SUMIF('מקור-02'!$A:$A,$A78,'מקור-02'!$D:$D)+SUMIF('מקור-03'!$A:$A,$A78,'מקור-03'!$D:$D)+SUMIF('מקור-04'!$A:$A,$A78,'מקור-04'!$D:$D)+SUMIF('מקור-05'!$A:$A,$A78,'מקור-05'!$D:$D)+SUMIF('מקור-06'!$A:$A,$A78,'מקור-06'!$D:$D)+SUMIF('מקור-07'!$A:$A,$A78,'מקור-07'!$D:$D)+SUMIF('מקור-08'!$A:$A,$A78,'מקור-08'!$D:$D)</f>
        <v>80</v>
      </c>
      <c r="E78" s="8">
        <f>D78-C78</f>
        <v>54</v>
      </c>
      <c r="F78" s="9">
        <f>IF(C78=0,"מוצר חדש",(D78-C78)/C78)</f>
        <v>2.076923076923077</v>
      </c>
    </row>
    <row r="79" hidden="1" ht="15" customHeight="1">
      <c r="A79" s="6" t="n">
        <v>57690</v>
      </c>
      <c r="B79" s="6" t="inlineStr">
        <is>
          <t>808KT-C   1 טייפ קינזיולוגי</t>
        </is>
      </c>
      <c r="C79" s="7">
        <f>SUMIF('מקור-01'!$A:$A,$A79,'מקור-01'!$C:$C)+SUMIF('מקור-02'!$A:$A,$A79,'מקור-02'!$C:$C)+SUMIF('מקור-03'!$A:$A,$A79,'מקור-03'!$C:$C)+SUMIF('מקור-04'!$A:$A,$A79,'מקור-04'!$C:$C)+SUMIF('מקור-05'!$A:$A,$A79,'מקור-05'!$C:$C)+SUMIF('מקור-06'!$A:$A,$A79,'מקור-06'!$C:$C)+SUMIF('מקור-07'!$A:$A,$A79,'מקור-07'!$C:$C)+SUMIF('מקור-08'!$A:$A,$A79,'מקור-08'!$C:$C)</f>
        <v>27</v>
      </c>
      <c r="D79" s="7">
        <f>SUMIF('מקור-01'!$A:$A,$A79,'מקור-01'!$D:$D)+SUMIF('מקור-02'!$A:$A,$A79,'מקור-02'!$D:$D)+SUMIF('מקור-03'!$A:$A,$A79,'מקור-03'!$D:$D)+SUMIF('מקור-04'!$A:$A,$A79,'מקור-04'!$D:$D)+SUMIF('מקור-05'!$A:$A,$A79,'מקור-05'!$D:$D)+SUMIF('מקור-06'!$A:$A,$A79,'מקור-06'!$D:$D)+SUMIF('מקור-07'!$A:$A,$A79,'מקור-07'!$D:$D)+SUMIF('מקור-08'!$A:$A,$A79,'מקור-08'!$D:$D)</f>
        <v>89</v>
      </c>
      <c r="E79" s="8">
        <f>D79-C79</f>
        <v>62</v>
      </c>
      <c r="F79" s="9">
        <f>IF(C79=0,"מוצר חדש",(D79-C79)/C79)</f>
        <v>2.2962962962962963</v>
      </c>
    </row>
    <row r="80" hidden="1" ht="15" customHeight="1">
      <c r="A80" s="6" t="n">
        <v>57696</v>
      </c>
      <c r="B80" s="6" t="inlineStr">
        <is>
          <t>808KT-B   1 טייפ קינזיולוגי</t>
        </is>
      </c>
      <c r="C80" s="7">
        <f>SUMIF('מקור-01'!$A:$A,$A80,'מקור-01'!$C:$C)+SUMIF('מקור-02'!$A:$A,$A80,'מקור-02'!$C:$C)+SUMIF('מקור-03'!$A:$A,$A80,'מקור-03'!$C:$C)+SUMIF('מקור-04'!$A:$A,$A80,'מקור-04'!$C:$C)+SUMIF('מקור-05'!$A:$A,$A80,'מקור-05'!$C:$C)+SUMIF('מקור-06'!$A:$A,$A80,'מקור-06'!$C:$C)+SUMIF('מקור-07'!$A:$A,$A80,'מקור-07'!$C:$C)+SUMIF('מקור-08'!$A:$A,$A80,'מקור-08'!$C:$C)</f>
        <v>20</v>
      </c>
      <c r="D80" s="7">
        <f>SUMIF('מקור-01'!$A:$A,$A80,'מקור-01'!$D:$D)+SUMIF('מקור-02'!$A:$A,$A80,'מקור-02'!$D:$D)+SUMIF('מקור-03'!$A:$A,$A80,'מקור-03'!$D:$D)+SUMIF('מקור-04'!$A:$A,$A80,'מקור-04'!$D:$D)+SUMIF('מקור-05'!$A:$A,$A80,'מקור-05'!$D:$D)+SUMIF('מקור-06'!$A:$A,$A80,'מקור-06'!$D:$D)+SUMIF('מקור-07'!$A:$A,$A80,'מקור-07'!$D:$D)+SUMIF('מקור-08'!$A:$A,$A80,'מקור-08'!$D:$D)</f>
        <v>70</v>
      </c>
      <c r="E80" s="8">
        <f>D80-C80</f>
        <v>50</v>
      </c>
      <c r="F80" s="9">
        <f>IF(C80=0,"מוצר חדש",(D80-C80)/C80)</f>
        <v>2.5</v>
      </c>
    </row>
    <row r="81" hidden="1" ht="15" customHeight="1">
      <c r="A81" s="6" t="n">
        <v>59656</v>
      </c>
      <c r="B81" s="6" t="inlineStr">
        <is>
          <t>URI 362 L R 1</t>
        </is>
      </c>
      <c r="C81" s="7">
        <f>SUMIF('מקור-01'!$A:$A,$A81,'מקור-01'!$C:$C)+SUMIF('מקור-02'!$A:$A,$A81,'מקור-02'!$C:$C)+SUMIF('מקור-03'!$A:$A,$A81,'מקור-03'!$C:$C)+SUMIF('מקור-04'!$A:$A,$A81,'מקור-04'!$C:$C)+SUMIF('מקור-05'!$A:$A,$A81,'מקור-05'!$C:$C)+SUMIF('מקור-06'!$A:$A,$A81,'מקור-06'!$C:$C)+SUMIF('מקור-07'!$A:$A,$A81,'מקור-07'!$C:$C)+SUMIF('מקור-08'!$A:$A,$A81,'מקור-08'!$C:$C)</f>
        <v>123</v>
      </c>
      <c r="D81" s="7">
        <f>SUMIF('מקור-01'!$A:$A,$A81,'מקור-01'!$D:$D)+SUMIF('מקור-02'!$A:$A,$A81,'מקור-02'!$D:$D)+SUMIF('מקור-03'!$A:$A,$A81,'מקור-03'!$D:$D)+SUMIF('מקור-04'!$A:$A,$A81,'מקור-04'!$D:$D)+SUMIF('מקור-05'!$A:$A,$A81,'מקור-05'!$D:$D)+SUMIF('מקור-06'!$A:$A,$A81,'מקור-06'!$D:$D)+SUMIF('מקור-07'!$A:$A,$A81,'מקור-07'!$D:$D)+SUMIF('מקור-08'!$A:$A,$A81,'מקור-08'!$D:$D)</f>
        <v>141</v>
      </c>
      <c r="E81" s="8">
        <f>D81-C81</f>
        <v>18</v>
      </c>
      <c r="F81" s="9">
        <f>IF(C81=0,"מוצר חדש",(D81-C81)/C81)</f>
        <v>0.14634146341463414</v>
      </c>
    </row>
    <row r="82" hidden="1" ht="15" customHeight="1">
      <c r="A82" s="6" t="n">
        <v>59657</v>
      </c>
      <c r="B82" s="6" t="inlineStr">
        <is>
          <t>URI 363 L R 1</t>
        </is>
      </c>
      <c r="C82" s="7">
        <f>SUMIF('מקור-01'!$A:$A,$A82,'מקור-01'!$C:$C)+SUMIF('מקור-02'!$A:$A,$A82,'מקור-02'!$C:$C)+SUMIF('מקור-03'!$A:$A,$A82,'מקור-03'!$C:$C)+SUMIF('מקור-04'!$A:$A,$A82,'מקור-04'!$C:$C)+SUMIF('מקור-05'!$A:$A,$A82,'מקור-05'!$C:$C)+SUMIF('מקור-06'!$A:$A,$A82,'מקור-06'!$C:$C)+SUMIF('מקור-07'!$A:$A,$A82,'מקור-07'!$C:$C)+SUMIF('מקור-08'!$A:$A,$A82,'מקור-08'!$C:$C)</f>
        <v>90</v>
      </c>
      <c r="D82" s="7">
        <f>SUMIF('מקור-01'!$A:$A,$A82,'מקור-01'!$D:$D)+SUMIF('מקור-02'!$A:$A,$A82,'מקור-02'!$D:$D)+SUMIF('מקור-03'!$A:$A,$A82,'מקור-03'!$D:$D)+SUMIF('מקור-04'!$A:$A,$A82,'מקור-04'!$D:$D)+SUMIF('מקור-05'!$A:$A,$A82,'מקור-05'!$D:$D)+SUMIF('מקור-06'!$A:$A,$A82,'מקור-06'!$D:$D)+SUMIF('מקור-07'!$A:$A,$A82,'מקור-07'!$D:$D)+SUMIF('מקור-08'!$A:$A,$A82,'מקור-08'!$D:$D)</f>
        <v>73</v>
      </c>
      <c r="E82" s="8">
        <f>D82-C82</f>
        <v>-17</v>
      </c>
      <c r="F82" s="9">
        <f>IF(C82=0,"מוצר חדש",(D82-C82)/C82)</f>
        <v>-0.18888888888888888</v>
      </c>
    </row>
    <row r="83" hidden="1" ht="15" customHeight="1">
      <c r="A83" s="6" t="n">
        <v>59659</v>
      </c>
      <c r="B83" s="6" t="inlineStr">
        <is>
          <t>URI 369 S-L 1</t>
        </is>
      </c>
      <c r="C83" s="7">
        <f>SUMIF('מקור-01'!$A:$A,$A83,'מקור-01'!$C:$C)+SUMIF('מקור-02'!$A:$A,$A83,'מקור-02'!$C:$C)+SUMIF('מקור-03'!$A:$A,$A83,'מקור-03'!$C:$C)+SUMIF('מקור-04'!$A:$A,$A83,'מקור-04'!$C:$C)+SUMIF('מקור-05'!$A:$A,$A83,'מקור-05'!$C:$C)+SUMIF('מקור-06'!$A:$A,$A83,'מקור-06'!$C:$C)+SUMIF('מקור-07'!$A:$A,$A83,'מקור-07'!$C:$C)+SUMIF('מקור-08'!$A:$A,$A83,'מקור-08'!$C:$C)</f>
        <v>123</v>
      </c>
      <c r="D83" s="7">
        <f>SUMIF('מקור-01'!$A:$A,$A83,'מקור-01'!$D:$D)+SUMIF('מקור-02'!$A:$A,$A83,'מקור-02'!$D:$D)+SUMIF('מקור-03'!$A:$A,$A83,'מקור-03'!$D:$D)+SUMIF('מקור-04'!$A:$A,$A83,'מקור-04'!$D:$D)+SUMIF('מקור-05'!$A:$A,$A83,'מקור-05'!$D:$D)+SUMIF('מקור-06'!$A:$A,$A83,'מקור-06'!$D:$D)+SUMIF('מקור-07'!$A:$A,$A83,'מקור-07'!$D:$D)+SUMIF('מקור-08'!$A:$A,$A83,'מקור-08'!$D:$D)</f>
        <v>128</v>
      </c>
      <c r="E83" s="8">
        <f>D83-C83</f>
        <v>5</v>
      </c>
      <c r="F83" s="9">
        <f>IF(C83=0,"מוצר חדש",(D83-C83)/C83)</f>
        <v>0.04065040650406504</v>
      </c>
    </row>
    <row r="84" hidden="1" ht="15" customHeight="1">
      <c r="A84" s="6" t="n">
        <v>59679</v>
      </c>
      <c r="B84" s="6" t="inlineStr">
        <is>
          <t>URI 364 S M 1</t>
        </is>
      </c>
      <c r="C84" s="7">
        <f>SUMIF('מקור-01'!$A:$A,$A84,'מקור-01'!$C:$C)+SUMIF('מקור-02'!$A:$A,$A84,'מקור-02'!$C:$C)+SUMIF('מקור-03'!$A:$A,$A84,'מקור-03'!$C:$C)+SUMIF('מקור-04'!$A:$A,$A84,'מקור-04'!$C:$C)+SUMIF('מקור-05'!$A:$A,$A84,'מקור-05'!$C:$C)+SUMIF('מקור-06'!$A:$A,$A84,'מקור-06'!$C:$C)+SUMIF('מקור-07'!$A:$A,$A84,'מקור-07'!$C:$C)+SUMIF('מקור-08'!$A:$A,$A84,'מקור-08'!$C:$C)</f>
        <v>442</v>
      </c>
      <c r="D84" s="7">
        <f>SUMIF('מקור-01'!$A:$A,$A84,'מקור-01'!$D:$D)+SUMIF('מקור-02'!$A:$A,$A84,'מקור-02'!$D:$D)+SUMIF('מקור-03'!$A:$A,$A84,'מקור-03'!$D:$D)+SUMIF('מקור-04'!$A:$A,$A84,'מקור-04'!$D:$D)+SUMIF('מקור-05'!$A:$A,$A84,'מקור-05'!$D:$D)+SUMIF('מקור-06'!$A:$A,$A84,'מקור-06'!$D:$D)+SUMIF('מקור-07'!$A:$A,$A84,'מקור-07'!$D:$D)+SUMIF('מקור-08'!$A:$A,$A84,'מקור-08'!$D:$D)</f>
        <v>359</v>
      </c>
      <c r="E84" s="8">
        <f>D84-C84</f>
        <v>-83</v>
      </c>
      <c r="F84" s="9">
        <f>IF(C84=0,"מוצר חדש",(D84-C84)/C84)</f>
        <v>-0.18778280542986425</v>
      </c>
    </row>
    <row r="85" hidden="1" ht="15" customHeight="1">
      <c r="A85" s="6" t="n">
        <v>59694</v>
      </c>
      <c r="B85" s="6" t="inlineStr">
        <is>
          <t>URI 365 S-L   1 טבעת אלסטית</t>
        </is>
      </c>
      <c r="C85" s="7">
        <f>SUMIF('מקור-01'!$A:$A,$A85,'מקור-01'!$C:$C)+SUMIF('מקור-02'!$A:$A,$A85,'מקור-02'!$C:$C)+SUMIF('מקור-03'!$A:$A,$A85,'מקור-03'!$C:$C)+SUMIF('מקור-04'!$A:$A,$A85,'מקור-04'!$C:$C)+SUMIF('מקור-05'!$A:$A,$A85,'מקור-05'!$C:$C)+SUMIF('מקור-06'!$A:$A,$A85,'מקור-06'!$C:$C)+SUMIF('מקור-07'!$A:$A,$A85,'מקור-07'!$C:$C)+SUMIF('מקור-08'!$A:$A,$A85,'מקור-08'!$C:$C)</f>
        <v>258</v>
      </c>
      <c r="D85" s="7">
        <f>SUMIF('מקור-01'!$A:$A,$A85,'מקור-01'!$D:$D)+SUMIF('מקור-02'!$A:$A,$A85,'מקור-02'!$D:$D)+SUMIF('מקור-03'!$A:$A,$A85,'מקור-03'!$D:$D)+SUMIF('מקור-04'!$A:$A,$A85,'מקור-04'!$D:$D)+SUMIF('מקור-05'!$A:$A,$A85,'מקור-05'!$D:$D)+SUMIF('מקור-06'!$A:$A,$A85,'מקור-06'!$D:$D)+SUMIF('מקור-07'!$A:$A,$A85,'מקור-07'!$D:$D)+SUMIF('מקור-08'!$A:$A,$A85,'מקור-08'!$D:$D)</f>
        <v>240</v>
      </c>
      <c r="E85" s="8">
        <f>D85-C85</f>
        <v>-18</v>
      </c>
      <c r="F85" s="9">
        <f>IF(C85=0,"מוצר חדש",(D85-C85)/C85)</f>
        <v>-0.06976744186046512</v>
      </c>
    </row>
    <row r="86" hidden="1" ht="15" customHeight="1">
      <c r="A86" s="6" t="n">
        <v>60471</v>
      </c>
      <c r="B86" s="6" t="inlineStr">
        <is>
          <t>URI 365 XL    1 טבעת אלסטית</t>
        </is>
      </c>
      <c r="C86" s="7">
        <f>SUMIF('מקור-01'!$A:$A,$A86,'מקור-01'!$C:$C)+SUMIF('מקור-02'!$A:$A,$A86,'מקור-02'!$C:$C)+SUMIF('מקור-03'!$A:$A,$A86,'מקור-03'!$C:$C)+SUMIF('מקור-04'!$A:$A,$A86,'מקור-04'!$C:$C)+SUMIF('מקור-05'!$A:$A,$A86,'מקור-05'!$C:$C)+SUMIF('מקור-06'!$A:$A,$A86,'מקור-06'!$C:$C)+SUMIF('מקור-07'!$A:$A,$A86,'מקור-07'!$C:$C)+SUMIF('מקור-08'!$A:$A,$A86,'מקור-08'!$C:$C)</f>
        <v>88</v>
      </c>
      <c r="D86" s="7">
        <f>SUMIF('מקור-01'!$A:$A,$A86,'מקור-01'!$D:$D)+SUMIF('מקור-02'!$A:$A,$A86,'מקור-02'!$D:$D)+SUMIF('מקור-03'!$A:$A,$A86,'מקור-03'!$D:$D)+SUMIF('מקור-04'!$A:$A,$A86,'מקור-04'!$D:$D)+SUMIF('מקור-05'!$A:$A,$A86,'מקור-05'!$D:$D)+SUMIF('מקור-06'!$A:$A,$A86,'מקור-06'!$D:$D)+SUMIF('מקור-07'!$A:$A,$A86,'מקור-07'!$D:$D)+SUMIF('מקור-08'!$A:$A,$A86,'מקור-08'!$D:$D)</f>
        <v>98</v>
      </c>
      <c r="E86" s="8">
        <f>D86-C86</f>
        <v>10</v>
      </c>
      <c r="F86" s="9">
        <f>IF(C86=0,"מוצר חדש",(D86-C86)/C86)</f>
        <v>0.11363636363636363</v>
      </c>
    </row>
    <row r="87" hidden="1" ht="15" customHeight="1">
      <c r="A87" s="6" t="n">
        <v>60472</v>
      </c>
      <c r="B87" s="6" t="inlineStr">
        <is>
          <t>URI PD340  1 קוצץ ציפורניים</t>
        </is>
      </c>
      <c r="C87" s="7">
        <f>SUMIF('מקור-01'!$A:$A,$A87,'מקור-01'!$C:$C)+SUMIF('מקור-02'!$A:$A,$A87,'מקור-02'!$C:$C)+SUMIF('מקור-03'!$A:$A,$A87,'מקור-03'!$C:$C)+SUMIF('מקור-04'!$A:$A,$A87,'מקור-04'!$C:$C)+SUMIF('מקור-05'!$A:$A,$A87,'מקור-05'!$C:$C)+SUMIF('מקור-06'!$A:$A,$A87,'מקור-06'!$C:$C)+SUMIF('מקור-07'!$A:$A,$A87,'מקור-07'!$C:$C)+SUMIF('מקור-08'!$A:$A,$A87,'מקור-08'!$C:$C)</f>
        <v>266</v>
      </c>
      <c r="D87" s="7">
        <f>SUMIF('מקור-01'!$A:$A,$A87,'מקור-01'!$D:$D)+SUMIF('מקור-02'!$A:$A,$A87,'מקור-02'!$D:$D)+SUMIF('מקור-03'!$A:$A,$A87,'מקור-03'!$D:$D)+SUMIF('מקור-04'!$A:$A,$A87,'מקור-04'!$D:$D)+SUMIF('מקור-05'!$A:$A,$A87,'מקור-05'!$D:$D)+SUMIF('מקור-06'!$A:$A,$A87,'מקור-06'!$D:$D)+SUMIF('מקור-07'!$A:$A,$A87,'מקור-07'!$D:$D)+SUMIF('מקור-08'!$A:$A,$A87,'מקור-08'!$D:$D)</f>
        <v>350</v>
      </c>
      <c r="E87" s="8">
        <f>D87-C87</f>
        <v>84</v>
      </c>
      <c r="F87" s="9">
        <f>IF(C87=0,"מוצר חדש",(D87-C87)/C87)</f>
        <v>0.3157894736842105</v>
      </c>
    </row>
    <row r="88" hidden="1" ht="15" customHeight="1">
      <c r="A88" s="6" t="n">
        <v>60473</v>
      </c>
      <c r="B88" s="6" t="inlineStr">
        <is>
          <t>URI PD341 1 מקצוע להסרת עור</t>
        </is>
      </c>
      <c r="C88" s="7">
        <f>SUMIF('מקור-01'!$A:$A,$A88,'מקור-01'!$C:$C)+SUMIF('מקור-02'!$A:$A,$A88,'מקור-02'!$C:$C)+SUMIF('מקור-03'!$A:$A,$A88,'מקור-03'!$C:$C)+SUMIF('מקור-04'!$A:$A,$A88,'מקור-04'!$C:$C)+SUMIF('מקור-05'!$A:$A,$A88,'מקור-05'!$C:$C)+SUMIF('מקור-06'!$A:$A,$A88,'מקור-06'!$C:$C)+SUMIF('מקור-07'!$A:$A,$A88,'מקור-07'!$C:$C)+SUMIF('מקור-08'!$A:$A,$A88,'מקור-08'!$C:$C)</f>
        <v>59</v>
      </c>
      <c r="D88" s="7">
        <f>SUMIF('מקור-01'!$A:$A,$A88,'מקור-01'!$D:$D)+SUMIF('מקור-02'!$A:$A,$A88,'מקור-02'!$D:$D)+SUMIF('מקור-03'!$A:$A,$A88,'מקור-03'!$D:$D)+SUMIF('מקור-04'!$A:$A,$A88,'מקור-04'!$D:$D)+SUMIF('מקור-05'!$A:$A,$A88,'מקור-05'!$D:$D)+SUMIF('מקור-06'!$A:$A,$A88,'מקור-06'!$D:$D)+SUMIF('מקור-07'!$A:$A,$A88,'מקור-07'!$D:$D)+SUMIF('מקור-08'!$A:$A,$A88,'מקור-08'!$D:$D)</f>
        <v>56</v>
      </c>
      <c r="E88" s="8">
        <f>D88-C88</f>
        <v>-3</v>
      </c>
      <c r="F88" s="9">
        <f>IF(C88=0,"מוצר חדש",(D88-C88)/C88)</f>
        <v>-0.05084745762711865</v>
      </c>
    </row>
    <row r="89" hidden="1" ht="15" customHeight="1">
      <c r="A89" s="6" t="n">
        <v>60474</v>
      </c>
      <c r="B89" s="6" t="inlineStr">
        <is>
          <t>URI PD3421 פומפיה להסרת עור</t>
        </is>
      </c>
      <c r="C89" s="7">
        <f>SUMIF('מקור-01'!$A:$A,$A89,'מקור-01'!$C:$C)+SUMIF('מקור-02'!$A:$A,$A89,'מקור-02'!$C:$C)+SUMIF('מקור-03'!$A:$A,$A89,'מקור-03'!$C:$C)+SUMIF('מקור-04'!$A:$A,$A89,'מקור-04'!$C:$C)+SUMIF('מקור-05'!$A:$A,$A89,'מקור-05'!$C:$C)+SUMIF('מקור-06'!$A:$A,$A89,'מקור-06'!$C:$C)+SUMIF('מקור-07'!$A:$A,$A89,'מקור-07'!$C:$C)+SUMIF('מקור-08'!$A:$A,$A89,'מקור-08'!$C:$C)</f>
        <v>122</v>
      </c>
      <c r="D89" s="7">
        <f>SUMIF('מקור-01'!$A:$A,$A89,'מקור-01'!$D:$D)+SUMIF('מקור-02'!$A:$A,$A89,'מקור-02'!$D:$D)+SUMIF('מקור-03'!$A:$A,$A89,'מקור-03'!$D:$D)+SUMIF('מקור-04'!$A:$A,$A89,'מקור-04'!$D:$D)+SUMIF('מקור-05'!$A:$A,$A89,'מקור-05'!$D:$D)+SUMIF('מקור-06'!$A:$A,$A89,'מקור-06'!$D:$D)+SUMIF('מקור-07'!$A:$A,$A89,'מקור-07'!$D:$D)+SUMIF('מקור-08'!$A:$A,$A89,'מקור-08'!$D:$D)</f>
        <v>94</v>
      </c>
      <c r="E89" s="8">
        <f>D89-C89</f>
        <v>-28</v>
      </c>
      <c r="F89" s="9">
        <f>IF(C89=0,"מוצר חדש",(D89-C89)/C89)</f>
        <v>-0.22950819672131148</v>
      </c>
    </row>
    <row r="90" hidden="1" ht="15" customHeight="1">
      <c r="A90" s="6" t="n">
        <v>60476</v>
      </c>
      <c r="B90" s="6" t="inlineStr">
        <is>
          <t>URI PD344       1 אבן טבעית</t>
        </is>
      </c>
      <c r="C90" s="7">
        <f>SUMIF('מקור-01'!$A:$A,$A90,'מקור-01'!$C:$C)+SUMIF('מקור-02'!$A:$A,$A90,'מקור-02'!$C:$C)+SUMIF('מקור-03'!$A:$A,$A90,'מקור-03'!$C:$C)+SUMIF('מקור-04'!$A:$A,$A90,'מקור-04'!$C:$C)+SUMIF('מקור-05'!$A:$A,$A90,'מקור-05'!$C:$C)+SUMIF('מקור-06'!$A:$A,$A90,'מקור-06'!$C:$C)+SUMIF('מקור-07'!$A:$A,$A90,'מקור-07'!$C:$C)+SUMIF('מקור-08'!$A:$A,$A90,'מקור-08'!$C:$C)</f>
        <v>192</v>
      </c>
      <c r="D90" s="7">
        <f>SUMIF('מקור-01'!$A:$A,$A90,'מקור-01'!$D:$D)+SUMIF('מקור-02'!$A:$A,$A90,'מקור-02'!$D:$D)+SUMIF('מקור-03'!$A:$A,$A90,'מקור-03'!$D:$D)+SUMIF('מקור-04'!$A:$A,$A90,'מקור-04'!$D:$D)+SUMIF('מקור-05'!$A:$A,$A90,'מקור-05'!$D:$D)+SUMIF('מקור-06'!$A:$A,$A90,'מקור-06'!$D:$D)+SUMIF('מקור-07'!$A:$A,$A90,'מקור-07'!$D:$D)+SUMIF('מקור-08'!$A:$A,$A90,'מקור-08'!$D:$D)</f>
        <v>207</v>
      </c>
      <c r="E90" s="8">
        <f>D90-C90</f>
        <v>15</v>
      </c>
      <c r="F90" s="9">
        <f>IF(C90=0,"מוצר חדש",(D90-C90)/C90)</f>
        <v>0.078125</v>
      </c>
    </row>
    <row r="91" hidden="1" ht="15" customHeight="1">
      <c r="A91" s="6" t="n">
        <v>60478</v>
      </c>
      <c r="B91" s="6" t="inlineStr">
        <is>
          <t>URI PD3461 10 סכינים למקצוע</t>
        </is>
      </c>
      <c r="C91" s="7">
        <f>SUMIF('מקור-01'!$A:$A,$A91,'מקור-01'!$C:$C)+SUMIF('מקור-02'!$A:$A,$A91,'מקור-02'!$C:$C)+SUMIF('מקור-03'!$A:$A,$A91,'מקור-03'!$C:$C)+SUMIF('מקור-04'!$A:$A,$A91,'מקור-04'!$C:$C)+SUMIF('מקור-05'!$A:$A,$A91,'מקור-05'!$C:$C)+SUMIF('מקור-06'!$A:$A,$A91,'מקור-06'!$C:$C)+SUMIF('מקור-07'!$A:$A,$A91,'מקור-07'!$C:$C)+SUMIF('מקור-08'!$A:$A,$A91,'מקור-08'!$C:$C)</f>
        <v>31</v>
      </c>
      <c r="D91" s="7">
        <f>SUMIF('מקור-01'!$A:$A,$A91,'מקור-01'!$D:$D)+SUMIF('מקור-02'!$A:$A,$A91,'מקור-02'!$D:$D)+SUMIF('מקור-03'!$A:$A,$A91,'מקור-03'!$D:$D)+SUMIF('מקור-04'!$A:$A,$A91,'מקור-04'!$D:$D)+SUMIF('מקור-05'!$A:$A,$A91,'מקור-05'!$D:$D)+SUMIF('מקור-06'!$A:$A,$A91,'מקור-06'!$D:$D)+SUMIF('מקור-07'!$A:$A,$A91,'מקור-07'!$D:$D)+SUMIF('מקור-08'!$A:$A,$A91,'מקור-08'!$D:$D)</f>
        <v>39</v>
      </c>
      <c r="E91" s="8">
        <f>D91-C91</f>
        <v>8</v>
      </c>
      <c r="F91" s="9">
        <f>IF(C91=0,"מוצר חדש",(D91-C91)/C91)</f>
        <v>0.25806451612903225</v>
      </c>
    </row>
    <row r="92" hidden="1" ht="15" customHeight="1">
      <c r="A92" s="6" t="n">
        <v>60484</v>
      </c>
      <c r="B92" s="6" t="inlineStr">
        <is>
          <t>URI 3641 1</t>
        </is>
      </c>
      <c r="C92" s="7">
        <f>SUMIF('מקור-01'!$A:$A,$A92,'מקור-01'!$C:$C)+SUMIF('מקור-02'!$A:$A,$A92,'מקור-02'!$C:$C)+SUMIF('מקור-03'!$A:$A,$A92,'מקור-03'!$C:$C)+SUMIF('מקור-04'!$A:$A,$A92,'מקור-04'!$C:$C)+SUMIF('מקור-05'!$A:$A,$A92,'מקור-05'!$C:$C)+SUMIF('מקור-06'!$A:$A,$A92,'מקור-06'!$C:$C)+SUMIF('מקור-07'!$A:$A,$A92,'מקור-07'!$C:$C)+SUMIF('מקור-08'!$A:$A,$A92,'מקור-08'!$C:$C)</f>
        <v>122</v>
      </c>
      <c r="D92" s="7">
        <f>SUMIF('מקור-01'!$A:$A,$A92,'מקור-01'!$D:$D)+SUMIF('מקור-02'!$A:$A,$A92,'מקור-02'!$D:$D)+SUMIF('מקור-03'!$A:$A,$A92,'מקור-03'!$D:$D)+SUMIF('מקור-04'!$A:$A,$A92,'מקור-04'!$D:$D)+SUMIF('מקור-05'!$A:$A,$A92,'מקור-05'!$D:$D)+SUMIF('מקור-06'!$A:$A,$A92,'מקור-06'!$D:$D)+SUMIF('מקור-07'!$A:$A,$A92,'מקור-07'!$D:$D)+SUMIF('מקור-08'!$A:$A,$A92,'מקור-08'!$D:$D)</f>
        <v>74</v>
      </c>
      <c r="E92" s="8">
        <f>D92-C92</f>
        <v>-48</v>
      </c>
      <c r="F92" s="9">
        <f>IF(C92=0,"מוצר חדש",(D92-C92)/C92)</f>
        <v>-0.39344262295081966</v>
      </c>
    </row>
    <row r="93" hidden="1" ht="15" customHeight="1">
      <c r="A93" s="6" t="n">
        <v>60485</v>
      </c>
      <c r="B93" s="6" t="inlineStr">
        <is>
          <t>URI 369 XL 1</t>
        </is>
      </c>
      <c r="C93" s="7">
        <f>SUMIF('מקור-01'!$A:$A,$A93,'מקור-01'!$C:$C)+SUMIF('מקור-02'!$A:$A,$A93,'מקור-02'!$C:$C)+SUMIF('מקור-03'!$A:$A,$A93,'מקור-03'!$C:$C)+SUMIF('מקור-04'!$A:$A,$A93,'מקור-04'!$C:$C)+SUMIF('מקור-05'!$A:$A,$A93,'מקור-05'!$C:$C)+SUMIF('מקור-06'!$A:$A,$A93,'מקור-06'!$C:$C)+SUMIF('מקור-07'!$A:$A,$A93,'מקור-07'!$C:$C)+SUMIF('מקור-08'!$A:$A,$A93,'מקור-08'!$C:$C)</f>
        <v>205</v>
      </c>
      <c r="D93" s="7">
        <f>SUMIF('מקור-01'!$A:$A,$A93,'מקור-01'!$D:$D)+SUMIF('מקור-02'!$A:$A,$A93,'מקור-02'!$D:$D)+SUMIF('מקור-03'!$A:$A,$A93,'מקור-03'!$D:$D)+SUMIF('מקור-04'!$A:$A,$A93,'מקור-04'!$D:$D)+SUMIF('מקור-05'!$A:$A,$A93,'מקור-05'!$D:$D)+SUMIF('מקור-06'!$A:$A,$A93,'מקור-06'!$D:$D)+SUMIF('מקור-07'!$A:$A,$A93,'מקור-07'!$D:$D)+SUMIF('מקור-08'!$A:$A,$A93,'מקור-08'!$D:$D)</f>
        <v>166</v>
      </c>
      <c r="E93" s="8">
        <f>D93-C93</f>
        <v>-39</v>
      </c>
      <c r="F93" s="9">
        <f>IF(C93=0,"מוצר חדש",(D93-C93)/C93)</f>
        <v>-0.1902439024390244</v>
      </c>
    </row>
    <row r="94" hidden="1" ht="15" customHeight="1">
      <c r="A94" s="6" t="n">
        <v>61344</v>
      </c>
      <c r="B94" s="6" t="inlineStr">
        <is>
          <t>URI 312 9*5   1 מדבקה גדולה</t>
        </is>
      </c>
      <c r="C94" s="7">
        <f>SUMIF('מקור-01'!$A:$A,$A94,'מקור-01'!$C:$C)+SUMIF('מקור-02'!$A:$A,$A94,'מקור-02'!$C:$C)+SUMIF('מקור-03'!$A:$A,$A94,'מקור-03'!$C:$C)+SUMIF('מקור-04'!$A:$A,$A94,'מקור-04'!$C:$C)+SUMIF('מקור-05'!$A:$A,$A94,'מקור-05'!$C:$C)+SUMIF('מקור-06'!$A:$A,$A94,'מקור-06'!$C:$C)+SUMIF('מקור-07'!$A:$A,$A94,'מקור-07'!$C:$C)+SUMIF('מקור-08'!$A:$A,$A94,'מקור-08'!$C:$C)</f>
        <v>54</v>
      </c>
      <c r="D94" s="7">
        <f>SUMIF('מקור-01'!$A:$A,$A94,'מקור-01'!$D:$D)+SUMIF('מקור-02'!$A:$A,$A94,'מקור-02'!$D:$D)+SUMIF('מקור-03'!$A:$A,$A94,'מקור-03'!$D:$D)+SUMIF('מקור-04'!$A:$A,$A94,'מקור-04'!$D:$D)+SUMIF('מקור-05'!$A:$A,$A94,'מקור-05'!$D:$D)+SUMIF('מקור-06'!$A:$A,$A94,'מקור-06'!$D:$D)+SUMIF('מקור-07'!$A:$A,$A94,'מקור-07'!$D:$D)+SUMIF('מקור-08'!$A:$A,$A94,'מקור-08'!$D:$D)</f>
        <v>42</v>
      </c>
      <c r="E94" s="8">
        <f>D94-C94</f>
        <v>-12</v>
      </c>
      <c r="F94" s="9">
        <f>IF(C94=0,"מוצר חדש",(D94-C94)/C94)</f>
        <v>-0.2222222222222222</v>
      </c>
    </row>
    <row r="95" hidden="1" ht="15" customHeight="1">
      <c r="A95" s="6" t="n">
        <v>61961</v>
      </c>
      <c r="B95" s="6" t="inlineStr">
        <is>
          <t>URI 366S 1 מדבקה לשחרור לחץ</t>
        </is>
      </c>
      <c r="C95" s="7">
        <f>SUMIF('מקור-01'!$A:$A,$A95,'מקור-01'!$C:$C)+SUMIF('מקור-02'!$A:$A,$A95,'מקור-02'!$C:$C)+SUMIF('מקור-03'!$A:$A,$A95,'מקור-03'!$C:$C)+SUMIF('מקור-04'!$A:$A,$A95,'מקור-04'!$C:$C)+SUMIF('מקור-05'!$A:$A,$A95,'מקור-05'!$C:$C)+SUMIF('מקור-06'!$A:$A,$A95,'מקור-06'!$C:$C)+SUMIF('מקור-07'!$A:$A,$A95,'מקור-07'!$C:$C)+SUMIF('מקור-08'!$A:$A,$A95,'מקור-08'!$C:$C)</f>
        <v>108</v>
      </c>
      <c r="D95" s="7">
        <f>SUMIF('מקור-01'!$A:$A,$A95,'מקור-01'!$D:$D)+SUMIF('מקור-02'!$A:$A,$A95,'מקור-02'!$D:$D)+SUMIF('מקור-03'!$A:$A,$A95,'מקור-03'!$D:$D)+SUMIF('מקור-04'!$A:$A,$A95,'מקור-04'!$D:$D)+SUMIF('מקור-05'!$A:$A,$A95,'מקור-05'!$D:$D)+SUMIF('מקור-06'!$A:$A,$A95,'מקור-06'!$D:$D)+SUMIF('מקור-07'!$A:$A,$A95,'מקור-07'!$D:$D)+SUMIF('מקור-08'!$A:$A,$A95,'מקור-08'!$D:$D)</f>
        <v>88</v>
      </c>
      <c r="E95" s="8">
        <f>D95-C95</f>
        <v>-20</v>
      </c>
      <c r="F95" s="9">
        <f>IF(C95=0,"מוצר חדש",(D95-C95)/C95)</f>
        <v>-0.18518518518518517</v>
      </c>
    </row>
    <row r="96" hidden="1" ht="15" customHeight="1">
      <c r="A96" s="6" t="n">
        <v>61962</v>
      </c>
      <c r="B96" s="6" t="inlineStr">
        <is>
          <t>URI 3677 1 מדבקה לשחרור לחץ</t>
        </is>
      </c>
      <c r="C96" s="7">
        <f>SUMIF('מקור-01'!$A:$A,$A96,'מקור-01'!$C:$C)+SUMIF('מקור-02'!$A:$A,$A96,'מקור-02'!$C:$C)+SUMIF('מקור-03'!$A:$A,$A96,'מקור-03'!$C:$C)+SUMIF('מקור-04'!$A:$A,$A96,'מקור-04'!$C:$C)+SUMIF('מקור-05'!$A:$A,$A96,'מקור-05'!$C:$C)+SUMIF('מקור-06'!$A:$A,$A96,'מקור-06'!$C:$C)+SUMIF('מקור-07'!$A:$A,$A96,'מקור-07'!$C:$C)+SUMIF('מקור-08'!$A:$A,$A96,'מקור-08'!$C:$C)</f>
        <v>57</v>
      </c>
      <c r="D96" s="7">
        <f>SUMIF('מקור-01'!$A:$A,$A96,'מקור-01'!$D:$D)+SUMIF('מקור-02'!$A:$A,$A96,'מקור-02'!$D:$D)+SUMIF('מקור-03'!$A:$A,$A96,'מקור-03'!$D:$D)+SUMIF('מקור-04'!$A:$A,$A96,'מקור-04'!$D:$D)+SUMIF('מקור-05'!$A:$A,$A96,'מקור-05'!$D:$D)+SUMIF('מקור-06'!$A:$A,$A96,'מקור-06'!$D:$D)+SUMIF('מקור-07'!$A:$A,$A96,'מקור-07'!$D:$D)+SUMIF('מקור-08'!$A:$A,$A96,'מקור-08'!$D:$D)</f>
        <v>69</v>
      </c>
      <c r="E96" s="8">
        <f>D96-C96</f>
        <v>12</v>
      </c>
      <c r="F96" s="9">
        <f>IF(C96=0,"מוצר חדש",(D96-C96)/C96)</f>
        <v>0.21052631578947367</v>
      </c>
    </row>
    <row r="97" hidden="1" ht="15" customHeight="1">
      <c r="A97" s="6" t="n">
        <v>63359</v>
      </c>
      <c r="B97" s="6" t="inlineStr">
        <is>
          <t>URI 45 M          1 מגן ברך</t>
        </is>
      </c>
      <c r="C97" s="7">
        <f>SUMIF('מקור-01'!$A:$A,$A97,'מקור-01'!$C:$C)+SUMIF('מקור-02'!$A:$A,$A97,'מקור-02'!$C:$C)+SUMIF('מקור-03'!$A:$A,$A97,'מקור-03'!$C:$C)+SUMIF('מקור-04'!$A:$A,$A97,'מקור-04'!$C:$C)+SUMIF('מקור-05'!$A:$A,$A97,'מקור-05'!$C:$C)+SUMIF('מקור-06'!$A:$A,$A97,'מקור-06'!$C:$C)+SUMIF('מקור-07'!$A:$A,$A97,'מקור-07'!$C:$C)+SUMIF('מקור-08'!$A:$A,$A97,'מקור-08'!$C:$C)</f>
        <v>311</v>
      </c>
      <c r="D97" s="7">
        <f>SUMIF('מקור-01'!$A:$A,$A97,'מקור-01'!$D:$D)+SUMIF('מקור-02'!$A:$A,$A97,'מקור-02'!$D:$D)+SUMIF('מקור-03'!$A:$A,$A97,'מקור-03'!$D:$D)+SUMIF('מקור-04'!$A:$A,$A97,'מקור-04'!$D:$D)+SUMIF('מקור-05'!$A:$A,$A97,'מקור-05'!$D:$D)+SUMIF('מקור-06'!$A:$A,$A97,'מקור-06'!$D:$D)+SUMIF('מקור-07'!$A:$A,$A97,'מקור-07'!$D:$D)+SUMIF('מקור-08'!$A:$A,$A97,'מקור-08'!$D:$D)</f>
        <v>297</v>
      </c>
      <c r="E97" s="8">
        <f>D97-C97</f>
        <v>-14</v>
      </c>
      <c r="F97" s="9">
        <f>IF(C97=0,"מוצר חדש",(D97-C97)/C97)</f>
        <v>-0.04501607717041801</v>
      </c>
    </row>
    <row r="98" hidden="1" ht="15" customHeight="1">
      <c r="A98" s="6" t="n">
        <v>63360</v>
      </c>
      <c r="B98" s="6" t="inlineStr">
        <is>
          <t>URI 45 L          1 מגן ברךBOX</t>
        </is>
      </c>
      <c r="C98" s="7">
        <f>SUMIF('מקור-01'!$A:$A,$A98,'מקור-01'!$C:$C)+SUMIF('מקור-02'!$A:$A,$A98,'מקור-02'!$C:$C)+SUMIF('מקור-03'!$A:$A,$A98,'מקור-03'!$C:$C)+SUMIF('מקור-04'!$A:$A,$A98,'מקור-04'!$C:$C)+SUMIF('מקור-05'!$A:$A,$A98,'מקור-05'!$C:$C)+SUMIF('מקור-06'!$A:$A,$A98,'מקור-06'!$C:$C)+SUMIF('מקור-07'!$A:$A,$A98,'מקור-07'!$C:$C)+SUMIF('מקור-08'!$A:$A,$A98,'מקור-08'!$C:$C)</f>
        <v>374</v>
      </c>
      <c r="D98" s="7">
        <f>SUMIF('מקור-01'!$A:$A,$A98,'מקור-01'!$D:$D)+SUMIF('מקור-02'!$A:$A,$A98,'מקור-02'!$D:$D)+SUMIF('מקור-03'!$A:$A,$A98,'מקור-03'!$D:$D)+SUMIF('מקור-04'!$A:$A,$A98,'מקור-04'!$D:$D)+SUMIF('מקור-05'!$A:$A,$A98,'מקור-05'!$D:$D)+SUMIF('מקור-06'!$A:$A,$A98,'מקור-06'!$D:$D)+SUMIF('מקור-07'!$A:$A,$A98,'מקור-07'!$D:$D)+SUMIF('מקור-08'!$A:$A,$A98,'מקור-08'!$D:$D)</f>
        <v>372</v>
      </c>
      <c r="E98" s="8">
        <f>D98-C98</f>
        <v>-2</v>
      </c>
      <c r="F98" s="9">
        <f>IF(C98=0,"מוצר חדש",(D98-C98)/C98)</f>
        <v>-0.0053475935828877</v>
      </c>
    </row>
    <row r="99" hidden="1" ht="15" customHeight="1">
      <c r="A99" s="6" t="n">
        <v>63361</v>
      </c>
      <c r="B99" s="6" t="inlineStr">
        <is>
          <t>URI 45 XL         1 מגן ברך</t>
        </is>
      </c>
      <c r="C99" s="7">
        <f>SUMIF('מקור-01'!$A:$A,$A99,'מקור-01'!$C:$C)+SUMIF('מקור-02'!$A:$A,$A99,'מקור-02'!$C:$C)+SUMIF('מקור-03'!$A:$A,$A99,'מקור-03'!$C:$C)+SUMIF('מקור-04'!$A:$A,$A99,'מקור-04'!$C:$C)+SUMIF('מקור-05'!$A:$A,$A99,'מקור-05'!$C:$C)+SUMIF('מקור-06'!$A:$A,$A99,'מקור-06'!$C:$C)+SUMIF('מקור-07'!$A:$A,$A99,'מקור-07'!$C:$C)+SUMIF('מקור-08'!$A:$A,$A99,'מקור-08'!$C:$C)</f>
        <v>226</v>
      </c>
      <c r="D99" s="7">
        <f>SUMIF('מקור-01'!$A:$A,$A99,'מקור-01'!$D:$D)+SUMIF('מקור-02'!$A:$A,$A99,'מקור-02'!$D:$D)+SUMIF('מקור-03'!$A:$A,$A99,'מקור-03'!$D:$D)+SUMIF('מקור-04'!$A:$A,$A99,'מקור-04'!$D:$D)+SUMIF('מקור-05'!$A:$A,$A99,'מקור-05'!$D:$D)+SUMIF('מקור-06'!$A:$A,$A99,'מקור-06'!$D:$D)+SUMIF('מקור-07'!$A:$A,$A99,'מקור-07'!$D:$D)+SUMIF('מקור-08'!$A:$A,$A99,'מקור-08'!$D:$D)</f>
        <v>217</v>
      </c>
      <c r="E99" s="8">
        <f>D99-C99</f>
        <v>-9</v>
      </c>
      <c r="F99" s="9">
        <f>IF(C99=0,"מוצר חדש",(D99-C99)/C99)</f>
        <v>-0.03982300884955752</v>
      </c>
    </row>
    <row r="100" hidden="1" ht="15" customHeight="1">
      <c r="A100" s="6" t="n">
        <v>63366</v>
      </c>
      <c r="B100" s="6" t="inlineStr">
        <is>
          <t>URI 34 M 1 מגן קרסול ס.בעקב</t>
        </is>
      </c>
      <c r="C100" s="7">
        <f>SUMIF('מקור-01'!$A:$A,$A100,'מקור-01'!$C:$C)+SUMIF('מקור-02'!$A:$A,$A100,'מקור-02'!$C:$C)+SUMIF('מקור-03'!$A:$A,$A100,'מקור-03'!$C:$C)+SUMIF('מקור-04'!$A:$A,$A100,'מקור-04'!$C:$C)+SUMIF('מקור-05'!$A:$A,$A100,'מקור-05'!$C:$C)+SUMIF('מקור-06'!$A:$A,$A100,'מקור-06'!$C:$C)+SUMIF('מקור-07'!$A:$A,$A100,'מקור-07'!$C:$C)+SUMIF('מקור-08'!$A:$A,$A100,'מקור-08'!$C:$C)</f>
        <v>187</v>
      </c>
      <c r="D100" s="7">
        <f>SUMIF('מקור-01'!$A:$A,$A100,'מקור-01'!$D:$D)+SUMIF('מקור-02'!$A:$A,$A100,'מקור-02'!$D:$D)+SUMIF('מקור-03'!$A:$A,$A100,'מקור-03'!$D:$D)+SUMIF('מקור-04'!$A:$A,$A100,'מקור-04'!$D:$D)+SUMIF('מקור-05'!$A:$A,$A100,'מקור-05'!$D:$D)+SUMIF('מקור-06'!$A:$A,$A100,'מקור-06'!$D:$D)+SUMIF('מקור-07'!$A:$A,$A100,'מקור-07'!$D:$D)+SUMIF('מקור-08'!$A:$A,$A100,'מקור-08'!$D:$D)</f>
        <v>193</v>
      </c>
      <c r="E100" s="8">
        <f>D100-C100</f>
        <v>6</v>
      </c>
      <c r="F100" s="9">
        <f>IF(C100=0,"מוצר חדש",(D100-C100)/C100)</f>
        <v>0.03208556149732621</v>
      </c>
    </row>
    <row r="101" hidden="1" ht="15" customHeight="1">
      <c r="A101" s="6" t="n">
        <v>63367</v>
      </c>
      <c r="B101" s="6" t="inlineStr">
        <is>
          <t>URI 34 L 1 מגן קרסול ס.בעקב</t>
        </is>
      </c>
      <c r="C101" s="7">
        <f>SUMIF('מקור-01'!$A:$A,$A101,'מקור-01'!$C:$C)+SUMIF('מקור-02'!$A:$A,$A101,'מקור-02'!$C:$C)+SUMIF('מקור-03'!$A:$A,$A101,'מקור-03'!$C:$C)+SUMIF('מקור-04'!$A:$A,$A101,'מקור-04'!$C:$C)+SUMIF('מקור-05'!$A:$A,$A101,'מקור-05'!$C:$C)+SUMIF('מקור-06'!$A:$A,$A101,'מקור-06'!$C:$C)+SUMIF('מקור-07'!$A:$A,$A101,'מקור-07'!$C:$C)+SUMIF('מקור-08'!$A:$A,$A101,'מקור-08'!$C:$C)</f>
        <v>208</v>
      </c>
      <c r="D101" s="7">
        <f>SUMIF('מקור-01'!$A:$A,$A101,'מקור-01'!$D:$D)+SUMIF('מקור-02'!$A:$A,$A101,'מקור-02'!$D:$D)+SUMIF('מקור-03'!$A:$A,$A101,'מקור-03'!$D:$D)+SUMIF('מקור-04'!$A:$A,$A101,'מקור-04'!$D:$D)+SUMIF('מקור-05'!$A:$A,$A101,'מקור-05'!$D:$D)+SUMIF('מקור-06'!$A:$A,$A101,'מקור-06'!$D:$D)+SUMIF('מקור-07'!$A:$A,$A101,'מקור-07'!$D:$D)+SUMIF('מקור-08'!$A:$A,$A101,'מקור-08'!$D:$D)</f>
        <v>194</v>
      </c>
      <c r="E101" s="8">
        <f>D101-C101</f>
        <v>-14</v>
      </c>
      <c r="F101" s="9">
        <f>IF(C101=0,"מוצר חדש",(D101-C101)/C101)</f>
        <v>-0.0673076923076923</v>
      </c>
    </row>
    <row r="102" hidden="1" ht="15" customHeight="1">
      <c r="A102" s="6" t="n">
        <v>63368</v>
      </c>
      <c r="B102" s="6" t="inlineStr">
        <is>
          <t>URI 34 XL1 מגן קרסול ס.בעקב</t>
        </is>
      </c>
      <c r="C102" s="7">
        <f>SUMIF('מקור-01'!$A:$A,$A102,'מקור-01'!$C:$C)+SUMIF('מקור-02'!$A:$A,$A102,'מקור-02'!$C:$C)+SUMIF('מקור-03'!$A:$A,$A102,'מקור-03'!$C:$C)+SUMIF('מקור-04'!$A:$A,$A102,'מקור-04'!$C:$C)+SUMIF('מקור-05'!$A:$A,$A102,'מקור-05'!$C:$C)+SUMIF('מקור-06'!$A:$A,$A102,'מקור-06'!$C:$C)+SUMIF('מקור-07'!$A:$A,$A102,'מקור-07'!$C:$C)+SUMIF('מקור-08'!$A:$A,$A102,'מקור-08'!$C:$C)</f>
        <v>124</v>
      </c>
      <c r="D102" s="7">
        <f>SUMIF('מקור-01'!$A:$A,$A102,'מקור-01'!$D:$D)+SUMIF('מקור-02'!$A:$A,$A102,'מקור-02'!$D:$D)+SUMIF('מקור-03'!$A:$A,$A102,'מקור-03'!$D:$D)+SUMIF('מקור-04'!$A:$A,$A102,'מקור-04'!$D:$D)+SUMIF('מקור-05'!$A:$A,$A102,'מקור-05'!$D:$D)+SUMIF('מקור-06'!$A:$A,$A102,'מקור-06'!$D:$D)+SUMIF('מקור-07'!$A:$A,$A102,'מקור-07'!$D:$D)+SUMIF('מקור-08'!$A:$A,$A102,'מקור-08'!$D:$D)</f>
        <v>115</v>
      </c>
      <c r="E102" s="8">
        <f>D102-C102</f>
        <v>-9</v>
      </c>
      <c r="F102" s="9">
        <f>IF(C102=0,"מוצר חדש",(D102-C102)/C102)</f>
        <v>-0.07258064516129033</v>
      </c>
    </row>
    <row r="103" hidden="1" ht="15" customHeight="1">
      <c r="A103" s="6" t="n">
        <v>63404</v>
      </c>
      <c r="B103" s="6" t="inlineStr">
        <is>
          <t>URI 11U S 1 ח בטן אחר ניתוח</t>
        </is>
      </c>
      <c r="C103" s="7">
        <f>SUMIF('מקור-01'!$A:$A,$A103,'מקור-01'!$C:$C)+SUMIF('מקור-02'!$A:$A,$A103,'מקור-02'!$C:$C)+SUMIF('מקור-03'!$A:$A,$A103,'מקור-03'!$C:$C)+SUMIF('מקור-04'!$A:$A,$A103,'מקור-04'!$C:$C)+SUMIF('מקור-05'!$A:$A,$A103,'מקור-05'!$C:$C)+SUMIF('מקור-06'!$A:$A,$A103,'מקור-06'!$C:$C)+SUMIF('מקור-07'!$A:$A,$A103,'מקור-07'!$C:$C)+SUMIF('מקור-08'!$A:$A,$A103,'מקור-08'!$C:$C)</f>
        <v>0</v>
      </c>
      <c r="D103" s="7">
        <f>SUMIF('מקור-01'!$A:$A,$A103,'מקור-01'!$D:$D)+SUMIF('מקור-02'!$A:$A,$A103,'מקור-02'!$D:$D)+SUMIF('מקור-03'!$A:$A,$A103,'מקור-03'!$D:$D)+SUMIF('מקור-04'!$A:$A,$A103,'מקור-04'!$D:$D)+SUMIF('מקור-05'!$A:$A,$A103,'מקור-05'!$D:$D)+SUMIF('מקור-06'!$A:$A,$A103,'מקור-06'!$D:$D)+SUMIF('מקור-07'!$A:$A,$A103,'מקור-07'!$D:$D)+SUMIF('מקור-08'!$A:$A,$A103,'מקור-08'!$D:$D)</f>
        <v>1</v>
      </c>
      <c r="E103" s="8">
        <f>D103-C103</f>
        <v>1</v>
      </c>
      <c t="str" r="F103" s="9">
        <f>IF(C103=0,"מוצר חדש",(D103-C103)/C103)</f>
        <v>מוצר חדש</v>
      </c>
    </row>
    <row r="104" hidden="1" ht="15" customHeight="1">
      <c r="A104" s="6" t="n">
        <v>63405</v>
      </c>
      <c r="B104" s="6" t="inlineStr">
        <is>
          <t>URI 11U M 1 ח בטן אחר ניתוח</t>
        </is>
      </c>
      <c r="C104" s="7">
        <f>SUMIF('מקור-01'!$A:$A,$A104,'מקור-01'!$C:$C)+SUMIF('מקור-02'!$A:$A,$A104,'מקור-02'!$C:$C)+SUMIF('מקור-03'!$A:$A,$A104,'מקור-03'!$C:$C)+SUMIF('מקור-04'!$A:$A,$A104,'מקור-04'!$C:$C)+SUMIF('מקור-05'!$A:$A,$A104,'מקור-05'!$C:$C)+SUMIF('מקור-06'!$A:$A,$A104,'מקור-06'!$C:$C)+SUMIF('מקור-07'!$A:$A,$A104,'מקור-07'!$C:$C)+SUMIF('מקור-08'!$A:$A,$A104,'מקור-08'!$C:$C)</f>
        <v>1</v>
      </c>
      <c r="D104" s="7">
        <f>SUMIF('מקור-01'!$A:$A,$A104,'מקור-01'!$D:$D)+SUMIF('מקור-02'!$A:$A,$A104,'מקור-02'!$D:$D)+SUMIF('מקור-03'!$A:$A,$A104,'מקור-03'!$D:$D)+SUMIF('מקור-04'!$A:$A,$A104,'מקור-04'!$D:$D)+SUMIF('מקור-05'!$A:$A,$A104,'מקור-05'!$D:$D)+SUMIF('מקור-06'!$A:$A,$A104,'מקור-06'!$D:$D)+SUMIF('מקור-07'!$A:$A,$A104,'מקור-07'!$D:$D)+SUMIF('מקור-08'!$A:$A,$A104,'מקור-08'!$D:$D)</f>
        <v>2</v>
      </c>
      <c r="E104" s="8">
        <f>D104-C104</f>
        <v>1</v>
      </c>
      <c r="F104" s="9">
        <f>IF(C104=0,"מוצר חדש",(D104-C104)/C104)</f>
        <v>1</v>
      </c>
    </row>
    <row r="105" hidden="1" ht="15" customHeight="1">
      <c r="A105" s="6" t="n">
        <v>63406</v>
      </c>
      <c r="B105" s="6" t="inlineStr">
        <is>
          <t>URI 11U L 1 ח בטן אחר ניתוח</t>
        </is>
      </c>
      <c r="C105" s="7">
        <f>SUMIF('מקור-01'!$A:$A,$A105,'מקור-01'!$C:$C)+SUMIF('מקור-02'!$A:$A,$A105,'מקור-02'!$C:$C)+SUMIF('מקור-03'!$A:$A,$A105,'מקור-03'!$C:$C)+SUMIF('מקור-04'!$A:$A,$A105,'מקור-04'!$C:$C)+SUMIF('מקור-05'!$A:$A,$A105,'מקור-05'!$C:$C)+SUMIF('מקור-06'!$A:$A,$A105,'מקור-06'!$C:$C)+SUMIF('מקור-07'!$A:$A,$A105,'מקור-07'!$C:$C)+SUMIF('מקור-08'!$A:$A,$A105,'מקור-08'!$C:$C)</f>
        <v>9</v>
      </c>
      <c r="D105" s="7">
        <f>SUMIF('מקור-01'!$A:$A,$A105,'מקור-01'!$D:$D)+SUMIF('מקור-02'!$A:$A,$A105,'מקור-02'!$D:$D)+SUMIF('מקור-03'!$A:$A,$A105,'מקור-03'!$D:$D)+SUMIF('מקור-04'!$A:$A,$A105,'מקור-04'!$D:$D)+SUMIF('מקור-05'!$A:$A,$A105,'מקור-05'!$D:$D)+SUMIF('מקור-06'!$A:$A,$A105,'מקור-06'!$D:$D)+SUMIF('מקור-07'!$A:$A,$A105,'מקור-07'!$D:$D)+SUMIF('מקור-08'!$A:$A,$A105,'מקור-08'!$D:$D)</f>
        <v>5</v>
      </c>
      <c r="E105" s="8">
        <f>D105-C105</f>
        <v>-4</v>
      </c>
      <c r="F105" s="9">
        <f>IF(C105=0,"מוצר חדש",(D105-C105)/C105)</f>
        <v>-0.4444444444444444</v>
      </c>
    </row>
    <row r="106" hidden="1" ht="15" customHeight="1">
      <c r="A106" s="6" t="n">
        <v>63407</v>
      </c>
      <c r="B106" s="6" t="inlineStr">
        <is>
          <t>URI 11U XL1 ח בטן אחר ניתוח</t>
        </is>
      </c>
      <c r="C106" s="7">
        <f>SUMIF('מקור-01'!$A:$A,$A106,'מקור-01'!$C:$C)+SUMIF('מקור-02'!$A:$A,$A106,'מקור-02'!$C:$C)+SUMIF('מקור-03'!$A:$A,$A106,'מקור-03'!$C:$C)+SUMIF('מקור-04'!$A:$A,$A106,'מקור-04'!$C:$C)+SUMIF('מקור-05'!$A:$A,$A106,'מקור-05'!$C:$C)+SUMIF('מקור-06'!$A:$A,$A106,'מקור-06'!$C:$C)+SUMIF('מקור-07'!$A:$A,$A106,'מקור-07'!$C:$C)+SUMIF('מקור-08'!$A:$A,$A106,'מקור-08'!$C:$C)</f>
        <v>3</v>
      </c>
      <c r="D106" s="7">
        <f>SUMIF('מקור-01'!$A:$A,$A106,'מקור-01'!$D:$D)+SUMIF('מקור-02'!$A:$A,$A106,'מקור-02'!$D:$D)+SUMIF('מקור-03'!$A:$A,$A106,'מקור-03'!$D:$D)+SUMIF('מקור-04'!$A:$A,$A106,'מקור-04'!$D:$D)+SUMIF('מקור-05'!$A:$A,$A106,'מקור-05'!$D:$D)+SUMIF('מקור-06'!$A:$A,$A106,'מקור-06'!$D:$D)+SUMIF('מקור-07'!$A:$A,$A106,'מקור-07'!$D:$D)+SUMIF('מקור-08'!$A:$A,$A106,'מקור-08'!$D:$D)</f>
        <v>4</v>
      </c>
      <c r="E106" s="8">
        <f>D106-C106</f>
        <v>1</v>
      </c>
      <c r="F106" s="9">
        <f>IF(C106=0,"מוצר חדש",(D106-C106)/C106)</f>
        <v>0.3333333333333333</v>
      </c>
    </row>
    <row r="107" hidden="1" ht="15" customHeight="1">
      <c r="A107" s="6" t="n">
        <v>63414</v>
      </c>
      <c r="B107" s="6" t="inlineStr">
        <is>
          <t>URI 85 M         1 מתלה ליד</t>
        </is>
      </c>
      <c r="C107" s="7">
        <f>SUMIF('מקור-01'!$A:$A,$A107,'מקור-01'!$C:$C)+SUMIF('מקור-02'!$A:$A,$A107,'מקור-02'!$C:$C)+SUMIF('מקור-03'!$A:$A,$A107,'מקור-03'!$C:$C)+SUMIF('מקור-04'!$A:$A,$A107,'מקור-04'!$C:$C)+SUMIF('מקור-05'!$A:$A,$A107,'מקור-05'!$C:$C)+SUMIF('מקור-06'!$A:$A,$A107,'מקור-06'!$C:$C)+SUMIF('מקור-07'!$A:$A,$A107,'מקור-07'!$C:$C)+SUMIF('מקור-08'!$A:$A,$A107,'מקור-08'!$C:$C)</f>
        <v>165</v>
      </c>
      <c r="D107" s="7">
        <f>SUMIF('מקור-01'!$A:$A,$A107,'מקור-01'!$D:$D)+SUMIF('מקור-02'!$A:$A,$A107,'מקור-02'!$D:$D)+SUMIF('מקור-03'!$A:$A,$A107,'מקור-03'!$D:$D)+SUMIF('מקור-04'!$A:$A,$A107,'מקור-04'!$D:$D)+SUMIF('מקור-05'!$A:$A,$A107,'מקור-05'!$D:$D)+SUMIF('מקור-06'!$A:$A,$A107,'מקור-06'!$D:$D)+SUMIF('מקור-07'!$A:$A,$A107,'מקור-07'!$D:$D)+SUMIF('מקור-08'!$A:$A,$A107,'מקור-08'!$D:$D)</f>
        <v>178</v>
      </c>
      <c r="E107" s="8">
        <f>D107-C107</f>
        <v>13</v>
      </c>
      <c r="F107" s="9">
        <f>IF(C107=0,"מוצר חדש",(D107-C107)/C107)</f>
        <v>0.07878787878787878</v>
      </c>
    </row>
    <row r="108" hidden="1" ht="15" customHeight="1">
      <c r="A108" s="6" t="n">
        <v>63415</v>
      </c>
      <c r="B108" s="6" t="inlineStr">
        <is>
          <t>URI 85 L         1 מתלה ליד</t>
        </is>
      </c>
      <c r="C108" s="7">
        <f>SUMIF('מקור-01'!$A:$A,$A108,'מקור-01'!$C:$C)+SUMIF('מקור-02'!$A:$A,$A108,'מקור-02'!$C:$C)+SUMIF('מקור-03'!$A:$A,$A108,'מקור-03'!$C:$C)+SUMIF('מקור-04'!$A:$A,$A108,'מקור-04'!$C:$C)+SUMIF('מקור-05'!$A:$A,$A108,'מקור-05'!$C:$C)+SUMIF('מקור-06'!$A:$A,$A108,'מקור-06'!$C:$C)+SUMIF('מקור-07'!$A:$A,$A108,'מקור-07'!$C:$C)+SUMIF('מקור-08'!$A:$A,$A108,'מקור-08'!$C:$C)</f>
        <v>214</v>
      </c>
      <c r="D108" s="7">
        <f>SUMIF('מקור-01'!$A:$A,$A108,'מקור-01'!$D:$D)+SUMIF('מקור-02'!$A:$A,$A108,'מקור-02'!$D:$D)+SUMIF('מקור-03'!$A:$A,$A108,'מקור-03'!$D:$D)+SUMIF('מקור-04'!$A:$A,$A108,'מקור-04'!$D:$D)+SUMIF('מקור-05'!$A:$A,$A108,'מקור-05'!$D:$D)+SUMIF('מקור-06'!$A:$A,$A108,'מקור-06'!$D:$D)+SUMIF('מקור-07'!$A:$A,$A108,'מקור-07'!$D:$D)+SUMIF('מקור-08'!$A:$A,$A108,'מקור-08'!$D:$D)</f>
        <v>241</v>
      </c>
      <c r="E108" s="8">
        <f>D108-C108</f>
        <v>27</v>
      </c>
      <c r="F108" s="9">
        <f>IF(C108=0,"מוצר חדש",(D108-C108)/C108)</f>
        <v>0.1261682242990654</v>
      </c>
    </row>
    <row r="109" hidden="1" ht="15" customHeight="1">
      <c r="A109" s="6" t="n">
        <v>63416</v>
      </c>
      <c r="B109" s="6" t="inlineStr">
        <is>
          <t>URI 85 XL        1 מתלה ליד</t>
        </is>
      </c>
      <c r="C109" s="7">
        <f>SUMIF('מקור-01'!$A:$A,$A109,'מקור-01'!$C:$C)+SUMIF('מקור-02'!$A:$A,$A109,'מקור-02'!$C:$C)+SUMIF('מקור-03'!$A:$A,$A109,'מקור-03'!$C:$C)+SUMIF('מקור-04'!$A:$A,$A109,'מקור-04'!$C:$C)+SUMIF('מקור-05'!$A:$A,$A109,'מקור-05'!$C:$C)+SUMIF('מקור-06'!$A:$A,$A109,'מקור-06'!$C:$C)+SUMIF('מקור-07'!$A:$A,$A109,'מקור-07'!$C:$C)+SUMIF('מקור-08'!$A:$A,$A109,'מקור-08'!$C:$C)</f>
        <v>79</v>
      </c>
      <c r="D109" s="7">
        <f>SUMIF('מקור-01'!$A:$A,$A109,'מקור-01'!$D:$D)+SUMIF('מקור-02'!$A:$A,$A109,'מקור-02'!$D:$D)+SUMIF('מקור-03'!$A:$A,$A109,'מקור-03'!$D:$D)+SUMIF('מקור-04'!$A:$A,$A109,'מקור-04'!$D:$D)+SUMIF('מקור-05'!$A:$A,$A109,'מקור-05'!$D:$D)+SUMIF('מקור-06'!$A:$A,$A109,'מקור-06'!$D:$D)+SUMIF('מקור-07'!$A:$A,$A109,'מקור-07'!$D:$D)+SUMIF('מקור-08'!$A:$A,$A109,'מקור-08'!$D:$D)</f>
        <v>88</v>
      </c>
      <c r="E109" s="8">
        <f>D109-C109</f>
        <v>9</v>
      </c>
      <c r="F109" s="9">
        <f>IF(C109=0,"מוצר חדש",(D109-C109)/C109)</f>
        <v>0.11392405063291139</v>
      </c>
    </row>
    <row r="110" hidden="1" ht="15" customHeight="1">
      <c r="A110" s="6" t="n">
        <v>63417</v>
      </c>
      <c r="B110" s="6" t="inlineStr">
        <is>
          <t>URI 87 M1 חגו.לקיבוע תמ.אמה</t>
        </is>
      </c>
      <c r="C110" s="7">
        <f>SUMIF('מקור-01'!$A:$A,$A110,'מקור-01'!$C:$C)+SUMIF('מקור-02'!$A:$A,$A110,'מקור-02'!$C:$C)+SUMIF('מקור-03'!$A:$A,$A110,'מקור-03'!$C:$C)+SUMIF('מקור-04'!$A:$A,$A110,'מקור-04'!$C:$C)+SUMIF('מקור-05'!$A:$A,$A110,'מקור-05'!$C:$C)+SUMIF('מקור-06'!$A:$A,$A110,'מקור-06'!$C:$C)+SUMIF('מקור-07'!$A:$A,$A110,'מקור-07'!$C:$C)+SUMIF('מקור-08'!$A:$A,$A110,'מקור-08'!$C:$C)</f>
        <v>41</v>
      </c>
      <c r="D110" s="7">
        <f>SUMIF('מקור-01'!$A:$A,$A110,'מקור-01'!$D:$D)+SUMIF('מקור-02'!$A:$A,$A110,'מקור-02'!$D:$D)+SUMIF('מקור-03'!$A:$A,$A110,'מקור-03'!$D:$D)+SUMIF('מקור-04'!$A:$A,$A110,'מקור-04'!$D:$D)+SUMIF('מקור-05'!$A:$A,$A110,'מקור-05'!$D:$D)+SUMIF('מקור-06'!$A:$A,$A110,'מקור-06'!$D:$D)+SUMIF('מקור-07'!$A:$A,$A110,'מקור-07'!$D:$D)+SUMIF('מקור-08'!$A:$A,$A110,'מקור-08'!$D:$D)</f>
        <v>37</v>
      </c>
      <c r="E110" s="8">
        <f>D110-C110</f>
        <v>-4</v>
      </c>
      <c r="F110" s="9">
        <f>IF(C110=0,"מוצר חדש",(D110-C110)/C110)</f>
        <v>-0.0975609756097561</v>
      </c>
    </row>
    <row r="111" hidden="1" ht="15" customHeight="1">
      <c r="A111" s="6" t="n">
        <v>63418</v>
      </c>
      <c r="B111" s="6" t="inlineStr">
        <is>
          <t>URI 87 L1 חגו.לקיבוע תמ.אמה</t>
        </is>
      </c>
      <c r="C111" s="7">
        <f>SUMIF('מקור-01'!$A:$A,$A111,'מקור-01'!$C:$C)+SUMIF('מקור-02'!$A:$A,$A111,'מקור-02'!$C:$C)+SUMIF('מקור-03'!$A:$A,$A111,'מקור-03'!$C:$C)+SUMIF('מקור-04'!$A:$A,$A111,'מקור-04'!$C:$C)+SUMIF('מקור-05'!$A:$A,$A111,'מקור-05'!$C:$C)+SUMIF('מקור-06'!$A:$A,$A111,'מקור-06'!$C:$C)+SUMIF('מקור-07'!$A:$A,$A111,'מקור-07'!$C:$C)+SUMIF('מקור-08'!$A:$A,$A111,'מקור-08'!$C:$C)</f>
        <v>52</v>
      </c>
      <c r="D111" s="7">
        <f>SUMIF('מקור-01'!$A:$A,$A111,'מקור-01'!$D:$D)+SUMIF('מקור-02'!$A:$A,$A111,'מקור-02'!$D:$D)+SUMIF('מקור-03'!$A:$A,$A111,'מקור-03'!$D:$D)+SUMIF('מקור-04'!$A:$A,$A111,'מקור-04'!$D:$D)+SUMIF('מקור-05'!$A:$A,$A111,'מקור-05'!$D:$D)+SUMIF('מקור-06'!$A:$A,$A111,'מקור-06'!$D:$D)+SUMIF('מקור-07'!$A:$A,$A111,'מקור-07'!$D:$D)+SUMIF('מקור-08'!$A:$A,$A111,'מקור-08'!$D:$D)</f>
        <v>40</v>
      </c>
      <c r="E111" s="8">
        <f>D111-C111</f>
        <v>-12</v>
      </c>
      <c r="F111" s="9">
        <f>IF(C111=0,"מוצר חדש",(D111-C111)/C111)</f>
        <v>-0.23076923076923078</v>
      </c>
    </row>
    <row r="112" hidden="1" ht="15" customHeight="1">
      <c r="A112" s="6" t="n">
        <v>63419</v>
      </c>
      <c r="B112" s="6" t="inlineStr">
        <is>
          <t>URI 87 XL1 חגו.קיבוע תמ.אמה</t>
        </is>
      </c>
      <c r="C112" s="7">
        <f>SUMIF('מקור-01'!$A:$A,$A112,'מקור-01'!$C:$C)+SUMIF('מקור-02'!$A:$A,$A112,'מקור-02'!$C:$C)+SUMIF('מקור-03'!$A:$A,$A112,'מקור-03'!$C:$C)+SUMIF('מקור-04'!$A:$A,$A112,'מקור-04'!$C:$C)+SUMIF('מקור-05'!$A:$A,$A112,'מקור-05'!$C:$C)+SUMIF('מקור-06'!$A:$A,$A112,'מקור-06'!$C:$C)+SUMIF('מקור-07'!$A:$A,$A112,'מקור-07'!$C:$C)+SUMIF('מקור-08'!$A:$A,$A112,'מקור-08'!$C:$C)</f>
        <v>28</v>
      </c>
      <c r="D112" s="7">
        <f>SUMIF('מקור-01'!$A:$A,$A112,'מקור-01'!$D:$D)+SUMIF('מקור-02'!$A:$A,$A112,'מקור-02'!$D:$D)+SUMIF('מקור-03'!$A:$A,$A112,'מקור-03'!$D:$D)+SUMIF('מקור-04'!$A:$A,$A112,'מקור-04'!$D:$D)+SUMIF('מקור-05'!$A:$A,$A112,'מקור-05'!$D:$D)+SUMIF('מקור-06'!$A:$A,$A112,'מקור-06'!$D:$D)+SUMIF('מקור-07'!$A:$A,$A112,'מקור-07'!$D:$D)+SUMIF('מקור-08'!$A:$A,$A112,'מקור-08'!$D:$D)</f>
        <v>35</v>
      </c>
      <c r="E112" s="8">
        <f>D112-C112</f>
        <v>7</v>
      </c>
      <c r="F112" s="9">
        <f>IF(C112=0,"מוצר חדש",(D112-C112)/C112)</f>
        <v>0.25</v>
      </c>
    </row>
    <row r="113" hidden="1" ht="15" customHeight="1">
      <c r="A113" s="6" t="n">
        <v>63420</v>
      </c>
      <c r="B113" s="6" t="inlineStr">
        <is>
          <t>URI 95 M         1 מגן מרפק</t>
        </is>
      </c>
      <c r="C113" s="7">
        <f>SUMIF('מקור-01'!$A:$A,$A113,'מקור-01'!$C:$C)+SUMIF('מקור-02'!$A:$A,$A113,'מקור-02'!$C:$C)+SUMIF('מקור-03'!$A:$A,$A113,'מקור-03'!$C:$C)+SUMIF('מקור-04'!$A:$A,$A113,'מקור-04'!$C:$C)+SUMIF('מקור-05'!$A:$A,$A113,'מקור-05'!$C:$C)+SUMIF('מקור-06'!$A:$A,$A113,'מקור-06'!$C:$C)+SUMIF('מקור-07'!$A:$A,$A113,'מקור-07'!$C:$C)+SUMIF('מקור-08'!$A:$A,$A113,'מקור-08'!$C:$C)</f>
        <v>164</v>
      </c>
      <c r="D113" s="7">
        <f>SUMIF('מקור-01'!$A:$A,$A113,'מקור-01'!$D:$D)+SUMIF('מקור-02'!$A:$A,$A113,'מקור-02'!$D:$D)+SUMIF('מקור-03'!$A:$A,$A113,'מקור-03'!$D:$D)+SUMIF('מקור-04'!$A:$A,$A113,'מקור-04'!$D:$D)+SUMIF('מקור-05'!$A:$A,$A113,'מקור-05'!$D:$D)+SUMIF('מקור-06'!$A:$A,$A113,'מקור-06'!$D:$D)+SUMIF('מקור-07'!$A:$A,$A113,'מקור-07'!$D:$D)+SUMIF('מקור-08'!$A:$A,$A113,'מקור-08'!$D:$D)</f>
        <v>165</v>
      </c>
      <c r="E113" s="8">
        <f>D113-C113</f>
        <v>1</v>
      </c>
      <c r="F113" s="9">
        <f>IF(C113=0,"מוצר חדש",(D113-C113)/C113)</f>
        <v>0.006097560975609756</v>
      </c>
    </row>
    <row r="114" hidden="1" ht="15" customHeight="1">
      <c r="A114" s="6" t="n">
        <v>63421</v>
      </c>
      <c r="B114" s="6" t="inlineStr">
        <is>
          <t>URI 95 L         1 מגן מרפק</t>
        </is>
      </c>
      <c r="C114" s="7">
        <f>SUMIF('מקור-01'!$A:$A,$A114,'מקור-01'!$C:$C)+SUMIF('מקור-02'!$A:$A,$A114,'מקור-02'!$C:$C)+SUMIF('מקור-03'!$A:$A,$A114,'מקור-03'!$C:$C)+SUMIF('מקור-04'!$A:$A,$A114,'מקור-04'!$C:$C)+SUMIF('מקור-05'!$A:$A,$A114,'מקור-05'!$C:$C)+SUMIF('מקור-06'!$A:$A,$A114,'מקור-06'!$C:$C)+SUMIF('מקור-07'!$A:$A,$A114,'מקור-07'!$C:$C)+SUMIF('מקור-08'!$A:$A,$A114,'מקור-08'!$C:$C)</f>
        <v>124</v>
      </c>
      <c r="D114" s="7">
        <f>SUMIF('מקור-01'!$A:$A,$A114,'מקור-01'!$D:$D)+SUMIF('מקור-02'!$A:$A,$A114,'מקור-02'!$D:$D)+SUMIF('מקור-03'!$A:$A,$A114,'מקור-03'!$D:$D)+SUMIF('מקור-04'!$A:$A,$A114,'מקור-04'!$D:$D)+SUMIF('מקור-05'!$A:$A,$A114,'מקור-05'!$D:$D)+SUMIF('מקור-06'!$A:$A,$A114,'מקור-06'!$D:$D)+SUMIF('מקור-07'!$A:$A,$A114,'מקור-07'!$D:$D)+SUMIF('מקור-08'!$A:$A,$A114,'מקור-08'!$D:$D)</f>
        <v>121</v>
      </c>
      <c r="E114" s="8">
        <f>D114-C114</f>
        <v>-3</v>
      </c>
      <c r="F114" s="9">
        <f>IF(C114=0,"מוצר חדש",(D114-C114)/C114)</f>
        <v>-0.024193548387096774</v>
      </c>
    </row>
    <row r="115" hidden="1" ht="15" customHeight="1">
      <c r="A115" s="6" t="n">
        <v>63422</v>
      </c>
      <c r="B115" s="6" t="inlineStr">
        <is>
          <t>URI 95 XL        1 מגן מרפק</t>
        </is>
      </c>
      <c r="C115" s="7">
        <f>SUMIF('מקור-01'!$A:$A,$A115,'מקור-01'!$C:$C)+SUMIF('מקור-02'!$A:$A,$A115,'מקור-02'!$C:$C)+SUMIF('מקור-03'!$A:$A,$A115,'מקור-03'!$C:$C)+SUMIF('מקור-04'!$A:$A,$A115,'מקור-04'!$C:$C)+SUMIF('מקור-05'!$A:$A,$A115,'מקור-05'!$C:$C)+SUMIF('מקור-06'!$A:$A,$A115,'מקור-06'!$C:$C)+SUMIF('מקור-07'!$A:$A,$A115,'מקור-07'!$C:$C)+SUMIF('מקור-08'!$A:$A,$A115,'מקור-08'!$C:$C)</f>
        <v>45</v>
      </c>
      <c r="D115" s="7">
        <f>SUMIF('מקור-01'!$A:$A,$A115,'מקור-01'!$D:$D)+SUMIF('מקור-02'!$A:$A,$A115,'מקור-02'!$D:$D)+SUMIF('מקור-03'!$A:$A,$A115,'מקור-03'!$D:$D)+SUMIF('מקור-04'!$A:$A,$A115,'מקור-04'!$D:$D)+SUMIF('מקור-05'!$A:$A,$A115,'מקור-05'!$D:$D)+SUMIF('מקור-06'!$A:$A,$A115,'מקור-06'!$D:$D)+SUMIF('מקור-07'!$A:$A,$A115,'מקור-07'!$D:$D)+SUMIF('מקור-08'!$A:$A,$A115,'מקור-08'!$D:$D)</f>
        <v>56</v>
      </c>
      <c r="E115" s="8">
        <f>D115-C115</f>
        <v>11</v>
      </c>
      <c r="F115" s="9">
        <f>IF(C115=0,"מוצר חדש",(D115-C115)/C115)</f>
        <v>0.24444444444444444</v>
      </c>
    </row>
    <row r="116" hidden="1" ht="15" customHeight="1">
      <c r="A116" s="6" t="n">
        <v>63449</v>
      </c>
      <c r="B116" s="6" t="inlineStr">
        <is>
          <t>URI 40221 רצועה לפיקה +כרית</t>
        </is>
      </c>
      <c r="C116" s="7">
        <f>SUMIF('מקור-01'!$A:$A,$A116,'מקור-01'!$C:$C)+SUMIF('מקור-02'!$A:$A,$A116,'מקור-02'!$C:$C)+SUMIF('מקור-03'!$A:$A,$A116,'מקור-03'!$C:$C)+SUMIF('מקור-04'!$A:$A,$A116,'מקור-04'!$C:$C)+SUMIF('מקור-05'!$A:$A,$A116,'מקור-05'!$C:$C)+SUMIF('מקור-06'!$A:$A,$A116,'מקור-06'!$C:$C)+SUMIF('מקור-07'!$A:$A,$A116,'מקור-07'!$C:$C)+SUMIF('מקור-08'!$A:$A,$A116,'מקור-08'!$C:$C)</f>
        <v>46</v>
      </c>
      <c r="D116" s="7">
        <f>SUMIF('מקור-01'!$A:$A,$A116,'מקור-01'!$D:$D)+SUMIF('מקור-02'!$A:$A,$A116,'מקור-02'!$D:$D)+SUMIF('מקור-03'!$A:$A,$A116,'מקור-03'!$D:$D)+SUMIF('מקור-04'!$A:$A,$A116,'מקור-04'!$D:$D)+SUMIF('מקור-05'!$A:$A,$A116,'מקור-05'!$D:$D)+SUMIF('מקור-06'!$A:$A,$A116,'מקור-06'!$D:$D)+SUMIF('מקור-07'!$A:$A,$A116,'מקור-07'!$D:$D)+SUMIF('מקור-08'!$A:$A,$A116,'מקור-08'!$D:$D)</f>
        <v>39</v>
      </c>
      <c r="E116" s="8">
        <f>D116-C116</f>
        <v>-7</v>
      </c>
      <c r="F116" s="9">
        <f>IF(C116=0,"מוצר חדש",(D116-C116)/C116)</f>
        <v>-0.15217391304347827</v>
      </c>
    </row>
    <row r="117" hidden="1" ht="15" customHeight="1">
      <c r="A117" s="6" t="n">
        <v>64630</v>
      </c>
      <c r="B117" s="6" t="inlineStr">
        <is>
          <t>URI 390W 35-38   1 גרבי כסף</t>
        </is>
      </c>
      <c r="C117" s="7">
        <f>SUMIF('מקור-01'!$A:$A,$A117,'מקור-01'!$C:$C)+SUMIF('מקור-02'!$A:$A,$A117,'מקור-02'!$C:$C)+SUMIF('מקור-03'!$A:$A,$A117,'מקור-03'!$C:$C)+SUMIF('מקור-04'!$A:$A,$A117,'מקור-04'!$C:$C)+SUMIF('מקור-05'!$A:$A,$A117,'מקור-05'!$C:$C)+SUMIF('מקור-06'!$A:$A,$A117,'מקור-06'!$C:$C)+SUMIF('מקור-07'!$A:$A,$A117,'מקור-07'!$C:$C)+SUMIF('מקור-08'!$A:$A,$A117,'מקור-08'!$C:$C)</f>
        <v>1</v>
      </c>
      <c r="D117" s="7">
        <f>SUMIF('מקור-01'!$A:$A,$A117,'מקור-01'!$D:$D)+SUMIF('מקור-02'!$A:$A,$A117,'מקור-02'!$D:$D)+SUMIF('מקור-03'!$A:$A,$A117,'מקור-03'!$D:$D)+SUMIF('מקור-04'!$A:$A,$A117,'מקור-04'!$D:$D)+SUMIF('מקור-05'!$A:$A,$A117,'מקור-05'!$D:$D)+SUMIF('מקור-06'!$A:$A,$A117,'מקור-06'!$D:$D)+SUMIF('מקור-07'!$A:$A,$A117,'מקור-07'!$D:$D)+SUMIF('מקור-08'!$A:$A,$A117,'מקור-08'!$D:$D)</f>
        <v>5</v>
      </c>
      <c r="E117" s="8">
        <f>D117-C117</f>
        <v>4</v>
      </c>
      <c r="F117" s="9">
        <f>IF(C117=0,"מוצר חדש",(D117-C117)/C117)</f>
        <v>4</v>
      </c>
    </row>
    <row r="118" hidden="1" ht="15" customHeight="1">
      <c r="A118" s="6" t="n">
        <v>64631</v>
      </c>
      <c r="B118" s="6" t="inlineStr">
        <is>
          <t>URI 390W 39-42   1 גרבי כסף</t>
        </is>
      </c>
      <c r="C118" s="7">
        <f>SUMIF('מקור-01'!$A:$A,$A118,'מקור-01'!$C:$C)+SUMIF('מקור-02'!$A:$A,$A118,'מקור-02'!$C:$C)+SUMIF('מקור-03'!$A:$A,$A118,'מקור-03'!$C:$C)+SUMIF('מקור-04'!$A:$A,$A118,'מקור-04'!$C:$C)+SUMIF('מקור-05'!$A:$A,$A118,'מקור-05'!$C:$C)+SUMIF('מקור-06'!$A:$A,$A118,'מקור-06'!$C:$C)+SUMIF('מקור-07'!$A:$A,$A118,'מקור-07'!$C:$C)+SUMIF('מקור-08'!$A:$A,$A118,'מקור-08'!$C:$C)</f>
        <v>14</v>
      </c>
      <c r="D118" s="7">
        <f>SUMIF('מקור-01'!$A:$A,$A118,'מקור-01'!$D:$D)+SUMIF('מקור-02'!$A:$A,$A118,'מקור-02'!$D:$D)+SUMIF('מקור-03'!$A:$A,$A118,'מקור-03'!$D:$D)+SUMIF('מקור-04'!$A:$A,$A118,'מקור-04'!$D:$D)+SUMIF('מקור-05'!$A:$A,$A118,'מקור-05'!$D:$D)+SUMIF('מקור-06'!$A:$A,$A118,'מקור-06'!$D:$D)+SUMIF('מקור-07'!$A:$A,$A118,'מקור-07'!$D:$D)+SUMIF('מקור-08'!$A:$A,$A118,'מקור-08'!$D:$D)</f>
        <v>9</v>
      </c>
      <c r="E118" s="8">
        <f>D118-C118</f>
        <v>-5</v>
      </c>
      <c r="F118" s="9">
        <f>IF(C118=0,"מוצר חדש",(D118-C118)/C118)</f>
        <v>-0.35714285714285715</v>
      </c>
    </row>
    <row r="119" hidden="1" ht="15" customHeight="1">
      <c r="A119" s="6" t="n">
        <v>64632</v>
      </c>
      <c r="B119" s="6" t="inlineStr">
        <is>
          <t>URI 390W 43-46   1 גרבי כסף</t>
        </is>
      </c>
      <c r="C119" s="7">
        <f>SUMIF('מקור-01'!$A:$A,$A119,'מקור-01'!$C:$C)+SUMIF('מקור-02'!$A:$A,$A119,'מקור-02'!$C:$C)+SUMIF('מקור-03'!$A:$A,$A119,'מקור-03'!$C:$C)+SUMIF('מקור-04'!$A:$A,$A119,'מקור-04'!$C:$C)+SUMIF('מקור-05'!$A:$A,$A119,'מקור-05'!$C:$C)+SUMIF('מקור-06'!$A:$A,$A119,'מקור-06'!$C:$C)+SUMIF('מקור-07'!$A:$A,$A119,'מקור-07'!$C:$C)+SUMIF('מקור-08'!$A:$A,$A119,'מקור-08'!$C:$C)</f>
        <v>9</v>
      </c>
      <c r="D119" s="7">
        <f>SUMIF('מקור-01'!$A:$A,$A119,'מקור-01'!$D:$D)+SUMIF('מקור-02'!$A:$A,$A119,'מקור-02'!$D:$D)+SUMIF('מקור-03'!$A:$A,$A119,'מקור-03'!$D:$D)+SUMIF('מקור-04'!$A:$A,$A119,'מקור-04'!$D:$D)+SUMIF('מקור-05'!$A:$A,$A119,'מקור-05'!$D:$D)+SUMIF('מקור-06'!$A:$A,$A119,'מקור-06'!$D:$D)+SUMIF('מקור-07'!$A:$A,$A119,'מקור-07'!$D:$D)+SUMIF('מקור-08'!$A:$A,$A119,'מקור-08'!$D:$D)</f>
        <v>9</v>
      </c>
      <c r="E119" s="8">
        <f>D119-C119</f>
        <v>0</v>
      </c>
      <c r="F119" s="9">
        <f>IF(C119=0,"מוצר חדש",(D119-C119)/C119)</f>
        <v>0</v>
      </c>
    </row>
    <row r="120" hidden="1" ht="15" customHeight="1">
      <c r="A120" s="6" t="n">
        <v>64633</v>
      </c>
      <c r="B120" s="6" t="inlineStr">
        <is>
          <t>URI 390B 35-38   1 גרבי כסף</t>
        </is>
      </c>
      <c r="C120" s="7">
        <f>SUMIF('מקור-01'!$A:$A,$A120,'מקור-01'!$C:$C)+SUMIF('מקור-02'!$A:$A,$A120,'מקור-02'!$C:$C)+SUMIF('מקור-03'!$A:$A,$A120,'מקור-03'!$C:$C)+SUMIF('מקור-04'!$A:$A,$A120,'מקור-04'!$C:$C)+SUMIF('מקור-05'!$A:$A,$A120,'מקור-05'!$C:$C)+SUMIF('מקור-06'!$A:$A,$A120,'מקור-06'!$C:$C)+SUMIF('מקור-07'!$A:$A,$A120,'מקור-07'!$C:$C)+SUMIF('מקור-08'!$A:$A,$A120,'מקור-08'!$C:$C)</f>
        <v>6</v>
      </c>
      <c r="D120" s="7">
        <f>SUMIF('מקור-01'!$A:$A,$A120,'מקור-01'!$D:$D)+SUMIF('מקור-02'!$A:$A,$A120,'מקור-02'!$D:$D)+SUMIF('מקור-03'!$A:$A,$A120,'מקור-03'!$D:$D)+SUMIF('מקור-04'!$A:$A,$A120,'מקור-04'!$D:$D)+SUMIF('מקור-05'!$A:$A,$A120,'מקור-05'!$D:$D)+SUMIF('מקור-06'!$A:$A,$A120,'מקור-06'!$D:$D)+SUMIF('מקור-07'!$A:$A,$A120,'מקור-07'!$D:$D)+SUMIF('מקור-08'!$A:$A,$A120,'מקור-08'!$D:$D)</f>
        <v>6</v>
      </c>
      <c r="E120" s="8">
        <f>D120-C120</f>
        <v>0</v>
      </c>
      <c r="F120" s="9">
        <f>IF(C120=0,"מוצר חדש",(D120-C120)/C120)</f>
        <v>0</v>
      </c>
    </row>
    <row r="121" hidden="1" ht="15" customHeight="1">
      <c r="A121" s="6" t="n">
        <v>64634</v>
      </c>
      <c r="B121" s="6" t="inlineStr">
        <is>
          <t>URI 390B 39-42   1 גרבי כסף</t>
        </is>
      </c>
      <c r="C121" s="7">
        <f>SUMIF('מקור-01'!$A:$A,$A121,'מקור-01'!$C:$C)+SUMIF('מקור-02'!$A:$A,$A121,'מקור-02'!$C:$C)+SUMIF('מקור-03'!$A:$A,$A121,'מקור-03'!$C:$C)+SUMIF('מקור-04'!$A:$A,$A121,'מקור-04'!$C:$C)+SUMIF('מקור-05'!$A:$A,$A121,'מקור-05'!$C:$C)+SUMIF('מקור-06'!$A:$A,$A121,'מקור-06'!$C:$C)+SUMIF('מקור-07'!$A:$A,$A121,'מקור-07'!$C:$C)+SUMIF('מקור-08'!$A:$A,$A121,'מקור-08'!$C:$C)</f>
        <v>23</v>
      </c>
      <c r="D121" s="7">
        <f>SUMIF('מקור-01'!$A:$A,$A121,'מקור-01'!$D:$D)+SUMIF('מקור-02'!$A:$A,$A121,'מקור-02'!$D:$D)+SUMIF('מקור-03'!$A:$A,$A121,'מקור-03'!$D:$D)+SUMIF('מקור-04'!$A:$A,$A121,'מקור-04'!$D:$D)+SUMIF('מקור-05'!$A:$A,$A121,'מקור-05'!$D:$D)+SUMIF('מקור-06'!$A:$A,$A121,'מקור-06'!$D:$D)+SUMIF('מקור-07'!$A:$A,$A121,'מקור-07'!$D:$D)+SUMIF('מקור-08'!$A:$A,$A121,'מקור-08'!$D:$D)</f>
        <v>29</v>
      </c>
      <c r="E121" s="8">
        <f>D121-C121</f>
        <v>6</v>
      </c>
      <c r="F121" s="9">
        <f>IF(C121=0,"מוצר חדש",(D121-C121)/C121)</f>
        <v>0.2608695652173913</v>
      </c>
    </row>
    <row r="122" hidden="1" ht="15" customHeight="1">
      <c r="A122" s="6" t="n">
        <v>64635</v>
      </c>
      <c r="B122" s="6" t="inlineStr">
        <is>
          <t>URI 390B 43-46   1 גרבי כסף</t>
        </is>
      </c>
      <c r="C122" s="7">
        <f>SUMIF('מקור-01'!$A:$A,$A122,'מקור-01'!$C:$C)+SUMIF('מקור-02'!$A:$A,$A122,'מקור-02'!$C:$C)+SUMIF('מקור-03'!$A:$A,$A122,'מקור-03'!$C:$C)+SUMIF('מקור-04'!$A:$A,$A122,'מקור-04'!$C:$C)+SUMIF('מקור-05'!$A:$A,$A122,'מקור-05'!$C:$C)+SUMIF('מקור-06'!$A:$A,$A122,'מקור-06'!$C:$C)+SUMIF('מקור-07'!$A:$A,$A122,'מקור-07'!$C:$C)+SUMIF('מקור-08'!$A:$A,$A122,'מקור-08'!$C:$C)</f>
        <v>25</v>
      </c>
      <c r="D122" s="7">
        <f>SUMIF('מקור-01'!$A:$A,$A122,'מקור-01'!$D:$D)+SUMIF('מקור-02'!$A:$A,$A122,'מקור-02'!$D:$D)+SUMIF('מקור-03'!$A:$A,$A122,'מקור-03'!$D:$D)+SUMIF('מקור-04'!$A:$A,$A122,'מקור-04'!$D:$D)+SUMIF('מקור-05'!$A:$A,$A122,'מקור-05'!$D:$D)+SUMIF('מקור-06'!$A:$A,$A122,'מקור-06'!$D:$D)+SUMIF('מקור-07'!$A:$A,$A122,'מקור-07'!$D:$D)+SUMIF('מקור-08'!$A:$A,$A122,'מקור-08'!$D:$D)</f>
        <v>59</v>
      </c>
      <c r="E122" s="8">
        <f>D122-C122</f>
        <v>34</v>
      </c>
      <c r="F122" s="9">
        <f>IF(C122=0,"מוצר חדש",(D122-C122)/C122)</f>
        <v>1.36</v>
      </c>
    </row>
    <row r="123" hidden="1" ht="15" customHeight="1">
      <c r="A123" s="6" t="n">
        <v>64636</v>
      </c>
      <c r="B123" s="6" t="inlineStr">
        <is>
          <t>URI 390G 35-38   1 גרבי כסף</t>
        </is>
      </c>
      <c r="C123" s="7">
        <f>SUMIF('מקור-01'!$A:$A,$A123,'מקור-01'!$C:$C)+SUMIF('מקור-02'!$A:$A,$A123,'מקור-02'!$C:$C)+SUMIF('מקור-03'!$A:$A,$A123,'מקור-03'!$C:$C)+SUMIF('מקור-04'!$A:$A,$A123,'מקור-04'!$C:$C)+SUMIF('מקור-05'!$A:$A,$A123,'מקור-05'!$C:$C)+SUMIF('מקור-06'!$A:$A,$A123,'מקור-06'!$C:$C)+SUMIF('מקור-07'!$A:$A,$A123,'מקור-07'!$C:$C)+SUMIF('מקור-08'!$A:$A,$A123,'מקור-08'!$C:$C)</f>
        <v>8</v>
      </c>
      <c r="D123" s="7">
        <f>SUMIF('מקור-01'!$A:$A,$A123,'מקור-01'!$D:$D)+SUMIF('מקור-02'!$A:$A,$A123,'מקור-02'!$D:$D)+SUMIF('מקור-03'!$A:$A,$A123,'מקור-03'!$D:$D)+SUMIF('מקור-04'!$A:$A,$A123,'מקור-04'!$D:$D)+SUMIF('מקור-05'!$A:$A,$A123,'מקור-05'!$D:$D)+SUMIF('מקור-06'!$A:$A,$A123,'מקור-06'!$D:$D)+SUMIF('מקור-07'!$A:$A,$A123,'מקור-07'!$D:$D)+SUMIF('מקור-08'!$A:$A,$A123,'מקור-08'!$D:$D)</f>
        <v>11</v>
      </c>
      <c r="E123" s="8">
        <f>D123-C123</f>
        <v>3</v>
      </c>
      <c r="F123" s="9">
        <f>IF(C123=0,"מוצר חדש",(D123-C123)/C123)</f>
        <v>0.375</v>
      </c>
    </row>
    <row r="124" hidden="1" ht="15" customHeight="1">
      <c r="A124" s="6" t="n">
        <v>64637</v>
      </c>
      <c r="B124" s="6" t="inlineStr">
        <is>
          <t>URI 390G 39-42   1 גרבי כסף</t>
        </is>
      </c>
      <c r="C124" s="7">
        <f>SUMIF('מקור-01'!$A:$A,$A124,'מקור-01'!$C:$C)+SUMIF('מקור-02'!$A:$A,$A124,'מקור-02'!$C:$C)+SUMIF('מקור-03'!$A:$A,$A124,'מקור-03'!$C:$C)+SUMIF('מקור-04'!$A:$A,$A124,'מקור-04'!$C:$C)+SUMIF('מקור-05'!$A:$A,$A124,'מקור-05'!$C:$C)+SUMIF('מקור-06'!$A:$A,$A124,'מקור-06'!$C:$C)+SUMIF('מקור-07'!$A:$A,$A124,'מקור-07'!$C:$C)+SUMIF('מקור-08'!$A:$A,$A124,'מקור-08'!$C:$C)</f>
        <v>20</v>
      </c>
      <c r="D124" s="7">
        <f>SUMIF('מקור-01'!$A:$A,$A124,'מקור-01'!$D:$D)+SUMIF('מקור-02'!$A:$A,$A124,'מקור-02'!$D:$D)+SUMIF('מקור-03'!$A:$A,$A124,'מקור-03'!$D:$D)+SUMIF('מקור-04'!$A:$A,$A124,'מקור-04'!$D:$D)+SUMIF('מקור-05'!$A:$A,$A124,'מקור-05'!$D:$D)+SUMIF('מקור-06'!$A:$A,$A124,'מקור-06'!$D:$D)+SUMIF('מקור-07'!$A:$A,$A124,'מקור-07'!$D:$D)+SUMIF('מקור-08'!$A:$A,$A124,'מקור-08'!$D:$D)</f>
        <v>8</v>
      </c>
      <c r="E124" s="8">
        <f>D124-C124</f>
        <v>-12</v>
      </c>
      <c r="F124" s="9">
        <f>IF(C124=0,"מוצר חדש",(D124-C124)/C124)</f>
        <v>-0.6</v>
      </c>
    </row>
    <row r="125" hidden="1" ht="15" customHeight="1">
      <c r="A125" s="6" t="n">
        <v>64638</v>
      </c>
      <c r="B125" s="6" t="inlineStr">
        <is>
          <t>URI 390G 43-46   1 גרבי כסף</t>
        </is>
      </c>
      <c r="C125" s="7">
        <f>SUMIF('מקור-01'!$A:$A,$A125,'מקור-01'!$C:$C)+SUMIF('מקור-02'!$A:$A,$A125,'מקור-02'!$C:$C)+SUMIF('מקור-03'!$A:$A,$A125,'מקור-03'!$C:$C)+SUMIF('מקור-04'!$A:$A,$A125,'מקור-04'!$C:$C)+SUMIF('מקור-05'!$A:$A,$A125,'מקור-05'!$C:$C)+SUMIF('מקור-06'!$A:$A,$A125,'מקור-06'!$C:$C)+SUMIF('מקור-07'!$A:$A,$A125,'מקור-07'!$C:$C)+SUMIF('מקור-08'!$A:$A,$A125,'מקור-08'!$C:$C)</f>
        <v>15</v>
      </c>
      <c r="D125" s="7">
        <f>SUMIF('מקור-01'!$A:$A,$A125,'מקור-01'!$D:$D)+SUMIF('מקור-02'!$A:$A,$A125,'מקור-02'!$D:$D)+SUMIF('מקור-03'!$A:$A,$A125,'מקור-03'!$D:$D)+SUMIF('מקור-04'!$A:$A,$A125,'מקור-04'!$D:$D)+SUMIF('מקור-05'!$A:$A,$A125,'מקור-05'!$D:$D)+SUMIF('מקור-06'!$A:$A,$A125,'מקור-06'!$D:$D)+SUMIF('מקור-07'!$A:$A,$A125,'מקור-07'!$D:$D)+SUMIF('מקור-08'!$A:$A,$A125,'מקור-08'!$D:$D)</f>
        <v>18</v>
      </c>
      <c r="E125" s="8">
        <f>D125-C125</f>
        <v>3</v>
      </c>
      <c r="F125" s="9">
        <f>IF(C125=0,"מוצר חדש",(D125-C125)/C125)</f>
        <v>0.2</v>
      </c>
    </row>
    <row r="126" hidden="1" ht="15" customHeight="1">
      <c r="A126" s="6" t="n">
        <v>65241</v>
      </c>
      <c r="B126" s="6" t="inlineStr">
        <is>
          <t>URI M35     1 מגן קרסול לבן</t>
        </is>
      </c>
      <c r="C126" s="7">
        <f>SUMIF('מקור-01'!$A:$A,$A126,'מקור-01'!$C:$C)+SUMIF('מקור-02'!$A:$A,$A126,'מקור-02'!$C:$C)+SUMIF('מקור-03'!$A:$A,$A126,'מקור-03'!$C:$C)+SUMIF('מקור-04'!$A:$A,$A126,'מקור-04'!$C:$C)+SUMIF('מקור-05'!$A:$A,$A126,'מקור-05'!$C:$C)+SUMIF('מקור-06'!$A:$A,$A126,'מקור-06'!$C:$C)+SUMIF('מקור-07'!$A:$A,$A126,'מקור-07'!$C:$C)+SUMIF('מקור-08'!$A:$A,$A126,'מקור-08'!$C:$C)</f>
        <v>159</v>
      </c>
      <c r="D126" s="7">
        <f>SUMIF('מקור-01'!$A:$A,$A126,'מקור-01'!$D:$D)+SUMIF('מקור-02'!$A:$A,$A126,'מקור-02'!$D:$D)+SUMIF('מקור-03'!$A:$A,$A126,'מקור-03'!$D:$D)+SUMIF('מקור-04'!$A:$A,$A126,'מקור-04'!$D:$D)+SUMIF('מקור-05'!$A:$A,$A126,'מקור-05'!$D:$D)+SUMIF('מקור-06'!$A:$A,$A126,'מקור-06'!$D:$D)+SUMIF('מקור-07'!$A:$A,$A126,'מקור-07'!$D:$D)+SUMIF('מקור-08'!$A:$A,$A126,'מקור-08'!$D:$D)</f>
        <v>156</v>
      </c>
      <c r="E126" s="8">
        <f>D126-C126</f>
        <v>-3</v>
      </c>
      <c r="F126" s="9">
        <f>IF(C126=0,"מוצר חדש",(D126-C126)/C126)</f>
        <v>-0.018867924528301886</v>
      </c>
    </row>
    <row r="127" hidden="1" ht="15" customHeight="1">
      <c r="A127" s="6" t="n">
        <v>65242</v>
      </c>
      <c r="B127" s="6" t="inlineStr">
        <is>
          <t>URI L35     1 מגן קרסול לבן</t>
        </is>
      </c>
      <c r="C127" s="7">
        <f>SUMIF('מקור-01'!$A:$A,$A127,'מקור-01'!$C:$C)+SUMIF('מקור-02'!$A:$A,$A127,'מקור-02'!$C:$C)+SUMIF('מקור-03'!$A:$A,$A127,'מקור-03'!$C:$C)+SUMIF('מקור-04'!$A:$A,$A127,'מקור-04'!$C:$C)+SUMIF('מקור-05'!$A:$A,$A127,'מקור-05'!$C:$C)+SUMIF('מקור-06'!$A:$A,$A127,'מקור-06'!$C:$C)+SUMIF('מקור-07'!$A:$A,$A127,'מקור-07'!$C:$C)+SUMIF('מקור-08'!$A:$A,$A127,'מקור-08'!$C:$C)</f>
        <v>181</v>
      </c>
      <c r="D127" s="7">
        <f>SUMIF('מקור-01'!$A:$A,$A127,'מקור-01'!$D:$D)+SUMIF('מקור-02'!$A:$A,$A127,'מקור-02'!$D:$D)+SUMIF('מקור-03'!$A:$A,$A127,'מקור-03'!$D:$D)+SUMIF('מקור-04'!$A:$A,$A127,'מקור-04'!$D:$D)+SUMIF('מקור-05'!$A:$A,$A127,'מקור-05'!$D:$D)+SUMIF('מקור-06'!$A:$A,$A127,'מקור-06'!$D:$D)+SUMIF('מקור-07'!$A:$A,$A127,'מקור-07'!$D:$D)+SUMIF('מקור-08'!$A:$A,$A127,'מקור-08'!$D:$D)</f>
        <v>158</v>
      </c>
      <c r="E127" s="8">
        <f>D127-C127</f>
        <v>-23</v>
      </c>
      <c r="F127" s="9">
        <f>IF(C127=0,"מוצר חדש",(D127-C127)/C127)</f>
        <v>-0.1270718232044199</v>
      </c>
    </row>
    <row r="128" hidden="1" ht="15" customHeight="1">
      <c r="A128" s="6" t="n">
        <v>65243</v>
      </c>
      <c r="B128" s="6" t="inlineStr">
        <is>
          <t>URI XL35    1 מגן קרסול לבן</t>
        </is>
      </c>
      <c r="C128" s="7">
        <f>SUMIF('מקור-01'!$A:$A,$A128,'מקור-01'!$C:$C)+SUMIF('מקור-02'!$A:$A,$A128,'מקור-02'!$C:$C)+SUMIF('מקור-03'!$A:$A,$A128,'מקור-03'!$C:$C)+SUMIF('מקור-04'!$A:$A,$A128,'מקור-04'!$C:$C)+SUMIF('מקור-05'!$A:$A,$A128,'מקור-05'!$C:$C)+SUMIF('מקור-06'!$A:$A,$A128,'מקור-06'!$C:$C)+SUMIF('מקור-07'!$A:$A,$A128,'מקור-07'!$C:$C)+SUMIF('מקור-08'!$A:$A,$A128,'מקור-08'!$C:$C)</f>
        <v>125</v>
      </c>
      <c r="D128" s="7">
        <f>SUMIF('מקור-01'!$A:$A,$A128,'מקור-01'!$D:$D)+SUMIF('מקור-02'!$A:$A,$A128,'מקור-02'!$D:$D)+SUMIF('מקור-03'!$A:$A,$A128,'מקור-03'!$D:$D)+SUMIF('מקור-04'!$A:$A,$A128,'מקור-04'!$D:$D)+SUMIF('מקור-05'!$A:$A,$A128,'מקור-05'!$D:$D)+SUMIF('מקור-06'!$A:$A,$A128,'מקור-06'!$D:$D)+SUMIF('מקור-07'!$A:$A,$A128,'מקור-07'!$D:$D)+SUMIF('מקור-08'!$A:$A,$A128,'מקור-08'!$D:$D)</f>
        <v>142</v>
      </c>
      <c r="E128" s="8">
        <f>D128-C128</f>
        <v>17</v>
      </c>
      <c r="F128" s="9">
        <f>IF(C128=0,"מוצר חדש",(D128-C128)/C128)</f>
        <v>0.136</v>
      </c>
    </row>
    <row r="129" hidden="1" ht="15" customHeight="1">
      <c r="A129" s="6" t="n">
        <v>65743</v>
      </c>
      <c r="B129" s="6" t="inlineStr">
        <is>
          <t>URI LF 360   1 מדרס מטטרזלי</t>
        </is>
      </c>
      <c r="C129" s="7">
        <f>SUMIF('מקור-01'!$A:$A,$A129,'מקור-01'!$C:$C)+SUMIF('מקור-02'!$A:$A,$A129,'מקור-02'!$C:$C)+SUMIF('מקור-03'!$A:$A,$A129,'מקור-03'!$C:$C)+SUMIF('מקור-04'!$A:$A,$A129,'מקור-04'!$C:$C)+SUMIF('מקור-05'!$A:$A,$A129,'מקור-05'!$C:$C)+SUMIF('מקור-06'!$A:$A,$A129,'מקור-06'!$C:$C)+SUMIF('מקור-07'!$A:$A,$A129,'מקור-07'!$C:$C)+SUMIF('מקור-08'!$A:$A,$A129,'מקור-08'!$C:$C)</f>
        <v>27</v>
      </c>
      <c r="D129" s="7">
        <f>SUMIF('מקור-01'!$A:$A,$A129,'מקור-01'!$D:$D)+SUMIF('מקור-02'!$A:$A,$A129,'מקור-02'!$D:$D)+SUMIF('מקור-03'!$A:$A,$A129,'מקור-03'!$D:$D)+SUMIF('מקור-04'!$A:$A,$A129,'מקור-04'!$D:$D)+SUMIF('מקור-05'!$A:$A,$A129,'מקור-05'!$D:$D)+SUMIF('מקור-06'!$A:$A,$A129,'מקור-06'!$D:$D)+SUMIF('מקור-07'!$A:$A,$A129,'מקור-07'!$D:$D)+SUMIF('מקור-08'!$A:$A,$A129,'מקור-08'!$D:$D)</f>
        <v>28</v>
      </c>
      <c r="E129" s="8">
        <f>D129-C129</f>
        <v>1</v>
      </c>
      <c r="F129" s="9">
        <f>IF(C129=0,"מוצר חדש",(D129-C129)/C129)</f>
        <v>0.037037037037037035</v>
      </c>
    </row>
    <row r="130" hidden="1" ht="15" customHeight="1">
      <c r="A130" s="6" t="n">
        <v>66485</v>
      </c>
      <c r="B130" s="6" t="inlineStr">
        <is>
          <t>URI 801 ICE GO  1 תחבושת אל</t>
        </is>
      </c>
      <c r="C130" s="7">
        <f>SUMIF('מקור-01'!$A:$A,$A130,'מקור-01'!$C:$C)+SUMIF('מקור-02'!$A:$A,$A130,'מקור-02'!$C:$C)+SUMIF('מקור-03'!$A:$A,$A130,'מקור-03'!$C:$C)+SUMIF('מקור-04'!$A:$A,$A130,'מקור-04'!$C:$C)+SUMIF('מקור-05'!$A:$A,$A130,'מקור-05'!$C:$C)+SUMIF('מקור-06'!$A:$A,$A130,'מקור-06'!$C:$C)+SUMIF('מקור-07'!$A:$A,$A130,'מקור-07'!$C:$C)+SUMIF('מקור-08'!$A:$A,$A130,'מקור-08'!$C:$C)</f>
        <v>125</v>
      </c>
      <c r="D130" s="7">
        <f>SUMIF('מקור-01'!$A:$A,$A130,'מקור-01'!$D:$D)+SUMIF('מקור-02'!$A:$A,$A130,'מקור-02'!$D:$D)+SUMIF('מקור-03'!$A:$A,$A130,'מקור-03'!$D:$D)+SUMIF('מקור-04'!$A:$A,$A130,'מקור-04'!$D:$D)+SUMIF('מקור-05'!$A:$A,$A130,'מקור-05'!$D:$D)+SUMIF('מקור-06'!$A:$A,$A130,'מקור-06'!$D:$D)+SUMIF('מקור-07'!$A:$A,$A130,'מקור-07'!$D:$D)+SUMIF('מקור-08'!$A:$A,$A130,'מקור-08'!$D:$D)</f>
        <v>113</v>
      </c>
      <c r="E130" s="8">
        <f>D130-C130</f>
        <v>-12</v>
      </c>
      <c r="F130" s="9">
        <f>IF(C130=0,"מוצר חדש",(D130-C130)/C130)</f>
        <v>-0.096</v>
      </c>
    </row>
    <row r="131" hidden="1" ht="15" customHeight="1">
      <c r="A131" s="6" t="n">
        <v>66745</v>
      </c>
      <c r="B131" s="6" t="inlineStr">
        <is>
          <t xml:space="preserve">                       1 תרסיס דיאו.אנטי בקטר.לנעל</t>
        </is>
      </c>
      <c r="C131" s="7">
        <f>SUMIF('מקור-01'!$A:$A,$A131,'מקור-01'!$C:$C)+SUMIF('מקור-02'!$A:$A,$A131,'מקור-02'!$C:$C)+SUMIF('מקור-03'!$A:$A,$A131,'מקור-03'!$C:$C)+SUMIF('מקור-04'!$A:$A,$A131,'מקור-04'!$C:$C)+SUMIF('מקור-05'!$A:$A,$A131,'מקור-05'!$C:$C)+SUMIF('מקור-06'!$A:$A,$A131,'מקור-06'!$C:$C)+SUMIF('מקור-07'!$A:$A,$A131,'מקור-07'!$C:$C)+SUMIF('מקור-08'!$A:$A,$A131,'מקור-08'!$C:$C)</f>
        <v>235</v>
      </c>
      <c r="D131" s="7">
        <f>SUMIF('מקור-01'!$A:$A,$A131,'מקור-01'!$D:$D)+SUMIF('מקור-02'!$A:$A,$A131,'מקור-02'!$D:$D)+SUMIF('מקור-03'!$A:$A,$A131,'מקור-03'!$D:$D)+SUMIF('מקור-04'!$A:$A,$A131,'מקור-04'!$D:$D)+SUMIF('מקור-05'!$A:$A,$A131,'מקור-05'!$D:$D)+SUMIF('מקור-06'!$A:$A,$A131,'מקור-06'!$D:$D)+SUMIF('מקור-07'!$A:$A,$A131,'מקור-07'!$D:$D)+SUMIF('מקור-08'!$A:$A,$A131,'מקור-08'!$D:$D)</f>
        <v>336</v>
      </c>
      <c r="E131" s="8">
        <f>D131-C131</f>
        <v>101</v>
      </c>
      <c r="F131" s="9">
        <f>IF(C131=0,"מוצר חדש",(D131-C131)/C131)</f>
        <v>0.4297872340425532</v>
      </c>
    </row>
    <row r="132" hidden="1" ht="15" customHeight="1">
      <c r="A132" s="6" t="n">
        <v>67053</v>
      </c>
      <c r="B132" s="6" t="inlineStr">
        <is>
          <t>URI 34 XS  1 מגן קרסול סגור</t>
        </is>
      </c>
      <c r="C132" s="7">
        <f>SUMIF('מקור-01'!$A:$A,$A132,'מקור-01'!$C:$C)+SUMIF('מקור-02'!$A:$A,$A132,'מקור-02'!$C:$C)+SUMIF('מקור-03'!$A:$A,$A132,'מקור-03'!$C:$C)+SUMIF('מקור-04'!$A:$A,$A132,'מקור-04'!$C:$C)+SUMIF('מקור-05'!$A:$A,$A132,'מקור-05'!$C:$C)+SUMIF('מקור-06'!$A:$A,$A132,'מקור-06'!$C:$C)+SUMIF('מקור-07'!$A:$A,$A132,'מקור-07'!$C:$C)+SUMIF('מקור-08'!$A:$A,$A132,'מקור-08'!$C:$C)</f>
        <v>9</v>
      </c>
      <c r="D132" s="7">
        <f>SUMIF('מקור-01'!$A:$A,$A132,'מקור-01'!$D:$D)+SUMIF('מקור-02'!$A:$A,$A132,'מקור-02'!$D:$D)+SUMIF('מקור-03'!$A:$A,$A132,'מקור-03'!$D:$D)+SUMIF('מקור-04'!$A:$A,$A132,'מקור-04'!$D:$D)+SUMIF('מקור-05'!$A:$A,$A132,'מקור-05'!$D:$D)+SUMIF('מקור-06'!$A:$A,$A132,'מקור-06'!$D:$D)+SUMIF('מקור-07'!$A:$A,$A132,'מקור-07'!$D:$D)+SUMIF('מקור-08'!$A:$A,$A132,'מקור-08'!$D:$D)</f>
        <v>9</v>
      </c>
      <c r="E132" s="8">
        <f>D132-C132</f>
        <v>0</v>
      </c>
      <c r="F132" s="9">
        <f>IF(C132=0,"מוצר חדש",(D132-C132)/C132)</f>
        <v>0</v>
      </c>
    </row>
    <row r="133" hidden="1" ht="15" customHeight="1">
      <c r="A133" s="6" t="n">
        <v>67055</v>
      </c>
      <c r="B133" s="6" t="inlineStr">
        <is>
          <t>URI 49 XXL        1 מגן ירך</t>
        </is>
      </c>
      <c r="C133" s="7">
        <f>SUMIF('מקור-01'!$A:$A,$A133,'מקור-01'!$C:$C)+SUMIF('מקור-02'!$A:$A,$A133,'מקור-02'!$C:$C)+SUMIF('מקור-03'!$A:$A,$A133,'מקור-03'!$C:$C)+SUMIF('מקור-04'!$A:$A,$A133,'מקור-04'!$C:$C)+SUMIF('מקור-05'!$A:$A,$A133,'מקור-05'!$C:$C)+SUMIF('מקור-06'!$A:$A,$A133,'מקור-06'!$C:$C)+SUMIF('מקור-07'!$A:$A,$A133,'מקור-07'!$C:$C)+SUMIF('מקור-08'!$A:$A,$A133,'מקור-08'!$C:$C)</f>
        <v>0</v>
      </c>
      <c r="D133" s="7">
        <f>SUMIF('מקור-01'!$A:$A,$A133,'מקור-01'!$D:$D)+SUMIF('מקור-02'!$A:$A,$A133,'מקור-02'!$D:$D)+SUMIF('מקור-03'!$A:$A,$A133,'מקור-03'!$D:$D)+SUMIF('מקור-04'!$A:$A,$A133,'מקור-04'!$D:$D)+SUMIF('מקור-05'!$A:$A,$A133,'מקור-05'!$D:$D)+SUMIF('מקור-06'!$A:$A,$A133,'מקור-06'!$D:$D)+SUMIF('מקור-07'!$A:$A,$A133,'מקור-07'!$D:$D)+SUMIF('מקור-08'!$A:$A,$A133,'מקור-08'!$D:$D)</f>
        <v>1</v>
      </c>
      <c r="E133" s="8">
        <f>D133-C133</f>
        <v>1</v>
      </c>
      <c t="str" r="F133" s="9">
        <f>IF(C133=0,"מוצר חדש",(D133-C133)/C133)</f>
        <v>מוצר חדש</v>
      </c>
    </row>
    <row r="134" hidden="1" ht="15" customHeight="1">
      <c r="A134" s="6" t="n">
        <v>67056</v>
      </c>
      <c r="B134" s="6" t="inlineStr">
        <is>
          <t>URI 95 XXL       1 מגן מרפק</t>
        </is>
      </c>
      <c r="C134" s="7">
        <f>SUMIF('מקור-01'!$A:$A,$A134,'מקור-01'!$C:$C)+SUMIF('מקור-02'!$A:$A,$A134,'מקור-02'!$C:$C)+SUMIF('מקור-03'!$A:$A,$A134,'מקור-03'!$C:$C)+SUMIF('מקור-04'!$A:$A,$A134,'מקור-04'!$C:$C)+SUMIF('מקור-05'!$A:$A,$A134,'מקור-05'!$C:$C)+SUMIF('מקור-06'!$A:$A,$A134,'מקור-06'!$C:$C)+SUMIF('מקור-07'!$A:$A,$A134,'מקור-07'!$C:$C)+SUMIF('מקור-08'!$A:$A,$A134,'מקור-08'!$C:$C)</f>
        <v>5</v>
      </c>
      <c r="D134" s="7">
        <f>SUMIF('מקור-01'!$A:$A,$A134,'מקור-01'!$D:$D)+SUMIF('מקור-02'!$A:$A,$A134,'מקור-02'!$D:$D)+SUMIF('מקור-03'!$A:$A,$A134,'מקור-03'!$D:$D)+SUMIF('מקור-04'!$A:$A,$A134,'מקור-04'!$D:$D)+SUMIF('מקור-05'!$A:$A,$A134,'מקור-05'!$D:$D)+SUMIF('מקור-06'!$A:$A,$A134,'מקור-06'!$D:$D)+SUMIF('מקור-07'!$A:$A,$A134,'מקור-07'!$D:$D)+SUMIF('מקור-08'!$A:$A,$A134,'מקור-08'!$D:$D)</f>
        <v>5</v>
      </c>
      <c r="E134" s="8">
        <f>D134-C134</f>
        <v>0</v>
      </c>
      <c r="F134" s="9">
        <f>IF(C134=0,"מוצר חדש",(D134-C134)/C134)</f>
        <v>0</v>
      </c>
    </row>
    <row r="135" hidden="1" ht="15" customHeight="1">
      <c r="A135" s="6" t="n">
        <v>67385</v>
      </c>
      <c r="B135" s="6" t="inlineStr">
        <is>
          <t>URI 302M 0  1 מדרס ג'ל לגבר</t>
        </is>
      </c>
      <c r="C135" s="7">
        <f>SUMIF('מקור-01'!$A:$A,$A135,'מקור-01'!$C:$C)+SUMIF('מקור-02'!$A:$A,$A135,'מקור-02'!$C:$C)+SUMIF('מקור-03'!$A:$A,$A135,'מקור-03'!$C:$C)+SUMIF('מקור-04'!$A:$A,$A135,'מקור-04'!$C:$C)+SUMIF('מקור-05'!$A:$A,$A135,'מקור-05'!$C:$C)+SUMIF('מקור-06'!$A:$A,$A135,'מקור-06'!$C:$C)+SUMIF('מקור-07'!$A:$A,$A135,'מקור-07'!$C:$C)+SUMIF('מקור-08'!$A:$A,$A135,'מקור-08'!$C:$C)</f>
        <v>256</v>
      </c>
      <c r="D135" s="7">
        <f>SUMIF('מקור-01'!$A:$A,$A135,'מקור-01'!$D:$D)+SUMIF('מקור-02'!$A:$A,$A135,'מקור-02'!$D:$D)+SUMIF('מקור-03'!$A:$A,$A135,'מקור-03'!$D:$D)+SUMIF('מקור-04'!$A:$A,$A135,'מקור-04'!$D:$D)+SUMIF('מקור-05'!$A:$A,$A135,'מקור-05'!$D:$D)+SUMIF('מקור-06'!$A:$A,$A135,'מקור-06'!$D:$D)+SUMIF('מקור-07'!$A:$A,$A135,'מקור-07'!$D:$D)+SUMIF('מקור-08'!$A:$A,$A135,'מקור-08'!$D:$D)</f>
        <v>119</v>
      </c>
      <c r="E135" s="8">
        <f>D135-C135</f>
        <v>-137</v>
      </c>
      <c r="F135" s="9">
        <f>IF(C135=0,"מוצר חדש",(D135-C135)/C135)</f>
        <v>-0.53515625</v>
      </c>
    </row>
    <row r="136" hidden="1" ht="15" customHeight="1">
      <c r="A136" s="6" t="n">
        <v>67895</v>
      </c>
      <c r="B136" s="6" t="inlineStr">
        <is>
          <t>URI 11      1 ח בטן אורירית</t>
        </is>
      </c>
      <c r="C136" s="7">
        <f>SUMIF('מקור-01'!$A:$A,$A136,'מקור-01'!$C:$C)+SUMIF('מקור-02'!$A:$A,$A136,'מקור-02'!$C:$C)+SUMIF('מקור-03'!$A:$A,$A136,'מקור-03'!$C:$C)+SUMIF('מקור-04'!$A:$A,$A136,'מקור-04'!$C:$C)+SUMIF('מקור-05'!$A:$A,$A136,'מקור-05'!$C:$C)+SUMIF('מקור-06'!$A:$A,$A136,'מקור-06'!$C:$C)+SUMIF('מקור-07'!$A:$A,$A136,'מקור-07'!$C:$C)+SUMIF('מקור-08'!$A:$A,$A136,'מקור-08'!$C:$C)</f>
        <v>17</v>
      </c>
      <c r="D136" s="7">
        <f>SUMIF('מקור-01'!$A:$A,$A136,'מקור-01'!$D:$D)+SUMIF('מקור-02'!$A:$A,$A136,'מקור-02'!$D:$D)+SUMIF('מקור-03'!$A:$A,$A136,'מקור-03'!$D:$D)+SUMIF('מקור-04'!$A:$A,$A136,'מקור-04'!$D:$D)+SUMIF('מקור-05'!$A:$A,$A136,'מקור-05'!$D:$D)+SUMIF('מקור-06'!$A:$A,$A136,'מקור-06'!$D:$D)+SUMIF('מקור-07'!$A:$A,$A136,'מקור-07'!$D:$D)+SUMIF('מקור-08'!$A:$A,$A136,'מקור-08'!$D:$D)</f>
        <v>4</v>
      </c>
      <c r="E136" s="8">
        <f>D136-C136</f>
        <v>-13</v>
      </c>
      <c r="F136" s="9">
        <f>IF(C136=0,"מוצר חדש",(D136-C136)/C136)</f>
        <v>-0.7647058823529411</v>
      </c>
    </row>
    <row r="137" hidden="1" ht="15" customHeight="1">
      <c r="A137" s="6" t="n">
        <v>67898</v>
      </c>
      <c r="B137" s="6" t="inlineStr">
        <is>
          <t>חגורה למנותחי בית חזה</t>
        </is>
      </c>
      <c r="C137" s="7">
        <f>SUMIF('מקור-01'!$A:$A,$A137,'מקור-01'!$C:$C)+SUMIF('מקור-02'!$A:$A,$A137,'מקור-02'!$C:$C)+SUMIF('מקור-03'!$A:$A,$A137,'מקור-03'!$C:$C)+SUMIF('מקור-04'!$A:$A,$A137,'מקור-04'!$C:$C)+SUMIF('מקור-05'!$A:$A,$A137,'מקור-05'!$C:$C)+SUMIF('מקור-06'!$A:$A,$A137,'מקור-06'!$C:$C)+SUMIF('מקור-07'!$A:$A,$A137,'מקור-07'!$C:$C)+SUMIF('מקור-08'!$A:$A,$A137,'מקור-08'!$C:$C)</f>
        <v>1</v>
      </c>
      <c r="D137" s="7">
        <f>SUMIF('מקור-01'!$A:$A,$A137,'מקור-01'!$D:$D)+SUMIF('מקור-02'!$A:$A,$A137,'מקור-02'!$D:$D)+SUMIF('מקור-03'!$A:$A,$A137,'מקור-03'!$D:$D)+SUMIF('מקור-04'!$A:$A,$A137,'מקור-04'!$D:$D)+SUMIF('מקור-05'!$A:$A,$A137,'מקור-05'!$D:$D)+SUMIF('מקור-06'!$A:$A,$A137,'מקור-06'!$D:$D)+SUMIF('מקור-07'!$A:$A,$A137,'מקור-07'!$D:$D)+SUMIF('מקור-08'!$A:$A,$A137,'מקור-08'!$D:$D)</f>
        <v>6</v>
      </c>
      <c r="E137" s="8">
        <f>D137-C137</f>
        <v>5</v>
      </c>
      <c r="F137" s="9">
        <f>IF(C137=0,"מוצר חדש",(D137-C137)/C137)</f>
        <v>5</v>
      </c>
    </row>
    <row r="138" hidden="1" ht="15" customHeight="1">
      <c r="A138" s="6" t="n">
        <v>67925</v>
      </c>
      <c r="B138" s="6" t="inlineStr">
        <is>
          <t>URI 35  S   1 מגן קרסול לבן</t>
        </is>
      </c>
      <c r="C138" s="7">
        <f>SUMIF('מקור-01'!$A:$A,$A138,'מקור-01'!$C:$C)+SUMIF('מקור-02'!$A:$A,$A138,'מקור-02'!$C:$C)+SUMIF('מקור-03'!$A:$A,$A138,'מקור-03'!$C:$C)+SUMIF('מקור-04'!$A:$A,$A138,'מקור-04'!$C:$C)+SUMIF('מקור-05'!$A:$A,$A138,'מקור-05'!$C:$C)+SUMIF('מקור-06'!$A:$A,$A138,'מקור-06'!$C:$C)+SUMIF('מקור-07'!$A:$A,$A138,'מקור-07'!$C:$C)+SUMIF('מקור-08'!$A:$A,$A138,'מקור-08'!$C:$C)</f>
        <v>62</v>
      </c>
      <c r="D138" s="7">
        <f>SUMIF('מקור-01'!$A:$A,$A138,'מקור-01'!$D:$D)+SUMIF('מקור-02'!$A:$A,$A138,'מקור-02'!$D:$D)+SUMIF('מקור-03'!$A:$A,$A138,'מקור-03'!$D:$D)+SUMIF('מקור-04'!$A:$A,$A138,'מקור-04'!$D:$D)+SUMIF('מקור-05'!$A:$A,$A138,'מקור-05'!$D:$D)+SUMIF('מקור-06'!$A:$A,$A138,'מקור-06'!$D:$D)+SUMIF('מקור-07'!$A:$A,$A138,'מקור-07'!$D:$D)+SUMIF('מקור-08'!$A:$A,$A138,'מקור-08'!$D:$D)</f>
        <v>63</v>
      </c>
      <c r="E138" s="8">
        <f>D138-C138</f>
        <v>1</v>
      </c>
      <c r="F138" s="9">
        <f>IF(C138=0,"מוצר חדש",(D138-C138)/C138)</f>
        <v>0.016129032258064516</v>
      </c>
    </row>
    <row r="139" hidden="1" ht="15" customHeight="1">
      <c r="A139" s="6" t="n">
        <v>67935</v>
      </c>
      <c r="B139" s="6" t="inlineStr">
        <is>
          <t>URI 45 S          1 מגן ברך</t>
        </is>
      </c>
      <c r="C139" s="7">
        <f>SUMIF('מקור-01'!$A:$A,$A139,'מקור-01'!$C:$C)+SUMIF('מקור-02'!$A:$A,$A139,'מקור-02'!$C:$C)+SUMIF('מקור-03'!$A:$A,$A139,'מקור-03'!$C:$C)+SUMIF('מקור-04'!$A:$A,$A139,'מקור-04'!$C:$C)+SUMIF('מקור-05'!$A:$A,$A139,'מקור-05'!$C:$C)+SUMIF('מקור-06'!$A:$A,$A139,'מקור-06'!$C:$C)+SUMIF('מקור-07'!$A:$A,$A139,'מקור-07'!$C:$C)+SUMIF('מקור-08'!$A:$A,$A139,'מקור-08'!$C:$C)</f>
        <v>74</v>
      </c>
      <c r="D139" s="7">
        <f>SUMIF('מקור-01'!$A:$A,$A139,'מקור-01'!$D:$D)+SUMIF('מקור-02'!$A:$A,$A139,'מקור-02'!$D:$D)+SUMIF('מקור-03'!$A:$A,$A139,'מקור-03'!$D:$D)+SUMIF('מקור-04'!$A:$A,$A139,'מקור-04'!$D:$D)+SUMIF('מקור-05'!$A:$A,$A139,'מקור-05'!$D:$D)+SUMIF('מקור-06'!$A:$A,$A139,'מקור-06'!$D:$D)+SUMIF('מקור-07'!$A:$A,$A139,'מקור-07'!$D:$D)+SUMIF('מקור-08'!$A:$A,$A139,'מקור-08'!$D:$D)</f>
        <v>90</v>
      </c>
      <c r="E139" s="8">
        <f>D139-C139</f>
        <v>16</v>
      </c>
      <c r="F139" s="9">
        <f>IF(C139=0,"מוצר חדש",(D139-C139)/C139)</f>
        <v>0.21621621621621623</v>
      </c>
    </row>
    <row r="140" hidden="1" ht="15" customHeight="1">
      <c r="A140" s="6" t="n">
        <v>67939</v>
      </c>
      <c r="B140" s="6" t="inlineStr">
        <is>
          <t>URI 49            1 מגן ירך</t>
        </is>
      </c>
      <c r="C140" s="7">
        <f>SUMIF('מקור-01'!$A:$A,$A140,'מקור-01'!$C:$C)+SUMIF('מקור-02'!$A:$A,$A140,'מקור-02'!$C:$C)+SUMIF('מקור-03'!$A:$A,$A140,'מקור-03'!$C:$C)+SUMIF('מקור-04'!$A:$A,$A140,'מקור-04'!$C:$C)+SUMIF('מקור-05'!$A:$A,$A140,'מקור-05'!$C:$C)+SUMIF('מקור-06'!$A:$A,$A140,'מקור-06'!$C:$C)+SUMIF('מקור-07'!$A:$A,$A140,'מקור-07'!$C:$C)+SUMIF('מקור-08'!$A:$A,$A140,'מקור-08'!$C:$C)</f>
        <v>1</v>
      </c>
      <c r="D140" s="7">
        <f>SUMIF('מקור-01'!$A:$A,$A140,'מקור-01'!$D:$D)+SUMIF('מקור-02'!$A:$A,$A140,'מקור-02'!$D:$D)+SUMIF('מקור-03'!$A:$A,$A140,'מקור-03'!$D:$D)+SUMIF('מקור-04'!$A:$A,$A140,'מקור-04'!$D:$D)+SUMIF('מקור-05'!$A:$A,$A140,'מקור-05'!$D:$D)+SUMIF('מקור-06'!$A:$A,$A140,'מקור-06'!$D:$D)+SUMIF('מקור-07'!$A:$A,$A140,'מקור-07'!$D:$D)+SUMIF('מקור-08'!$A:$A,$A140,'מקור-08'!$D:$D)</f>
        <v>3</v>
      </c>
      <c r="E140" s="8">
        <f>D140-C140</f>
        <v>2</v>
      </c>
      <c r="F140" s="9">
        <f>IF(C140=0,"מוצר חדש",(D140-C140)/C140)</f>
        <v>2</v>
      </c>
    </row>
    <row r="141" hidden="1" ht="15" customHeight="1">
      <c r="A141" s="6" t="n">
        <v>67949</v>
      </c>
      <c r="B141" s="6" t="inlineStr">
        <is>
          <t>URI 59D S1 חגורת שבר דו צדד</t>
        </is>
      </c>
      <c r="C141" s="7">
        <f>SUMIF('מקור-01'!$A:$A,$A141,'מקור-01'!$C:$C)+SUMIF('מקור-02'!$A:$A,$A141,'מקור-02'!$C:$C)+SUMIF('מקור-03'!$A:$A,$A141,'מקור-03'!$C:$C)+SUMIF('מקור-04'!$A:$A,$A141,'מקור-04'!$C:$C)+SUMIF('מקור-05'!$A:$A,$A141,'מקור-05'!$C:$C)+SUMIF('מקור-06'!$A:$A,$A141,'מקור-06'!$C:$C)+SUMIF('מקור-07'!$A:$A,$A141,'מקור-07'!$C:$C)+SUMIF('מקור-08'!$A:$A,$A141,'מקור-08'!$C:$C)</f>
        <v>2</v>
      </c>
      <c r="D141" s="7">
        <f>SUMIF('מקור-01'!$A:$A,$A141,'מקור-01'!$D:$D)+SUMIF('מקור-02'!$A:$A,$A141,'מקור-02'!$D:$D)+SUMIF('מקור-03'!$A:$A,$A141,'מקור-03'!$D:$D)+SUMIF('מקור-04'!$A:$A,$A141,'מקור-04'!$D:$D)+SUMIF('מקור-05'!$A:$A,$A141,'מקור-05'!$D:$D)+SUMIF('מקור-06'!$A:$A,$A141,'מקור-06'!$D:$D)+SUMIF('מקור-07'!$A:$A,$A141,'מקור-07'!$D:$D)+SUMIF('מקור-08'!$A:$A,$A141,'מקור-08'!$D:$D)</f>
        <v>1</v>
      </c>
      <c r="E141" s="8">
        <f>D141-C141</f>
        <v>-1</v>
      </c>
      <c r="F141" s="9">
        <f>IF(C141=0,"מוצר חדש",(D141-C141)/C141)</f>
        <v>-0.5</v>
      </c>
    </row>
    <row r="142" hidden="1" ht="15" customHeight="1">
      <c r="A142" s="6" t="n">
        <v>67957</v>
      </c>
      <c r="B142" s="6" t="inlineStr">
        <is>
          <t>URI 95 S         1 מגן מרפק</t>
        </is>
      </c>
      <c r="C142" s="7">
        <f>SUMIF('מקור-01'!$A:$A,$A142,'מקור-01'!$C:$C)+SUMIF('מקור-02'!$A:$A,$A142,'מקור-02'!$C:$C)+SUMIF('מקור-03'!$A:$A,$A142,'מקור-03'!$C:$C)+SUMIF('מקור-04'!$A:$A,$A142,'מקור-04'!$C:$C)+SUMIF('מקור-05'!$A:$A,$A142,'מקור-05'!$C:$C)+SUMIF('מקור-06'!$A:$A,$A142,'מקור-06'!$C:$C)+SUMIF('מקור-07'!$A:$A,$A142,'מקור-07'!$C:$C)+SUMIF('מקור-08'!$A:$A,$A142,'מקור-08'!$C:$C)</f>
        <v>114</v>
      </c>
      <c r="D142" s="7">
        <f>SUMIF('מקור-01'!$A:$A,$A142,'מקור-01'!$D:$D)+SUMIF('מקור-02'!$A:$A,$A142,'מקור-02'!$D:$D)+SUMIF('מקור-03'!$A:$A,$A142,'מקור-03'!$D:$D)+SUMIF('מקור-04'!$A:$A,$A142,'מקור-04'!$D:$D)+SUMIF('מקור-05'!$A:$A,$A142,'מקור-05'!$D:$D)+SUMIF('מקור-06'!$A:$A,$A142,'מקור-06'!$D:$D)+SUMIF('מקור-07'!$A:$A,$A142,'מקור-07'!$D:$D)+SUMIF('מקור-08'!$A:$A,$A142,'מקור-08'!$D:$D)</f>
        <v>140</v>
      </c>
      <c r="E142" s="8">
        <f>D142-C142</f>
        <v>26</v>
      </c>
      <c r="F142" s="9">
        <f>IF(C142=0,"מוצר חדש",(D142-C142)/C142)</f>
        <v>0.22807017543859648</v>
      </c>
    </row>
    <row r="143" hidden="1" ht="15" customHeight="1">
      <c r="A143" s="6" t="n">
        <v>67960</v>
      </c>
      <c r="B143" s="6" t="inlineStr">
        <is>
          <t>URI 85 S        1 מיתלה ליד</t>
        </is>
      </c>
      <c r="C143" s="7">
        <f>SUMIF('מקור-01'!$A:$A,$A143,'מקור-01'!$C:$C)+SUMIF('מקור-02'!$A:$A,$A143,'מקור-02'!$C:$C)+SUMIF('מקור-03'!$A:$A,$A143,'מקור-03'!$C:$C)+SUMIF('מקור-04'!$A:$A,$A143,'מקור-04'!$C:$C)+SUMIF('מקור-05'!$A:$A,$A143,'מקור-05'!$C:$C)+SUMIF('מקור-06'!$A:$A,$A143,'מקור-06'!$C:$C)+SUMIF('מקור-07'!$A:$A,$A143,'מקור-07'!$C:$C)+SUMIF('מקור-08'!$A:$A,$A143,'מקור-08'!$C:$C)</f>
        <v>65</v>
      </c>
      <c r="D143" s="7">
        <f>SUMIF('מקור-01'!$A:$A,$A143,'מקור-01'!$D:$D)+SUMIF('מקור-02'!$A:$A,$A143,'מקור-02'!$D:$D)+SUMIF('מקור-03'!$A:$A,$A143,'מקור-03'!$D:$D)+SUMIF('מקור-04'!$A:$A,$A143,'מקור-04'!$D:$D)+SUMIF('מקור-05'!$A:$A,$A143,'מקור-05'!$D:$D)+SUMIF('מקור-06'!$A:$A,$A143,'מקור-06'!$D:$D)+SUMIF('מקור-07'!$A:$A,$A143,'מקור-07'!$D:$D)+SUMIF('מקור-08'!$A:$A,$A143,'מקור-08'!$D:$D)</f>
        <v>92</v>
      </c>
      <c r="E143" s="8">
        <f>D143-C143</f>
        <v>27</v>
      </c>
      <c r="F143" s="9">
        <f>IF(C143=0,"מוצר חדש",(D143-C143)/C143)</f>
        <v>0.4153846153846154</v>
      </c>
    </row>
    <row r="144" ht="15" customHeight="1">
      <c r="A144" s="6" t="n">
        <v>68750</v>
      </c>
      <c r="B144" s="6" t="inlineStr">
        <is>
          <t>388B L 1 סד לילה שחור לבוהן</t>
        </is>
      </c>
      <c r="C144" s="7">
        <f>SUMIF('מקור-01'!$A:$A,$A144,'מקור-01'!$C:$C)+SUMIF('מקור-02'!$A:$A,$A144,'מקור-02'!$C:$C)+SUMIF('מקור-03'!$A:$A,$A144,'מקור-03'!$C:$C)+SUMIF('מקור-04'!$A:$A,$A144,'מקור-04'!$C:$C)+SUMIF('מקור-05'!$A:$A,$A144,'מקור-05'!$C:$C)+SUMIF('מקור-06'!$A:$A,$A144,'מקור-06'!$C:$C)+SUMIF('מקור-07'!$A:$A,$A144,'מקור-07'!$C:$C)+SUMIF('מקור-08'!$A:$A,$A144,'מקור-08'!$C:$C)</f>
        <v>3</v>
      </c>
      <c r="D144" s="7">
        <f>SUMIF('מקור-01'!$A:$A,$A144,'מקור-01'!$D:$D)+SUMIF('מקור-02'!$A:$A,$A144,'מקור-02'!$D:$D)+SUMIF('מקור-03'!$A:$A,$A144,'מקור-03'!$D:$D)+SUMIF('מקור-04'!$A:$A,$A144,'מקור-04'!$D:$D)+SUMIF('מקור-05'!$A:$A,$A144,'מקור-05'!$D:$D)+SUMIF('מקור-06'!$A:$A,$A144,'מקור-06'!$D:$D)+SUMIF('מקור-07'!$A:$A,$A144,'מקור-07'!$D:$D)+SUMIF('מקור-08'!$A:$A,$A144,'מקור-08'!$D:$D)</f>
        <v>18</v>
      </c>
      <c r="E144" s="8">
        <f>D144-C144</f>
        <v>15</v>
      </c>
      <c r="F144" s="9">
        <f>IF(C144=0,"מוצר חדש",(D144-C144)/C144)</f>
        <v>5</v>
      </c>
    </row>
    <row r="145" ht="15" customHeight="1">
      <c r="A145" s="6" t="n">
        <v>68751</v>
      </c>
      <c r="B145" s="6" t="inlineStr">
        <is>
          <t>388B R 1 סד לילה שחור לבוהן</t>
        </is>
      </c>
      <c r="C145" s="7">
        <f>SUMIF('מקור-01'!$A:$A,$A145,'מקור-01'!$C:$C)+SUMIF('מקור-02'!$A:$A,$A145,'מקור-02'!$C:$C)+SUMIF('מקור-03'!$A:$A,$A145,'מקור-03'!$C:$C)+SUMIF('מקור-04'!$A:$A,$A145,'מקור-04'!$C:$C)+SUMIF('מקור-05'!$A:$A,$A145,'מקור-05'!$C:$C)+SUMIF('מקור-06'!$A:$A,$A145,'מקור-06'!$C:$C)+SUMIF('מקור-07'!$A:$A,$A145,'מקור-07'!$C:$C)+SUMIF('מקור-08'!$A:$A,$A145,'מקור-08'!$C:$C)</f>
        <v>3</v>
      </c>
      <c r="D145" s="7">
        <f>SUMIF('מקור-01'!$A:$A,$A145,'מקור-01'!$D:$D)+SUMIF('מקור-02'!$A:$A,$A145,'מקור-02'!$D:$D)+SUMIF('מקור-03'!$A:$A,$A145,'מקור-03'!$D:$D)+SUMIF('מקור-04'!$A:$A,$A145,'מקור-04'!$D:$D)+SUMIF('מקור-05'!$A:$A,$A145,'מקור-05'!$D:$D)+SUMIF('מקור-06'!$A:$A,$A145,'מקור-06'!$D:$D)+SUMIF('מקור-07'!$A:$A,$A145,'מקור-07'!$D:$D)+SUMIF('מקור-08'!$A:$A,$A145,'מקור-08'!$D:$D)</f>
        <v>21</v>
      </c>
      <c r="E145" s="8">
        <f>D145-C145</f>
        <v>18</v>
      </c>
      <c r="F145" s="9">
        <f>IF(C145=0,"מוצר חדש",(D145-C145)/C145)</f>
        <v>6</v>
      </c>
    </row>
    <row r="146" hidden="1" ht="15" customHeight="1">
      <c r="A146" s="6" t="n">
        <v>71085</v>
      </c>
      <c r="B146" s="6" t="inlineStr">
        <is>
          <t>URI 078S 1</t>
        </is>
      </c>
      <c r="C146" s="7">
        <f>SUMIF('מקור-01'!$A:$A,$A146,'מקור-01'!$C:$C)+SUMIF('מקור-02'!$A:$A,$A146,'מקור-02'!$C:$C)+SUMIF('מקור-03'!$A:$A,$A146,'מקור-03'!$C:$C)+SUMIF('מקור-04'!$A:$A,$A146,'מקור-04'!$C:$C)+SUMIF('מקור-05'!$A:$A,$A146,'מקור-05'!$C:$C)+SUMIF('מקור-06'!$A:$A,$A146,'מקור-06'!$C:$C)+SUMIF('מקור-07'!$A:$A,$A146,'מקור-07'!$C:$C)+SUMIF('מקור-08'!$A:$A,$A146,'מקור-08'!$C:$C)</f>
        <v>4</v>
      </c>
      <c r="D146" s="7">
        <f>SUMIF('מקור-01'!$A:$A,$A146,'מקור-01'!$D:$D)+SUMIF('מקור-02'!$A:$A,$A146,'מקור-02'!$D:$D)+SUMIF('מקור-03'!$A:$A,$A146,'מקור-03'!$D:$D)+SUMIF('מקור-04'!$A:$A,$A146,'מקור-04'!$D:$D)+SUMIF('מקור-05'!$A:$A,$A146,'מקור-05'!$D:$D)+SUMIF('מקור-06'!$A:$A,$A146,'מקור-06'!$D:$D)+SUMIF('מקור-07'!$A:$A,$A146,'מקור-07'!$D:$D)+SUMIF('מקור-08'!$A:$A,$A146,'מקור-08'!$D:$D)</f>
        <v>3</v>
      </c>
      <c r="E146" s="8">
        <f>D146-C146</f>
        <v>-1</v>
      </c>
      <c r="F146" s="9">
        <f>IF(C146=0,"מוצר חדש",(D146-C146)/C146)</f>
        <v>-0.25</v>
      </c>
    </row>
    <row r="147" hidden="1" ht="15" customHeight="1">
      <c r="A147" s="6" t="n">
        <v>71086</v>
      </c>
      <c r="B147" s="6" t="inlineStr">
        <is>
          <t>URI 078M 1</t>
        </is>
      </c>
      <c r="C147" s="7">
        <f>SUMIF('מקור-01'!$A:$A,$A147,'מקור-01'!$C:$C)+SUMIF('מקור-02'!$A:$A,$A147,'מקור-02'!$C:$C)+SUMIF('מקור-03'!$A:$A,$A147,'מקור-03'!$C:$C)+SUMIF('מקור-04'!$A:$A,$A147,'מקור-04'!$C:$C)+SUMIF('מקור-05'!$A:$A,$A147,'מקור-05'!$C:$C)+SUMIF('מקור-06'!$A:$A,$A147,'מקור-06'!$C:$C)+SUMIF('מקור-07'!$A:$A,$A147,'מקור-07'!$C:$C)+SUMIF('מקור-08'!$A:$A,$A147,'מקור-08'!$C:$C)</f>
        <v>24</v>
      </c>
      <c r="D147" s="7">
        <f>SUMIF('מקור-01'!$A:$A,$A147,'מקור-01'!$D:$D)+SUMIF('מקור-02'!$A:$A,$A147,'מקור-02'!$D:$D)+SUMIF('מקור-03'!$A:$A,$A147,'מקור-03'!$D:$D)+SUMIF('מקור-04'!$A:$A,$A147,'מקור-04'!$D:$D)+SUMIF('מקור-05'!$A:$A,$A147,'מקור-05'!$D:$D)+SUMIF('מקור-06'!$A:$A,$A147,'מקור-06'!$D:$D)+SUMIF('מקור-07'!$A:$A,$A147,'מקור-07'!$D:$D)+SUMIF('מקור-08'!$A:$A,$A147,'מקור-08'!$D:$D)</f>
        <v>48</v>
      </c>
      <c r="E147" s="8">
        <f>D147-C147</f>
        <v>24</v>
      </c>
      <c r="F147" s="9">
        <f>IF(C147=0,"מוצר חדש",(D147-C147)/C147)</f>
        <v>1</v>
      </c>
    </row>
    <row r="148" hidden="1" ht="15" customHeight="1">
      <c r="A148" s="6" t="n">
        <v>71087</v>
      </c>
      <c r="B148" s="6" t="inlineStr">
        <is>
          <t>URI 078L 1</t>
        </is>
      </c>
      <c r="C148" s="7">
        <f>SUMIF('מקור-01'!$A:$A,$A148,'מקור-01'!$C:$C)+SUMIF('מקור-02'!$A:$A,$A148,'מקור-02'!$C:$C)+SUMIF('מקור-03'!$A:$A,$A148,'מקור-03'!$C:$C)+SUMIF('מקור-04'!$A:$A,$A148,'מקור-04'!$C:$C)+SUMIF('מקור-05'!$A:$A,$A148,'מקור-05'!$C:$C)+SUMIF('מקור-06'!$A:$A,$A148,'מקור-06'!$C:$C)+SUMIF('מקור-07'!$A:$A,$A148,'מקור-07'!$C:$C)+SUMIF('מקור-08'!$A:$A,$A148,'מקור-08'!$C:$C)</f>
        <v>80</v>
      </c>
      <c r="D148" s="7">
        <f>SUMIF('מקור-01'!$A:$A,$A148,'מקור-01'!$D:$D)+SUMIF('מקור-02'!$A:$A,$A148,'מקור-02'!$D:$D)+SUMIF('מקור-03'!$A:$A,$A148,'מקור-03'!$D:$D)+SUMIF('מקור-04'!$A:$A,$A148,'מקור-04'!$D:$D)+SUMIF('מקור-05'!$A:$A,$A148,'מקור-05'!$D:$D)+SUMIF('מקור-06'!$A:$A,$A148,'מקור-06'!$D:$D)+SUMIF('מקור-07'!$A:$A,$A148,'מקור-07'!$D:$D)+SUMIF('מקור-08'!$A:$A,$A148,'מקור-08'!$D:$D)</f>
        <v>112</v>
      </c>
      <c r="E148" s="8">
        <f>D148-C148</f>
        <v>32</v>
      </c>
      <c r="F148" s="9">
        <f>IF(C148=0,"מוצר חדש",(D148-C148)/C148)</f>
        <v>0.4</v>
      </c>
    </row>
    <row r="149" hidden="1" ht="15" customHeight="1">
      <c r="A149" s="6" t="n">
        <v>71088</v>
      </c>
      <c r="B149" s="6" t="inlineStr">
        <is>
          <t>URI 078XL 1</t>
        </is>
      </c>
      <c r="C149" s="7">
        <f>SUMIF('מקור-01'!$A:$A,$A149,'מקור-01'!$C:$C)+SUMIF('מקור-02'!$A:$A,$A149,'מקור-02'!$C:$C)+SUMIF('מקור-03'!$A:$A,$A149,'מקור-03'!$C:$C)+SUMIF('מקור-04'!$A:$A,$A149,'מקור-04'!$C:$C)+SUMIF('מקור-05'!$A:$A,$A149,'מקור-05'!$C:$C)+SUMIF('מקור-06'!$A:$A,$A149,'מקור-06'!$C:$C)+SUMIF('מקור-07'!$A:$A,$A149,'מקור-07'!$C:$C)+SUMIF('מקור-08'!$A:$A,$A149,'מקור-08'!$C:$C)</f>
        <v>64</v>
      </c>
      <c r="D149" s="7">
        <f>SUMIF('מקור-01'!$A:$A,$A149,'מקור-01'!$D:$D)+SUMIF('מקור-02'!$A:$A,$A149,'מקור-02'!$D:$D)+SUMIF('מקור-03'!$A:$A,$A149,'מקור-03'!$D:$D)+SUMIF('מקור-04'!$A:$A,$A149,'מקור-04'!$D:$D)+SUMIF('מקור-05'!$A:$A,$A149,'מקור-05'!$D:$D)+SUMIF('מקור-06'!$A:$A,$A149,'מקור-06'!$D:$D)+SUMIF('מקור-07'!$A:$A,$A149,'מקור-07'!$D:$D)+SUMIF('מקור-08'!$A:$A,$A149,'מקור-08'!$D:$D)</f>
        <v>82</v>
      </c>
      <c r="E149" s="8">
        <f>D149-C149</f>
        <v>18</v>
      </c>
      <c r="F149" s="9">
        <f>IF(C149=0,"מוצר חדש",(D149-C149)/C149)</f>
        <v>0.28125</v>
      </c>
    </row>
    <row r="150" hidden="1" ht="15" customHeight="1">
      <c r="A150" s="6" t="n">
        <v>71204</v>
      </c>
      <c r="B150" s="6" t="inlineStr">
        <is>
          <t>URI 3655   1 שרוול מסיליקון</t>
        </is>
      </c>
      <c r="C150" s="7">
        <f>SUMIF('מקור-01'!$A:$A,$A150,'מקור-01'!$C:$C)+SUMIF('מקור-02'!$A:$A,$A150,'מקור-02'!$C:$C)+SUMIF('מקור-03'!$A:$A,$A150,'מקור-03'!$C:$C)+SUMIF('מקור-04'!$A:$A,$A150,'מקור-04'!$C:$C)+SUMIF('מקור-05'!$A:$A,$A150,'מקור-05'!$C:$C)+SUMIF('מקור-06'!$A:$A,$A150,'מקור-06'!$C:$C)+SUMIF('מקור-07'!$A:$A,$A150,'מקור-07'!$C:$C)+SUMIF('מקור-08'!$A:$A,$A150,'מקור-08'!$C:$C)</f>
        <v>733</v>
      </c>
      <c r="D150" s="7">
        <f>SUMIF('מקור-01'!$A:$A,$A150,'מקור-01'!$D:$D)+SUMIF('מקור-02'!$A:$A,$A150,'מקור-02'!$D:$D)+SUMIF('מקור-03'!$A:$A,$A150,'מקור-03'!$D:$D)+SUMIF('מקור-04'!$A:$A,$A150,'מקור-04'!$D:$D)+SUMIF('מקור-05'!$A:$A,$A150,'מקור-05'!$D:$D)+SUMIF('מקור-06'!$A:$A,$A150,'מקור-06'!$D:$D)+SUMIF('מקור-07'!$A:$A,$A150,'מקור-07'!$D:$D)+SUMIF('מקור-08'!$A:$A,$A150,'מקור-08'!$D:$D)</f>
        <v>631</v>
      </c>
      <c r="E150" s="8">
        <f>D150-C150</f>
        <v>-102</v>
      </c>
      <c r="F150" s="9">
        <f>IF(C150=0,"מוצר חדש",(D150-C150)/C150)</f>
        <v>-0.13915416098226466</v>
      </c>
    </row>
    <row r="151" hidden="1" ht="15" customHeight="1">
      <c r="A151" s="6" t="n">
        <v>71683</v>
      </c>
      <c r="B151" s="6" t="inlineStr">
        <is>
          <t>URI S 3622 1 מדבקה לשחרור ל</t>
        </is>
      </c>
      <c r="C151" s="7">
        <f>SUMIF('מקור-01'!$A:$A,$A151,'מקור-01'!$C:$C)+SUMIF('מקור-02'!$A:$A,$A151,'מקור-02'!$C:$C)+SUMIF('מקור-03'!$A:$A,$A151,'מקור-03'!$C:$C)+SUMIF('מקור-04'!$A:$A,$A151,'מקור-04'!$C:$C)+SUMIF('מקור-05'!$A:$A,$A151,'מקור-05'!$C:$C)+SUMIF('מקור-06'!$A:$A,$A151,'מקור-06'!$C:$C)+SUMIF('מקור-07'!$A:$A,$A151,'מקור-07'!$C:$C)+SUMIF('מקור-08'!$A:$A,$A151,'מקור-08'!$C:$C)</f>
        <v>36</v>
      </c>
      <c r="D151" s="7">
        <f>SUMIF('מקור-01'!$A:$A,$A151,'מקור-01'!$D:$D)+SUMIF('מקור-02'!$A:$A,$A151,'מקור-02'!$D:$D)+SUMIF('מקור-03'!$A:$A,$A151,'מקור-03'!$D:$D)+SUMIF('מקור-04'!$A:$A,$A151,'מקור-04'!$D:$D)+SUMIF('מקור-05'!$A:$A,$A151,'מקור-05'!$D:$D)+SUMIF('מקור-06'!$A:$A,$A151,'מקור-06'!$D:$D)+SUMIF('מקור-07'!$A:$A,$A151,'מקור-07'!$D:$D)+SUMIF('מקור-08'!$A:$A,$A151,'מקור-08'!$D:$D)</f>
        <v>42</v>
      </c>
      <c r="E151" s="8">
        <f>D151-C151</f>
        <v>6</v>
      </c>
      <c r="F151" s="9">
        <f>IF(C151=0,"מוצר חדש",(D151-C151)/C151)</f>
        <v>0.16666666666666666</v>
      </c>
    </row>
    <row r="152" hidden="1" ht="15" customHeight="1">
      <c r="A152" s="6" t="n">
        <v>74670</v>
      </c>
      <c r="B152" s="6" t="inlineStr">
        <is>
          <t>URI 07AU L   1 ח.גב איטלקית</t>
        </is>
      </c>
      <c r="C152" s="7">
        <f>SUMIF('מקור-01'!$A:$A,$A152,'מקור-01'!$C:$C)+SUMIF('מקור-02'!$A:$A,$A152,'מקור-02'!$C:$C)+SUMIF('מקור-03'!$A:$A,$A152,'מקור-03'!$C:$C)+SUMIF('מקור-04'!$A:$A,$A152,'מקור-04'!$C:$C)+SUMIF('מקור-05'!$A:$A,$A152,'מקור-05'!$C:$C)+SUMIF('מקור-06'!$A:$A,$A152,'מקור-06'!$C:$C)+SUMIF('מקור-07'!$A:$A,$A152,'מקור-07'!$C:$C)+SUMIF('מקור-08'!$A:$A,$A152,'מקור-08'!$C:$C)</f>
        <v>40</v>
      </c>
      <c r="D152" s="7">
        <f>SUMIF('מקור-01'!$A:$A,$A152,'מקור-01'!$D:$D)+SUMIF('מקור-02'!$A:$A,$A152,'מקור-02'!$D:$D)+SUMIF('מקור-03'!$A:$A,$A152,'מקור-03'!$D:$D)+SUMIF('מקור-04'!$A:$A,$A152,'מקור-04'!$D:$D)+SUMIF('מקור-05'!$A:$A,$A152,'מקור-05'!$D:$D)+SUMIF('מקור-06'!$A:$A,$A152,'מקור-06'!$D:$D)+SUMIF('מקור-07'!$A:$A,$A152,'מקור-07'!$D:$D)+SUMIF('מקור-08'!$A:$A,$A152,'מקור-08'!$D:$D)</f>
        <v>21</v>
      </c>
      <c r="E152" s="8">
        <f>D152-C152</f>
        <v>-19</v>
      </c>
      <c r="F152" s="9">
        <f>IF(C152=0,"מוצר חדש",(D152-C152)/C152)</f>
        <v>-0.475</v>
      </c>
    </row>
    <row r="153" hidden="1" ht="15" customHeight="1">
      <c r="A153" s="6" t="n">
        <v>74671</v>
      </c>
      <c r="B153" s="6" t="inlineStr">
        <is>
          <t>URI 07AU M   1 ח גב איטלקית</t>
        </is>
      </c>
      <c r="C153" s="7">
        <f>SUMIF('מקור-01'!$A:$A,$A153,'מקור-01'!$C:$C)+SUMIF('מקור-02'!$A:$A,$A153,'מקור-02'!$C:$C)+SUMIF('מקור-03'!$A:$A,$A153,'מקור-03'!$C:$C)+SUMIF('מקור-04'!$A:$A,$A153,'מקור-04'!$C:$C)+SUMIF('מקור-05'!$A:$A,$A153,'מקור-05'!$C:$C)+SUMIF('מקור-06'!$A:$A,$A153,'מקור-06'!$C:$C)+SUMIF('מקור-07'!$A:$A,$A153,'מקור-07'!$C:$C)+SUMIF('מקור-08'!$A:$A,$A153,'מקור-08'!$C:$C)</f>
        <v>10</v>
      </c>
      <c r="D153" s="7">
        <f>SUMIF('מקור-01'!$A:$A,$A153,'מקור-01'!$D:$D)+SUMIF('מקור-02'!$A:$A,$A153,'מקור-02'!$D:$D)+SUMIF('מקור-03'!$A:$A,$A153,'מקור-03'!$D:$D)+SUMIF('מקור-04'!$A:$A,$A153,'מקור-04'!$D:$D)+SUMIF('מקור-05'!$A:$A,$A153,'מקור-05'!$D:$D)+SUMIF('מקור-06'!$A:$A,$A153,'מקור-06'!$D:$D)+SUMIF('מקור-07'!$A:$A,$A153,'מקור-07'!$D:$D)+SUMIF('מקור-08'!$A:$A,$A153,'מקור-08'!$D:$D)</f>
        <v>12</v>
      </c>
      <c r="E153" s="8">
        <f>D153-C153</f>
        <v>2</v>
      </c>
      <c r="F153" s="9">
        <f>IF(C153=0,"מוצר חדש",(D153-C153)/C153)</f>
        <v>0.2</v>
      </c>
    </row>
    <row r="154" hidden="1" ht="15" customHeight="1">
      <c r="A154" s="6" t="n">
        <v>74672</v>
      </c>
      <c r="B154" s="6" t="inlineStr">
        <is>
          <t>URI 07AU XL  1 ח.גב איטלקית</t>
        </is>
      </c>
      <c r="C154" s="7">
        <f>SUMIF('מקור-01'!$A:$A,$A154,'מקור-01'!$C:$C)+SUMIF('מקור-02'!$A:$A,$A154,'מקור-02'!$C:$C)+SUMIF('מקור-03'!$A:$A,$A154,'מקור-03'!$C:$C)+SUMIF('מקור-04'!$A:$A,$A154,'מקור-04'!$C:$C)+SUMIF('מקור-05'!$A:$A,$A154,'מקור-05'!$C:$C)+SUMIF('מקור-06'!$A:$A,$A154,'מקור-06'!$C:$C)+SUMIF('מקור-07'!$A:$A,$A154,'מקור-07'!$C:$C)+SUMIF('מקור-08'!$A:$A,$A154,'מקור-08'!$C:$C)</f>
        <v>41</v>
      </c>
      <c r="D154" s="7">
        <f>SUMIF('מקור-01'!$A:$A,$A154,'מקור-01'!$D:$D)+SUMIF('מקור-02'!$A:$A,$A154,'מקור-02'!$D:$D)+SUMIF('מקור-03'!$A:$A,$A154,'מקור-03'!$D:$D)+SUMIF('מקור-04'!$A:$A,$A154,'מקור-04'!$D:$D)+SUMIF('מקור-05'!$A:$A,$A154,'מקור-05'!$D:$D)+SUMIF('מקור-06'!$A:$A,$A154,'מקור-06'!$D:$D)+SUMIF('מקור-07'!$A:$A,$A154,'מקור-07'!$D:$D)+SUMIF('מקור-08'!$A:$A,$A154,'מקור-08'!$D:$D)</f>
        <v>32</v>
      </c>
      <c r="E154" s="8">
        <f>D154-C154</f>
        <v>-9</v>
      </c>
      <c r="F154" s="9">
        <f>IF(C154=0,"מוצר חדש",(D154-C154)/C154)</f>
        <v>-0.21951219512195122</v>
      </c>
    </row>
    <row r="155" hidden="1" ht="15" customHeight="1">
      <c r="A155" s="6" t="n">
        <v>74682</v>
      </c>
      <c r="B155" s="6" t="inlineStr">
        <is>
          <t>URI 11 L    1 ח.בטן אורירית</t>
        </is>
      </c>
      <c r="C155" s="7">
        <f>SUMIF('מקור-01'!$A:$A,$A155,'מקור-01'!$C:$C)+SUMIF('מקור-02'!$A:$A,$A155,'מקור-02'!$C:$C)+SUMIF('מקור-03'!$A:$A,$A155,'מקור-03'!$C:$C)+SUMIF('מקור-04'!$A:$A,$A155,'מקור-04'!$C:$C)+SUMIF('מקור-05'!$A:$A,$A155,'מקור-05'!$C:$C)+SUMIF('מקור-06'!$A:$A,$A155,'מקור-06'!$C:$C)+SUMIF('מקור-07'!$A:$A,$A155,'מקור-07'!$C:$C)+SUMIF('מקור-08'!$A:$A,$A155,'מקור-08'!$C:$C)</f>
        <v>51</v>
      </c>
      <c r="D155" s="7">
        <f>SUMIF('מקור-01'!$A:$A,$A155,'מקור-01'!$D:$D)+SUMIF('מקור-02'!$A:$A,$A155,'מקור-02'!$D:$D)+SUMIF('מקור-03'!$A:$A,$A155,'מקור-03'!$D:$D)+SUMIF('מקור-04'!$A:$A,$A155,'מקור-04'!$D:$D)+SUMIF('מקור-05'!$A:$A,$A155,'מקור-05'!$D:$D)+SUMIF('מקור-06'!$A:$A,$A155,'מקור-06'!$D:$D)+SUMIF('מקור-07'!$A:$A,$A155,'מקור-07'!$D:$D)+SUMIF('מקור-08'!$A:$A,$A155,'מקור-08'!$D:$D)</f>
        <v>43</v>
      </c>
      <c r="E155" s="8">
        <f>D155-C155</f>
        <v>-8</v>
      </c>
      <c r="F155" s="9">
        <f>IF(C155=0,"מוצר חדש",(D155-C155)/C155)</f>
        <v>-0.1568627450980392</v>
      </c>
    </row>
    <row r="156" hidden="1" ht="15" customHeight="1">
      <c r="A156" s="6" t="n">
        <v>74683</v>
      </c>
      <c r="B156" s="6" t="inlineStr">
        <is>
          <t>URI 11 M    1 ח.בטן אורירית</t>
        </is>
      </c>
      <c r="C156" s="7">
        <f>SUMIF('מקור-01'!$A:$A,$A156,'מקור-01'!$C:$C)+SUMIF('מקור-02'!$A:$A,$A156,'מקור-02'!$C:$C)+SUMIF('מקור-03'!$A:$A,$A156,'מקור-03'!$C:$C)+SUMIF('מקור-04'!$A:$A,$A156,'מקור-04'!$C:$C)+SUMIF('מקור-05'!$A:$A,$A156,'מקור-05'!$C:$C)+SUMIF('מקור-06'!$A:$A,$A156,'מקור-06'!$C:$C)+SUMIF('מקור-07'!$A:$A,$A156,'מקור-07'!$C:$C)+SUMIF('מקור-08'!$A:$A,$A156,'מקור-08'!$C:$C)</f>
        <v>34</v>
      </c>
      <c r="D156" s="7">
        <f>SUMIF('מקור-01'!$A:$A,$A156,'מקור-01'!$D:$D)+SUMIF('מקור-02'!$A:$A,$A156,'מקור-02'!$D:$D)+SUMIF('מקור-03'!$A:$A,$A156,'מקור-03'!$D:$D)+SUMIF('מקור-04'!$A:$A,$A156,'מקור-04'!$D:$D)+SUMIF('מקור-05'!$A:$A,$A156,'מקור-05'!$D:$D)+SUMIF('מקור-06'!$A:$A,$A156,'מקור-06'!$D:$D)+SUMIF('מקור-07'!$A:$A,$A156,'מקור-07'!$D:$D)+SUMIF('מקור-08'!$A:$A,$A156,'מקור-08'!$D:$D)</f>
        <v>34</v>
      </c>
      <c r="E156" s="8">
        <f>D156-C156</f>
        <v>0</v>
      </c>
      <c r="F156" s="9">
        <f>IF(C156=0,"מוצר חדש",(D156-C156)/C156)</f>
        <v>0</v>
      </c>
    </row>
    <row r="157" hidden="1" ht="15" customHeight="1">
      <c r="A157" s="6" t="n">
        <v>74684</v>
      </c>
      <c r="B157" s="6" t="inlineStr">
        <is>
          <t>URI 11 XL   1 ח.בטן אורירית</t>
        </is>
      </c>
      <c r="C157" s="7">
        <f>SUMIF('מקור-01'!$A:$A,$A157,'מקור-01'!$C:$C)+SUMIF('מקור-02'!$A:$A,$A157,'מקור-02'!$C:$C)+SUMIF('מקור-03'!$A:$A,$A157,'מקור-03'!$C:$C)+SUMIF('מקור-04'!$A:$A,$A157,'מקור-04'!$C:$C)+SUMIF('מקור-05'!$A:$A,$A157,'מקור-05'!$C:$C)+SUMIF('מקור-06'!$A:$A,$A157,'מקור-06'!$C:$C)+SUMIF('מקור-07'!$A:$A,$A157,'מקור-07'!$C:$C)+SUMIF('מקור-08'!$A:$A,$A157,'מקור-08'!$C:$C)</f>
        <v>68</v>
      </c>
      <c r="D157" s="7">
        <f>SUMIF('מקור-01'!$A:$A,$A157,'מקור-01'!$D:$D)+SUMIF('מקור-02'!$A:$A,$A157,'מקור-02'!$D:$D)+SUMIF('מקור-03'!$A:$A,$A157,'מקור-03'!$D:$D)+SUMIF('מקור-04'!$A:$A,$A157,'מקור-04'!$D:$D)+SUMIF('מקור-05'!$A:$A,$A157,'מקור-05'!$D:$D)+SUMIF('מקור-06'!$A:$A,$A157,'מקור-06'!$D:$D)+SUMIF('מקור-07'!$A:$A,$A157,'מקור-07'!$D:$D)+SUMIF('מקור-08'!$A:$A,$A157,'מקור-08'!$D:$D)</f>
        <v>75</v>
      </c>
      <c r="E157" s="8">
        <f>D157-C157</f>
        <v>7</v>
      </c>
      <c r="F157" s="9">
        <f>IF(C157=0,"מוצר חדש",(D157-C157)/C157)</f>
        <v>0.10294117647058823</v>
      </c>
    </row>
    <row r="158" hidden="1" ht="15" customHeight="1">
      <c r="A158" s="6" t="n">
        <v>74686</v>
      </c>
      <c r="B158" s="6" t="inlineStr">
        <is>
          <t>URI 11 TO M         1 ח בטן</t>
        </is>
      </c>
      <c r="C158" s="7">
        <f>SUMIF('מקור-01'!$A:$A,$A158,'מקור-01'!$C:$C)+SUMIF('מקור-02'!$A:$A,$A158,'מקור-02'!$C:$C)+SUMIF('מקור-03'!$A:$A,$A158,'מקור-03'!$C:$C)+SUMIF('מקור-04'!$A:$A,$A158,'מקור-04'!$C:$C)+SUMIF('מקור-05'!$A:$A,$A158,'מקור-05'!$C:$C)+SUMIF('מקור-06'!$A:$A,$A158,'מקור-06'!$C:$C)+SUMIF('מקור-07'!$A:$A,$A158,'מקור-07'!$C:$C)+SUMIF('מקור-08'!$A:$A,$A158,'מקור-08'!$C:$C)</f>
        <v>5</v>
      </c>
      <c r="D158" s="7">
        <f>SUMIF('מקור-01'!$A:$A,$A158,'מקור-01'!$D:$D)+SUMIF('מקור-02'!$A:$A,$A158,'מקור-02'!$D:$D)+SUMIF('מקור-03'!$A:$A,$A158,'מקור-03'!$D:$D)+SUMIF('מקור-04'!$A:$A,$A158,'מקור-04'!$D:$D)+SUMIF('מקור-05'!$A:$A,$A158,'מקור-05'!$D:$D)+SUMIF('מקור-06'!$A:$A,$A158,'מקור-06'!$D:$D)+SUMIF('מקור-07'!$A:$A,$A158,'מקור-07'!$D:$D)+SUMIF('מקור-08'!$A:$A,$A158,'מקור-08'!$D:$D)</f>
        <v>3</v>
      </c>
      <c r="E158" s="8">
        <f>D158-C158</f>
        <v>-2</v>
      </c>
      <c r="F158" s="9">
        <f>IF(C158=0,"מוצר חדש",(D158-C158)/C158)</f>
        <v>-0.4</v>
      </c>
    </row>
    <row r="159" hidden="1" ht="15" customHeight="1">
      <c r="A159" s="6" t="n">
        <v>74687</v>
      </c>
      <c r="B159" s="6" t="inlineStr">
        <is>
          <t>URI 11 TO L         1 ח בטן</t>
        </is>
      </c>
      <c r="C159" s="7">
        <f>SUMIF('מקור-01'!$A:$A,$A159,'מקור-01'!$C:$C)+SUMIF('מקור-02'!$A:$A,$A159,'מקור-02'!$C:$C)+SUMIF('מקור-03'!$A:$A,$A159,'מקור-03'!$C:$C)+SUMIF('מקור-04'!$A:$A,$A159,'מקור-04'!$C:$C)+SUMIF('מקור-05'!$A:$A,$A159,'מקור-05'!$C:$C)+SUMIF('מקור-06'!$A:$A,$A159,'מקור-06'!$C:$C)+SUMIF('מקור-07'!$A:$A,$A159,'מקור-07'!$C:$C)+SUMIF('מקור-08'!$A:$A,$A159,'מקור-08'!$C:$C)</f>
        <v>13</v>
      </c>
      <c r="D159" s="7">
        <f>SUMIF('מקור-01'!$A:$A,$A159,'מקור-01'!$D:$D)+SUMIF('מקור-02'!$A:$A,$A159,'מקור-02'!$D:$D)+SUMIF('מקור-03'!$A:$A,$A159,'מקור-03'!$D:$D)+SUMIF('מקור-04'!$A:$A,$A159,'מקור-04'!$D:$D)+SUMIF('מקור-05'!$A:$A,$A159,'מקור-05'!$D:$D)+SUMIF('מקור-06'!$A:$A,$A159,'מקור-06'!$D:$D)+SUMIF('מקור-07'!$A:$A,$A159,'מקור-07'!$D:$D)+SUMIF('מקור-08'!$A:$A,$A159,'מקור-08'!$D:$D)</f>
        <v>16</v>
      </c>
      <c r="E159" s="8">
        <f>D159-C159</f>
        <v>3</v>
      </c>
      <c r="F159" s="9">
        <f>IF(C159=0,"מוצר חדש",(D159-C159)/C159)</f>
        <v>0.23076923076923078</v>
      </c>
    </row>
    <row r="160" hidden="1" ht="15" customHeight="1">
      <c r="A160" s="6" t="n">
        <v>74688</v>
      </c>
      <c r="B160" s="6" t="inlineStr">
        <is>
          <t>URI 11 TO XL        1 ח בטן</t>
        </is>
      </c>
      <c r="C160" s="7">
        <f>SUMIF('מקור-01'!$A:$A,$A160,'מקור-01'!$C:$C)+SUMIF('מקור-02'!$A:$A,$A160,'מקור-02'!$C:$C)+SUMIF('מקור-03'!$A:$A,$A160,'מקור-03'!$C:$C)+SUMIF('מקור-04'!$A:$A,$A160,'מקור-04'!$C:$C)+SUMIF('מקור-05'!$A:$A,$A160,'מקור-05'!$C:$C)+SUMIF('מקור-06'!$A:$A,$A160,'מקור-06'!$C:$C)+SUMIF('מקור-07'!$A:$A,$A160,'מקור-07'!$C:$C)+SUMIF('מקור-08'!$A:$A,$A160,'מקור-08'!$C:$C)</f>
        <v>7</v>
      </c>
      <c r="D160" s="7">
        <f>SUMIF('מקור-01'!$A:$A,$A160,'מקור-01'!$D:$D)+SUMIF('מקור-02'!$A:$A,$A160,'מקור-02'!$D:$D)+SUMIF('מקור-03'!$A:$A,$A160,'מקור-03'!$D:$D)+SUMIF('מקור-04'!$A:$A,$A160,'מקור-04'!$D:$D)+SUMIF('מקור-05'!$A:$A,$A160,'מקור-05'!$D:$D)+SUMIF('מקור-06'!$A:$A,$A160,'מקור-06'!$D:$D)+SUMIF('מקור-07'!$A:$A,$A160,'מקור-07'!$D:$D)+SUMIF('מקור-08'!$A:$A,$A160,'מקור-08'!$D:$D)</f>
        <v>8</v>
      </c>
      <c r="E160" s="8">
        <f>D160-C160</f>
        <v>1</v>
      </c>
      <c r="F160" s="9">
        <f>IF(C160=0,"מוצר חדש",(D160-C160)/C160)</f>
        <v>0.14285714285714285</v>
      </c>
    </row>
    <row r="161" hidden="1" ht="15" customHeight="1">
      <c r="A161" s="6" t="n">
        <v>74708</v>
      </c>
      <c r="B161" s="6" t="inlineStr">
        <is>
          <t>URI 21 L      1 חבק יד ארוך</t>
        </is>
      </c>
      <c r="C161" s="7">
        <f>SUMIF('מקור-01'!$A:$A,$A161,'מקור-01'!$C:$C)+SUMIF('מקור-02'!$A:$A,$A161,'מקור-02'!$C:$C)+SUMIF('מקור-03'!$A:$A,$A161,'מקור-03'!$C:$C)+SUMIF('מקור-04'!$A:$A,$A161,'מקור-04'!$C:$C)+SUMIF('מקור-05'!$A:$A,$A161,'מקור-05'!$C:$C)+SUMIF('מקור-06'!$A:$A,$A161,'מקור-06'!$C:$C)+SUMIF('מקור-07'!$A:$A,$A161,'מקור-07'!$C:$C)+SUMIF('מקור-08'!$A:$A,$A161,'מקור-08'!$C:$C)</f>
        <v>207</v>
      </c>
      <c r="D161" s="7">
        <f>SUMIF('מקור-01'!$A:$A,$A161,'מקור-01'!$D:$D)+SUMIF('מקור-02'!$A:$A,$A161,'מקור-02'!$D:$D)+SUMIF('מקור-03'!$A:$A,$A161,'מקור-03'!$D:$D)+SUMIF('מקור-04'!$A:$A,$A161,'מקור-04'!$D:$D)+SUMIF('מקור-05'!$A:$A,$A161,'מקור-05'!$D:$D)+SUMIF('מקור-06'!$A:$A,$A161,'מקור-06'!$D:$D)+SUMIF('מקור-07'!$A:$A,$A161,'מקור-07'!$D:$D)+SUMIF('מקור-08'!$A:$A,$A161,'מקור-08'!$D:$D)</f>
        <v>193</v>
      </c>
      <c r="E161" s="8">
        <f>D161-C161</f>
        <v>-14</v>
      </c>
      <c r="F161" s="9">
        <f>IF(C161=0,"מוצר חדש",(D161-C161)/C161)</f>
        <v>-0.06763285024154589</v>
      </c>
    </row>
    <row r="162" hidden="1" ht="15" customHeight="1">
      <c r="A162" s="6" t="n">
        <v>74709</v>
      </c>
      <c r="B162" s="6" t="inlineStr">
        <is>
          <t>URI 21 M      1 חבק יד ארוך</t>
        </is>
      </c>
      <c r="C162" s="7">
        <f>SUMIF('מקור-01'!$A:$A,$A162,'מקור-01'!$C:$C)+SUMIF('מקור-02'!$A:$A,$A162,'מקור-02'!$C:$C)+SUMIF('מקור-03'!$A:$A,$A162,'מקור-03'!$C:$C)+SUMIF('מקור-04'!$A:$A,$A162,'מקור-04'!$C:$C)+SUMIF('מקור-05'!$A:$A,$A162,'מקור-05'!$C:$C)+SUMIF('מקור-06'!$A:$A,$A162,'מקור-06'!$C:$C)+SUMIF('מקור-07'!$A:$A,$A162,'מקור-07'!$C:$C)+SUMIF('מקור-08'!$A:$A,$A162,'מקור-08'!$C:$C)</f>
        <v>274</v>
      </c>
      <c r="D162" s="7">
        <f>SUMIF('מקור-01'!$A:$A,$A162,'מקור-01'!$D:$D)+SUMIF('מקור-02'!$A:$A,$A162,'מקור-02'!$D:$D)+SUMIF('מקור-03'!$A:$A,$A162,'מקור-03'!$D:$D)+SUMIF('מקור-04'!$A:$A,$A162,'מקור-04'!$D:$D)+SUMIF('מקור-05'!$A:$A,$A162,'מקור-05'!$D:$D)+SUMIF('מקור-06'!$A:$A,$A162,'מקור-06'!$D:$D)+SUMIF('מקור-07'!$A:$A,$A162,'מקור-07'!$D:$D)+SUMIF('מקור-08'!$A:$A,$A162,'מקור-08'!$D:$D)</f>
        <v>252</v>
      </c>
      <c r="E162" s="8">
        <f>D162-C162</f>
        <v>-22</v>
      </c>
      <c r="F162" s="9">
        <f>IF(C162=0,"מוצר חדש",(D162-C162)/C162)</f>
        <v>-0.08029197080291971</v>
      </c>
    </row>
    <row r="163" hidden="1" ht="15" customHeight="1">
      <c r="A163" s="6" t="n">
        <v>74710</v>
      </c>
      <c r="B163" s="6" t="inlineStr">
        <is>
          <t>URI 21 XL     1 חבק יד ארוך</t>
        </is>
      </c>
      <c r="C163" s="7">
        <f>SUMIF('מקור-01'!$A:$A,$A163,'מקור-01'!$C:$C)+SUMIF('מקור-02'!$A:$A,$A163,'מקור-02'!$C:$C)+SUMIF('מקור-03'!$A:$A,$A163,'מקור-03'!$C:$C)+SUMIF('מקור-04'!$A:$A,$A163,'מקור-04'!$C:$C)+SUMIF('מקור-05'!$A:$A,$A163,'מקור-05'!$C:$C)+SUMIF('מקור-06'!$A:$A,$A163,'מקור-06'!$C:$C)+SUMIF('מקור-07'!$A:$A,$A163,'מקור-07'!$C:$C)+SUMIF('מקור-08'!$A:$A,$A163,'מקור-08'!$C:$C)</f>
        <v>85</v>
      </c>
      <c r="D163" s="7">
        <f>SUMIF('מקור-01'!$A:$A,$A163,'מקור-01'!$D:$D)+SUMIF('מקור-02'!$A:$A,$A163,'מקור-02'!$D:$D)+SUMIF('מקור-03'!$A:$A,$A163,'מקור-03'!$D:$D)+SUMIF('מקור-04'!$A:$A,$A163,'מקור-04'!$D:$D)+SUMIF('מקור-05'!$A:$A,$A163,'מקור-05'!$D:$D)+SUMIF('מקור-06'!$A:$A,$A163,'מקור-06'!$D:$D)+SUMIF('מקור-07'!$A:$A,$A163,'מקור-07'!$D:$D)+SUMIF('מקור-08'!$A:$A,$A163,'מקור-08'!$D:$D)</f>
        <v>86</v>
      </c>
      <c r="E163" s="8">
        <f>D163-C163</f>
        <v>1</v>
      </c>
      <c r="F163" s="9">
        <f>IF(C163=0,"מוצר חדש",(D163-C163)/C163)</f>
        <v>0.011764705882352941</v>
      </c>
    </row>
    <row r="164" hidden="1" ht="15" customHeight="1">
      <c r="A164" s="6" t="n">
        <v>74762</v>
      </c>
      <c r="B164" s="6" t="inlineStr">
        <is>
          <t>URI 34+ L      1 מגן לקרסול</t>
        </is>
      </c>
      <c r="C164" s="7">
        <f>SUMIF('מקור-01'!$A:$A,$A164,'מקור-01'!$C:$C)+SUMIF('מקור-02'!$A:$A,$A164,'מקור-02'!$C:$C)+SUMIF('מקור-03'!$A:$A,$A164,'מקור-03'!$C:$C)+SUMIF('מקור-04'!$A:$A,$A164,'מקור-04'!$C:$C)+SUMIF('מקור-05'!$A:$A,$A164,'מקור-05'!$C:$C)+SUMIF('מקור-06'!$A:$A,$A164,'מקור-06'!$C:$C)+SUMIF('מקור-07'!$A:$A,$A164,'מקור-07'!$C:$C)+SUMIF('מקור-08'!$A:$A,$A164,'מקור-08'!$C:$C)</f>
        <v>78</v>
      </c>
      <c r="D164" s="7">
        <f>SUMIF('מקור-01'!$A:$A,$A164,'מקור-01'!$D:$D)+SUMIF('מקור-02'!$A:$A,$A164,'מקור-02'!$D:$D)+SUMIF('מקור-03'!$A:$A,$A164,'מקור-03'!$D:$D)+SUMIF('מקור-04'!$A:$A,$A164,'מקור-04'!$D:$D)+SUMIF('מקור-05'!$A:$A,$A164,'מקור-05'!$D:$D)+SUMIF('מקור-06'!$A:$A,$A164,'מקור-06'!$D:$D)+SUMIF('מקור-07'!$A:$A,$A164,'מקור-07'!$D:$D)+SUMIF('מקור-08'!$A:$A,$A164,'מקור-08'!$D:$D)</f>
        <v>76</v>
      </c>
      <c r="E164" s="8">
        <f>D164-C164</f>
        <v>-2</v>
      </c>
      <c r="F164" s="9">
        <f>IF(C164=0,"מוצר חדש",(D164-C164)/C164)</f>
        <v>-0.02564102564102564</v>
      </c>
    </row>
    <row r="165" hidden="1" ht="15" customHeight="1">
      <c r="A165" s="6" t="n">
        <v>74763</v>
      </c>
      <c r="B165" s="6" t="inlineStr">
        <is>
          <t>URI 34+ M       1 מגן קרסול</t>
        </is>
      </c>
      <c r="C165" s="7">
        <f>SUMIF('מקור-01'!$A:$A,$A165,'מקור-01'!$C:$C)+SUMIF('מקור-02'!$A:$A,$A165,'מקור-02'!$C:$C)+SUMIF('מקור-03'!$A:$A,$A165,'מקור-03'!$C:$C)+SUMIF('מקור-04'!$A:$A,$A165,'מקור-04'!$C:$C)+SUMIF('מקור-05'!$A:$A,$A165,'מקור-05'!$C:$C)+SUMIF('מקור-06'!$A:$A,$A165,'מקור-06'!$C:$C)+SUMIF('מקור-07'!$A:$A,$A165,'מקור-07'!$C:$C)+SUMIF('מקור-08'!$A:$A,$A165,'מקור-08'!$C:$C)</f>
        <v>68</v>
      </c>
      <c r="D165" s="7">
        <f>SUMIF('מקור-01'!$A:$A,$A165,'מקור-01'!$D:$D)+SUMIF('מקור-02'!$A:$A,$A165,'מקור-02'!$D:$D)+SUMIF('מקור-03'!$A:$A,$A165,'מקור-03'!$D:$D)+SUMIF('מקור-04'!$A:$A,$A165,'מקור-04'!$D:$D)+SUMIF('מקור-05'!$A:$A,$A165,'מקור-05'!$D:$D)+SUMIF('מקור-06'!$A:$A,$A165,'מקור-06'!$D:$D)+SUMIF('מקור-07'!$A:$A,$A165,'מקור-07'!$D:$D)+SUMIF('מקור-08'!$A:$A,$A165,'מקור-08'!$D:$D)</f>
        <v>55</v>
      </c>
      <c r="E165" s="8">
        <f>D165-C165</f>
        <v>-13</v>
      </c>
      <c r="F165" s="9">
        <f>IF(C165=0,"מוצר חדש",(D165-C165)/C165)</f>
        <v>-0.19117647058823528</v>
      </c>
    </row>
    <row r="166" hidden="1" ht="15" customHeight="1">
      <c r="A166" s="6" t="n">
        <v>74764</v>
      </c>
      <c r="B166" s="6" t="inlineStr">
        <is>
          <t>URI 34+ XL      1 מגן קרסול</t>
        </is>
      </c>
      <c r="C166" s="7">
        <f>SUMIF('מקור-01'!$A:$A,$A166,'מקור-01'!$C:$C)+SUMIF('מקור-02'!$A:$A,$A166,'מקור-02'!$C:$C)+SUMIF('מקור-03'!$A:$A,$A166,'מקור-03'!$C:$C)+SUMIF('מקור-04'!$A:$A,$A166,'מקור-04'!$C:$C)+SUMIF('מקור-05'!$A:$A,$A166,'מקור-05'!$C:$C)+SUMIF('מקור-06'!$A:$A,$A166,'מקור-06'!$C:$C)+SUMIF('מקור-07'!$A:$A,$A166,'מקור-07'!$C:$C)+SUMIF('מקור-08'!$A:$A,$A166,'מקור-08'!$C:$C)</f>
        <v>46</v>
      </c>
      <c r="D166" s="7">
        <f>SUMIF('מקור-01'!$A:$A,$A166,'מקור-01'!$D:$D)+SUMIF('מקור-02'!$A:$A,$A166,'מקור-02'!$D:$D)+SUMIF('מקור-03'!$A:$A,$A166,'מקור-03'!$D:$D)+SUMIF('מקור-04'!$A:$A,$A166,'מקור-04'!$D:$D)+SUMIF('מקור-05'!$A:$A,$A166,'מקור-05'!$D:$D)+SUMIF('מקור-06'!$A:$A,$A166,'מקור-06'!$D:$D)+SUMIF('מקור-07'!$A:$A,$A166,'מקור-07'!$D:$D)+SUMIF('מקור-08'!$A:$A,$A166,'מקור-08'!$D:$D)</f>
        <v>39</v>
      </c>
      <c r="E166" s="8">
        <f>D166-C166</f>
        <v>-7</v>
      </c>
      <c r="F166" s="9">
        <f>IF(C166=0,"מוצר חדש",(D166-C166)/C166)</f>
        <v>-0.15217391304347827</v>
      </c>
    </row>
    <row r="167" hidden="1" ht="15" customHeight="1">
      <c r="A167" s="6" t="n">
        <v>74799</v>
      </c>
      <c r="B167" s="6" t="inlineStr">
        <is>
          <t>URI 45E L1 מגן ברך ארוך לבן</t>
        </is>
      </c>
      <c r="C167" s="7">
        <f>SUMIF('מקור-01'!$A:$A,$A167,'מקור-01'!$C:$C)+SUMIF('מקור-02'!$A:$A,$A167,'מקור-02'!$C:$C)+SUMIF('מקור-03'!$A:$A,$A167,'מקור-03'!$C:$C)+SUMIF('מקור-04'!$A:$A,$A167,'מקור-04'!$C:$C)+SUMIF('מקור-05'!$A:$A,$A167,'מקור-05'!$C:$C)+SUMIF('מקור-06'!$A:$A,$A167,'מקור-06'!$C:$C)+SUMIF('מקור-07'!$A:$A,$A167,'מקור-07'!$C:$C)+SUMIF('מקור-08'!$A:$A,$A167,'מקור-08'!$C:$C)</f>
        <v>244</v>
      </c>
      <c r="D167" s="7">
        <f>SUMIF('מקור-01'!$A:$A,$A167,'מקור-01'!$D:$D)+SUMIF('מקור-02'!$A:$A,$A167,'מקור-02'!$D:$D)+SUMIF('מקור-03'!$A:$A,$A167,'מקור-03'!$D:$D)+SUMIF('מקור-04'!$A:$A,$A167,'מקור-04'!$D:$D)+SUMIF('מקור-05'!$A:$A,$A167,'מקור-05'!$D:$D)+SUMIF('מקור-06'!$A:$A,$A167,'מקור-06'!$D:$D)+SUMIF('מקור-07'!$A:$A,$A167,'מקור-07'!$D:$D)+SUMIF('מקור-08'!$A:$A,$A167,'מקור-08'!$D:$D)</f>
        <v>237</v>
      </c>
      <c r="E167" s="8">
        <f>D167-C167</f>
        <v>-7</v>
      </c>
      <c r="F167" s="9">
        <f>IF(C167=0,"מוצר חדש",(D167-C167)/C167)</f>
        <v>-0.028688524590163935</v>
      </c>
    </row>
    <row r="168" hidden="1" ht="15" customHeight="1">
      <c r="A168" s="6" t="n">
        <v>74800</v>
      </c>
      <c r="B168" s="6" t="inlineStr">
        <is>
          <t>URI 45E M    1 מגן ברך ארוך</t>
        </is>
      </c>
      <c r="C168" s="7">
        <f>SUMIF('מקור-01'!$A:$A,$A168,'מקור-01'!$C:$C)+SUMIF('מקור-02'!$A:$A,$A168,'מקור-02'!$C:$C)+SUMIF('מקור-03'!$A:$A,$A168,'מקור-03'!$C:$C)+SUMIF('מקור-04'!$A:$A,$A168,'מקור-04'!$C:$C)+SUMIF('מקור-05'!$A:$A,$A168,'מקור-05'!$C:$C)+SUMIF('מקור-06'!$A:$A,$A168,'מקור-06'!$C:$C)+SUMIF('מקור-07'!$A:$A,$A168,'מקור-07'!$C:$C)+SUMIF('מקור-08'!$A:$A,$A168,'מקור-08'!$C:$C)</f>
        <v>222</v>
      </c>
      <c r="D168" s="7">
        <f>SUMIF('מקור-01'!$A:$A,$A168,'מקור-01'!$D:$D)+SUMIF('מקור-02'!$A:$A,$A168,'מקור-02'!$D:$D)+SUMIF('מקור-03'!$A:$A,$A168,'מקור-03'!$D:$D)+SUMIF('מקור-04'!$A:$A,$A168,'מקור-04'!$D:$D)+SUMIF('מקור-05'!$A:$A,$A168,'מקור-05'!$D:$D)+SUMIF('מקור-06'!$A:$A,$A168,'מקור-06'!$D:$D)+SUMIF('מקור-07'!$A:$A,$A168,'מקור-07'!$D:$D)+SUMIF('מקור-08'!$A:$A,$A168,'מקור-08'!$D:$D)</f>
        <v>192</v>
      </c>
      <c r="E168" s="8">
        <f>D168-C168</f>
        <v>-30</v>
      </c>
      <c r="F168" s="9">
        <f>IF(C168=0,"מוצר חדש",(D168-C168)/C168)</f>
        <v>-0.13513513513513514</v>
      </c>
    </row>
    <row r="169" hidden="1" ht="15" customHeight="1">
      <c r="A169" s="6" t="n">
        <v>74801</v>
      </c>
      <c r="B169" s="6" t="inlineStr">
        <is>
          <t>URI 45E XL   1 מגן ברך ארוך</t>
        </is>
      </c>
      <c r="C169" s="7">
        <f>SUMIF('מקור-01'!$A:$A,$A169,'מקור-01'!$C:$C)+SUMIF('מקור-02'!$A:$A,$A169,'מקור-02'!$C:$C)+SUMIF('מקור-03'!$A:$A,$A169,'מקור-03'!$C:$C)+SUMIF('מקור-04'!$A:$A,$A169,'מקור-04'!$C:$C)+SUMIF('מקור-05'!$A:$A,$A169,'מקור-05'!$C:$C)+SUMIF('מקור-06'!$A:$A,$A169,'מקור-06'!$C:$C)+SUMIF('מקור-07'!$A:$A,$A169,'מקור-07'!$C:$C)+SUMIF('מקור-08'!$A:$A,$A169,'מקור-08'!$C:$C)</f>
        <v>164</v>
      </c>
      <c r="D169" s="7">
        <f>SUMIF('מקור-01'!$A:$A,$A169,'מקור-01'!$D:$D)+SUMIF('מקור-02'!$A:$A,$A169,'מקור-02'!$D:$D)+SUMIF('מקור-03'!$A:$A,$A169,'מקור-03'!$D:$D)+SUMIF('מקור-04'!$A:$A,$A169,'מקור-04'!$D:$D)+SUMIF('מקור-05'!$A:$A,$A169,'מקור-05'!$D:$D)+SUMIF('מקור-06'!$A:$A,$A169,'מקור-06'!$D:$D)+SUMIF('מקור-07'!$A:$A,$A169,'מקור-07'!$D:$D)+SUMIF('מקור-08'!$A:$A,$A169,'מקור-08'!$D:$D)</f>
        <v>195</v>
      </c>
      <c r="E169" s="8">
        <f>D169-C169</f>
        <v>31</v>
      </c>
      <c r="F169" s="9">
        <f>IF(C169=0,"מוצר חדש",(D169-C169)/C169)</f>
        <v>0.18902439024390244</v>
      </c>
    </row>
    <row r="170" hidden="1" ht="15" customHeight="1">
      <c r="A170" s="6" t="n">
        <v>74805</v>
      </c>
      <c r="B170" s="6" t="inlineStr">
        <is>
          <t>URI 49 L          1 מגן ירך</t>
        </is>
      </c>
      <c r="C170" s="7">
        <f>SUMIF('מקור-01'!$A:$A,$A170,'מקור-01'!$C:$C)+SUMIF('מקור-02'!$A:$A,$A170,'מקור-02'!$C:$C)+SUMIF('מקור-03'!$A:$A,$A170,'מקור-03'!$C:$C)+SUMIF('מקור-04'!$A:$A,$A170,'מקור-04'!$C:$C)+SUMIF('מקור-05'!$A:$A,$A170,'מקור-05'!$C:$C)+SUMIF('מקור-06'!$A:$A,$A170,'מקור-06'!$C:$C)+SUMIF('מקור-07'!$A:$A,$A170,'מקור-07'!$C:$C)+SUMIF('מקור-08'!$A:$A,$A170,'מקור-08'!$C:$C)</f>
        <v>12</v>
      </c>
      <c r="D170" s="7">
        <f>SUMIF('מקור-01'!$A:$A,$A170,'מקור-01'!$D:$D)+SUMIF('מקור-02'!$A:$A,$A170,'מקור-02'!$D:$D)+SUMIF('מקור-03'!$A:$A,$A170,'מקור-03'!$D:$D)+SUMIF('מקור-04'!$A:$A,$A170,'מקור-04'!$D:$D)+SUMIF('מקור-05'!$A:$A,$A170,'מקור-05'!$D:$D)+SUMIF('מקור-06'!$A:$A,$A170,'מקור-06'!$D:$D)+SUMIF('מקור-07'!$A:$A,$A170,'מקור-07'!$D:$D)+SUMIF('מקור-08'!$A:$A,$A170,'מקור-08'!$D:$D)</f>
        <v>8</v>
      </c>
      <c r="E170" s="8">
        <f>D170-C170</f>
        <v>-4</v>
      </c>
      <c r="F170" s="9">
        <f>IF(C170=0,"מוצר חדש",(D170-C170)/C170)</f>
        <v>-0.3333333333333333</v>
      </c>
    </row>
    <row r="171" hidden="1" ht="15" customHeight="1">
      <c r="A171" s="6" t="n">
        <v>74806</v>
      </c>
      <c r="B171" s="6" t="inlineStr">
        <is>
          <t>URI 49 M          1 מגן ירך</t>
        </is>
      </c>
      <c r="C171" s="7">
        <f>SUMIF('מקור-01'!$A:$A,$A171,'מקור-01'!$C:$C)+SUMIF('מקור-02'!$A:$A,$A171,'מקור-02'!$C:$C)+SUMIF('מקור-03'!$A:$A,$A171,'מקור-03'!$C:$C)+SUMIF('מקור-04'!$A:$A,$A171,'מקור-04'!$C:$C)+SUMIF('מקור-05'!$A:$A,$A171,'מקור-05'!$C:$C)+SUMIF('מקור-06'!$A:$A,$A171,'מקור-06'!$C:$C)+SUMIF('מקור-07'!$A:$A,$A171,'מקור-07'!$C:$C)+SUMIF('מקור-08'!$A:$A,$A171,'מקור-08'!$C:$C)</f>
        <v>4</v>
      </c>
      <c r="D171" s="7">
        <f>SUMIF('מקור-01'!$A:$A,$A171,'מקור-01'!$D:$D)+SUMIF('מקור-02'!$A:$A,$A171,'מקור-02'!$D:$D)+SUMIF('מקור-03'!$A:$A,$A171,'מקור-03'!$D:$D)+SUMIF('מקור-04'!$A:$A,$A171,'מקור-04'!$D:$D)+SUMIF('מקור-05'!$A:$A,$A171,'מקור-05'!$D:$D)+SUMIF('מקור-06'!$A:$A,$A171,'מקור-06'!$D:$D)+SUMIF('מקור-07'!$A:$A,$A171,'מקור-07'!$D:$D)+SUMIF('מקור-08'!$A:$A,$A171,'מקור-08'!$D:$D)</f>
        <v>7</v>
      </c>
      <c r="E171" s="8">
        <f>D171-C171</f>
        <v>3</v>
      </c>
      <c r="F171" s="9">
        <f>IF(C171=0,"מוצר חדש",(D171-C171)/C171)</f>
        <v>0.75</v>
      </c>
    </row>
    <row r="172" hidden="1" ht="15" customHeight="1">
      <c r="A172" s="6" t="n">
        <v>74807</v>
      </c>
      <c r="B172" s="6" t="inlineStr">
        <is>
          <t>URI 49 XL         1 מגן ירך</t>
        </is>
      </c>
      <c r="C172" s="7">
        <f>SUMIF('מקור-01'!$A:$A,$A172,'מקור-01'!$C:$C)+SUMIF('מקור-02'!$A:$A,$A172,'מקור-02'!$C:$C)+SUMIF('מקור-03'!$A:$A,$A172,'מקור-03'!$C:$C)+SUMIF('מקור-04'!$A:$A,$A172,'מקור-04'!$C:$C)+SUMIF('מקור-05'!$A:$A,$A172,'מקור-05'!$C:$C)+SUMIF('מקור-06'!$A:$A,$A172,'מקור-06'!$C:$C)+SUMIF('מקור-07'!$A:$A,$A172,'מקור-07'!$C:$C)+SUMIF('מקור-08'!$A:$A,$A172,'מקור-08'!$C:$C)</f>
        <v>7</v>
      </c>
      <c r="D172" s="7">
        <f>SUMIF('מקור-01'!$A:$A,$A172,'מקור-01'!$D:$D)+SUMIF('מקור-02'!$A:$A,$A172,'מקור-02'!$D:$D)+SUMIF('מקור-03'!$A:$A,$A172,'מקור-03'!$D:$D)+SUMIF('מקור-04'!$A:$A,$A172,'מקור-04'!$D:$D)+SUMIF('מקור-05'!$A:$A,$A172,'מקור-05'!$D:$D)+SUMIF('מקור-06'!$A:$A,$A172,'מקור-06'!$D:$D)+SUMIF('מקור-07'!$A:$A,$A172,'מקור-07'!$D:$D)+SUMIF('מקור-08'!$A:$A,$A172,'מקור-08'!$D:$D)</f>
        <v>8</v>
      </c>
      <c r="E172" s="8">
        <f>D172-C172</f>
        <v>1</v>
      </c>
      <c r="F172" s="9">
        <f>IF(C172=0,"מוצר חדש",(D172-C172)/C172)</f>
        <v>0.14285714285714285</v>
      </c>
    </row>
    <row r="173" hidden="1" ht="15" customHeight="1">
      <c r="A173" s="6" t="n">
        <v>74820</v>
      </c>
      <c r="B173" s="6" t="inlineStr">
        <is>
          <t>URI 59R L.1 חגורת שבר לצד י</t>
        </is>
      </c>
      <c r="C173" s="7">
        <f>SUMIF('מקור-01'!$A:$A,$A173,'מקור-01'!$C:$C)+SUMIF('מקור-02'!$A:$A,$A173,'מקור-02'!$C:$C)+SUMIF('מקור-03'!$A:$A,$A173,'מקור-03'!$C:$C)+SUMIF('מקור-04'!$A:$A,$A173,'מקור-04'!$C:$C)+SUMIF('מקור-05'!$A:$A,$A173,'מקור-05'!$C:$C)+SUMIF('מקור-06'!$A:$A,$A173,'מקור-06'!$C:$C)+SUMIF('מקור-07'!$A:$A,$A173,'מקור-07'!$C:$C)+SUMIF('מקור-08'!$A:$A,$A173,'מקור-08'!$C:$C)</f>
        <v>7</v>
      </c>
      <c r="D173" s="7">
        <f>SUMIF('מקור-01'!$A:$A,$A173,'מקור-01'!$D:$D)+SUMIF('מקור-02'!$A:$A,$A173,'מקור-02'!$D:$D)+SUMIF('מקור-03'!$A:$A,$A173,'מקור-03'!$D:$D)+SUMIF('מקור-04'!$A:$A,$A173,'מקור-04'!$D:$D)+SUMIF('מקור-05'!$A:$A,$A173,'מקור-05'!$D:$D)+SUMIF('מקור-06'!$A:$A,$A173,'מקור-06'!$D:$D)+SUMIF('מקור-07'!$A:$A,$A173,'מקור-07'!$D:$D)+SUMIF('מקור-08'!$A:$A,$A173,'מקור-08'!$D:$D)</f>
        <v>4</v>
      </c>
      <c r="E173" s="8">
        <f>D173-C173</f>
        <v>-3</v>
      </c>
      <c r="F173" s="9">
        <f>IF(C173=0,"מוצר חדש",(D173-C173)/C173)</f>
        <v>-0.42857142857142855</v>
      </c>
    </row>
    <row r="174" hidden="1" ht="15" customHeight="1">
      <c r="A174" s="6" t="n">
        <v>74821</v>
      </c>
      <c r="B174" s="6" t="inlineStr">
        <is>
          <t>URI 59R  M.1 חגורת שבר צד י</t>
        </is>
      </c>
      <c r="C174" s="7">
        <f>SUMIF('מקור-01'!$A:$A,$A174,'מקור-01'!$C:$C)+SUMIF('מקור-02'!$A:$A,$A174,'מקור-02'!$C:$C)+SUMIF('מקור-03'!$A:$A,$A174,'מקור-03'!$C:$C)+SUMIF('מקור-04'!$A:$A,$A174,'מקור-04'!$C:$C)+SUMIF('מקור-05'!$A:$A,$A174,'מקור-05'!$C:$C)+SUMIF('מקור-06'!$A:$A,$A174,'מקור-06'!$C:$C)+SUMIF('מקור-07'!$A:$A,$A174,'מקור-07'!$C:$C)+SUMIF('מקור-08'!$A:$A,$A174,'מקור-08'!$C:$C)</f>
        <v>10</v>
      </c>
      <c r="D174" s="7">
        <f>SUMIF('מקור-01'!$A:$A,$A174,'מקור-01'!$D:$D)+SUMIF('מקור-02'!$A:$A,$A174,'מקור-02'!$D:$D)+SUMIF('מקור-03'!$A:$A,$A174,'מקור-03'!$D:$D)+SUMIF('מקור-04'!$A:$A,$A174,'מקור-04'!$D:$D)+SUMIF('מקור-05'!$A:$A,$A174,'מקור-05'!$D:$D)+SUMIF('מקור-06'!$A:$A,$A174,'מקור-06'!$D:$D)+SUMIF('מקור-07'!$A:$A,$A174,'מקור-07'!$D:$D)+SUMIF('מקור-08'!$A:$A,$A174,'מקור-08'!$D:$D)</f>
        <v>12</v>
      </c>
      <c r="E174" s="8">
        <f>D174-C174</f>
        <v>2</v>
      </c>
      <c r="F174" s="9">
        <f>IF(C174=0,"מוצר חדש",(D174-C174)/C174)</f>
        <v>0.2</v>
      </c>
    </row>
    <row r="175" hidden="1" ht="15" customHeight="1">
      <c r="A175" s="6" t="n">
        <v>74822</v>
      </c>
      <c r="B175" s="6" t="inlineStr">
        <is>
          <t>URI 59R  XL1 חגורת שבר צד י</t>
        </is>
      </c>
      <c r="C175" s="7">
        <f>SUMIF('מקור-01'!$A:$A,$A175,'מקור-01'!$C:$C)+SUMIF('מקור-02'!$A:$A,$A175,'מקור-02'!$C:$C)+SUMIF('מקור-03'!$A:$A,$A175,'מקור-03'!$C:$C)+SUMIF('מקור-04'!$A:$A,$A175,'מקור-04'!$C:$C)+SUMIF('מקור-05'!$A:$A,$A175,'מקור-05'!$C:$C)+SUMIF('מקור-06'!$A:$A,$A175,'מקור-06'!$C:$C)+SUMIF('מקור-07'!$A:$A,$A175,'מקור-07'!$C:$C)+SUMIF('מקור-08'!$A:$A,$A175,'מקור-08'!$C:$C)</f>
        <v>3</v>
      </c>
      <c r="D175" s="7">
        <f>SUMIF('מקור-01'!$A:$A,$A175,'מקור-01'!$D:$D)+SUMIF('מקור-02'!$A:$A,$A175,'מקור-02'!$D:$D)+SUMIF('מקור-03'!$A:$A,$A175,'מקור-03'!$D:$D)+SUMIF('מקור-04'!$A:$A,$A175,'מקור-04'!$D:$D)+SUMIF('מקור-05'!$A:$A,$A175,'מקור-05'!$D:$D)+SUMIF('מקור-06'!$A:$A,$A175,'מקור-06'!$D:$D)+SUMIF('מקור-07'!$A:$A,$A175,'מקור-07'!$D:$D)+SUMIF('מקור-08'!$A:$A,$A175,'מקור-08'!$D:$D)</f>
        <v>0</v>
      </c>
      <c r="E175" s="8">
        <f>D175-C175</f>
        <v>-3</v>
      </c>
      <c r="F175" s="9">
        <f>IF(C175=0,"מוצר חדש",(D175-C175)/C175)</f>
        <v>-1</v>
      </c>
    </row>
    <row r="176" hidden="1" ht="15" customHeight="1">
      <c r="A176" s="6" t="n">
        <v>74823</v>
      </c>
      <c r="B176" s="6" t="inlineStr">
        <is>
          <t>URI 59L L 1 חגורת שבר לשמאל</t>
        </is>
      </c>
      <c r="C176" s="7">
        <f>SUMIF('מקור-01'!$A:$A,$A176,'מקור-01'!$C:$C)+SUMIF('מקור-02'!$A:$A,$A176,'מקור-02'!$C:$C)+SUMIF('מקור-03'!$A:$A,$A176,'מקור-03'!$C:$C)+SUMIF('מקור-04'!$A:$A,$A176,'מקור-04'!$C:$C)+SUMIF('מקור-05'!$A:$A,$A176,'מקור-05'!$C:$C)+SUMIF('מקור-06'!$A:$A,$A176,'מקור-06'!$C:$C)+SUMIF('מקור-07'!$A:$A,$A176,'מקור-07'!$C:$C)+SUMIF('מקור-08'!$A:$A,$A176,'מקור-08'!$C:$C)</f>
        <v>3</v>
      </c>
      <c r="D176" s="7">
        <f>SUMIF('מקור-01'!$A:$A,$A176,'מקור-01'!$D:$D)+SUMIF('מקור-02'!$A:$A,$A176,'מקור-02'!$D:$D)+SUMIF('מקור-03'!$A:$A,$A176,'מקור-03'!$D:$D)+SUMIF('מקור-04'!$A:$A,$A176,'מקור-04'!$D:$D)+SUMIF('מקור-05'!$A:$A,$A176,'מקור-05'!$D:$D)+SUMIF('מקור-06'!$A:$A,$A176,'מקור-06'!$D:$D)+SUMIF('מקור-07'!$A:$A,$A176,'מקור-07'!$D:$D)+SUMIF('מקור-08'!$A:$A,$A176,'מקור-08'!$D:$D)</f>
        <v>9</v>
      </c>
      <c r="E176" s="8">
        <f>D176-C176</f>
        <v>6</v>
      </c>
      <c r="F176" s="9">
        <f>IF(C176=0,"מוצר חדש",(D176-C176)/C176)</f>
        <v>2</v>
      </c>
    </row>
    <row r="177" hidden="1" ht="15" customHeight="1">
      <c r="A177" s="6" t="n">
        <v>74824</v>
      </c>
      <c r="B177" s="6" t="inlineStr">
        <is>
          <t>URI 59 L M 1 חגורת שבר צד ש</t>
        </is>
      </c>
      <c r="C177" s="7">
        <f>SUMIF('מקור-01'!$A:$A,$A177,'מקור-01'!$C:$C)+SUMIF('מקור-02'!$A:$A,$A177,'מקור-02'!$C:$C)+SUMIF('מקור-03'!$A:$A,$A177,'מקור-03'!$C:$C)+SUMIF('מקור-04'!$A:$A,$A177,'מקור-04'!$C:$C)+SUMIF('מקור-05'!$A:$A,$A177,'מקור-05'!$C:$C)+SUMIF('מקור-06'!$A:$A,$A177,'מקור-06'!$C:$C)+SUMIF('מקור-07'!$A:$A,$A177,'מקור-07'!$C:$C)+SUMIF('מקור-08'!$A:$A,$A177,'מקור-08'!$C:$C)</f>
        <v>8</v>
      </c>
      <c r="D177" s="7">
        <f>SUMIF('מקור-01'!$A:$A,$A177,'מקור-01'!$D:$D)+SUMIF('מקור-02'!$A:$A,$A177,'מקור-02'!$D:$D)+SUMIF('מקור-03'!$A:$A,$A177,'מקור-03'!$D:$D)+SUMIF('מקור-04'!$A:$A,$A177,'מקור-04'!$D:$D)+SUMIF('מקור-05'!$A:$A,$A177,'מקור-05'!$D:$D)+SUMIF('מקור-06'!$A:$A,$A177,'מקור-06'!$D:$D)+SUMIF('מקור-07'!$A:$A,$A177,'מקור-07'!$D:$D)+SUMIF('מקור-08'!$A:$A,$A177,'מקור-08'!$D:$D)</f>
        <v>4</v>
      </c>
      <c r="E177" s="8">
        <f>D177-C177</f>
        <v>-4</v>
      </c>
      <c r="F177" s="9">
        <f>IF(C177=0,"מוצר חדש",(D177-C177)/C177)</f>
        <v>-0.5</v>
      </c>
    </row>
    <row r="178" hidden="1" ht="15" customHeight="1">
      <c r="A178" s="6" t="n">
        <v>74825</v>
      </c>
      <c r="B178" s="6" t="inlineStr">
        <is>
          <t>URI 59L XL 1 חגורת שבר צד ש</t>
        </is>
      </c>
      <c r="C178" s="7">
        <f>SUMIF('מקור-01'!$A:$A,$A178,'מקור-01'!$C:$C)+SUMIF('מקור-02'!$A:$A,$A178,'מקור-02'!$C:$C)+SUMIF('מקור-03'!$A:$A,$A178,'מקור-03'!$C:$C)+SUMIF('מקור-04'!$A:$A,$A178,'מקור-04'!$C:$C)+SUMIF('מקור-05'!$A:$A,$A178,'מקור-05'!$C:$C)+SUMIF('מקור-06'!$A:$A,$A178,'מקור-06'!$C:$C)+SUMIF('מקור-07'!$A:$A,$A178,'מקור-07'!$C:$C)+SUMIF('מקור-08'!$A:$A,$A178,'מקור-08'!$C:$C)</f>
        <v>1</v>
      </c>
      <c r="D178" s="7">
        <f>SUMIF('מקור-01'!$A:$A,$A178,'מקור-01'!$D:$D)+SUMIF('מקור-02'!$A:$A,$A178,'מקור-02'!$D:$D)+SUMIF('מקור-03'!$A:$A,$A178,'מקור-03'!$D:$D)+SUMIF('מקור-04'!$A:$A,$A178,'מקור-04'!$D:$D)+SUMIF('מקור-05'!$A:$A,$A178,'מקור-05'!$D:$D)+SUMIF('מקור-06'!$A:$A,$A178,'מקור-06'!$D:$D)+SUMIF('מקור-07'!$A:$A,$A178,'מקור-07'!$D:$D)+SUMIF('מקור-08'!$A:$A,$A178,'מקור-08'!$D:$D)</f>
        <v>1</v>
      </c>
      <c r="E178" s="8">
        <f>D178-C178</f>
        <v>0</v>
      </c>
      <c r="F178" s="9">
        <f>IF(C178=0,"מוצר חדש",(D178-C178)/C178)</f>
        <v>0</v>
      </c>
    </row>
    <row r="179" hidden="1" ht="15" customHeight="1">
      <c r="A179" s="6" t="n">
        <v>74826</v>
      </c>
      <c r="B179" s="6" t="inlineStr">
        <is>
          <t>URI 59D L1 חגורת שבר דו צדד</t>
        </is>
      </c>
      <c r="C179" s="7">
        <f>SUMIF('מקור-01'!$A:$A,$A179,'מקור-01'!$C:$C)+SUMIF('מקור-02'!$A:$A,$A179,'מקור-02'!$C:$C)+SUMIF('מקור-03'!$A:$A,$A179,'מקור-03'!$C:$C)+SUMIF('מקור-04'!$A:$A,$A179,'מקור-04'!$C:$C)+SUMIF('מקור-05'!$A:$A,$A179,'מקור-05'!$C:$C)+SUMIF('מקור-06'!$A:$A,$A179,'מקור-06'!$C:$C)+SUMIF('מקור-07'!$A:$A,$A179,'מקור-07'!$C:$C)+SUMIF('מקור-08'!$A:$A,$A179,'מקור-08'!$C:$C)</f>
        <v>3</v>
      </c>
      <c r="D179" s="7">
        <f>SUMIF('מקור-01'!$A:$A,$A179,'מקור-01'!$D:$D)+SUMIF('מקור-02'!$A:$A,$A179,'מקור-02'!$D:$D)+SUMIF('מקור-03'!$A:$A,$A179,'מקור-03'!$D:$D)+SUMIF('מקור-04'!$A:$A,$A179,'מקור-04'!$D:$D)+SUMIF('מקור-05'!$A:$A,$A179,'מקור-05'!$D:$D)+SUMIF('מקור-06'!$A:$A,$A179,'מקור-06'!$D:$D)+SUMIF('מקור-07'!$A:$A,$A179,'מקור-07'!$D:$D)+SUMIF('מקור-08'!$A:$A,$A179,'מקור-08'!$D:$D)</f>
        <v>1</v>
      </c>
      <c r="E179" s="8">
        <f>D179-C179</f>
        <v>-2</v>
      </c>
      <c r="F179" s="9">
        <f>IF(C179=0,"מוצר חדש",(D179-C179)/C179)</f>
        <v>-0.6666666666666666</v>
      </c>
    </row>
    <row r="180" hidden="1" ht="15" customHeight="1">
      <c r="A180" s="6" t="n">
        <v>74827</v>
      </c>
      <c r="B180" s="6" t="inlineStr">
        <is>
          <t>URI 59D M 1 חגורת שבר דו צד</t>
        </is>
      </c>
      <c r="C180" s="7">
        <f>SUMIF('מקור-01'!$A:$A,$A180,'מקור-01'!$C:$C)+SUMIF('מקור-02'!$A:$A,$A180,'מקור-02'!$C:$C)+SUMIF('מקור-03'!$A:$A,$A180,'מקור-03'!$C:$C)+SUMIF('מקור-04'!$A:$A,$A180,'מקור-04'!$C:$C)+SUMIF('מקור-05'!$A:$A,$A180,'מקור-05'!$C:$C)+SUMIF('מקור-06'!$A:$A,$A180,'מקור-06'!$C:$C)+SUMIF('מקור-07'!$A:$A,$A180,'מקור-07'!$C:$C)+SUMIF('מקור-08'!$A:$A,$A180,'מקור-08'!$C:$C)</f>
        <v>3</v>
      </c>
      <c r="D180" s="7">
        <f>SUMIF('מקור-01'!$A:$A,$A180,'מקור-01'!$D:$D)+SUMIF('מקור-02'!$A:$A,$A180,'מקור-02'!$D:$D)+SUMIF('מקור-03'!$A:$A,$A180,'מקור-03'!$D:$D)+SUMIF('מקור-04'!$A:$A,$A180,'מקור-04'!$D:$D)+SUMIF('מקור-05'!$A:$A,$A180,'מקור-05'!$D:$D)+SUMIF('מקור-06'!$A:$A,$A180,'מקור-06'!$D:$D)+SUMIF('מקור-07'!$A:$A,$A180,'מקור-07'!$D:$D)+SUMIF('מקור-08'!$A:$A,$A180,'מקור-08'!$D:$D)</f>
        <v>4</v>
      </c>
      <c r="E180" s="8">
        <f>D180-C180</f>
        <v>1</v>
      </c>
      <c r="F180" s="9">
        <f>IF(C180=0,"מוצר חדש",(D180-C180)/C180)</f>
        <v>0.3333333333333333</v>
      </c>
    </row>
    <row r="181" hidden="1" ht="15" customHeight="1">
      <c r="A181" s="6" t="n">
        <v>74828</v>
      </c>
      <c r="B181" s="6" t="inlineStr">
        <is>
          <t>URI 59D XL1 חגורת שבר דו צד</t>
        </is>
      </c>
      <c r="C181" s="7">
        <f>SUMIF('מקור-01'!$A:$A,$A181,'מקור-01'!$C:$C)+SUMIF('מקור-02'!$A:$A,$A181,'מקור-02'!$C:$C)+SUMIF('מקור-03'!$A:$A,$A181,'מקור-03'!$C:$C)+SUMIF('מקור-04'!$A:$A,$A181,'מקור-04'!$C:$C)+SUMIF('מקור-05'!$A:$A,$A181,'מקור-05'!$C:$C)+SUMIF('מקור-06'!$A:$A,$A181,'מקור-06'!$C:$C)+SUMIF('מקור-07'!$A:$A,$A181,'מקור-07'!$C:$C)+SUMIF('מקור-08'!$A:$A,$A181,'מקור-08'!$C:$C)</f>
        <v>0</v>
      </c>
      <c r="D181" s="7">
        <f>SUMIF('מקור-01'!$A:$A,$A181,'מקור-01'!$D:$D)+SUMIF('מקור-02'!$A:$A,$A181,'מקור-02'!$D:$D)+SUMIF('מקור-03'!$A:$A,$A181,'מקור-03'!$D:$D)+SUMIF('מקור-04'!$A:$A,$A181,'מקור-04'!$D:$D)+SUMIF('מקור-05'!$A:$A,$A181,'מקור-05'!$D:$D)+SUMIF('מקור-06'!$A:$A,$A181,'מקור-06'!$D:$D)+SUMIF('מקור-07'!$A:$A,$A181,'מקור-07'!$D:$D)+SUMIF('מקור-08'!$A:$A,$A181,'מקור-08'!$D:$D)</f>
        <v>5</v>
      </c>
      <c r="E181" s="8">
        <f>D181-C181</f>
        <v>5</v>
      </c>
      <c t="str" r="F181" s="9">
        <f>IF(C181=0,"מוצר חדש",(D181-C181)/C181)</f>
        <v>מוצר חדש</v>
      </c>
    </row>
    <row r="182" hidden="1" ht="15" customHeight="1">
      <c r="A182" s="6" t="n">
        <v>74842</v>
      </c>
      <c r="B182" s="6" t="inlineStr">
        <is>
          <t>URI 74-L-XL    1 רצועה לשבר</t>
        </is>
      </c>
      <c r="C182" s="7">
        <f>SUMIF('מקור-01'!$A:$A,$A182,'מקור-01'!$C:$C)+SUMIF('מקור-02'!$A:$A,$A182,'מקור-02'!$C:$C)+SUMIF('מקור-03'!$A:$A,$A182,'מקור-03'!$C:$C)+SUMIF('מקור-04'!$A:$A,$A182,'מקור-04'!$C:$C)+SUMIF('מקור-05'!$A:$A,$A182,'מקור-05'!$C:$C)+SUMIF('מקור-06'!$A:$A,$A182,'מקור-06'!$C:$C)+SUMIF('מקור-07'!$A:$A,$A182,'מקור-07'!$C:$C)+SUMIF('מקור-08'!$A:$A,$A182,'מקור-08'!$C:$C)</f>
        <v>4</v>
      </c>
      <c r="D182" s="7">
        <f>SUMIF('מקור-01'!$A:$A,$A182,'מקור-01'!$D:$D)+SUMIF('מקור-02'!$A:$A,$A182,'מקור-02'!$D:$D)+SUMIF('מקור-03'!$A:$A,$A182,'מקור-03'!$D:$D)+SUMIF('מקור-04'!$A:$A,$A182,'מקור-04'!$D:$D)+SUMIF('מקור-05'!$A:$A,$A182,'מקור-05'!$D:$D)+SUMIF('מקור-06'!$A:$A,$A182,'מקור-06'!$D:$D)+SUMIF('מקור-07'!$A:$A,$A182,'מקור-07'!$D:$D)+SUMIF('מקור-08'!$A:$A,$A182,'מקור-08'!$D:$D)</f>
        <v>3</v>
      </c>
      <c r="E182" s="8">
        <f>D182-C182</f>
        <v>-1</v>
      </c>
      <c r="F182" s="9">
        <f>IF(C182=0,"מוצר חדש",(D182-C182)/C182)</f>
        <v>-0.25</v>
      </c>
    </row>
    <row r="183" hidden="1" ht="15" customHeight="1">
      <c r="A183" s="6" t="n">
        <v>74846</v>
      </c>
      <c r="B183" s="6" t="inlineStr">
        <is>
          <t>URI 76 L        1 מיישר כתף</t>
        </is>
      </c>
      <c r="C183" s="7">
        <f>SUMIF('מקור-01'!$A:$A,$A183,'מקור-01'!$C:$C)+SUMIF('מקור-02'!$A:$A,$A183,'מקור-02'!$C:$C)+SUMIF('מקור-03'!$A:$A,$A183,'מקור-03'!$C:$C)+SUMIF('מקור-04'!$A:$A,$A183,'מקור-04'!$C:$C)+SUMIF('מקור-05'!$A:$A,$A183,'מקור-05'!$C:$C)+SUMIF('מקור-06'!$A:$A,$A183,'מקור-06'!$C:$C)+SUMIF('מקור-07'!$A:$A,$A183,'מקור-07'!$C:$C)+SUMIF('מקור-08'!$A:$A,$A183,'מקור-08'!$C:$C)</f>
        <v>14</v>
      </c>
      <c r="D183" s="7">
        <f>SUMIF('מקור-01'!$A:$A,$A183,'מקור-01'!$D:$D)+SUMIF('מקור-02'!$A:$A,$A183,'מקור-02'!$D:$D)+SUMIF('מקור-03'!$A:$A,$A183,'מקור-03'!$D:$D)+SUMIF('מקור-04'!$A:$A,$A183,'מקור-04'!$D:$D)+SUMIF('מקור-05'!$A:$A,$A183,'מקור-05'!$D:$D)+SUMIF('מקור-06'!$A:$A,$A183,'מקור-06'!$D:$D)+SUMIF('מקור-07'!$A:$A,$A183,'מקור-07'!$D:$D)+SUMIF('מקור-08'!$A:$A,$A183,'מקור-08'!$D:$D)</f>
        <v>20</v>
      </c>
      <c r="E183" s="8">
        <f>D183-C183</f>
        <v>6</v>
      </c>
      <c r="F183" s="9">
        <f>IF(C183=0,"מוצר חדש",(D183-C183)/C183)</f>
        <v>0.42857142857142855</v>
      </c>
    </row>
    <row r="184" hidden="1" ht="15" customHeight="1">
      <c r="A184" s="6" t="n">
        <v>74847</v>
      </c>
      <c r="B184" s="6" t="inlineStr">
        <is>
          <t>URI 76 M        1 מיישר כתף</t>
        </is>
      </c>
      <c r="C184" s="7">
        <f>SUMIF('מקור-01'!$A:$A,$A184,'מקור-01'!$C:$C)+SUMIF('מקור-02'!$A:$A,$A184,'מקור-02'!$C:$C)+SUMIF('מקור-03'!$A:$A,$A184,'מקור-03'!$C:$C)+SUMIF('מקור-04'!$A:$A,$A184,'מקור-04'!$C:$C)+SUMIF('מקור-05'!$A:$A,$A184,'מקור-05'!$C:$C)+SUMIF('מקור-06'!$A:$A,$A184,'מקור-06'!$C:$C)+SUMIF('מקור-07'!$A:$A,$A184,'מקור-07'!$C:$C)+SUMIF('מקור-08'!$A:$A,$A184,'מקור-08'!$C:$C)</f>
        <v>13</v>
      </c>
      <c r="D184" s="7">
        <f>SUMIF('מקור-01'!$A:$A,$A184,'מקור-01'!$D:$D)+SUMIF('מקור-02'!$A:$A,$A184,'מקור-02'!$D:$D)+SUMIF('מקור-03'!$A:$A,$A184,'מקור-03'!$D:$D)+SUMIF('מקור-04'!$A:$A,$A184,'מקור-04'!$D:$D)+SUMIF('מקור-05'!$A:$A,$A184,'מקור-05'!$D:$D)+SUMIF('מקור-06'!$A:$A,$A184,'מקור-06'!$D:$D)+SUMIF('מקור-07'!$A:$A,$A184,'מקור-07'!$D:$D)+SUMIF('מקור-08'!$A:$A,$A184,'מקור-08'!$D:$D)</f>
        <v>10</v>
      </c>
      <c r="E184" s="8">
        <f>D184-C184</f>
        <v>-3</v>
      </c>
      <c r="F184" s="9">
        <f>IF(C184=0,"מוצר חדש",(D184-C184)/C184)</f>
        <v>-0.23076923076923078</v>
      </c>
    </row>
    <row r="185" hidden="1" ht="15" customHeight="1">
      <c r="A185" s="6" t="n">
        <v>74848</v>
      </c>
      <c r="B185" s="6" t="inlineStr">
        <is>
          <t>URI 76 XL       1 מיישר כתף</t>
        </is>
      </c>
      <c r="C185" s="7">
        <f>SUMIF('מקור-01'!$A:$A,$A185,'מקור-01'!$C:$C)+SUMIF('מקור-02'!$A:$A,$A185,'מקור-02'!$C:$C)+SUMIF('מקור-03'!$A:$A,$A185,'מקור-03'!$C:$C)+SUMIF('מקור-04'!$A:$A,$A185,'מקור-04'!$C:$C)+SUMIF('מקור-05'!$A:$A,$A185,'מקור-05'!$C:$C)+SUMIF('מקור-06'!$A:$A,$A185,'מקור-06'!$C:$C)+SUMIF('מקור-07'!$A:$A,$A185,'מקור-07'!$C:$C)+SUMIF('מקור-08'!$A:$A,$A185,'מקור-08'!$C:$C)</f>
        <v>6</v>
      </c>
      <c r="D185" s="7">
        <f>SUMIF('מקור-01'!$A:$A,$A185,'מקור-01'!$D:$D)+SUMIF('מקור-02'!$A:$A,$A185,'מקור-02'!$D:$D)+SUMIF('מקור-03'!$A:$A,$A185,'מקור-03'!$D:$D)+SUMIF('מקור-04'!$A:$A,$A185,'מקור-04'!$D:$D)+SUMIF('מקור-05'!$A:$A,$A185,'מקור-05'!$D:$D)+SUMIF('מקור-06'!$A:$A,$A185,'מקור-06'!$D:$D)+SUMIF('מקור-07'!$A:$A,$A185,'מקור-07'!$D:$D)+SUMIF('מקור-08'!$A:$A,$A185,'מקור-08'!$D:$D)</f>
        <v>14</v>
      </c>
      <c r="E185" s="8">
        <f>D185-C185</f>
        <v>8</v>
      </c>
      <c r="F185" s="9">
        <f>IF(C185=0,"מוצר חדש",(D185-C185)/C185)</f>
        <v>1.3333333333333333</v>
      </c>
    </row>
    <row r="186" hidden="1" ht="15" customHeight="1">
      <c r="A186" s="6" t="n">
        <v>74918</v>
      </c>
      <c r="B186" s="6" t="inlineStr">
        <is>
          <t>URI T33 L       1 סד לקרסול</t>
        </is>
      </c>
      <c r="C186" s="7">
        <f>SUMIF('מקור-01'!$A:$A,$A186,'מקור-01'!$C:$C)+SUMIF('מקור-02'!$A:$A,$A186,'מקור-02'!$C:$C)+SUMIF('מקור-03'!$A:$A,$A186,'מקור-03'!$C:$C)+SUMIF('מקור-04'!$A:$A,$A186,'מקור-04'!$C:$C)+SUMIF('מקור-05'!$A:$A,$A186,'מקור-05'!$C:$C)+SUMIF('מקור-06'!$A:$A,$A186,'מקור-06'!$C:$C)+SUMIF('מקור-07'!$A:$A,$A186,'מקור-07'!$C:$C)+SUMIF('מקור-08'!$A:$A,$A186,'מקור-08'!$C:$C)</f>
        <v>7</v>
      </c>
      <c r="D186" s="7">
        <f>SUMIF('מקור-01'!$A:$A,$A186,'מקור-01'!$D:$D)+SUMIF('מקור-02'!$A:$A,$A186,'מקור-02'!$D:$D)+SUMIF('מקור-03'!$A:$A,$A186,'מקור-03'!$D:$D)+SUMIF('מקור-04'!$A:$A,$A186,'מקור-04'!$D:$D)+SUMIF('מקור-05'!$A:$A,$A186,'מקור-05'!$D:$D)+SUMIF('מקור-06'!$A:$A,$A186,'מקור-06'!$D:$D)+SUMIF('מקור-07'!$A:$A,$A186,'מקור-07'!$D:$D)+SUMIF('מקור-08'!$A:$A,$A186,'מקור-08'!$D:$D)</f>
        <v>5</v>
      </c>
      <c r="E186" s="8">
        <f>D186-C186</f>
        <v>-2</v>
      </c>
      <c r="F186" s="9">
        <f>IF(C186=0,"מוצר חדש",(D186-C186)/C186)</f>
        <v>-0.2857142857142857</v>
      </c>
    </row>
    <row r="187" hidden="1" ht="15" customHeight="1">
      <c r="A187" s="6" t="n">
        <v>74919</v>
      </c>
      <c r="B187" s="6" t="inlineStr">
        <is>
          <t>URI T33 M       1 סד לקרסול</t>
        </is>
      </c>
      <c r="C187" s="7">
        <f>SUMIF('מקור-01'!$A:$A,$A187,'מקור-01'!$C:$C)+SUMIF('מקור-02'!$A:$A,$A187,'מקור-02'!$C:$C)+SUMIF('מקור-03'!$A:$A,$A187,'מקור-03'!$C:$C)+SUMIF('מקור-04'!$A:$A,$A187,'מקור-04'!$C:$C)+SUMIF('מקור-05'!$A:$A,$A187,'מקור-05'!$C:$C)+SUMIF('מקור-06'!$A:$A,$A187,'מקור-06'!$C:$C)+SUMIF('מקור-07'!$A:$A,$A187,'מקור-07'!$C:$C)+SUMIF('מקור-08'!$A:$A,$A187,'מקור-08'!$C:$C)</f>
        <v>2</v>
      </c>
      <c r="D187" s="7">
        <f>SUMIF('מקור-01'!$A:$A,$A187,'מקור-01'!$D:$D)+SUMIF('מקור-02'!$A:$A,$A187,'מקור-02'!$D:$D)+SUMIF('מקור-03'!$A:$A,$A187,'מקור-03'!$D:$D)+SUMIF('מקור-04'!$A:$A,$A187,'מקור-04'!$D:$D)+SUMIF('מקור-05'!$A:$A,$A187,'מקור-05'!$D:$D)+SUMIF('מקור-06'!$A:$A,$A187,'מקור-06'!$D:$D)+SUMIF('מקור-07'!$A:$A,$A187,'מקור-07'!$D:$D)+SUMIF('מקור-08'!$A:$A,$A187,'מקור-08'!$D:$D)</f>
        <v>1</v>
      </c>
      <c r="E187" s="8">
        <f>D187-C187</f>
        <v>-1</v>
      </c>
      <c r="F187" s="9">
        <f>IF(C187=0,"מוצר חדש",(D187-C187)/C187)</f>
        <v>-0.5</v>
      </c>
    </row>
    <row r="188" hidden="1" ht="15" customHeight="1">
      <c r="A188" s="6" t="n">
        <v>74920</v>
      </c>
      <c r="B188" s="6" t="inlineStr">
        <is>
          <t>URI T33 XL      1 סד לקרסול</t>
        </is>
      </c>
      <c r="C188" s="7">
        <f>SUMIF('מקור-01'!$A:$A,$A188,'מקור-01'!$C:$C)+SUMIF('מקור-02'!$A:$A,$A188,'מקור-02'!$C:$C)+SUMIF('מקור-03'!$A:$A,$A188,'מקור-03'!$C:$C)+SUMIF('מקור-04'!$A:$A,$A188,'מקור-04'!$C:$C)+SUMIF('מקור-05'!$A:$A,$A188,'מקור-05'!$C:$C)+SUMIF('מקור-06'!$A:$A,$A188,'מקור-06'!$C:$C)+SUMIF('מקור-07'!$A:$A,$A188,'מקור-07'!$C:$C)+SUMIF('מקור-08'!$A:$A,$A188,'מקור-08'!$C:$C)</f>
        <v>6</v>
      </c>
      <c r="D188" s="7">
        <f>SUMIF('מקור-01'!$A:$A,$A188,'מקור-01'!$D:$D)+SUMIF('מקור-02'!$A:$A,$A188,'מקור-02'!$D:$D)+SUMIF('מקור-03'!$A:$A,$A188,'מקור-03'!$D:$D)+SUMIF('מקור-04'!$A:$A,$A188,'מקור-04'!$D:$D)+SUMIF('מקור-05'!$A:$A,$A188,'מקור-05'!$D:$D)+SUMIF('מקור-06'!$A:$A,$A188,'מקור-06'!$D:$D)+SUMIF('מקור-07'!$A:$A,$A188,'מקור-07'!$D:$D)+SUMIF('מקור-08'!$A:$A,$A188,'מקור-08'!$D:$D)</f>
        <v>7</v>
      </c>
      <c r="E188" s="8">
        <f>D188-C188</f>
        <v>1</v>
      </c>
      <c r="F188" s="9">
        <f>IF(C188=0,"מוצר חדש",(D188-C188)/C188)</f>
        <v>0.16666666666666666</v>
      </c>
    </row>
    <row r="189" hidden="1" ht="15" customHeight="1">
      <c r="A189" s="6" t="n">
        <v>74930</v>
      </c>
      <c r="B189" s="6" t="inlineStr">
        <is>
          <t>URI T39 L         1 מגן שוק</t>
        </is>
      </c>
      <c r="C189" s="7">
        <f>SUMIF('מקור-01'!$A:$A,$A189,'מקור-01'!$C:$C)+SUMIF('מקור-02'!$A:$A,$A189,'מקור-02'!$C:$C)+SUMIF('מקור-03'!$A:$A,$A189,'מקור-03'!$C:$C)+SUMIF('מקור-04'!$A:$A,$A189,'מקור-04'!$C:$C)+SUMIF('מקור-05'!$A:$A,$A189,'מקור-05'!$C:$C)+SUMIF('מקור-06'!$A:$A,$A189,'מקור-06'!$C:$C)+SUMIF('מקור-07'!$A:$A,$A189,'מקור-07'!$C:$C)+SUMIF('מקור-08'!$A:$A,$A189,'מקור-08'!$C:$C)</f>
        <v>0</v>
      </c>
      <c r="D189" s="7">
        <f>SUMIF('מקור-01'!$A:$A,$A189,'מקור-01'!$D:$D)+SUMIF('מקור-02'!$A:$A,$A189,'מקור-02'!$D:$D)+SUMIF('מקור-03'!$A:$A,$A189,'מקור-03'!$D:$D)+SUMIF('מקור-04'!$A:$A,$A189,'מקור-04'!$D:$D)+SUMIF('מקור-05'!$A:$A,$A189,'מקור-05'!$D:$D)+SUMIF('מקור-06'!$A:$A,$A189,'מקור-06'!$D:$D)+SUMIF('מקור-07'!$A:$A,$A189,'מקור-07'!$D:$D)+SUMIF('מקור-08'!$A:$A,$A189,'מקור-08'!$D:$D)</f>
        <v>2</v>
      </c>
      <c r="E189" s="8">
        <f>D189-C189</f>
        <v>2</v>
      </c>
      <c t="str" r="F189" s="9">
        <f>IF(C189=0,"מוצר חדש",(D189-C189)/C189)</f>
        <v>מוצר חדש</v>
      </c>
    </row>
    <row r="190" hidden="1" ht="15" customHeight="1">
      <c r="A190" s="6" t="n">
        <v>74931</v>
      </c>
      <c r="B190" s="6" t="inlineStr">
        <is>
          <t>URI T39 M         1 מגן שוק</t>
        </is>
      </c>
      <c r="C190" s="7">
        <f>SUMIF('מקור-01'!$A:$A,$A190,'מקור-01'!$C:$C)+SUMIF('מקור-02'!$A:$A,$A190,'מקור-02'!$C:$C)+SUMIF('מקור-03'!$A:$A,$A190,'מקור-03'!$C:$C)+SUMIF('מקור-04'!$A:$A,$A190,'מקור-04'!$C:$C)+SUMIF('מקור-05'!$A:$A,$A190,'מקור-05'!$C:$C)+SUMIF('מקור-06'!$A:$A,$A190,'מקור-06'!$C:$C)+SUMIF('מקור-07'!$A:$A,$A190,'מקור-07'!$C:$C)+SUMIF('מקור-08'!$A:$A,$A190,'מקור-08'!$C:$C)</f>
        <v>2</v>
      </c>
      <c r="D190" s="7">
        <f>SUMIF('מקור-01'!$A:$A,$A190,'מקור-01'!$D:$D)+SUMIF('מקור-02'!$A:$A,$A190,'מקור-02'!$D:$D)+SUMIF('מקור-03'!$A:$A,$A190,'מקור-03'!$D:$D)+SUMIF('מקור-04'!$A:$A,$A190,'מקור-04'!$D:$D)+SUMIF('מקור-05'!$A:$A,$A190,'מקור-05'!$D:$D)+SUMIF('מקור-06'!$A:$A,$A190,'מקור-06'!$D:$D)+SUMIF('מקור-07'!$A:$A,$A190,'מקור-07'!$D:$D)+SUMIF('מקור-08'!$A:$A,$A190,'מקור-08'!$D:$D)</f>
        <v>3</v>
      </c>
      <c r="E190" s="8">
        <f>D190-C190</f>
        <v>1</v>
      </c>
      <c r="F190" s="9">
        <f>IF(C190=0,"מוצר חדש",(D190-C190)/C190)</f>
        <v>0.5</v>
      </c>
    </row>
    <row r="191" hidden="1" ht="15" customHeight="1">
      <c r="A191" s="6" t="n">
        <v>74932</v>
      </c>
      <c r="B191" s="6" t="inlineStr">
        <is>
          <t>URI T39 XL        1 מגן שוק</t>
        </is>
      </c>
      <c r="C191" s="7">
        <f>SUMIF('מקור-01'!$A:$A,$A191,'מקור-01'!$C:$C)+SUMIF('מקור-02'!$A:$A,$A191,'מקור-02'!$C:$C)+SUMIF('מקור-03'!$A:$A,$A191,'מקור-03'!$C:$C)+SUMIF('מקור-04'!$A:$A,$A191,'מקור-04'!$C:$C)+SUMIF('מקור-05'!$A:$A,$A191,'מקור-05'!$C:$C)+SUMIF('מקור-06'!$A:$A,$A191,'מקור-06'!$C:$C)+SUMIF('מקור-07'!$A:$A,$A191,'מקור-07'!$C:$C)+SUMIF('מקור-08'!$A:$A,$A191,'מקור-08'!$C:$C)</f>
        <v>1</v>
      </c>
      <c r="D191" s="7">
        <f>SUMIF('מקור-01'!$A:$A,$A191,'מקור-01'!$D:$D)+SUMIF('מקור-02'!$A:$A,$A191,'מקור-02'!$D:$D)+SUMIF('מקור-03'!$A:$A,$A191,'מקור-03'!$D:$D)+SUMIF('מקור-04'!$A:$A,$A191,'מקור-04'!$D:$D)+SUMIF('מקור-05'!$A:$A,$A191,'מקור-05'!$D:$D)+SUMIF('מקור-06'!$A:$A,$A191,'מקור-06'!$D:$D)+SUMIF('מקור-07'!$A:$A,$A191,'מקור-07'!$D:$D)+SUMIF('מקור-08'!$A:$A,$A191,'מקור-08'!$D:$D)</f>
        <v>7</v>
      </c>
      <c r="E191" s="8">
        <f>D191-C191</f>
        <v>6</v>
      </c>
      <c r="F191" s="9">
        <f>IF(C191=0,"מוצר חדש",(D191-C191)/C191)</f>
        <v>6</v>
      </c>
    </row>
    <row r="192" hidden="1" ht="15" customHeight="1">
      <c r="A192" s="6" t="n">
        <v>74987</v>
      </c>
      <c r="B192" s="6" t="inlineStr">
        <is>
          <t>URI T78 L            1 תומך</t>
        </is>
      </c>
      <c r="C192" s="7">
        <f>SUMIF('מקור-01'!$A:$A,$A192,'מקור-01'!$C:$C)+SUMIF('מקור-02'!$A:$A,$A192,'מקור-02'!$C:$C)+SUMIF('מקור-03'!$A:$A,$A192,'מקור-03'!$C:$C)+SUMIF('מקור-04'!$A:$A,$A192,'מקור-04'!$C:$C)+SUMIF('מקור-05'!$A:$A,$A192,'מקור-05'!$C:$C)+SUMIF('מקור-06'!$A:$A,$A192,'מקור-06'!$C:$C)+SUMIF('מקור-07'!$A:$A,$A192,'מקור-07'!$C:$C)+SUMIF('מקור-08'!$A:$A,$A192,'מקור-08'!$C:$C)</f>
        <v>4</v>
      </c>
      <c r="D192" s="7">
        <f>SUMIF('מקור-01'!$A:$A,$A192,'מקור-01'!$D:$D)+SUMIF('מקור-02'!$A:$A,$A192,'מקור-02'!$D:$D)+SUMIF('מקור-03'!$A:$A,$A192,'מקור-03'!$D:$D)+SUMIF('מקור-04'!$A:$A,$A192,'מקור-04'!$D:$D)+SUMIF('מקור-05'!$A:$A,$A192,'מקור-05'!$D:$D)+SUMIF('מקור-06'!$A:$A,$A192,'מקור-06'!$D:$D)+SUMIF('מקור-07'!$A:$A,$A192,'מקור-07'!$D:$D)+SUMIF('מקור-08'!$A:$A,$A192,'מקור-08'!$D:$D)</f>
        <v>9</v>
      </c>
      <c r="E192" s="8">
        <f>D192-C192</f>
        <v>5</v>
      </c>
      <c r="F192" s="9">
        <f>IF(C192=0,"מוצר חדש",(D192-C192)/C192)</f>
        <v>1.25</v>
      </c>
    </row>
    <row r="193" hidden="1" ht="15" customHeight="1">
      <c r="A193" s="6" t="n">
        <v>74988</v>
      </c>
      <c r="B193" s="6" t="inlineStr">
        <is>
          <t>URI T78 M            1 תומך</t>
        </is>
      </c>
      <c r="C193" s="7">
        <f>SUMIF('מקור-01'!$A:$A,$A193,'מקור-01'!$C:$C)+SUMIF('מקור-02'!$A:$A,$A193,'מקור-02'!$C:$C)+SUMIF('מקור-03'!$A:$A,$A193,'מקור-03'!$C:$C)+SUMIF('מקור-04'!$A:$A,$A193,'מקור-04'!$C:$C)+SUMIF('מקור-05'!$A:$A,$A193,'מקור-05'!$C:$C)+SUMIF('מקור-06'!$A:$A,$A193,'מקור-06'!$C:$C)+SUMIF('מקור-07'!$A:$A,$A193,'מקור-07'!$C:$C)+SUMIF('מקור-08'!$A:$A,$A193,'מקור-08'!$C:$C)</f>
        <v>3</v>
      </c>
      <c r="D193" s="7">
        <f>SUMIF('מקור-01'!$A:$A,$A193,'מקור-01'!$D:$D)+SUMIF('מקור-02'!$A:$A,$A193,'מקור-02'!$D:$D)+SUMIF('מקור-03'!$A:$A,$A193,'מקור-03'!$D:$D)+SUMIF('מקור-04'!$A:$A,$A193,'מקור-04'!$D:$D)+SUMIF('מקור-05'!$A:$A,$A193,'מקור-05'!$D:$D)+SUMIF('מקור-06'!$A:$A,$A193,'מקור-06'!$D:$D)+SUMIF('מקור-07'!$A:$A,$A193,'מקור-07'!$D:$D)+SUMIF('מקור-08'!$A:$A,$A193,'מקור-08'!$D:$D)</f>
        <v>9</v>
      </c>
      <c r="E193" s="8">
        <f>D193-C193</f>
        <v>6</v>
      </c>
      <c r="F193" s="9">
        <f>IF(C193=0,"מוצר חדש",(D193-C193)/C193)</f>
        <v>2</v>
      </c>
    </row>
    <row r="194" hidden="1" ht="15" customHeight="1">
      <c r="A194" s="6" t="n">
        <v>74989</v>
      </c>
      <c r="B194" s="6" t="inlineStr">
        <is>
          <t>URI T78 XL           1 תומך</t>
        </is>
      </c>
      <c r="C194" s="7">
        <f>SUMIF('מקור-01'!$A:$A,$A194,'מקור-01'!$C:$C)+SUMIF('מקור-02'!$A:$A,$A194,'מקור-02'!$C:$C)+SUMIF('מקור-03'!$A:$A,$A194,'מקור-03'!$C:$C)+SUMIF('מקור-04'!$A:$A,$A194,'מקור-04'!$C:$C)+SUMIF('מקור-05'!$A:$A,$A194,'מקור-05'!$C:$C)+SUMIF('מקור-06'!$A:$A,$A194,'מקור-06'!$C:$C)+SUMIF('מקור-07'!$A:$A,$A194,'מקור-07'!$C:$C)+SUMIF('מקור-08'!$A:$A,$A194,'מקור-08'!$C:$C)</f>
        <v>4</v>
      </c>
      <c r="D194" s="7">
        <f>SUMIF('מקור-01'!$A:$A,$A194,'מקור-01'!$D:$D)+SUMIF('מקור-02'!$A:$A,$A194,'מקור-02'!$D:$D)+SUMIF('מקור-03'!$A:$A,$A194,'מקור-03'!$D:$D)+SUMIF('מקור-04'!$A:$A,$A194,'מקור-04'!$D:$D)+SUMIF('מקור-05'!$A:$A,$A194,'מקור-05'!$D:$D)+SUMIF('מקור-06'!$A:$A,$A194,'מקור-06'!$D:$D)+SUMIF('מקור-07'!$A:$A,$A194,'מקור-07'!$D:$D)+SUMIF('מקור-08'!$A:$A,$A194,'מקור-08'!$D:$D)</f>
        <v>3</v>
      </c>
      <c r="E194" s="8">
        <f>D194-C194</f>
        <v>-1</v>
      </c>
      <c r="F194" s="9">
        <f>IF(C194=0,"מוצר חדש",(D194-C194)/C194)</f>
        <v>-0.25</v>
      </c>
    </row>
    <row r="195" hidden="1" ht="15" customHeight="1">
      <c r="A195" s="6" t="n">
        <v>75762</v>
      </c>
      <c r="B195" s="6" t="inlineStr">
        <is>
          <t>URI 16 L-XL   1 חגורת הריון</t>
        </is>
      </c>
      <c r="C195" s="7">
        <f>SUMIF('מקור-01'!$A:$A,$A195,'מקור-01'!$C:$C)+SUMIF('מקור-02'!$A:$A,$A195,'מקור-02'!$C:$C)+SUMIF('מקור-03'!$A:$A,$A195,'מקור-03'!$C:$C)+SUMIF('מקור-04'!$A:$A,$A195,'מקור-04'!$C:$C)+SUMIF('מקור-05'!$A:$A,$A195,'מקור-05'!$C:$C)+SUMIF('מקור-06'!$A:$A,$A195,'מקור-06'!$C:$C)+SUMIF('מקור-07'!$A:$A,$A195,'מקור-07'!$C:$C)+SUMIF('מקור-08'!$A:$A,$A195,'מקור-08'!$C:$C)</f>
        <v>38</v>
      </c>
      <c r="D195" s="7">
        <f>SUMIF('מקור-01'!$A:$A,$A195,'מקור-01'!$D:$D)+SUMIF('מקור-02'!$A:$A,$A195,'מקור-02'!$D:$D)+SUMIF('מקור-03'!$A:$A,$A195,'מקור-03'!$D:$D)+SUMIF('מקור-04'!$A:$A,$A195,'מקור-04'!$D:$D)+SUMIF('מקור-05'!$A:$A,$A195,'מקור-05'!$D:$D)+SUMIF('מקור-06'!$A:$A,$A195,'מקור-06'!$D:$D)+SUMIF('מקור-07'!$A:$A,$A195,'מקור-07'!$D:$D)+SUMIF('מקור-08'!$A:$A,$A195,'מקור-08'!$D:$D)</f>
        <v>54</v>
      </c>
      <c r="E195" s="8">
        <f>D195-C195</f>
        <v>16</v>
      </c>
      <c r="F195" s="9">
        <f>IF(C195=0,"מוצר חדש",(D195-C195)/C195)</f>
        <v>0.42105263157894735</v>
      </c>
    </row>
    <row r="196" hidden="1" ht="15" customHeight="1">
      <c r="A196" s="6" t="n">
        <v>75763</v>
      </c>
      <c r="B196" s="6" t="inlineStr">
        <is>
          <t>URI 16 S-M    1 חגורת הריון</t>
        </is>
      </c>
      <c r="C196" s="7">
        <f>SUMIF('מקור-01'!$A:$A,$A196,'מקור-01'!$C:$C)+SUMIF('מקור-02'!$A:$A,$A196,'מקור-02'!$C:$C)+SUMIF('מקור-03'!$A:$A,$A196,'מקור-03'!$C:$C)+SUMIF('מקור-04'!$A:$A,$A196,'מקור-04'!$C:$C)+SUMIF('מקור-05'!$A:$A,$A196,'מקור-05'!$C:$C)+SUMIF('מקור-06'!$A:$A,$A196,'מקור-06'!$C:$C)+SUMIF('מקור-07'!$A:$A,$A196,'מקור-07'!$C:$C)+SUMIF('מקור-08'!$A:$A,$A196,'מקור-08'!$C:$C)</f>
        <v>27</v>
      </c>
      <c r="D196" s="7">
        <f>SUMIF('מקור-01'!$A:$A,$A196,'מקור-01'!$D:$D)+SUMIF('מקור-02'!$A:$A,$A196,'מקור-02'!$D:$D)+SUMIF('מקור-03'!$A:$A,$A196,'מקור-03'!$D:$D)+SUMIF('מקור-04'!$A:$A,$A196,'מקור-04'!$D:$D)+SUMIF('מקור-05'!$A:$A,$A196,'מקור-05'!$D:$D)+SUMIF('מקור-06'!$A:$A,$A196,'מקור-06'!$D:$D)+SUMIF('מקור-07'!$A:$A,$A196,'מקור-07'!$D:$D)+SUMIF('מקור-08'!$A:$A,$A196,'מקור-08'!$D:$D)</f>
        <v>38</v>
      </c>
      <c r="E196" s="8">
        <f>D196-C196</f>
        <v>11</v>
      </c>
      <c r="F196" s="9">
        <f>IF(C196=0,"מוצר חדש",(D196-C196)/C196)</f>
        <v>0.4074074074074074</v>
      </c>
    </row>
    <row r="197" hidden="1" ht="15" customHeight="1">
      <c r="A197" s="6" t="n">
        <v>75764</v>
      </c>
      <c r="B197" s="6" t="inlineStr">
        <is>
          <t>URI 16 XXL    1 חגורת הריון</t>
        </is>
      </c>
      <c r="C197" s="7">
        <f>SUMIF('מקור-01'!$A:$A,$A197,'מקור-01'!$C:$C)+SUMIF('מקור-02'!$A:$A,$A197,'מקור-02'!$C:$C)+SUMIF('מקור-03'!$A:$A,$A197,'מקור-03'!$C:$C)+SUMIF('מקור-04'!$A:$A,$A197,'מקור-04'!$C:$C)+SUMIF('מקור-05'!$A:$A,$A197,'מקור-05'!$C:$C)+SUMIF('מקור-06'!$A:$A,$A197,'מקור-06'!$C:$C)+SUMIF('מקור-07'!$A:$A,$A197,'מקור-07'!$C:$C)+SUMIF('מקור-08'!$A:$A,$A197,'מקור-08'!$C:$C)</f>
        <v>15</v>
      </c>
      <c r="D197" s="7">
        <f>SUMIF('מקור-01'!$A:$A,$A197,'מקור-01'!$D:$D)+SUMIF('מקור-02'!$A:$A,$A197,'מקור-02'!$D:$D)+SUMIF('מקור-03'!$A:$A,$A197,'מקור-03'!$D:$D)+SUMIF('מקור-04'!$A:$A,$A197,'מקור-04'!$D:$D)+SUMIF('מקור-05'!$A:$A,$A197,'מקור-05'!$D:$D)+SUMIF('מקור-06'!$A:$A,$A197,'מקור-06'!$D:$D)+SUMIF('מקור-07'!$A:$A,$A197,'מקור-07'!$D:$D)+SUMIF('מקור-08'!$A:$A,$A197,'מקור-08'!$D:$D)</f>
        <v>21</v>
      </c>
      <c r="E197" s="8">
        <f>D197-C197</f>
        <v>6</v>
      </c>
      <c r="F197" s="9">
        <f>IF(C197=0,"מוצר חדש",(D197-C197)/C197)</f>
        <v>0.4</v>
      </c>
    </row>
    <row r="198" hidden="1" ht="15" customHeight="1">
      <c r="A198" s="6" t="n">
        <v>76244</v>
      </c>
      <c r="B198" s="6" t="inlineStr">
        <is>
          <t>URI 078C L   '1 חגורת גב בז</t>
        </is>
      </c>
      <c r="C198" s="7">
        <f>SUMIF('מקור-01'!$A:$A,$A198,'מקור-01'!$C:$C)+SUMIF('מקור-02'!$A:$A,$A198,'מקור-02'!$C:$C)+SUMIF('מקור-03'!$A:$A,$A198,'מקור-03'!$C:$C)+SUMIF('מקור-04'!$A:$A,$A198,'מקור-04'!$C:$C)+SUMIF('מקור-05'!$A:$A,$A198,'מקור-05'!$C:$C)+SUMIF('מקור-06'!$A:$A,$A198,'מקור-06'!$C:$C)+SUMIF('מקור-07'!$A:$A,$A198,'מקור-07'!$C:$C)+SUMIF('מקור-08'!$A:$A,$A198,'מקור-08'!$C:$C)</f>
        <v>2</v>
      </c>
      <c r="D198" s="7">
        <f>SUMIF('מקור-01'!$A:$A,$A198,'מקור-01'!$D:$D)+SUMIF('מקור-02'!$A:$A,$A198,'מקור-02'!$D:$D)+SUMIF('מקור-03'!$A:$A,$A198,'מקור-03'!$D:$D)+SUMIF('מקור-04'!$A:$A,$A198,'מקור-04'!$D:$D)+SUMIF('מקור-05'!$A:$A,$A198,'מקור-05'!$D:$D)+SUMIF('מקור-06'!$A:$A,$A198,'מקור-06'!$D:$D)+SUMIF('מקור-07'!$A:$A,$A198,'מקור-07'!$D:$D)+SUMIF('מקור-08'!$A:$A,$A198,'מקור-08'!$D:$D)</f>
        <v>1</v>
      </c>
      <c r="E198" s="8">
        <f>D198-C198</f>
        <v>-1</v>
      </c>
      <c r="F198" s="9">
        <f>IF(C198=0,"מוצר חדש",(D198-C198)/C198)</f>
        <v>-0.5</v>
      </c>
    </row>
    <row r="199" hidden="1" ht="15" customHeight="1">
      <c r="A199" s="6" t="n">
        <v>76247</v>
      </c>
      <c r="B199" s="6" t="inlineStr">
        <is>
          <t>URI 078C XL  '1 חגורת גב בז</t>
        </is>
      </c>
      <c r="C199" s="7">
        <f>SUMIF('מקור-01'!$A:$A,$A199,'מקור-01'!$C:$C)+SUMIF('מקור-02'!$A:$A,$A199,'מקור-02'!$C:$C)+SUMIF('מקור-03'!$A:$A,$A199,'מקור-03'!$C:$C)+SUMIF('מקור-04'!$A:$A,$A199,'מקור-04'!$C:$C)+SUMIF('מקור-05'!$A:$A,$A199,'מקור-05'!$C:$C)+SUMIF('מקור-06'!$A:$A,$A199,'מקור-06'!$C:$C)+SUMIF('מקור-07'!$A:$A,$A199,'מקור-07'!$C:$C)+SUMIF('מקור-08'!$A:$A,$A199,'מקור-08'!$C:$C)</f>
        <v>1</v>
      </c>
      <c r="D199" s="7">
        <f>SUMIF('מקור-01'!$A:$A,$A199,'מקור-01'!$D:$D)+SUMIF('מקור-02'!$A:$A,$A199,'מקור-02'!$D:$D)+SUMIF('מקור-03'!$A:$A,$A199,'מקור-03'!$D:$D)+SUMIF('מקור-04'!$A:$A,$A199,'מקור-04'!$D:$D)+SUMIF('מקור-05'!$A:$A,$A199,'מקור-05'!$D:$D)+SUMIF('מקור-06'!$A:$A,$A199,'מקור-06'!$D:$D)+SUMIF('מקור-07'!$A:$A,$A199,'מקור-07'!$D:$D)+SUMIF('מקור-08'!$A:$A,$A199,'מקור-08'!$D:$D)</f>
        <v>1</v>
      </c>
      <c r="E199" s="8">
        <f>D199-C199</f>
        <v>0</v>
      </c>
      <c r="F199" s="9">
        <f>IF(C199=0,"מוצר חדש",(D199-C199)/C199)</f>
        <v>0</v>
      </c>
    </row>
    <row r="200" hidden="1" ht="15" customHeight="1">
      <c r="A200" s="6" t="n">
        <v>76248</v>
      </c>
      <c r="B200" s="6" t="inlineStr">
        <is>
          <t>URI 078C XXL '1 חגורת גב בז</t>
        </is>
      </c>
      <c r="C200" s="7">
        <f>SUMIF('מקור-01'!$A:$A,$A200,'מקור-01'!$C:$C)+SUMIF('מקור-02'!$A:$A,$A200,'מקור-02'!$C:$C)+SUMIF('מקור-03'!$A:$A,$A200,'מקור-03'!$C:$C)+SUMIF('מקור-04'!$A:$A,$A200,'מקור-04'!$C:$C)+SUMIF('מקור-05'!$A:$A,$A200,'מקור-05'!$C:$C)+SUMIF('מקור-06'!$A:$A,$A200,'מקור-06'!$C:$C)+SUMIF('מקור-07'!$A:$A,$A200,'מקור-07'!$C:$C)+SUMIF('מקור-08'!$A:$A,$A200,'מקור-08'!$C:$C)</f>
        <v>1</v>
      </c>
      <c r="D200" s="7">
        <f>SUMIF('מקור-01'!$A:$A,$A200,'מקור-01'!$D:$D)+SUMIF('מקור-02'!$A:$A,$A200,'מקור-02'!$D:$D)+SUMIF('מקור-03'!$A:$A,$A200,'מקור-03'!$D:$D)+SUMIF('מקור-04'!$A:$A,$A200,'מקור-04'!$D:$D)+SUMIF('מקור-05'!$A:$A,$A200,'מקור-05'!$D:$D)+SUMIF('מקור-06'!$A:$A,$A200,'מקור-06'!$D:$D)+SUMIF('מקור-07'!$A:$A,$A200,'מקור-07'!$D:$D)+SUMIF('מקור-08'!$A:$A,$A200,'מקור-08'!$D:$D)</f>
        <v>0</v>
      </c>
      <c r="E200" s="8">
        <f>D200-C200</f>
        <v>-1</v>
      </c>
      <c r="F200" s="9">
        <f>IF(C200=0,"מוצר חדש",(D200-C200)/C200)</f>
        <v>-1</v>
      </c>
    </row>
    <row r="201" hidden="1" ht="15" customHeight="1">
      <c r="A201" s="6" t="n">
        <v>76452</v>
      </c>
      <c r="B201" s="6" t="inlineStr">
        <is>
          <t xml:space="preserve">                             1 מ.בוניון+מפריד אצבע</t>
        </is>
      </c>
      <c r="C201" s="7">
        <f>SUMIF('מקור-01'!$A:$A,$A201,'מקור-01'!$C:$C)+SUMIF('מקור-02'!$A:$A,$A201,'מקור-02'!$C:$C)+SUMIF('מקור-03'!$A:$A,$A201,'מקור-03'!$C:$C)+SUMIF('מקור-04'!$A:$A,$A201,'מקור-04'!$C:$C)+SUMIF('מקור-05'!$A:$A,$A201,'מקור-05'!$C:$C)+SUMIF('מקור-06'!$A:$A,$A201,'מקור-06'!$C:$C)+SUMIF('מקור-07'!$A:$A,$A201,'מקור-07'!$C:$C)+SUMIF('מקור-08'!$A:$A,$A201,'מקור-08'!$C:$C)</f>
        <v>114</v>
      </c>
      <c r="D201" s="7">
        <f>SUMIF('מקור-01'!$A:$A,$A201,'מקור-01'!$D:$D)+SUMIF('מקור-02'!$A:$A,$A201,'מקור-02'!$D:$D)+SUMIF('מקור-03'!$A:$A,$A201,'מקור-03'!$D:$D)+SUMIF('מקור-04'!$A:$A,$A201,'מקור-04'!$D:$D)+SUMIF('מקור-05'!$A:$A,$A201,'מקור-05'!$D:$D)+SUMIF('מקור-06'!$A:$A,$A201,'מקור-06'!$D:$D)+SUMIF('מקור-07'!$A:$A,$A201,'מקור-07'!$D:$D)+SUMIF('מקור-08'!$A:$A,$A201,'מקור-08'!$D:$D)</f>
        <v>131</v>
      </c>
      <c r="E201" s="8">
        <f>D201-C201</f>
        <v>17</v>
      </c>
      <c r="F201" s="9">
        <f>IF(C201=0,"מוצר חדש",(D201-C201)/C201)</f>
        <v>0.14912280701754385</v>
      </c>
    </row>
    <row r="202" hidden="1" ht="15" customHeight="1">
      <c r="A202" s="6" t="n">
        <v>76453</v>
      </c>
      <c r="B202" s="6" t="inlineStr">
        <is>
          <t>URI 3675 1 מגן זרת מסיליקון</t>
        </is>
      </c>
      <c r="C202" s="7">
        <f>SUMIF('מקור-01'!$A:$A,$A202,'מקור-01'!$C:$C)+SUMIF('מקור-02'!$A:$A,$A202,'מקור-02'!$C:$C)+SUMIF('מקור-03'!$A:$A,$A202,'מקור-03'!$C:$C)+SUMIF('מקור-04'!$A:$A,$A202,'מקור-04'!$C:$C)+SUMIF('מקור-05'!$A:$A,$A202,'מקור-05'!$C:$C)+SUMIF('מקור-06'!$A:$A,$A202,'מקור-06'!$C:$C)+SUMIF('מקור-07'!$A:$A,$A202,'מקור-07'!$C:$C)+SUMIF('מקור-08'!$A:$A,$A202,'מקור-08'!$C:$C)</f>
        <v>57</v>
      </c>
      <c r="D202" s="7">
        <f>SUMIF('מקור-01'!$A:$A,$A202,'מקור-01'!$D:$D)+SUMIF('מקור-02'!$A:$A,$A202,'מקור-02'!$D:$D)+SUMIF('מקור-03'!$A:$A,$A202,'מקור-03'!$D:$D)+SUMIF('מקור-04'!$A:$A,$A202,'מקור-04'!$D:$D)+SUMIF('מקור-05'!$A:$A,$A202,'מקור-05'!$D:$D)+SUMIF('מקור-06'!$A:$A,$A202,'מקור-06'!$D:$D)+SUMIF('מקור-07'!$A:$A,$A202,'מקור-07'!$D:$D)+SUMIF('מקור-08'!$A:$A,$A202,'מקור-08'!$D:$D)</f>
        <v>59</v>
      </c>
      <c r="E202" s="8">
        <f>D202-C202</f>
        <v>2</v>
      </c>
      <c r="F202" s="9">
        <f>IF(C202=0,"מוצר חדש",(D202-C202)/C202)</f>
        <v>0.03508771929824561</v>
      </c>
    </row>
    <row r="203" hidden="1" ht="15" customHeight="1">
      <c r="A203" s="6" t="n">
        <v>79327</v>
      </c>
      <c r="B203" s="6" t="inlineStr">
        <is>
          <t>URI 3611       '1 כרית בנדג</t>
        </is>
      </c>
      <c r="C203" s="7">
        <f>SUMIF('מקור-01'!$A:$A,$A203,'מקור-01'!$C:$C)+SUMIF('מקור-02'!$A:$A,$A203,'מקור-02'!$C:$C)+SUMIF('מקור-03'!$A:$A,$A203,'מקור-03'!$C:$C)+SUMIF('מקור-04'!$A:$A,$A203,'מקור-04'!$C:$C)+SUMIF('מקור-05'!$A:$A,$A203,'מקור-05'!$C:$C)+SUMIF('מקור-06'!$A:$A,$A203,'מקור-06'!$C:$C)+SUMIF('מקור-07'!$A:$A,$A203,'מקור-07'!$C:$C)+SUMIF('מקור-08'!$A:$A,$A203,'מקור-08'!$C:$C)</f>
        <v>78</v>
      </c>
      <c r="D203" s="7">
        <f>SUMIF('מקור-01'!$A:$A,$A203,'מקור-01'!$D:$D)+SUMIF('מקור-02'!$A:$A,$A203,'מקור-02'!$D:$D)+SUMIF('מקור-03'!$A:$A,$A203,'מקור-03'!$D:$D)+SUMIF('מקור-04'!$A:$A,$A203,'מקור-04'!$D:$D)+SUMIF('מקור-05'!$A:$A,$A203,'מקור-05'!$D:$D)+SUMIF('מקור-06'!$A:$A,$A203,'מקור-06'!$D:$D)+SUMIF('מקור-07'!$A:$A,$A203,'מקור-07'!$D:$D)+SUMIF('מקור-08'!$A:$A,$A203,'מקור-08'!$D:$D)</f>
        <v>53</v>
      </c>
      <c r="E203" s="8">
        <f>D203-C203</f>
        <v>-25</v>
      </c>
      <c r="F203" s="9">
        <f>IF(C203=0,"מוצר חדש",(D203-C203)/C203)</f>
        <v>-0.32051282051282054</v>
      </c>
    </row>
    <row r="204" hidden="1" ht="15" customHeight="1">
      <c r="A204" s="6" t="n">
        <v>80182</v>
      </c>
      <c r="B204" s="6" t="inlineStr">
        <is>
          <t>URI 3667        1 מגן בונין</t>
        </is>
      </c>
      <c r="C204" s="7">
        <f>SUMIF('מקור-01'!$A:$A,$A204,'מקור-01'!$C:$C)+SUMIF('מקור-02'!$A:$A,$A204,'מקור-02'!$C:$C)+SUMIF('מקור-03'!$A:$A,$A204,'מקור-03'!$C:$C)+SUMIF('מקור-04'!$A:$A,$A204,'מקור-04'!$C:$C)+SUMIF('מקור-05'!$A:$A,$A204,'מקור-05'!$C:$C)+SUMIF('מקור-06'!$A:$A,$A204,'מקור-06'!$C:$C)+SUMIF('מקור-07'!$A:$A,$A204,'מקור-07'!$C:$C)+SUMIF('מקור-08'!$A:$A,$A204,'מקור-08'!$C:$C)</f>
        <v>103</v>
      </c>
      <c r="D204" s="7">
        <f>SUMIF('מקור-01'!$A:$A,$A204,'מקור-01'!$D:$D)+SUMIF('מקור-02'!$A:$A,$A204,'מקור-02'!$D:$D)+SUMIF('מקור-03'!$A:$A,$A204,'מקור-03'!$D:$D)+SUMIF('מקור-04'!$A:$A,$A204,'מקור-04'!$D:$D)+SUMIF('מקור-05'!$A:$A,$A204,'מקור-05'!$D:$D)+SUMIF('מקור-06'!$A:$A,$A204,'מקור-06'!$D:$D)+SUMIF('מקור-07'!$A:$A,$A204,'מקור-07'!$D:$D)+SUMIF('מקור-08'!$A:$A,$A204,'מקור-08'!$D:$D)</f>
        <v>105</v>
      </c>
      <c r="E204" s="8">
        <f>D204-C204</f>
        <v>2</v>
      </c>
      <c r="F204" s="9">
        <f>IF(C204=0,"מוצר חדש",(D204-C204)/C204)</f>
        <v>0.019417475728155338</v>
      </c>
    </row>
    <row r="205" hidden="1" ht="15" customHeight="1">
      <c r="A205" s="6" t="n">
        <v>80668</v>
      </c>
      <c r="B205" s="6" t="inlineStr">
        <is>
          <t>URI 320 BLISTER PLASTER 1</t>
        </is>
      </c>
      <c r="C205" s="7">
        <f>SUMIF('מקור-01'!$A:$A,$A205,'מקור-01'!$C:$C)+SUMIF('מקור-02'!$A:$A,$A205,'מקור-02'!$C:$C)+SUMIF('מקור-03'!$A:$A,$A205,'מקור-03'!$C:$C)+SUMIF('מקור-04'!$A:$A,$A205,'מקור-04'!$C:$C)+SUMIF('מקור-05'!$A:$A,$A205,'מקור-05'!$C:$C)+SUMIF('מקור-06'!$A:$A,$A205,'מקור-06'!$C:$C)+SUMIF('מקור-07'!$A:$A,$A205,'מקור-07'!$C:$C)+SUMIF('מקור-08'!$A:$A,$A205,'מקור-08'!$C:$C)</f>
        <v>112</v>
      </c>
      <c r="D205" s="7">
        <f>SUMIF('מקור-01'!$A:$A,$A205,'מקור-01'!$D:$D)+SUMIF('מקור-02'!$A:$A,$A205,'מקור-02'!$D:$D)+SUMIF('מקור-03'!$A:$A,$A205,'מקור-03'!$D:$D)+SUMIF('מקור-04'!$A:$A,$A205,'מקור-04'!$D:$D)+SUMIF('מקור-05'!$A:$A,$A205,'מקור-05'!$D:$D)+SUMIF('מקור-06'!$A:$A,$A205,'מקור-06'!$D:$D)+SUMIF('מקור-07'!$A:$A,$A205,'מקור-07'!$D:$D)+SUMIF('מקור-08'!$A:$A,$A205,'מקור-08'!$D:$D)</f>
        <v>99</v>
      </c>
      <c r="E205" s="8">
        <f>D205-C205</f>
        <v>-13</v>
      </c>
      <c r="F205" s="9">
        <f>IF(C205=0,"מוצר חדש",(D205-C205)/C205)</f>
        <v>-0.11607142857142858</v>
      </c>
    </row>
    <row r="206" hidden="1" ht="15" customHeight="1">
      <c r="A206" s="6" t="n">
        <v>82202</v>
      </c>
      <c r="B206" s="6" t="inlineStr">
        <is>
          <t>ST91       1 מגן מרפק לטניס</t>
        </is>
      </c>
      <c r="C206" s="7">
        <f>SUMIF('מקור-01'!$A:$A,$A206,'מקור-01'!$C:$C)+SUMIF('מקור-02'!$A:$A,$A206,'מקור-02'!$C:$C)+SUMIF('מקור-03'!$A:$A,$A206,'מקור-03'!$C:$C)+SUMIF('מקור-04'!$A:$A,$A206,'מקור-04'!$C:$C)+SUMIF('מקור-05'!$A:$A,$A206,'מקור-05'!$C:$C)+SUMIF('מקור-06'!$A:$A,$A206,'מקור-06'!$C:$C)+SUMIF('מקור-07'!$A:$A,$A206,'מקור-07'!$C:$C)+SUMIF('מקור-08'!$A:$A,$A206,'מקור-08'!$C:$C)</f>
        <v>56</v>
      </c>
      <c r="D206" s="7">
        <f>SUMIF('מקור-01'!$A:$A,$A206,'מקור-01'!$D:$D)+SUMIF('מקור-02'!$A:$A,$A206,'מקור-02'!$D:$D)+SUMIF('מקור-03'!$A:$A,$A206,'מקור-03'!$D:$D)+SUMIF('מקור-04'!$A:$A,$A206,'מקור-04'!$D:$D)+SUMIF('מקור-05'!$A:$A,$A206,'מקור-05'!$D:$D)+SUMIF('מקור-06'!$A:$A,$A206,'מקור-06'!$D:$D)+SUMIF('מקור-07'!$A:$A,$A206,'מקור-07'!$D:$D)+SUMIF('מקור-08'!$A:$A,$A206,'מקור-08'!$D:$D)</f>
        <v>175</v>
      </c>
      <c r="E206" s="8">
        <f>D206-C206</f>
        <v>119</v>
      </c>
      <c r="F206" s="9">
        <f>IF(C206=0,"מוצר חדש",(D206-C206)/C206)</f>
        <v>2.125</v>
      </c>
    </row>
    <row r="207" hidden="1" ht="15" customHeight="1">
      <c r="A207" s="6" t="n">
        <v>82206</v>
      </c>
      <c r="B207" s="6" t="inlineStr">
        <is>
          <t>ST25     1 חבק לשורש כף היד</t>
        </is>
      </c>
      <c r="C207" s="7">
        <f>SUMIF('מקור-01'!$A:$A,$A207,'מקור-01'!$C:$C)+SUMIF('מקור-02'!$A:$A,$A207,'מקור-02'!$C:$C)+SUMIF('מקור-03'!$A:$A,$A207,'מקור-03'!$C:$C)+SUMIF('מקור-04'!$A:$A,$A207,'מקור-04'!$C:$C)+SUMIF('מקור-05'!$A:$A,$A207,'מקור-05'!$C:$C)+SUMIF('מקור-06'!$A:$A,$A207,'מקור-06'!$C:$C)+SUMIF('מקור-07'!$A:$A,$A207,'מקור-07'!$C:$C)+SUMIF('מקור-08'!$A:$A,$A207,'מקור-08'!$C:$C)</f>
        <v>138</v>
      </c>
      <c r="D207" s="7">
        <f>SUMIF('מקור-01'!$A:$A,$A207,'מקור-01'!$D:$D)+SUMIF('מקור-02'!$A:$A,$A207,'מקור-02'!$D:$D)+SUMIF('מקור-03'!$A:$A,$A207,'מקור-03'!$D:$D)+SUMIF('מקור-04'!$A:$A,$A207,'מקור-04'!$D:$D)+SUMIF('מקור-05'!$A:$A,$A207,'מקור-05'!$D:$D)+SUMIF('מקור-06'!$A:$A,$A207,'מקור-06'!$D:$D)+SUMIF('מקור-07'!$A:$A,$A207,'מקור-07'!$D:$D)+SUMIF('מקור-08'!$A:$A,$A207,'מקור-08'!$D:$D)</f>
        <v>498</v>
      </c>
      <c r="E207" s="8">
        <f>D207-C207</f>
        <v>360</v>
      </c>
      <c r="F207" s="9">
        <f>IF(C207=0,"מוצר חדש",(D207-C207)/C207)</f>
        <v>2.608695652173913</v>
      </c>
    </row>
    <row r="208" hidden="1" ht="15" customHeight="1">
      <c r="A208" s="6" t="n">
        <v>82207</v>
      </c>
      <c r="B208" s="6" t="inlineStr">
        <is>
          <t>ST20               1 חבק יד</t>
        </is>
      </c>
      <c r="C208" s="7">
        <f>SUMIF('מקור-01'!$A:$A,$A208,'מקור-01'!$C:$C)+SUMIF('מקור-02'!$A:$A,$A208,'מקור-02'!$C:$C)+SUMIF('מקור-03'!$A:$A,$A208,'מקור-03'!$C:$C)+SUMIF('מקור-04'!$A:$A,$A208,'מקור-04'!$C:$C)+SUMIF('מקור-05'!$A:$A,$A208,'מקור-05'!$C:$C)+SUMIF('מקור-06'!$A:$A,$A208,'מקור-06'!$C:$C)+SUMIF('מקור-07'!$A:$A,$A208,'מקור-07'!$C:$C)+SUMIF('מקור-08'!$A:$A,$A208,'מקור-08'!$C:$C)</f>
        <v>39</v>
      </c>
      <c r="D208" s="7">
        <f>SUMIF('מקור-01'!$A:$A,$A208,'מקור-01'!$D:$D)+SUMIF('מקור-02'!$A:$A,$A208,'מקור-02'!$D:$D)+SUMIF('מקור-03'!$A:$A,$A208,'מקור-03'!$D:$D)+SUMIF('מקור-04'!$A:$A,$A208,'מקור-04'!$D:$D)+SUMIF('מקור-05'!$A:$A,$A208,'מקור-05'!$D:$D)+SUMIF('מקור-06'!$A:$A,$A208,'מקור-06'!$D:$D)+SUMIF('מקור-07'!$A:$A,$A208,'מקור-07'!$D:$D)+SUMIF('מקור-08'!$A:$A,$A208,'מקור-08'!$D:$D)</f>
        <v>116</v>
      </c>
      <c r="E208" s="8">
        <f>D208-C208</f>
        <v>77</v>
      </c>
      <c r="F208" s="9">
        <f>IF(C208=0,"מוצר חדש",(D208-C208)/C208)</f>
        <v>1.9743589743589745</v>
      </c>
    </row>
    <row r="209" hidden="1" ht="15" customHeight="1">
      <c r="A209" s="6" t="n">
        <v>82208</v>
      </c>
      <c r="B209" s="6" t="inlineStr">
        <is>
          <t>URI ST37      1 חבק לקרסול</t>
        </is>
      </c>
      <c r="C209" s="7">
        <f>SUMIF('מקור-01'!$A:$A,$A209,'מקור-01'!$C:$C)+SUMIF('מקור-02'!$A:$A,$A209,'מקור-02'!$C:$C)+SUMIF('מקור-03'!$A:$A,$A209,'מקור-03'!$C:$C)+SUMIF('מקור-04'!$A:$A,$A209,'מקור-04'!$C:$C)+SUMIF('מקור-05'!$A:$A,$A209,'מקור-05'!$C:$C)+SUMIF('מקור-06'!$A:$A,$A209,'מקור-06'!$C:$C)+SUMIF('מקור-07'!$A:$A,$A209,'מקור-07'!$C:$C)+SUMIF('מקור-08'!$A:$A,$A209,'מקור-08'!$C:$C)</f>
        <v>49</v>
      </c>
      <c r="D209" s="7">
        <f>SUMIF('מקור-01'!$A:$A,$A209,'מקור-01'!$D:$D)+SUMIF('מקור-02'!$A:$A,$A209,'מקור-02'!$D:$D)+SUMIF('מקור-03'!$A:$A,$A209,'מקור-03'!$D:$D)+SUMIF('מקור-04'!$A:$A,$A209,'מקור-04'!$D:$D)+SUMIF('מקור-05'!$A:$A,$A209,'מקור-05'!$D:$D)+SUMIF('מקור-06'!$A:$A,$A209,'מקור-06'!$D:$D)+SUMIF('מקור-07'!$A:$A,$A209,'מקור-07'!$D:$D)+SUMIF('מקור-08'!$A:$A,$A209,'מקור-08'!$D:$D)</f>
        <v>166</v>
      </c>
      <c r="E209" s="8">
        <f>D209-C209</f>
        <v>117</v>
      </c>
      <c r="F209" s="9">
        <f>IF(C209=0,"מוצר חדש",(D209-C209)/C209)</f>
        <v>2.3877551020408165</v>
      </c>
    </row>
    <row r="210" hidden="1" ht="15" customHeight="1">
      <c r="A210" s="6" t="n">
        <v>82213</v>
      </c>
      <c r="B210" s="6" t="inlineStr">
        <is>
          <t>ST28  1 סט אגודלי+מוט תמיכה</t>
        </is>
      </c>
      <c r="C210" s="7">
        <f>SUMIF('מקור-01'!$A:$A,$A210,'מקור-01'!$C:$C)+SUMIF('מקור-02'!$A:$A,$A210,'מקור-02'!$C:$C)+SUMIF('מקור-03'!$A:$A,$A210,'מקור-03'!$C:$C)+SUMIF('מקור-04'!$A:$A,$A210,'מקור-04'!$C:$C)+SUMIF('מקור-05'!$A:$A,$A210,'מקור-05'!$C:$C)+SUMIF('מקור-06'!$A:$A,$A210,'מקור-06'!$C:$C)+SUMIF('מקור-07'!$A:$A,$A210,'מקור-07'!$C:$C)+SUMIF('מקור-08'!$A:$A,$A210,'מקור-08'!$C:$C)</f>
        <v>80</v>
      </c>
      <c r="D210" s="7">
        <f>SUMIF('מקור-01'!$A:$A,$A210,'מקור-01'!$D:$D)+SUMIF('מקור-02'!$A:$A,$A210,'מקור-02'!$D:$D)+SUMIF('מקור-03'!$A:$A,$A210,'מקור-03'!$D:$D)+SUMIF('מקור-04'!$A:$A,$A210,'מקור-04'!$D:$D)+SUMIF('מקור-05'!$A:$A,$A210,'מקור-05'!$D:$D)+SUMIF('מקור-06'!$A:$A,$A210,'מקור-06'!$D:$D)+SUMIF('מקור-07'!$A:$A,$A210,'מקור-07'!$D:$D)+SUMIF('מקור-08'!$A:$A,$A210,'מקור-08'!$D:$D)</f>
        <v>175</v>
      </c>
      <c r="E210" s="8">
        <f>D210-C210</f>
        <v>95</v>
      </c>
      <c r="F210" s="9">
        <f>IF(C210=0,"מוצר חדש",(D210-C210)/C210)</f>
        <v>1.1875</v>
      </c>
    </row>
    <row r="211" hidden="1" ht="15" customHeight="1">
      <c r="A211" s="6" t="n">
        <v>82551</v>
      </c>
      <c r="B211" s="6" t="inlineStr">
        <is>
          <t>URI ST11        1 חגורת בטן</t>
        </is>
      </c>
      <c r="C211" s="7">
        <f>SUMIF('מקור-01'!$A:$A,$A211,'מקור-01'!$C:$C)+SUMIF('מקור-02'!$A:$A,$A211,'מקור-02'!$C:$C)+SUMIF('מקור-03'!$A:$A,$A211,'מקור-03'!$C:$C)+SUMIF('מקור-04'!$A:$A,$A211,'מקור-04'!$C:$C)+SUMIF('מקור-05'!$A:$A,$A211,'מקור-05'!$C:$C)+SUMIF('מקור-06'!$A:$A,$A211,'מקור-06'!$C:$C)+SUMIF('מקור-07'!$A:$A,$A211,'מקור-07'!$C:$C)+SUMIF('מקור-08'!$A:$A,$A211,'מקור-08'!$C:$C)</f>
        <v>12</v>
      </c>
      <c r="D211" s="7">
        <f>SUMIF('מקור-01'!$A:$A,$A211,'מקור-01'!$D:$D)+SUMIF('מקור-02'!$A:$A,$A211,'מקור-02'!$D:$D)+SUMIF('מקור-03'!$A:$A,$A211,'מקור-03'!$D:$D)+SUMIF('מקור-04'!$A:$A,$A211,'מקור-04'!$D:$D)+SUMIF('מקור-05'!$A:$A,$A211,'מקור-05'!$D:$D)+SUMIF('מקור-06'!$A:$A,$A211,'מקור-06'!$D:$D)+SUMIF('מקור-07'!$A:$A,$A211,'מקור-07'!$D:$D)+SUMIF('מקור-08'!$A:$A,$A211,'מקור-08'!$D:$D)</f>
        <v>17</v>
      </c>
      <c r="E211" s="8">
        <f>D211-C211</f>
        <v>5</v>
      </c>
      <c r="F211" s="9">
        <f>IF(C211=0,"מוצר חדש",(D211-C211)/C211)</f>
        <v>0.4166666666666667</v>
      </c>
    </row>
    <row r="212" hidden="1" ht="15" customHeight="1">
      <c r="A212" s="6" t="n">
        <v>83420</v>
      </c>
      <c r="B212" s="6" t="inlineStr">
        <is>
          <t>URI ST4221 מגן ברך +כ סיליק</t>
        </is>
      </c>
      <c r="C212" s="7">
        <f>SUMIF('מקור-01'!$A:$A,$A212,'מקור-01'!$C:$C)+SUMIF('מקור-02'!$A:$A,$A212,'מקור-02'!$C:$C)+SUMIF('מקור-03'!$A:$A,$A212,'מקור-03'!$C:$C)+SUMIF('מקור-04'!$A:$A,$A212,'מקור-04'!$C:$C)+SUMIF('מקור-05'!$A:$A,$A212,'מקור-05'!$C:$C)+SUMIF('מקור-06'!$A:$A,$A212,'מקור-06'!$C:$C)+SUMIF('מקור-07'!$A:$A,$A212,'מקור-07'!$C:$C)+SUMIF('מקור-08'!$A:$A,$A212,'מקור-08'!$C:$C)</f>
        <v>33</v>
      </c>
      <c r="D212" s="7">
        <f>SUMIF('מקור-01'!$A:$A,$A212,'מקור-01'!$D:$D)+SUMIF('מקור-02'!$A:$A,$A212,'מקור-02'!$D:$D)+SUMIF('מקור-03'!$A:$A,$A212,'מקור-03'!$D:$D)+SUMIF('מקור-04'!$A:$A,$A212,'מקור-04'!$D:$D)+SUMIF('מקור-05'!$A:$A,$A212,'מקור-05'!$D:$D)+SUMIF('מקור-06'!$A:$A,$A212,'מקור-06'!$D:$D)+SUMIF('מקור-07'!$A:$A,$A212,'מקור-07'!$D:$D)+SUMIF('מקור-08'!$A:$A,$A212,'מקור-08'!$D:$D)</f>
        <v>105</v>
      </c>
      <c r="E212" s="8">
        <f>D212-C212</f>
        <v>72</v>
      </c>
      <c r="F212" s="9">
        <f>IF(C212=0,"מוצר חדש",(D212-C212)/C212)</f>
        <v>2.1818181818181817</v>
      </c>
    </row>
    <row r="213" hidden="1" ht="15" customHeight="1">
      <c r="A213" s="6" t="n">
        <v>83668</v>
      </c>
      <c r="B213" s="6" t="inlineStr">
        <is>
          <t>URI FC335    1 טלק לכף הרגל</t>
        </is>
      </c>
      <c r="C213" s="7">
        <f>SUMIF('מקור-01'!$A:$A,$A213,'מקור-01'!$C:$C)+SUMIF('מקור-02'!$A:$A,$A213,'מקור-02'!$C:$C)+SUMIF('מקור-03'!$A:$A,$A213,'מקור-03'!$C:$C)+SUMIF('מקור-04'!$A:$A,$A213,'מקור-04'!$C:$C)+SUMIF('מקור-05'!$A:$A,$A213,'מקור-05'!$C:$C)+SUMIF('מקור-06'!$A:$A,$A213,'מקור-06'!$C:$C)+SUMIF('מקור-07'!$A:$A,$A213,'מקור-07'!$C:$C)+SUMIF('מקור-08'!$A:$A,$A213,'מקור-08'!$C:$C)</f>
        <v>841</v>
      </c>
      <c r="D213" s="7">
        <f>SUMIF('מקור-01'!$A:$A,$A213,'מקור-01'!$D:$D)+SUMIF('מקור-02'!$A:$A,$A213,'מקור-02'!$D:$D)+SUMIF('מקור-03'!$A:$A,$A213,'מקור-03'!$D:$D)+SUMIF('מקור-04'!$A:$A,$A213,'מקור-04'!$D:$D)+SUMIF('מקור-05'!$A:$A,$A213,'מקור-05'!$D:$D)+SUMIF('מקור-06'!$A:$A,$A213,'מקור-06'!$D:$D)+SUMIF('מקור-07'!$A:$A,$A213,'מקור-07'!$D:$D)+SUMIF('מקור-08'!$A:$A,$A213,'מקור-08'!$D:$D)</f>
        <v>549</v>
      </c>
      <c r="E213" s="8">
        <f>D213-C213</f>
        <v>-292</v>
      </c>
      <c r="F213" s="9">
        <f>IF(C213=0,"מוצר חדש",(D213-C213)/C213)</f>
        <v>-0.34720570749108204</v>
      </c>
    </row>
    <row r="214" hidden="1" ht="15" customHeight="1">
      <c r="A214" s="6" t="n">
        <v>85165</v>
      </c>
      <c r="B214" s="6" t="inlineStr">
        <is>
          <t>URI 307 XL  1 כרית סיל.לעקב</t>
        </is>
      </c>
      <c r="C214" s="7">
        <f>SUMIF('מקור-01'!$A:$A,$A214,'מקור-01'!$C:$C)+SUMIF('מקור-02'!$A:$A,$A214,'מקור-02'!$C:$C)+SUMIF('מקור-03'!$A:$A,$A214,'מקור-03'!$C:$C)+SUMIF('מקור-04'!$A:$A,$A214,'מקור-04'!$C:$C)+SUMIF('מקור-05'!$A:$A,$A214,'מקור-05'!$C:$C)+SUMIF('מקור-06'!$A:$A,$A214,'מקור-06'!$C:$C)+SUMIF('מקור-07'!$A:$A,$A214,'מקור-07'!$C:$C)+SUMIF('מקור-08'!$A:$A,$A214,'מקור-08'!$C:$C)</f>
        <v>70</v>
      </c>
      <c r="D214" s="7">
        <f>SUMIF('מקור-01'!$A:$A,$A214,'מקור-01'!$D:$D)+SUMIF('מקור-02'!$A:$A,$A214,'מקור-02'!$D:$D)+SUMIF('מקור-03'!$A:$A,$A214,'מקור-03'!$D:$D)+SUMIF('מקור-04'!$A:$A,$A214,'מקור-04'!$D:$D)+SUMIF('מקור-05'!$A:$A,$A214,'מקור-05'!$D:$D)+SUMIF('מקור-06'!$A:$A,$A214,'מקור-06'!$D:$D)+SUMIF('מקור-07'!$A:$A,$A214,'מקור-07'!$D:$D)+SUMIF('מקור-08'!$A:$A,$A214,'מקור-08'!$D:$D)</f>
        <v>78</v>
      </c>
      <c r="E214" s="8">
        <f>D214-C214</f>
        <v>8</v>
      </c>
      <c r="F214" s="9">
        <f>IF(C214=0,"מוצר חדש",(D214-C214)/C214)</f>
        <v>0.11428571428571428</v>
      </c>
    </row>
    <row r="215" hidden="1" ht="15" customHeight="1">
      <c r="A215" s="6" t="n">
        <v>85338</v>
      </c>
      <c r="B215" s="6" t="inlineStr">
        <is>
          <t>URI 302W 0     1 מדרס לאישה</t>
        </is>
      </c>
      <c r="C215" s="7">
        <f>SUMIF('מקור-01'!$A:$A,$A215,'מקור-01'!$C:$C)+SUMIF('מקור-02'!$A:$A,$A215,'מקור-02'!$C:$C)+SUMIF('מקור-03'!$A:$A,$A215,'מקור-03'!$C:$C)+SUMIF('מקור-04'!$A:$A,$A215,'מקור-04'!$C:$C)+SUMIF('מקור-05'!$A:$A,$A215,'מקור-05'!$C:$C)+SUMIF('מקור-06'!$A:$A,$A215,'מקור-06'!$C:$C)+SUMIF('מקור-07'!$A:$A,$A215,'מקור-07'!$C:$C)+SUMIF('מקור-08'!$A:$A,$A215,'מקור-08'!$C:$C)</f>
        <v>121</v>
      </c>
      <c r="D215" s="7">
        <f>SUMIF('מקור-01'!$A:$A,$A215,'מקור-01'!$D:$D)+SUMIF('מקור-02'!$A:$A,$A215,'מקור-02'!$D:$D)+SUMIF('מקור-03'!$A:$A,$A215,'מקור-03'!$D:$D)+SUMIF('מקור-04'!$A:$A,$A215,'מקור-04'!$D:$D)+SUMIF('מקור-05'!$A:$A,$A215,'מקור-05'!$D:$D)+SUMIF('מקור-06'!$A:$A,$A215,'מקור-06'!$D:$D)+SUMIF('מקור-07'!$A:$A,$A215,'מקור-07'!$D:$D)+SUMIF('מקור-08'!$A:$A,$A215,'מקור-08'!$D:$D)</f>
        <v>115</v>
      </c>
      <c r="E215" s="8">
        <f>D215-C215</f>
        <v>-6</v>
      </c>
      <c r="F215" s="9">
        <f>IF(C215=0,"מוצר חדש",(D215-C215)/C215)</f>
        <v>-0.049586776859504134</v>
      </c>
    </row>
    <row r="216" hidden="1" ht="15" customHeight="1">
      <c r="A216" s="6" t="n">
        <v>86583</v>
      </c>
      <c r="B216" s="6" t="inlineStr">
        <is>
          <t>URI 87 XXL   1 מקבע כתף ויד</t>
        </is>
      </c>
      <c r="C216" s="7">
        <f>SUMIF('מקור-01'!$A:$A,$A216,'מקור-01'!$C:$C)+SUMIF('מקור-02'!$A:$A,$A216,'מקור-02'!$C:$C)+SUMIF('מקור-03'!$A:$A,$A216,'מקור-03'!$C:$C)+SUMIF('מקור-04'!$A:$A,$A216,'מקור-04'!$C:$C)+SUMIF('מקור-05'!$A:$A,$A216,'מקור-05'!$C:$C)+SUMIF('מקור-06'!$A:$A,$A216,'מקור-06'!$C:$C)+SUMIF('מקור-07'!$A:$A,$A216,'מקור-07'!$C:$C)+SUMIF('מקור-08'!$A:$A,$A216,'מקור-08'!$C:$C)</f>
        <v>15</v>
      </c>
      <c r="D216" s="7">
        <f>SUMIF('מקור-01'!$A:$A,$A216,'מקור-01'!$D:$D)+SUMIF('מקור-02'!$A:$A,$A216,'מקור-02'!$D:$D)+SUMIF('מקור-03'!$A:$A,$A216,'מקור-03'!$D:$D)+SUMIF('מקור-04'!$A:$A,$A216,'מקור-04'!$D:$D)+SUMIF('מקור-05'!$A:$A,$A216,'מקור-05'!$D:$D)+SUMIF('מקור-06'!$A:$A,$A216,'מקור-06'!$D:$D)+SUMIF('מקור-07'!$A:$A,$A216,'מקור-07'!$D:$D)+SUMIF('מקור-08'!$A:$A,$A216,'מקור-08'!$D:$D)</f>
        <v>14</v>
      </c>
      <c r="E216" s="8">
        <f>D216-C216</f>
        <v>-1</v>
      </c>
      <c r="F216" s="9">
        <f>IF(C216=0,"מוצר חדש",(D216-C216)/C216)</f>
        <v>-0.06666666666666667</v>
      </c>
    </row>
    <row r="217" hidden="1" ht="15" customHeight="1">
      <c r="A217" s="6" t="n">
        <v>87819</v>
      </c>
      <c r="B217" s="6" t="inlineStr">
        <is>
          <t>ST433    H 1 מגן ברך עם ציר</t>
        </is>
      </c>
      <c r="C217" s="7">
        <f>SUMIF('מקור-01'!$A:$A,$A217,'מקור-01'!$C:$C)+SUMIF('מקור-02'!$A:$A,$A217,'מקור-02'!$C:$C)+SUMIF('מקור-03'!$A:$A,$A217,'מקור-03'!$C:$C)+SUMIF('מקור-04'!$A:$A,$A217,'מקור-04'!$C:$C)+SUMIF('מקור-05'!$A:$A,$A217,'מקור-05'!$C:$C)+SUMIF('מקור-06'!$A:$A,$A217,'מקור-06'!$C:$C)+SUMIF('מקור-07'!$A:$A,$A217,'מקור-07'!$C:$C)+SUMIF('מקור-08'!$A:$A,$A217,'מקור-08'!$C:$C)</f>
        <v>12</v>
      </c>
      <c r="D217" s="7">
        <f>SUMIF('מקור-01'!$A:$A,$A217,'מקור-01'!$D:$D)+SUMIF('מקור-02'!$A:$A,$A217,'מקור-02'!$D:$D)+SUMIF('מקור-03'!$A:$A,$A217,'מקור-03'!$D:$D)+SUMIF('מקור-04'!$A:$A,$A217,'מקור-04'!$D:$D)+SUMIF('מקור-05'!$A:$A,$A217,'מקור-05'!$D:$D)+SUMIF('מקור-06'!$A:$A,$A217,'מקור-06'!$D:$D)+SUMIF('מקור-07'!$A:$A,$A217,'מקור-07'!$D:$D)+SUMIF('מקור-08'!$A:$A,$A217,'מקור-08'!$D:$D)</f>
        <v>28</v>
      </c>
      <c r="E217" s="8">
        <f>D217-C217</f>
        <v>16</v>
      </c>
      <c r="F217" s="9">
        <f>IF(C217=0,"מוצר חדש",(D217-C217)/C217)</f>
        <v>1.3333333333333333</v>
      </c>
    </row>
    <row r="218" hidden="1" ht="15" customHeight="1">
      <c r="A218" s="6" t="n">
        <v>87828</v>
      </c>
      <c r="B218" s="6" t="inlineStr">
        <is>
          <t>ST49              1 מגן ירך</t>
        </is>
      </c>
      <c r="C218" s="7">
        <f>SUMIF('מקור-01'!$A:$A,$A218,'מקור-01'!$C:$C)+SUMIF('מקור-02'!$A:$A,$A218,'מקור-02'!$C:$C)+SUMIF('מקור-03'!$A:$A,$A218,'מקור-03'!$C:$C)+SUMIF('מקור-04'!$A:$A,$A218,'מקור-04'!$C:$C)+SUMIF('מקור-05'!$A:$A,$A218,'מקור-05'!$C:$C)+SUMIF('מקור-06'!$A:$A,$A218,'מקור-06'!$C:$C)+SUMIF('מקור-07'!$A:$A,$A218,'מקור-07'!$C:$C)+SUMIF('מקור-08'!$A:$A,$A218,'מקור-08'!$C:$C)</f>
        <v>2</v>
      </c>
      <c r="D218" s="7">
        <f>SUMIF('מקור-01'!$A:$A,$A218,'מקור-01'!$D:$D)+SUMIF('מקור-02'!$A:$A,$A218,'מקור-02'!$D:$D)+SUMIF('מקור-03'!$A:$A,$A218,'מקור-03'!$D:$D)+SUMIF('מקור-04'!$A:$A,$A218,'מקור-04'!$D:$D)+SUMIF('מקור-05'!$A:$A,$A218,'מקור-05'!$D:$D)+SUMIF('מקור-06'!$A:$A,$A218,'מקור-06'!$D:$D)+SUMIF('מקור-07'!$A:$A,$A218,'מקור-07'!$D:$D)+SUMIF('מקור-08'!$A:$A,$A218,'מקור-08'!$D:$D)</f>
        <v>4</v>
      </c>
      <c r="E218" s="8">
        <f>D218-C218</f>
        <v>2</v>
      </c>
      <c r="F218" s="9">
        <f>IF(C218=0,"מוצר חדש",(D218-C218)/C218)</f>
        <v>1</v>
      </c>
    </row>
    <row r="219" hidden="1" ht="15" customHeight="1">
      <c r="A219" s="6" t="n">
        <v>88474</v>
      </c>
      <c r="B219" s="6" t="inlineStr">
        <is>
          <t>URI LF370 0 1 ריפוד סיליקון</t>
        </is>
      </c>
      <c r="C219" s="7">
        <f>SUMIF('מקור-01'!$A:$A,$A219,'מקור-01'!$C:$C)+SUMIF('מקור-02'!$A:$A,$A219,'מקור-02'!$C:$C)+SUMIF('מקור-03'!$A:$A,$A219,'מקור-03'!$C:$C)+SUMIF('מקור-04'!$A:$A,$A219,'מקור-04'!$C:$C)+SUMIF('מקור-05'!$A:$A,$A219,'מקור-05'!$C:$C)+SUMIF('מקור-06'!$A:$A,$A219,'מקור-06'!$C:$C)+SUMIF('מקור-07'!$A:$A,$A219,'מקור-07'!$C:$C)+SUMIF('מקור-08'!$A:$A,$A219,'מקור-08'!$C:$C)</f>
        <v>36</v>
      </c>
      <c r="D219" s="7">
        <f>SUMIF('מקור-01'!$A:$A,$A219,'מקור-01'!$D:$D)+SUMIF('מקור-02'!$A:$A,$A219,'מקור-02'!$D:$D)+SUMIF('מקור-03'!$A:$A,$A219,'מקור-03'!$D:$D)+SUMIF('מקור-04'!$A:$A,$A219,'מקור-04'!$D:$D)+SUMIF('מקור-05'!$A:$A,$A219,'מקור-05'!$D:$D)+SUMIF('מקור-06'!$A:$A,$A219,'מקור-06'!$D:$D)+SUMIF('מקור-07'!$A:$A,$A219,'מקור-07'!$D:$D)+SUMIF('מקור-08'!$A:$A,$A219,'מקור-08'!$D:$D)</f>
        <v>30</v>
      </c>
      <c r="E219" s="8">
        <f>D219-C219</f>
        <v>-6</v>
      </c>
      <c r="F219" s="9">
        <f>IF(C219=0,"מוצר חדש",(D219-C219)/C219)</f>
        <v>-0.16666666666666666</v>
      </c>
    </row>
    <row r="220" hidden="1" ht="15" customHeight="1">
      <c r="A220" s="6" t="n">
        <v>88475</v>
      </c>
      <c r="B220" s="6" t="inlineStr">
        <is>
          <t>URI LF371 0 1 ריפוד סיליקון</t>
        </is>
      </c>
      <c r="C220" s="7">
        <f>SUMIF('מקור-01'!$A:$A,$A220,'מקור-01'!$C:$C)+SUMIF('מקור-02'!$A:$A,$A220,'מקור-02'!$C:$C)+SUMIF('מקור-03'!$A:$A,$A220,'מקור-03'!$C:$C)+SUMIF('מקור-04'!$A:$A,$A220,'מקור-04'!$C:$C)+SUMIF('מקור-05'!$A:$A,$A220,'מקור-05'!$C:$C)+SUMIF('מקור-06'!$A:$A,$A220,'מקור-06'!$C:$C)+SUMIF('מקור-07'!$A:$A,$A220,'מקור-07'!$C:$C)+SUMIF('מקור-08'!$A:$A,$A220,'מקור-08'!$C:$C)</f>
        <v>3</v>
      </c>
      <c r="D220" s="7">
        <f>SUMIF('מקור-01'!$A:$A,$A220,'מקור-01'!$D:$D)+SUMIF('מקור-02'!$A:$A,$A220,'מקור-02'!$D:$D)+SUMIF('מקור-03'!$A:$A,$A220,'מקור-03'!$D:$D)+SUMIF('מקור-04'!$A:$A,$A220,'מקור-04'!$D:$D)+SUMIF('מקור-05'!$A:$A,$A220,'מקור-05'!$D:$D)+SUMIF('מקור-06'!$A:$A,$A220,'מקור-06'!$D:$D)+SUMIF('מקור-07'!$A:$A,$A220,'מקור-07'!$D:$D)+SUMIF('מקור-08'!$A:$A,$A220,'מקור-08'!$D:$D)</f>
        <v>2</v>
      </c>
      <c r="E220" s="8">
        <f>D220-C220</f>
        <v>-1</v>
      </c>
      <c r="F220" s="9">
        <f>IF(C220=0,"מוצר חדש",(D220-C220)/C220)</f>
        <v>-0.3333333333333333</v>
      </c>
    </row>
    <row r="221" hidden="1" ht="15" customHeight="1">
      <c r="A221" s="6" t="n">
        <v>88476</v>
      </c>
      <c r="B221" s="6" t="inlineStr">
        <is>
          <t>URI LF373 0 1 ריפוד סיליקון</t>
        </is>
      </c>
      <c r="C221" s="7">
        <f>SUMIF('מקור-01'!$A:$A,$A221,'מקור-01'!$C:$C)+SUMIF('מקור-02'!$A:$A,$A221,'מקור-02'!$C:$C)+SUMIF('מקור-03'!$A:$A,$A221,'מקור-03'!$C:$C)+SUMIF('מקור-04'!$A:$A,$A221,'מקור-04'!$C:$C)+SUMIF('מקור-05'!$A:$A,$A221,'מקור-05'!$C:$C)+SUMIF('מקור-06'!$A:$A,$A221,'מקור-06'!$C:$C)+SUMIF('מקור-07'!$A:$A,$A221,'מקור-07'!$C:$C)+SUMIF('מקור-08'!$A:$A,$A221,'מקור-08'!$C:$C)</f>
        <v>42</v>
      </c>
      <c r="D221" s="7">
        <f>SUMIF('מקור-01'!$A:$A,$A221,'מקור-01'!$D:$D)+SUMIF('מקור-02'!$A:$A,$A221,'מקור-02'!$D:$D)+SUMIF('מקור-03'!$A:$A,$A221,'מקור-03'!$D:$D)+SUMIF('מקור-04'!$A:$A,$A221,'מקור-04'!$D:$D)+SUMIF('מקור-05'!$A:$A,$A221,'מקור-05'!$D:$D)+SUMIF('מקור-06'!$A:$A,$A221,'מקור-06'!$D:$D)+SUMIF('מקור-07'!$A:$A,$A221,'מקור-07'!$D:$D)+SUMIF('מקור-08'!$A:$A,$A221,'מקור-08'!$D:$D)</f>
        <v>29</v>
      </c>
      <c r="E221" s="8">
        <f>D221-C221</f>
        <v>-13</v>
      </c>
      <c r="F221" s="9">
        <f>IF(C221=0,"מוצר חדש",(D221-C221)/C221)</f>
        <v>-0.30952380952380953</v>
      </c>
    </row>
    <row r="222" hidden="1" ht="15" customHeight="1">
      <c r="A222" s="6" t="n">
        <v>88477</v>
      </c>
      <c r="B222" s="6" t="inlineStr">
        <is>
          <t>URI LF374 0 1 ריפוד סיליקון</t>
        </is>
      </c>
      <c r="C222" s="7">
        <f>SUMIF('מקור-01'!$A:$A,$A222,'מקור-01'!$C:$C)+SUMIF('מקור-02'!$A:$A,$A222,'מקור-02'!$C:$C)+SUMIF('מקור-03'!$A:$A,$A222,'מקור-03'!$C:$C)+SUMIF('מקור-04'!$A:$A,$A222,'מקור-04'!$C:$C)+SUMIF('מקור-05'!$A:$A,$A222,'מקור-05'!$C:$C)+SUMIF('מקור-06'!$A:$A,$A222,'מקור-06'!$C:$C)+SUMIF('מקור-07'!$A:$A,$A222,'מקור-07'!$C:$C)+SUMIF('מקור-08'!$A:$A,$A222,'מקור-08'!$C:$C)</f>
        <v>35</v>
      </c>
      <c r="D222" s="7">
        <f>SUMIF('מקור-01'!$A:$A,$A222,'מקור-01'!$D:$D)+SUMIF('מקור-02'!$A:$A,$A222,'מקור-02'!$D:$D)+SUMIF('מקור-03'!$A:$A,$A222,'מקור-03'!$D:$D)+SUMIF('מקור-04'!$A:$A,$A222,'מקור-04'!$D:$D)+SUMIF('מקור-05'!$A:$A,$A222,'מקור-05'!$D:$D)+SUMIF('מקור-06'!$A:$A,$A222,'מקור-06'!$D:$D)+SUMIF('מקור-07'!$A:$A,$A222,'מקור-07'!$D:$D)+SUMIF('מקור-08'!$A:$A,$A222,'מקור-08'!$D:$D)</f>
        <v>26</v>
      </c>
      <c r="E222" s="8">
        <f>D222-C222</f>
        <v>-9</v>
      </c>
      <c r="F222" s="9">
        <f>IF(C222=0,"מוצר חדש",(D222-C222)/C222)</f>
        <v>-0.2571428571428571</v>
      </c>
    </row>
    <row r="223" hidden="1" ht="15" customHeight="1">
      <c r="A223" s="6" t="n">
        <v>88479</v>
      </c>
      <c r="B223" s="6" t="inlineStr">
        <is>
          <t>URI LF377 M  1 מדרס סיליקון</t>
        </is>
      </c>
      <c r="C223" s="7">
        <f>SUMIF('מקור-01'!$A:$A,$A223,'מקור-01'!$C:$C)+SUMIF('מקור-02'!$A:$A,$A223,'מקור-02'!$C:$C)+SUMIF('מקור-03'!$A:$A,$A223,'מקור-03'!$C:$C)+SUMIF('מקור-04'!$A:$A,$A223,'מקור-04'!$C:$C)+SUMIF('מקור-05'!$A:$A,$A223,'מקור-05'!$C:$C)+SUMIF('מקור-06'!$A:$A,$A223,'מקור-06'!$C:$C)+SUMIF('מקור-07'!$A:$A,$A223,'מקור-07'!$C:$C)+SUMIF('מקור-08'!$A:$A,$A223,'מקור-08'!$C:$C)</f>
        <v>2</v>
      </c>
      <c r="D223" s="7">
        <f>SUMIF('מקור-01'!$A:$A,$A223,'מקור-01'!$D:$D)+SUMIF('מקור-02'!$A:$A,$A223,'מקור-02'!$D:$D)+SUMIF('מקור-03'!$A:$A,$A223,'מקור-03'!$D:$D)+SUMIF('מקור-04'!$A:$A,$A223,'מקור-04'!$D:$D)+SUMIF('מקור-05'!$A:$A,$A223,'מקור-05'!$D:$D)+SUMIF('מקור-06'!$A:$A,$A223,'מקור-06'!$D:$D)+SUMIF('מקור-07'!$A:$A,$A223,'מקור-07'!$D:$D)+SUMIF('מקור-08'!$A:$A,$A223,'מקור-08'!$D:$D)</f>
        <v>2</v>
      </c>
      <c r="E223" s="8">
        <f>D223-C223</f>
        <v>0</v>
      </c>
      <c r="F223" s="9">
        <f>IF(C223=0,"מוצר חדש",(D223-C223)/C223)</f>
        <v>0</v>
      </c>
    </row>
    <row r="224" hidden="1" ht="15" customHeight="1">
      <c r="A224" s="6" t="n">
        <v>88480</v>
      </c>
      <c r="B224" s="6" t="inlineStr">
        <is>
          <t>URI LF377 S  1 מדרס סיליקון</t>
        </is>
      </c>
      <c r="C224" s="7">
        <f>SUMIF('מקור-01'!$A:$A,$A224,'מקור-01'!$C:$C)+SUMIF('מקור-02'!$A:$A,$A224,'מקור-02'!$C:$C)+SUMIF('מקור-03'!$A:$A,$A224,'מקור-03'!$C:$C)+SUMIF('מקור-04'!$A:$A,$A224,'מקור-04'!$C:$C)+SUMIF('מקור-05'!$A:$A,$A224,'מקור-05'!$C:$C)+SUMIF('מקור-06'!$A:$A,$A224,'מקור-06'!$C:$C)+SUMIF('מקור-07'!$A:$A,$A224,'מקור-07'!$C:$C)+SUMIF('מקור-08'!$A:$A,$A224,'מקור-08'!$C:$C)</f>
        <v>1</v>
      </c>
      <c r="D224" s="7">
        <f>SUMIF('מקור-01'!$A:$A,$A224,'מקור-01'!$D:$D)+SUMIF('מקור-02'!$A:$A,$A224,'מקור-02'!$D:$D)+SUMIF('מקור-03'!$A:$A,$A224,'מקור-03'!$D:$D)+SUMIF('מקור-04'!$A:$A,$A224,'מקור-04'!$D:$D)+SUMIF('מקור-05'!$A:$A,$A224,'מקור-05'!$D:$D)+SUMIF('מקור-06'!$A:$A,$A224,'מקור-06'!$D:$D)+SUMIF('מקור-07'!$A:$A,$A224,'מקור-07'!$D:$D)+SUMIF('מקור-08'!$A:$A,$A224,'מקור-08'!$D:$D)</f>
        <v>3</v>
      </c>
      <c r="E224" s="8">
        <f>D224-C224</f>
        <v>2</v>
      </c>
      <c r="F224" s="9">
        <f>IF(C224=0,"מוצר חדש",(D224-C224)/C224)</f>
        <v>2</v>
      </c>
    </row>
    <row r="225" hidden="1" ht="15" customHeight="1">
      <c r="A225" s="6" t="n">
        <v>28937</v>
      </c>
      <c r="B225" s="6" t="inlineStr">
        <is>
          <t>URI 70N XS   1 חגורת פאבליק</t>
        </is>
      </c>
      <c r="C225" s="7">
        <f>SUMIF('מקור-01'!$A:$A,$A225,'מקור-01'!$C:$C)+SUMIF('מקור-02'!$A:$A,$A225,'מקור-02'!$C:$C)+SUMIF('מקור-03'!$A:$A,$A225,'מקור-03'!$C:$C)+SUMIF('מקור-04'!$A:$A,$A225,'מקור-04'!$C:$C)+SUMIF('מקור-05'!$A:$A,$A225,'מקור-05'!$C:$C)+SUMIF('מקור-06'!$A:$A,$A225,'מקור-06'!$C:$C)+SUMIF('מקור-07'!$A:$A,$A225,'מקור-07'!$C:$C)+SUMIF('מקור-08'!$A:$A,$A225,'מקור-08'!$C:$C)</f>
        <v>0</v>
      </c>
      <c r="D225" s="7">
        <f>SUMIF('מקור-01'!$A:$A,$A225,'מקור-01'!$D:$D)+SUMIF('מקור-02'!$A:$A,$A225,'מקור-02'!$D:$D)+SUMIF('מקור-03'!$A:$A,$A225,'מקור-03'!$D:$D)+SUMIF('מקור-04'!$A:$A,$A225,'מקור-04'!$D:$D)+SUMIF('מקור-05'!$A:$A,$A225,'מקור-05'!$D:$D)+SUMIF('מקור-06'!$A:$A,$A225,'מקור-06'!$D:$D)+SUMIF('מקור-07'!$A:$A,$A225,'מקור-07'!$D:$D)+SUMIF('מקור-08'!$A:$A,$A225,'מקור-08'!$D:$D)</f>
        <v>1</v>
      </c>
      <c r="E225" s="8">
        <f>D225-C225</f>
        <v>1</v>
      </c>
      <c t="str" r="F225" s="9">
        <f>IF(C225=0,"מוצר חדש",(D225-C225)/C225)</f>
        <v>מוצר חדש</v>
      </c>
    </row>
    <row r="226" hidden="1" ht="15" customHeight="1">
      <c r="A226" s="6" t="n">
        <v>33829</v>
      </c>
      <c r="B226" s="6" t="inlineStr">
        <is>
          <t>URI 59 L  1 חגורת שבר לשמאל</t>
        </is>
      </c>
      <c r="C226" s="7">
        <f>SUMIF('מקור-01'!$A:$A,$A226,'מקור-01'!$C:$C)+SUMIF('מקור-02'!$A:$A,$A226,'מקור-02'!$C:$C)+SUMIF('מקור-03'!$A:$A,$A226,'מקור-03'!$C:$C)+SUMIF('מקור-04'!$A:$A,$A226,'מקור-04'!$C:$C)+SUMIF('מקור-05'!$A:$A,$A226,'מקור-05'!$C:$C)+SUMIF('מקור-06'!$A:$A,$A226,'מקור-06'!$C:$C)+SUMIF('מקור-07'!$A:$A,$A226,'מקור-07'!$C:$C)+SUMIF('מקור-08'!$A:$A,$A226,'מקור-08'!$C:$C)</f>
        <v>0</v>
      </c>
      <c r="D226" s="7">
        <f>SUMIF('מקור-01'!$A:$A,$A226,'מקור-01'!$D:$D)+SUMIF('מקור-02'!$A:$A,$A226,'מקור-02'!$D:$D)+SUMIF('מקור-03'!$A:$A,$A226,'מקור-03'!$D:$D)+SUMIF('מקור-04'!$A:$A,$A226,'מקור-04'!$D:$D)+SUMIF('מקור-05'!$A:$A,$A226,'מקור-05'!$D:$D)+SUMIF('מקור-06'!$A:$A,$A226,'מקור-06'!$D:$D)+SUMIF('מקור-07'!$A:$A,$A226,'מקור-07'!$D:$D)+SUMIF('מקור-08'!$A:$A,$A226,'מקור-08'!$D:$D)</f>
        <v>1</v>
      </c>
      <c r="E226" s="8">
        <f>D226-C226</f>
        <v>1</v>
      </c>
      <c t="str" r="F226" s="9">
        <f>IF(C226=0,"מוצר חדש",(D226-C226)/C226)</f>
        <v>מוצר חדש</v>
      </c>
    </row>
    <row r="227" hidden="1" ht="15" customHeight="1">
      <c r="A227" s="6" t="n">
        <v>37229</v>
      </c>
      <c r="B227" s="6" t="inlineStr">
        <is>
          <t>URI  59R  1 חגורת שבר לצד י</t>
        </is>
      </c>
      <c r="C227" s="7">
        <f>SUMIF('מקור-01'!$A:$A,$A227,'מקור-01'!$C:$C)+SUMIF('מקור-02'!$A:$A,$A227,'מקור-02'!$C:$C)+SUMIF('מקור-03'!$A:$A,$A227,'מקור-03'!$C:$C)+SUMIF('מקור-04'!$A:$A,$A227,'מקור-04'!$C:$C)+SUMIF('מקור-05'!$A:$A,$A227,'מקור-05'!$C:$C)+SUMIF('מקור-06'!$A:$A,$A227,'מקור-06'!$C:$C)+SUMIF('מקור-07'!$A:$A,$A227,'מקור-07'!$C:$C)+SUMIF('מקור-08'!$A:$A,$A227,'מקור-08'!$C:$C)</f>
        <v>1</v>
      </c>
      <c r="D227" s="7">
        <f>SUMIF('מקור-01'!$A:$A,$A227,'מקור-01'!$D:$D)+SUMIF('מקור-02'!$A:$A,$A227,'מקור-02'!$D:$D)+SUMIF('מקור-03'!$A:$A,$A227,'מקור-03'!$D:$D)+SUMIF('מקור-04'!$A:$A,$A227,'מקור-04'!$D:$D)+SUMIF('מקור-05'!$A:$A,$A227,'מקור-05'!$D:$D)+SUMIF('מקור-06'!$A:$A,$A227,'מקור-06'!$D:$D)+SUMIF('מקור-07'!$A:$A,$A227,'מקור-07'!$D:$D)+SUMIF('מקור-08'!$A:$A,$A227,'מקור-08'!$D:$D)</f>
        <v>0</v>
      </c>
      <c r="E227" s="8">
        <f>D227-C227</f>
        <v>-1</v>
      </c>
      <c r="F227" s="9">
        <f>IF(C227=0,"מוצר חדש",(D227-C227)/C227)</f>
        <v>-1</v>
      </c>
    </row>
    <row r="228" hidden="1" ht="15" customHeight="1">
      <c r="A228" s="6" t="n">
        <v>37498</v>
      </c>
      <c r="B228" s="6" t="inlineStr">
        <is>
          <t>URI SH333      1 מקבע קרסול</t>
        </is>
      </c>
      <c r="C228" s="7">
        <f>SUMIF('מקור-01'!$A:$A,$A228,'מקור-01'!$C:$C)+SUMIF('מקור-02'!$A:$A,$A228,'מקור-02'!$C:$C)+SUMIF('מקור-03'!$A:$A,$A228,'מקור-03'!$C:$C)+SUMIF('מקור-04'!$A:$A,$A228,'מקור-04'!$C:$C)+SUMIF('מקור-05'!$A:$A,$A228,'מקור-05'!$C:$C)+SUMIF('מקור-06'!$A:$A,$A228,'מקור-06'!$C:$C)+SUMIF('מקור-07'!$A:$A,$A228,'מקור-07'!$C:$C)+SUMIF('מקור-08'!$A:$A,$A228,'מקור-08'!$C:$C)</f>
        <v>0</v>
      </c>
      <c r="D228" s="7">
        <f>SUMIF('מקור-01'!$A:$A,$A228,'מקור-01'!$D:$D)+SUMIF('מקור-02'!$A:$A,$A228,'מקור-02'!$D:$D)+SUMIF('מקור-03'!$A:$A,$A228,'מקור-03'!$D:$D)+SUMIF('מקור-04'!$A:$A,$A228,'מקור-04'!$D:$D)+SUMIF('מקור-05'!$A:$A,$A228,'מקור-05'!$D:$D)+SUMIF('מקור-06'!$A:$A,$A228,'מקור-06'!$D:$D)+SUMIF('מקור-07'!$A:$A,$A228,'מקור-07'!$D:$D)+SUMIF('מקור-08'!$A:$A,$A228,'מקור-08'!$D:$D)</f>
        <v>2</v>
      </c>
      <c r="E228" s="8">
        <f>D228-C228</f>
        <v>2</v>
      </c>
      <c t="str" r="F228" s="9">
        <f>IF(C228=0,"מוצר חדש",(D228-C228)/C228)</f>
        <v>מוצר חדש</v>
      </c>
    </row>
    <row r="229" hidden="1" ht="15" customHeight="1">
      <c r="A229" s="6" t="n">
        <v>43248</v>
      </c>
      <c r="B229" s="6" t="inlineStr">
        <is>
          <t>397A-35-38      1 גרבי טיסה</t>
        </is>
      </c>
      <c r="C229" s="7">
        <f>SUMIF('מקור-01'!$A:$A,$A229,'מקור-01'!$C:$C)+SUMIF('מקור-02'!$A:$A,$A229,'מקור-02'!$C:$C)+SUMIF('מקור-03'!$A:$A,$A229,'מקור-03'!$C:$C)+SUMIF('מקור-04'!$A:$A,$A229,'מקור-04'!$C:$C)+SUMIF('מקור-05'!$A:$A,$A229,'מקור-05'!$C:$C)+SUMIF('מקור-06'!$A:$A,$A229,'מקור-06'!$C:$C)+SUMIF('מקור-07'!$A:$A,$A229,'מקור-07'!$C:$C)+SUMIF('מקור-08'!$A:$A,$A229,'מקור-08'!$C:$C)</f>
        <v>0</v>
      </c>
      <c r="D229" s="7">
        <f>SUMIF('מקור-01'!$A:$A,$A229,'מקור-01'!$D:$D)+SUMIF('מקור-02'!$A:$A,$A229,'מקור-02'!$D:$D)+SUMIF('מקור-03'!$A:$A,$A229,'מקור-03'!$D:$D)+SUMIF('מקור-04'!$A:$A,$A229,'מקור-04'!$D:$D)+SUMIF('מקור-05'!$A:$A,$A229,'מקור-05'!$D:$D)+SUMIF('מקור-06'!$A:$A,$A229,'מקור-06'!$D:$D)+SUMIF('מקור-07'!$A:$A,$A229,'מקור-07'!$D:$D)+SUMIF('מקור-08'!$A:$A,$A229,'מקור-08'!$D:$D)</f>
        <v>32</v>
      </c>
      <c r="E229" s="8">
        <f>D229-C229</f>
        <v>32</v>
      </c>
      <c t="str" r="F229" s="9">
        <f>IF(C229=0,"מוצר חדש",(D229-C229)/C229)</f>
        <v>מוצר חדש</v>
      </c>
    </row>
    <row r="230" hidden="1" ht="15" customHeight="1">
      <c r="A230" s="6" t="n">
        <v>43454</v>
      </c>
      <c r="B230" s="6" t="inlineStr">
        <is>
          <t>SH422 5  1 תומך ברך גנושילד</t>
        </is>
      </c>
      <c r="C230" s="7">
        <f>SUMIF('מקור-01'!$A:$A,$A230,'מקור-01'!$C:$C)+SUMIF('מקור-02'!$A:$A,$A230,'מקור-02'!$C:$C)+SUMIF('מקור-03'!$A:$A,$A230,'מקור-03'!$C:$C)+SUMIF('מקור-04'!$A:$A,$A230,'מקור-04'!$C:$C)+SUMIF('מקור-05'!$A:$A,$A230,'מקור-05'!$C:$C)+SUMIF('מקור-06'!$A:$A,$A230,'מקור-06'!$C:$C)+SUMIF('מקור-07'!$A:$A,$A230,'מקור-07'!$C:$C)+SUMIF('מקור-08'!$A:$A,$A230,'מקור-08'!$C:$C)</f>
        <v>0</v>
      </c>
      <c r="D230" s="7">
        <f>SUMIF('מקור-01'!$A:$A,$A230,'מקור-01'!$D:$D)+SUMIF('מקור-02'!$A:$A,$A230,'מקור-02'!$D:$D)+SUMIF('מקור-03'!$A:$A,$A230,'מקור-03'!$D:$D)+SUMIF('מקור-04'!$A:$A,$A230,'מקור-04'!$D:$D)+SUMIF('מקור-05'!$A:$A,$A230,'מקור-05'!$D:$D)+SUMIF('מקור-06'!$A:$A,$A230,'מקור-06'!$D:$D)+SUMIF('מקור-07'!$A:$A,$A230,'מקור-07'!$D:$D)+SUMIF('מקור-08'!$A:$A,$A230,'מקור-08'!$D:$D)</f>
        <v>2</v>
      </c>
      <c r="E230" s="8">
        <f>D230-C230</f>
        <v>2</v>
      </c>
      <c t="str" r="F230" s="9">
        <f>IF(C230=0,"מוצר חדש",(D230-C230)/C230)</f>
        <v>מוצר חדש</v>
      </c>
    </row>
    <row r="231" hidden="1" ht="15" customHeight="1">
      <c r="A231" s="6" t="n">
        <v>46308</v>
      </c>
      <c r="B231" s="6" t="inlineStr">
        <is>
          <t>STRAP4U 239P S-M 1</t>
        </is>
      </c>
      <c r="C231" s="7">
        <f>SUMIF('מקור-01'!$A:$A,$A231,'מקור-01'!$C:$C)+SUMIF('מקור-02'!$A:$A,$A231,'מקור-02'!$C:$C)+SUMIF('מקור-03'!$A:$A,$A231,'מקור-03'!$C:$C)+SUMIF('מקור-04'!$A:$A,$A231,'מקור-04'!$C:$C)+SUMIF('מקור-05'!$A:$A,$A231,'מקור-05'!$C:$C)+SUMIF('מקור-06'!$A:$A,$A231,'מקור-06'!$C:$C)+SUMIF('מקור-07'!$A:$A,$A231,'מקור-07'!$C:$C)+SUMIF('מקור-08'!$A:$A,$A231,'מקור-08'!$C:$C)</f>
        <v>1</v>
      </c>
      <c r="D231" s="7">
        <f>SUMIF('מקור-01'!$A:$A,$A231,'מקור-01'!$D:$D)+SUMIF('מקור-02'!$A:$A,$A231,'מקור-02'!$D:$D)+SUMIF('מקור-03'!$A:$A,$A231,'מקור-03'!$D:$D)+SUMIF('מקור-04'!$A:$A,$A231,'מקור-04'!$D:$D)+SUMIF('מקור-05'!$A:$A,$A231,'מקור-05'!$D:$D)+SUMIF('מקור-06'!$A:$A,$A231,'מקור-06'!$D:$D)+SUMIF('מקור-07'!$A:$A,$A231,'מקור-07'!$D:$D)+SUMIF('מקור-08'!$A:$A,$A231,'מקור-08'!$D:$D)</f>
        <v>2</v>
      </c>
      <c r="E231" s="8">
        <f>D231-C231</f>
        <v>1</v>
      </c>
      <c r="F231" s="9">
        <f>IF(C231=0,"מוצר חדש",(D231-C231)/C231)</f>
        <v>1</v>
      </c>
    </row>
    <row r="232" hidden="1" ht="15" customHeight="1">
      <c r="A232" s="6" t="n">
        <v>67927</v>
      </c>
      <c r="B232" s="6" t="inlineStr">
        <is>
          <t>URI 41            1 מגן ברך</t>
        </is>
      </c>
      <c r="C232" s="7">
        <f>SUMIF('מקור-01'!$A:$A,$A232,'מקור-01'!$C:$C)+SUMIF('מקור-02'!$A:$A,$A232,'מקור-02'!$C:$C)+SUMIF('מקור-03'!$A:$A,$A232,'מקור-03'!$C:$C)+SUMIF('מקור-04'!$A:$A,$A232,'מקור-04'!$C:$C)+SUMIF('מקור-05'!$A:$A,$A232,'מקור-05'!$C:$C)+SUMIF('מקור-06'!$A:$A,$A232,'מקור-06'!$C:$C)+SUMIF('מקור-07'!$A:$A,$A232,'מקור-07'!$C:$C)+SUMIF('מקור-08'!$A:$A,$A232,'מקור-08'!$C:$C)</f>
        <v>0</v>
      </c>
      <c r="D232" s="7">
        <f>SUMIF('מקור-01'!$A:$A,$A232,'מקור-01'!$D:$D)+SUMIF('מקור-02'!$A:$A,$A232,'מקור-02'!$D:$D)+SUMIF('מקור-03'!$A:$A,$A232,'מקור-03'!$D:$D)+SUMIF('מקור-04'!$A:$A,$A232,'מקור-04'!$D:$D)+SUMIF('מקור-05'!$A:$A,$A232,'מקור-05'!$D:$D)+SUMIF('מקור-06'!$A:$A,$A232,'מקור-06'!$D:$D)+SUMIF('מקור-07'!$A:$A,$A232,'מקור-07'!$D:$D)+SUMIF('מקור-08'!$A:$A,$A232,'מקור-08'!$D:$D)</f>
        <v>1</v>
      </c>
      <c r="E232" s="8">
        <f>D232-C232</f>
        <v>1</v>
      </c>
      <c t="str" r="F232" s="9">
        <f>IF(C232=0,"מוצר חדש",(D232-C232)/C232)</f>
        <v>מוצר חדש</v>
      </c>
    </row>
    <row r="233" hidden="1" ht="15" customHeight="1">
      <c r="A233" s="6" t="n">
        <v>88478</v>
      </c>
      <c r="B233" s="6" t="inlineStr">
        <is>
          <t>URI LF377 L  1 מדרס סיליקון</t>
        </is>
      </c>
      <c r="C233" s="7">
        <f>SUMIF('מקור-01'!$A:$A,$A233,'מקור-01'!$C:$C)+SUMIF('מקור-02'!$A:$A,$A233,'מקור-02'!$C:$C)+SUMIF('מקור-03'!$A:$A,$A233,'מקור-03'!$C:$C)+SUMIF('מקור-04'!$A:$A,$A233,'מקור-04'!$C:$C)+SUMIF('מקור-05'!$A:$A,$A233,'מקור-05'!$C:$C)+SUMIF('מקור-06'!$A:$A,$A233,'מקור-06'!$C:$C)+SUMIF('מקור-07'!$A:$A,$A233,'מקור-07'!$C:$C)+SUMIF('מקור-08'!$A:$A,$A233,'מקור-08'!$C:$C)</f>
        <v>3</v>
      </c>
      <c r="D233" s="7">
        <f>SUMIF('מקור-01'!$A:$A,$A233,'מקור-01'!$D:$D)+SUMIF('מקור-02'!$A:$A,$A233,'מקור-02'!$D:$D)+SUMIF('מקור-03'!$A:$A,$A233,'מקור-03'!$D:$D)+SUMIF('מקור-04'!$A:$A,$A233,'מקור-04'!$D:$D)+SUMIF('מקור-05'!$A:$A,$A233,'מקור-05'!$D:$D)+SUMIF('מקור-06'!$A:$A,$A233,'מקור-06'!$D:$D)+SUMIF('מקור-07'!$A:$A,$A233,'מקור-07'!$D:$D)+SUMIF('מקור-08'!$A:$A,$A233,'מקור-08'!$D:$D)</f>
        <v>0</v>
      </c>
      <c r="E233" s="8">
        <f>D233-C233</f>
        <v>-3</v>
      </c>
      <c r="F233" s="9">
        <f>IF(C233=0,"מוצר חדש",(D233-C233)/C233)</f>
        <v>-1</v>
      </c>
    </row>
    <row r="234" hidden="1" ht="15" customHeight="1">
      <c r="A234" s="6" t="n">
        <v>28296</v>
      </c>
      <c r="B234" s="6" t="inlineStr">
        <is>
          <t>URI 13 L  1 חגורה לשבר טבור</t>
        </is>
      </c>
      <c r="C234" s="7">
        <f>SUMIF('מקור-01'!$A:$A,$A234,'מקור-01'!$C:$C)+SUMIF('מקור-02'!$A:$A,$A234,'מקור-02'!$C:$C)+SUMIF('מקור-03'!$A:$A,$A234,'מקור-03'!$C:$C)+SUMIF('מקור-04'!$A:$A,$A234,'מקור-04'!$C:$C)+SUMIF('מקור-05'!$A:$A,$A234,'מקור-05'!$C:$C)+SUMIF('מקור-06'!$A:$A,$A234,'מקור-06'!$C:$C)+SUMIF('מקור-07'!$A:$A,$A234,'מקור-07'!$C:$C)+SUMIF('מקור-08'!$A:$A,$A234,'מקור-08'!$C:$C)</f>
        <v>0</v>
      </c>
      <c r="D234" s="7">
        <f>SUMIF('מקור-01'!$A:$A,$A234,'מקור-01'!$D:$D)+SUMIF('מקור-02'!$A:$A,$A234,'מקור-02'!$D:$D)+SUMIF('מקור-03'!$A:$A,$A234,'מקור-03'!$D:$D)+SUMIF('מקור-04'!$A:$A,$A234,'מקור-04'!$D:$D)+SUMIF('מקור-05'!$A:$A,$A234,'מקור-05'!$D:$D)+SUMIF('מקור-06'!$A:$A,$A234,'מקור-06'!$D:$D)+SUMIF('מקור-07'!$A:$A,$A234,'מקור-07'!$D:$D)+SUMIF('מקור-08'!$A:$A,$A234,'מקור-08'!$D:$D)</f>
        <v>1</v>
      </c>
      <c r="E234" s="8">
        <f>D234-C234</f>
        <v>1</v>
      </c>
      <c t="str" r="F234" s="9">
        <f>IF(C234=0,"מוצר חדש",(D234-C234)/C234)</f>
        <v>מוצר חדש</v>
      </c>
    </row>
    <row r="235">
      <c r="A235" s="6" t="n">
        <v>28938</v>
      </c>
      <c r="B235" s="6" t="inlineStr">
        <is>
          <t>URI 70N S    1 חגורת פאבליק</t>
        </is>
      </c>
      <c r="C235" s="7">
        <f>SUMIF('מקור-01'!$A:$A,$A235,'מקור-01'!$C:$C)+SUMIF('מקור-02'!$A:$A,$A235,'מקור-02'!$C:$C)+SUMIF('מקור-03'!$A:$A,$A235,'מקור-03'!$C:$C)+SUMIF('מקור-04'!$A:$A,$A235,'מקור-04'!$C:$C)+SUMIF('מקור-05'!$A:$A,$A235,'מקור-05'!$C:$C)+SUMIF('מקור-06'!$A:$A,$A235,'מקור-06'!$C:$C)+SUMIF('מקור-07'!$A:$A,$A235,'מקור-07'!$C:$C)+SUMIF('מקור-08'!$A:$A,$A235,'מקור-08'!$C:$C)</f>
        <v>0</v>
      </c>
      <c r="D235" s="7">
        <f>SUMIF('מקור-01'!$A:$A,$A235,'מקור-01'!$D:$D)+SUMIF('מקור-02'!$A:$A,$A235,'מקור-02'!$D:$D)+SUMIF('מקור-03'!$A:$A,$A235,'מקור-03'!$D:$D)+SUMIF('מקור-04'!$A:$A,$A235,'מקור-04'!$D:$D)+SUMIF('מקור-05'!$A:$A,$A235,'מקור-05'!$D:$D)+SUMIF('מקור-06'!$A:$A,$A235,'מקור-06'!$D:$D)+SUMIF('מקור-07'!$A:$A,$A235,'מקור-07'!$D:$D)+SUMIF('מקור-08'!$A:$A,$A235,'מקור-08'!$D:$D)</f>
        <v>1</v>
      </c>
      <c r="E235" s="8">
        <f>D235-C235</f>
        <v>1</v>
      </c>
      <c t="str" r="F235" s="9">
        <f>IF(C235=0,"מוצר חדש",(D235-C235)/C235)</f>
        <v>מוצר חדש</v>
      </c>
    </row>
    <row r="236">
      <c r="A236" s="6" t="n">
        <v>43399</v>
      </c>
      <c r="B236" s="6" t="inlineStr">
        <is>
          <t>SH422 1  1 תומך ברך גנושילד</t>
        </is>
      </c>
      <c r="C236" s="7">
        <f>SUMIF('מקור-01'!$A:$A,$A236,'מקור-01'!$C:$C)+SUMIF('מקור-02'!$A:$A,$A236,'מקור-02'!$C:$C)+SUMIF('מקור-03'!$A:$A,$A236,'מקור-03'!$C:$C)+SUMIF('מקור-04'!$A:$A,$A236,'מקור-04'!$C:$C)+SUMIF('מקור-05'!$A:$A,$A236,'מקור-05'!$C:$C)+SUMIF('מקור-06'!$A:$A,$A236,'מקור-06'!$C:$C)+SUMIF('מקור-07'!$A:$A,$A236,'מקור-07'!$C:$C)+SUMIF('מקור-08'!$A:$A,$A236,'מקור-08'!$C:$C)</f>
        <v>0</v>
      </c>
      <c r="D236" s="7">
        <f>SUMIF('מקור-01'!$A:$A,$A236,'מקור-01'!$D:$D)+SUMIF('מקור-02'!$A:$A,$A236,'מקור-02'!$D:$D)+SUMIF('מקור-03'!$A:$A,$A236,'מקור-03'!$D:$D)+SUMIF('מקור-04'!$A:$A,$A236,'מקור-04'!$D:$D)+SUMIF('מקור-05'!$A:$A,$A236,'מקור-05'!$D:$D)+SUMIF('מקור-06'!$A:$A,$A236,'מקור-06'!$D:$D)+SUMIF('מקור-07'!$A:$A,$A236,'מקור-07'!$D:$D)+SUMIF('מקור-08'!$A:$A,$A236,'מקור-08'!$D:$D)</f>
        <v>1</v>
      </c>
      <c r="E236" s="8">
        <f>D236-C236</f>
        <v>1</v>
      </c>
      <c t="str" r="F236" s="9">
        <f>IF(C236=0,"מוצר חדש",(D236-C236)/C236)</f>
        <v>מוצר חדש</v>
      </c>
    </row>
    <row r="237">
      <c r="A237" s="6" t="n">
        <v>43423</v>
      </c>
      <c r="B237" s="6" t="inlineStr">
        <is>
          <t>SH422 3  1 תומך ברך גנושילד</t>
        </is>
      </c>
      <c r="C237" s="7">
        <f>SUMIF('מקור-01'!$A:$A,$A237,'מקור-01'!$C:$C)+SUMIF('מקור-02'!$A:$A,$A237,'מקור-02'!$C:$C)+SUMIF('מקור-03'!$A:$A,$A237,'מקור-03'!$C:$C)+SUMIF('מקור-04'!$A:$A,$A237,'מקור-04'!$C:$C)+SUMIF('מקור-05'!$A:$A,$A237,'מקור-05'!$C:$C)+SUMIF('מקור-06'!$A:$A,$A237,'מקור-06'!$C:$C)+SUMIF('מקור-07'!$A:$A,$A237,'מקור-07'!$C:$C)+SUMIF('מקור-08'!$A:$A,$A237,'מקור-08'!$C:$C)</f>
        <v>0</v>
      </c>
      <c r="D237" s="7">
        <f>SUMIF('מקור-01'!$A:$A,$A237,'מקור-01'!$D:$D)+SUMIF('מקור-02'!$A:$A,$A237,'מקור-02'!$D:$D)+SUMIF('מקור-03'!$A:$A,$A237,'מקור-03'!$D:$D)+SUMIF('מקור-04'!$A:$A,$A237,'מקור-04'!$D:$D)+SUMIF('מקור-05'!$A:$A,$A237,'מקור-05'!$D:$D)+SUMIF('מקור-06'!$A:$A,$A237,'מקור-06'!$D:$D)+SUMIF('מקור-07'!$A:$A,$A237,'מקור-07'!$D:$D)+SUMIF('מקור-08'!$A:$A,$A237,'מקור-08'!$D:$D)</f>
        <v>3</v>
      </c>
      <c r="E237" s="8">
        <f>D237-C237</f>
        <v>3</v>
      </c>
      <c t="str" r="F237" s="9">
        <f>IF(C237=0,"מוצר חדש",(D237-C237)/C237)</f>
        <v>מוצר חדש</v>
      </c>
    </row>
    <row r="238">
      <c r="A238" s="6" t="n">
        <v>43447</v>
      </c>
      <c r="B238" s="6" t="inlineStr">
        <is>
          <t>SH422 4  1 תומך ברך גנושילד</t>
        </is>
      </c>
      <c r="C238" s="7">
        <f>SUMIF('מקור-01'!$A:$A,$A238,'מקור-01'!$C:$C)+SUMIF('מקור-02'!$A:$A,$A238,'מקור-02'!$C:$C)+SUMIF('מקור-03'!$A:$A,$A238,'מקור-03'!$C:$C)+SUMIF('מקור-04'!$A:$A,$A238,'מקור-04'!$C:$C)+SUMIF('מקור-05'!$A:$A,$A238,'מקור-05'!$C:$C)+SUMIF('מקור-06'!$A:$A,$A238,'מקור-06'!$C:$C)+SUMIF('מקור-07'!$A:$A,$A238,'מקור-07'!$C:$C)+SUMIF('מקור-08'!$A:$A,$A238,'מקור-08'!$C:$C)</f>
        <v>0</v>
      </c>
      <c r="D238" s="7">
        <f>SUMIF('מקור-01'!$A:$A,$A238,'מקור-01'!$D:$D)+SUMIF('מקור-02'!$A:$A,$A238,'מקור-02'!$D:$D)+SUMIF('מקור-03'!$A:$A,$A238,'מקור-03'!$D:$D)+SUMIF('מקור-04'!$A:$A,$A238,'מקור-04'!$D:$D)+SUMIF('מקור-05'!$A:$A,$A238,'מקור-05'!$D:$D)+SUMIF('מקור-06'!$A:$A,$A238,'מקור-06'!$D:$D)+SUMIF('מקור-07'!$A:$A,$A238,'מקור-07'!$D:$D)+SUMIF('מקור-08'!$A:$A,$A238,'מקור-08'!$D:$D)</f>
        <v>3</v>
      </c>
      <c r="E238" s="8">
        <f>D238-C238</f>
        <v>3</v>
      </c>
      <c t="str" r="F238" s="9">
        <f>IF(C238=0,"מוצר חדש",(D238-C238)/C238)</f>
        <v>מוצר חדש</v>
      </c>
    </row>
    <row r="239">
      <c r="A239" s="6" t="n">
        <v>43469</v>
      </c>
      <c r="B239" s="6" t="inlineStr">
        <is>
          <t>SH422 6  1 תומך ברך גנושילד</t>
        </is>
      </c>
      <c r="C239" s="7">
        <f>SUMIF('מקור-01'!$A:$A,$A239,'מקור-01'!$C:$C)+SUMIF('מקור-02'!$A:$A,$A239,'מקור-02'!$C:$C)+SUMIF('מקור-03'!$A:$A,$A239,'מקור-03'!$C:$C)+SUMIF('מקור-04'!$A:$A,$A239,'מקור-04'!$C:$C)+SUMIF('מקור-05'!$A:$A,$A239,'מקור-05'!$C:$C)+SUMIF('מקור-06'!$A:$A,$A239,'מקור-06'!$C:$C)+SUMIF('מקור-07'!$A:$A,$A239,'מקור-07'!$C:$C)+SUMIF('מקור-08'!$A:$A,$A239,'מקור-08'!$C:$C)</f>
        <v>0</v>
      </c>
      <c r="D239" s="7">
        <f>SUMIF('מקור-01'!$A:$A,$A239,'מקור-01'!$D:$D)+SUMIF('מקור-02'!$A:$A,$A239,'מקור-02'!$D:$D)+SUMIF('מקור-03'!$A:$A,$A239,'מקור-03'!$D:$D)+SUMIF('מקור-04'!$A:$A,$A239,'מקור-04'!$D:$D)+SUMIF('מקור-05'!$A:$A,$A239,'מקור-05'!$D:$D)+SUMIF('מקור-06'!$A:$A,$A239,'מקור-06'!$D:$D)+SUMIF('מקור-07'!$A:$A,$A239,'מקור-07'!$D:$D)+SUMIF('מקור-08'!$A:$A,$A239,'מקור-08'!$D:$D)</f>
        <v>1</v>
      </c>
      <c r="E239" s="8">
        <f>D239-C239</f>
        <v>1</v>
      </c>
      <c t="str" r="F239" s="9">
        <f>IF(C239=0,"מוצר חדש",(D239-C239)/C239)</f>
        <v>מוצר חדש</v>
      </c>
    </row>
    <row r="240">
      <c r="A240" s="10" t="inlineStr">
        <is>
          <t>סה"כ כללי</t>
        </is>
      </c>
      <c r="B240" s="10" t="n"/>
      <c r="C240" s="11">
        <f>SUM(C6:C239)</f>
        <v>16642</v>
      </c>
      <c r="D240" s="11">
        <f>SUM(D6:D239)</f>
        <v>17314</v>
      </c>
      <c r="E240" s="12">
        <f>D240-C240</f>
        <v>672</v>
      </c>
      <c r="F240" s="13">
        <f>IF(C240=0,"",(D240-C240)/C240)</f>
        <v>0.04037976204783079</v>
      </c>
    </row>
  </sheetData>
  <autoFilter ref="A5:F234">
    <filterColumn colId="1" hiddenButton="0" showButton="1">
      <filters>
        <filter val="388B L 1 סד לילה שחור לבוהן"/>
        <filter val="388B R 1 סד לילה שחור לבוהן"/>
        <filter val="URI 388L    1 סד לילה לבוהן"/>
        <filter val="URI 388R    1 סד לילה לבוהן"/>
      </filters>
    </filterColumn>
  </autoFilter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4"/>
  <sheetViews>
    <sheetView showGridLines="0" rightToLeft="1" zoomScale="130" zoomScaleNormal="130" workbookViewId="0">
      <pane ySplit="5" topLeftCell="A12" activePane="bottomLeft" state="frozen"/>
      <selection pane="bottomLeft" activeCell="F13" sqref="F13"/>
    </sheetView>
  </sheetViews>
  <sheetFormatPr baseColWidth="8" defaultColWidth="8.5703125" defaultRowHeight="15"/>
  <cols>
    <col width="14" customWidth="1" min="2" max="2"/>
    <col width="16" customWidth="1" min="3" max="5"/>
    <col width="12" customWidth="1" min="6" max="6"/>
  </cols>
  <sheetData>
    <row r="1" ht="18" customHeight="1">
      <c r="B1" s="1" t="inlineStr">
        <is>
          <t>סה"כ יחידות לפי חודש - 2025 מול 2026 (ינואר-אוגוסט)</t>
        </is>
      </c>
    </row>
    <row r="2" hidden="1">
      <c r="B2" s="2" t="inlineStr">
        <is>
          <t>תאריך חישוב:</t>
        </is>
      </c>
      <c r="C2" s="3">
        <f>'השוואה כוללת'!B2</f>
        <v>46243</v>
      </c>
    </row>
    <row r="3" hidden="1">
      <c r="B3" s="2" t="inlineStr">
        <is>
          <t>מקורות: מקור-01 עד מקור-08 (ינואר-אוגוסט 2026 מול אותם חודשים ב-2025)</t>
        </is>
      </c>
    </row>
    <row r="5">
      <c r="B5" s="14" t="inlineStr">
        <is>
          <t>חודש</t>
        </is>
      </c>
      <c r="C5" s="14" t="inlineStr">
        <is>
          <t>יחידות 2025</t>
        </is>
      </c>
      <c r="D5" s="14" t="inlineStr">
        <is>
          <t>יחידות 2026</t>
        </is>
      </c>
      <c r="E5" s="14" t="inlineStr">
        <is>
          <t>הפרש (יחידות)</t>
        </is>
      </c>
      <c r="F5" s="14" t="inlineStr">
        <is>
          <t>שינוי %</t>
        </is>
      </c>
    </row>
    <row r="6">
      <c r="B6" s="2" t="inlineStr">
        <is>
          <t>ינואר</t>
        </is>
      </c>
      <c r="C6" s="15">
        <f>SUM('מקור-01'!$C$3:$C$191)</f>
        <v>2241</v>
      </c>
      <c r="D6" s="15">
        <f>SUM('מקור-01'!$D$3:$D$191)</f>
        <v>2119</v>
      </c>
      <c r="E6" s="16">
        <f>D6-C6</f>
        <v>-122</v>
      </c>
      <c r="F6" s="17">
        <f>IF(C6=0,"",(D6-C6)/C6)</f>
        <v>-0.054439982150825524</v>
      </c>
    </row>
    <row r="7">
      <c r="B7" s="2" t="inlineStr">
        <is>
          <t>פברואר</t>
        </is>
      </c>
      <c r="C7" s="15">
        <f>SUM('מקור-02'!$C$3:$C$185)</f>
        <v>1942</v>
      </c>
      <c r="D7" s="15">
        <f>SUM('מקור-02'!$D$3:$D$185)</f>
        <v>2203</v>
      </c>
      <c r="E7" s="16">
        <f>D7-C7</f>
        <v>261</v>
      </c>
      <c r="F7" s="17">
        <f>IF(C7=0,"",(D7-C7)/C7)</f>
        <v>0.13439752832131824</v>
      </c>
    </row>
    <row r="8">
      <c r="B8" s="2" t="inlineStr">
        <is>
          <t>מרץ</t>
        </is>
      </c>
      <c r="C8" s="15">
        <f>SUM('מקור-03'!$C$3:$C$191)</f>
        <v>2063</v>
      </c>
      <c r="D8" s="15">
        <f>SUM('מקור-03'!$D$3:$D$191)</f>
        <v>1781</v>
      </c>
      <c r="E8" s="16">
        <f>D8-C8</f>
        <v>-282</v>
      </c>
      <c r="F8" s="17">
        <f>IF(C8=0,"",(D8-C8)/C8)</f>
        <v>-0.13669413475521086</v>
      </c>
    </row>
    <row r="9">
      <c r="B9" s="2" t="inlineStr">
        <is>
          <t>אפריל</t>
        </is>
      </c>
      <c r="C9" s="15">
        <f>SUM('מקור-04'!$C$3:$C$181)</f>
        <v>2021</v>
      </c>
      <c r="D9" s="15">
        <f>SUM('מקור-04'!$D$3:$D$181)</f>
        <v>2002</v>
      </c>
      <c r="E9" s="16">
        <f>D9-C9</f>
        <v>-19</v>
      </c>
      <c r="F9" s="17">
        <f>IF(C9=0,"",(D9-C9)/C9)</f>
        <v>-0.009401286491835725</v>
      </c>
    </row>
    <row r="10">
      <c r="B10" s="2" t="inlineStr">
        <is>
          <t>מאי</t>
        </is>
      </c>
      <c r="C10" s="15">
        <f>SUM('מקור-05'!$C$3:$C$192)</f>
        <v>2249</v>
      </c>
      <c r="D10" s="15">
        <f>SUM('מקור-05'!$D$3:$D$192)</f>
        <v>2321</v>
      </c>
      <c r="E10" s="16">
        <f>D10-C10</f>
        <v>72</v>
      </c>
      <c r="F10" s="17">
        <f>IF(C10=0,"",(D10-C10)/C10)</f>
        <v>0.03201422854602046</v>
      </c>
    </row>
    <row r="11">
      <c r="B11" s="2" t="inlineStr">
        <is>
          <t>יוני</t>
        </is>
      </c>
      <c r="C11" s="15">
        <f>SUM('מקור-06'!$C$3:$C$185)</f>
        <v>1924</v>
      </c>
      <c r="D11" s="15">
        <f>SUM('מקור-06'!$D$3:$D$185)</f>
        <v>2374</v>
      </c>
      <c r="E11" s="16">
        <f>D11-C11</f>
        <v>450</v>
      </c>
      <c r="F11" s="17">
        <f>IF(C11=0,"",(D11-C11)/C11)</f>
        <v>0.2338877338877339</v>
      </c>
    </row>
    <row r="12">
      <c r="B12" s="2" t="inlineStr">
        <is>
          <t>יולי</t>
        </is>
      </c>
      <c r="C12" s="15">
        <f>SUM('מקור-07'!$C$3:$C$200)</f>
        <v>2261</v>
      </c>
      <c r="D12" s="15">
        <f>SUM('מקור-07'!$D$3:$D$200)</f>
        <v>2315</v>
      </c>
      <c r="E12" s="16">
        <f>D12-C12</f>
        <v>54</v>
      </c>
      <c r="F12" s="17">
        <f>IF(C12=0,"",(D12-C12)/C12)</f>
        <v>0.023883237505528527</v>
      </c>
    </row>
    <row r="13">
      <c r="B13" s="2" t="inlineStr">
        <is>
          <t>אוגוסט</t>
        </is>
      </c>
      <c r="C13" s="15">
        <f>SUM('מקור-08'!$C$3:$C$193)</f>
        <v>1941</v>
      </c>
      <c r="D13" s="15">
        <f>SUM('מקור-08'!$D$3:$D$193)</f>
        <v>2199</v>
      </c>
      <c r="E13" s="16">
        <f>D13-C13</f>
        <v>258</v>
      </c>
      <c r="F13" s="17">
        <f>IF(C13=0,"",(D13-C13)/C13)</f>
        <v>0.13292117465224113</v>
      </c>
    </row>
    <row r="14">
      <c r="B14" s="18" t="inlineStr">
        <is>
          <t>סה"כ כללי</t>
        </is>
      </c>
      <c r="C14" s="19">
        <f>SUM(C6:C13)</f>
        <v>16642</v>
      </c>
      <c r="D14" s="19">
        <f>SUM(D6:D13)</f>
        <v>17314</v>
      </c>
      <c r="E14" s="20">
        <f>D14-C14</f>
        <v>672</v>
      </c>
      <c r="F14" s="21">
        <f>IF(C14=0,"",(D14-C14)/C14)</f>
        <v>0.04037976204783079</v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rightToLeft="1" zoomScaleNormal="100" workbookViewId="0">
      <pane ySplit="3" topLeftCell="A4" activePane="bottomLeft" state="frozen"/>
      <selection pane="bottomLeft" activeCell="A1" sqref="A1"/>
    </sheetView>
  </sheetViews>
  <sheetFormatPr baseColWidth="8" defaultColWidth="8.5703125" defaultRowHeight="15"/>
  <cols>
    <col width="5" customWidth="1" min="1" max="1"/>
    <col width="12" customWidth="1" min="2" max="2"/>
    <col width="34" customWidth="1" min="3" max="3"/>
    <col width="18" customWidth="1" min="4" max="5"/>
  </cols>
  <sheetData>
    <row r="1" ht="16.5" customHeight="1">
      <c r="A1" s="1" t="inlineStr">
        <is>
          <t>הכי נמכרים 2025 - Top 20 לפי יחידות ינואר-אוגוסט 2025 (עם השוואה ל-2026)</t>
        </is>
      </c>
    </row>
    <row r="3" ht="15" customHeight="1">
      <c r="A3" s="14" t="inlineStr">
        <is>
          <t>#</t>
        </is>
      </c>
      <c r="B3" s="14" t="inlineStr">
        <is>
          <t>קוד SKU</t>
        </is>
      </c>
      <c r="C3" s="14" t="inlineStr">
        <is>
          <t>שם מוצר</t>
        </is>
      </c>
      <c r="D3" s="14" t="inlineStr">
        <is>
          <t>יחידות ינואר-אוגוסט 2025</t>
        </is>
      </c>
      <c r="E3" s="14" t="inlineStr">
        <is>
          <t>יחידות ינואר-אוגוסט 2026</t>
        </is>
      </c>
    </row>
    <row r="4" ht="15" customHeight="1">
      <c r="A4" s="6" t="n">
        <v>1</v>
      </c>
      <c r="B4" s="6">
        <f>'השוואה כוללת'!A65</f>
        <v>51567</v>
      </c>
      <c t="str" r="C4" s="6">
        <f>'השוואה כוללת'!B65</f>
        <v>                                   1 סד יד דו צדדי</v>
      </c>
      <c r="D4" s="7">
        <f>'השוואה כוללת'!C65</f>
        <v>1085</v>
      </c>
      <c r="E4" s="7">
        <f>'השוואה כוללת'!D65</f>
        <v>1104</v>
      </c>
    </row>
    <row r="5" ht="15" customHeight="1">
      <c r="A5" s="6" t="n">
        <v>2</v>
      </c>
      <c r="B5" s="6">
        <f>'השוואה כוללת'!A213</f>
        <v>83668</v>
      </c>
      <c t="str" r="C5" s="6">
        <f>'השוואה כוללת'!B213</f>
        <v>URI FC335    1 טלק לכף הרגל</v>
      </c>
      <c r="D5" s="7">
        <f>'השוואה כוללת'!C213</f>
        <v>841</v>
      </c>
      <c r="E5" s="7">
        <f>'השוואה כוללת'!D213</f>
        <v>549</v>
      </c>
    </row>
    <row r="6" ht="15" customHeight="1">
      <c r="A6" s="6" t="n">
        <v>3</v>
      </c>
      <c r="B6" s="6">
        <f>'השוואה כוללת'!A150</f>
        <v>71204</v>
      </c>
      <c t="str" r="C6" s="6">
        <f>'השוואה כוללת'!B150</f>
        <v>URI 3655   1 שרוול מסיליקון</v>
      </c>
      <c r="D6" s="7">
        <f>'השוואה כוללת'!C150</f>
        <v>733</v>
      </c>
      <c r="E6" s="7">
        <f>'השוואה כוללת'!D150</f>
        <v>631</v>
      </c>
    </row>
    <row r="7" ht="15" customHeight="1">
      <c r="A7" s="6" t="n">
        <v>4</v>
      </c>
      <c r="B7" s="6">
        <f>'השוואה כוללת'!A84</f>
        <v>59679</v>
      </c>
      <c t="str" r="C7" s="6">
        <f>'השוואה כוללת'!B84</f>
        <v>URI 364 S M 1</v>
      </c>
      <c r="D7" s="7">
        <f>'השוואה כוללת'!C84</f>
        <v>442</v>
      </c>
      <c r="E7" s="7">
        <f>'השוואה כוללת'!D84</f>
        <v>359</v>
      </c>
    </row>
    <row r="8" ht="15" customHeight="1">
      <c r="A8" s="6" t="n">
        <v>5</v>
      </c>
      <c r="B8" s="6">
        <f>'השוואה כוללת'!A98</f>
        <v>63360</v>
      </c>
      <c t="str" r="C8" s="6">
        <f>'השוואה כוללת'!B98</f>
        <v>URI 45 L          1 מגן ברךBOX</v>
      </c>
      <c r="D8" s="7">
        <f>'השוואה כוללת'!C98</f>
        <v>374</v>
      </c>
      <c r="E8" s="7">
        <f>'השוואה כוללת'!D98</f>
        <v>372</v>
      </c>
    </row>
    <row r="9" ht="15" customHeight="1">
      <c r="A9" s="6" t="n">
        <v>6</v>
      </c>
      <c r="B9" s="6">
        <f>'השוואה כוללת'!A30</f>
        <v>24612</v>
      </c>
      <c t="str" r="C9" s="6">
        <f>'השוואה כוללת'!B30</f>
        <v>URI AC28        1 סד לאגודל</v>
      </c>
      <c r="D9" s="7">
        <f>'השוואה כוללת'!C30</f>
        <v>363</v>
      </c>
      <c r="E9" s="7">
        <f>'השוואה כוללת'!D30</f>
        <v>286</v>
      </c>
    </row>
    <row r="10" ht="15" customHeight="1">
      <c r="A10" s="6" t="n">
        <v>7</v>
      </c>
      <c r="B10" s="6">
        <f>'השוואה כוללת'!A45</f>
        <v>31188</v>
      </c>
      <c t="str" r="C10" s="6">
        <f>'השוואה כוללת'!B45</f>
        <v>URI 372    1 רפידת אנטי ריח</v>
      </c>
      <c r="D10" s="7">
        <f>'השוואה כוללת'!C45</f>
        <v>359</v>
      </c>
      <c r="E10" s="7">
        <f>'השוואה כוללת'!D45</f>
        <v>352</v>
      </c>
    </row>
    <row r="11" ht="15" customHeight="1">
      <c r="A11" s="6" t="n">
        <v>8</v>
      </c>
      <c r="B11" s="6">
        <f>'השוואה כוללת'!A66</f>
        <v>51568</v>
      </c>
      <c t="str" r="C11" s="6">
        <f>'השוואה כוללת'!B66</f>
        <v>                                       1 סד לאגודל</v>
      </c>
      <c r="D11" s="7">
        <f>'השוואה כוללת'!C66</f>
        <v>347</v>
      </c>
      <c r="E11" s="7">
        <f>'השוואה כוללת'!D66</f>
        <v>472</v>
      </c>
    </row>
    <row r="12" ht="15" customHeight="1">
      <c r="A12" s="6" t="n">
        <v>9</v>
      </c>
      <c r="B12" s="6">
        <f>'השוואה כוללת'!A97</f>
        <v>63359</v>
      </c>
      <c t="str" r="C12" s="6">
        <f>'השוואה כוללת'!B97</f>
        <v>URI 45 M          1 מגן ברך</v>
      </c>
      <c r="D12" s="7">
        <f>'השוואה כוללת'!C97</f>
        <v>311</v>
      </c>
      <c r="E12" s="7">
        <f>'השוואה כוללת'!D97</f>
        <v>297</v>
      </c>
    </row>
    <row r="13" ht="15" customHeight="1">
      <c r="A13" s="6" t="n">
        <v>10</v>
      </c>
      <c r="B13" s="6">
        <f>'השוואה כוללת'!A162</f>
        <v>74709</v>
      </c>
      <c t="str" r="C13" s="6">
        <f>'השוואה כוללת'!B162</f>
        <v>URI 21 M      1 חבק יד ארוך</v>
      </c>
      <c r="D13" s="7">
        <f>'השוואה כוללת'!C162</f>
        <v>274</v>
      </c>
      <c r="E13" s="7">
        <f>'השוואה כוללת'!D162</f>
        <v>252</v>
      </c>
    </row>
    <row r="14" ht="15" customHeight="1">
      <c r="A14" s="6" t="n">
        <v>11</v>
      </c>
      <c r="B14" s="6">
        <f>'השוואה כוללת'!A87</f>
        <v>60472</v>
      </c>
      <c t="str" r="C14" s="6">
        <f>'השוואה כוללת'!B87</f>
        <v>URI PD340  1 קוצץ ציפורניים</v>
      </c>
      <c r="D14" s="7">
        <f>'השוואה כוללת'!C87</f>
        <v>266</v>
      </c>
      <c r="E14" s="7">
        <f>'השוואה כוללת'!D87</f>
        <v>350</v>
      </c>
    </row>
    <row r="15" ht="15" customHeight="1">
      <c r="A15" s="6" t="n">
        <v>12</v>
      </c>
      <c r="B15" s="6">
        <f>'השוואה כוללת'!A85</f>
        <v>59694</v>
      </c>
      <c t="str" r="C15" s="6">
        <f>'השוואה כוללת'!B85</f>
        <v>URI 365 S-L   1 טבעת אלסטית</v>
      </c>
      <c r="D15" s="7">
        <f>'השוואה כוללת'!C85</f>
        <v>258</v>
      </c>
      <c r="E15" s="7">
        <f>'השוואה כוללת'!D85</f>
        <v>240</v>
      </c>
    </row>
    <row r="16" ht="15" customHeight="1">
      <c r="A16" s="6" t="n">
        <v>13</v>
      </c>
      <c r="B16" s="6">
        <f>'השוואה כוללת'!A135</f>
        <v>67385</v>
      </c>
      <c t="str" r="C16" s="6">
        <f>'השוואה כוללת'!B135</f>
        <v>URI 302M 0  1 מדרס ג'ל לגבר</v>
      </c>
      <c r="D16" s="7">
        <f>'השוואה כוללת'!C135</f>
        <v>256</v>
      </c>
      <c r="E16" s="7">
        <f>'השוואה כוללת'!D135</f>
        <v>119</v>
      </c>
    </row>
    <row r="17" ht="15" customHeight="1">
      <c r="A17" s="6" t="n">
        <v>14</v>
      </c>
      <c r="B17" s="6">
        <f>'השוואה כוללת'!A167</f>
        <v>74799</v>
      </c>
      <c t="str" r="C17" s="6">
        <f>'השוואה כוללת'!B167</f>
        <v>URI 45E L1 מגן ברך ארוך לבן</v>
      </c>
      <c r="D17" s="7">
        <f>'השוואה כוללת'!C167</f>
        <v>244</v>
      </c>
      <c r="E17" s="7">
        <f>'השוואה כוללת'!D167</f>
        <v>237</v>
      </c>
    </row>
    <row r="18" ht="15" customHeight="1">
      <c r="A18" s="6" t="n">
        <v>15</v>
      </c>
      <c r="B18" s="6">
        <f>'השוואה כוללת'!A131</f>
        <v>66745</v>
      </c>
      <c t="str" r="C18" s="6">
        <f>'השוואה כוללת'!B131</f>
        <v>                       1 תרסיס דיאו.אנטי בקטר.לנעל</v>
      </c>
      <c r="D18" s="7">
        <f>'השוואה כוללת'!C131</f>
        <v>235</v>
      </c>
      <c r="E18" s="7">
        <f>'השוואה כוללת'!D131</f>
        <v>336</v>
      </c>
    </row>
    <row r="19" ht="15" customHeight="1">
      <c r="A19" s="6" t="n">
        <v>16</v>
      </c>
      <c r="B19" s="6">
        <f>'השוואה כוללת'!A99</f>
        <v>63361</v>
      </c>
      <c t="str" r="C19" s="6">
        <f>'השוואה כוללת'!B99</f>
        <v>URI 45 XL         1 מגן ברך</v>
      </c>
      <c r="D19" s="7">
        <f>'השוואה כוללת'!C99</f>
        <v>226</v>
      </c>
      <c r="E19" s="7">
        <f>'השוואה כוללת'!D99</f>
        <v>217</v>
      </c>
    </row>
    <row r="20" ht="15" customHeight="1">
      <c r="A20" s="6" t="n">
        <v>17</v>
      </c>
      <c r="B20" s="6">
        <f>'השוואה כוללת'!A168</f>
        <v>74800</v>
      </c>
      <c t="str" r="C20" s="6">
        <f>'השוואה כוללת'!B168</f>
        <v>URI 45E M    1 מגן ברך ארוך</v>
      </c>
      <c r="D20" s="7">
        <f>'השוואה כוללת'!C168</f>
        <v>222</v>
      </c>
      <c r="E20" s="7">
        <f>'השוואה כוללת'!D168</f>
        <v>192</v>
      </c>
    </row>
    <row r="21" ht="15" customHeight="1">
      <c r="A21" s="6" t="n">
        <v>18</v>
      </c>
      <c r="B21" s="6">
        <f>'השוואה כוללת'!A44</f>
        <v>31183</v>
      </c>
      <c t="str" r="C21" s="6">
        <f>'השוואה כוללת'!B44</f>
        <v>URI 370       1 רפידת נוחות</v>
      </c>
      <c r="D21" s="7">
        <f>'השוואה כוללת'!C44</f>
        <v>219</v>
      </c>
      <c r="E21" s="7">
        <f>'השוואה כוללת'!D44</f>
        <v>221</v>
      </c>
    </row>
    <row r="22" ht="15" customHeight="1">
      <c r="A22" s="6" t="n">
        <v>19</v>
      </c>
      <c r="B22" s="6">
        <f>'השוואה כוללת'!A108</f>
        <v>63415</v>
      </c>
      <c t="str" r="C22" s="6">
        <f>'השוואה כוללת'!B108</f>
        <v>URI 85 L         1 מתלה ליד</v>
      </c>
      <c r="D22" s="7">
        <f>'השוואה כוללת'!C108</f>
        <v>214</v>
      </c>
      <c r="E22" s="7">
        <f>'השוואה כוללת'!D108</f>
        <v>241</v>
      </c>
    </row>
    <row r="23" ht="15" customHeight="1">
      <c r="A23" s="6" t="n">
        <v>20</v>
      </c>
      <c r="B23" s="6">
        <f>'השוואה כוללת'!A29</f>
        <v>23008</v>
      </c>
      <c t="str" r="C23" s="6">
        <f>'השוואה כוללת'!B29</f>
        <v>URI 364 XL 1</v>
      </c>
      <c r="D23" s="7">
        <f>'השוואה כוללת'!C29</f>
        <v>212</v>
      </c>
      <c r="E23" s="7">
        <f>'השוואה כוללת'!D29</f>
        <v>246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rightToLeft="1" zoomScale="145" zoomScaleNormal="145" workbookViewId="0">
      <pane ySplit="3" topLeftCell="A4" activePane="bottomLeft" state="frozen"/>
      <selection pane="bottomLeft" activeCell="C19" sqref="C19"/>
    </sheetView>
  </sheetViews>
  <sheetFormatPr baseColWidth="8" defaultColWidth="8.5703125" defaultRowHeight="15"/>
  <cols>
    <col width="5" customWidth="1" min="1" max="1"/>
    <col width="12" customWidth="1" min="2" max="2"/>
    <col width="34" customWidth="1" min="3" max="3"/>
    <col width="18" customWidth="1" min="4" max="5"/>
  </cols>
  <sheetData>
    <row r="1" ht="16.5" customHeight="1">
      <c r="A1" s="1" t="inlineStr">
        <is>
          <t>הכי נמכרים 2026 - Top 20 לפי יחידות ינואר-אוגוסט 2026 (עם השוואה ל-2025)</t>
        </is>
      </c>
    </row>
    <row r="3" ht="15" customHeight="1">
      <c r="A3" s="14" t="inlineStr">
        <is>
          <t>#</t>
        </is>
      </c>
      <c r="B3" s="14" t="inlineStr">
        <is>
          <t>קוד SKU</t>
        </is>
      </c>
      <c r="C3" s="14" t="inlineStr">
        <is>
          <t>שם מוצר</t>
        </is>
      </c>
      <c r="D3" s="14" t="inlineStr">
        <is>
          <t>יחידות ינואר-אוגוסט 2025</t>
        </is>
      </c>
      <c r="E3" s="14" t="inlineStr">
        <is>
          <t>יחידות ינואר-אוגוסט 2026</t>
        </is>
      </c>
    </row>
    <row r="4" ht="15" customHeight="1">
      <c r="A4" s="6" t="n">
        <v>1</v>
      </c>
      <c r="B4" s="6">
        <f>'השוואה כוללת'!A65</f>
        <v>51567</v>
      </c>
      <c t="str" r="C4" s="6">
        <f>'השוואה כוללת'!B65</f>
        <v>                                   1 סד יד דו צדדי</v>
      </c>
      <c r="D4" s="7">
        <f>'השוואה כוללת'!C65</f>
        <v>1085</v>
      </c>
      <c r="E4" s="7">
        <f>'השוואה כוללת'!D65</f>
        <v>1104</v>
      </c>
    </row>
    <row r="5" ht="15" customHeight="1">
      <c r="A5" s="6" t="n">
        <v>2</v>
      </c>
      <c r="B5" s="6">
        <f>'השוואה כוללת'!A150</f>
        <v>71204</v>
      </c>
      <c t="str" r="C5" s="6">
        <f>'השוואה כוללת'!B150</f>
        <v>URI 3655   1 שרוול מסיליקון</v>
      </c>
      <c r="D5" s="7">
        <f>'השוואה כוללת'!C150</f>
        <v>733</v>
      </c>
      <c r="E5" s="7">
        <f>'השוואה כוללת'!D150</f>
        <v>631</v>
      </c>
    </row>
    <row r="6" ht="15" customHeight="1">
      <c r="A6" s="6" t="n">
        <v>3</v>
      </c>
      <c r="B6" s="6">
        <f>'השוואה כוללת'!A213</f>
        <v>83668</v>
      </c>
      <c t="str" r="C6" s="27">
        <f>'השוואה כוללת'!B213</f>
        <v>URI FC335    1 טלק לכף הרגל</v>
      </c>
      <c r="D6" s="7">
        <f>'השוואה כוללת'!C213</f>
        <v>841</v>
      </c>
      <c r="E6" s="7">
        <f>'השוואה כוללת'!D213</f>
        <v>549</v>
      </c>
    </row>
    <row r="7" ht="15" customHeight="1">
      <c r="A7" s="6" t="n">
        <v>4</v>
      </c>
      <c r="B7" s="6">
        <f>'השוואה כוללת'!A207</f>
        <v>82206</v>
      </c>
      <c t="str" r="C7" s="6">
        <f>'השוואה כוללת'!B207</f>
        <v>ST25     1 חבק לשורש כף היד</v>
      </c>
      <c r="D7" s="7">
        <f>'השוואה כוללת'!C207</f>
        <v>138</v>
      </c>
      <c r="E7" s="7">
        <f>'השוואה כוללת'!D207</f>
        <v>498</v>
      </c>
    </row>
    <row r="8" ht="15" customHeight="1">
      <c r="A8" s="6" t="n">
        <v>5</v>
      </c>
      <c r="B8" s="6">
        <f>'השוואה כוללת'!A66</f>
        <v>51568</v>
      </c>
      <c t="str" r="C8" s="6">
        <f>'השוואה כוללת'!B66</f>
        <v>                                       1 סד לאגודל</v>
      </c>
      <c r="D8" s="7">
        <f>'השוואה כוללת'!C66</f>
        <v>347</v>
      </c>
      <c r="E8" s="7">
        <f>'השוואה כוללת'!D66</f>
        <v>472</v>
      </c>
    </row>
    <row r="9" ht="15" customHeight="1">
      <c r="A9" s="6" t="n">
        <v>6</v>
      </c>
      <c r="B9" s="6">
        <f>'השוואה כוללת'!A98</f>
        <v>63360</v>
      </c>
      <c t="str" r="C9" s="6">
        <f>'השוואה כוללת'!B98</f>
        <v>URI 45 L          1 מגן ברךBOX</v>
      </c>
      <c r="D9" s="7">
        <f>'השוואה כוללת'!C98</f>
        <v>374</v>
      </c>
      <c r="E9" s="7">
        <f>'השוואה כוללת'!D98</f>
        <v>372</v>
      </c>
    </row>
    <row r="10" ht="15" customHeight="1">
      <c r="A10" s="6" t="n">
        <v>7</v>
      </c>
      <c r="B10" s="6">
        <f>'השוואה כוללת'!A84</f>
        <v>59679</v>
      </c>
      <c t="str" r="C10" s="6">
        <f>'השוואה כוללת'!B84</f>
        <v>URI 364 S M 1</v>
      </c>
      <c r="D10" s="7">
        <f>'השוואה כוללת'!C84</f>
        <v>442</v>
      </c>
      <c r="E10" s="7">
        <f>'השוואה כוללת'!D84</f>
        <v>359</v>
      </c>
    </row>
    <row r="11" ht="15" customHeight="1">
      <c r="A11" s="6" t="n">
        <v>8</v>
      </c>
      <c r="B11" s="6">
        <f>'השוואה כוללת'!A45</f>
        <v>31188</v>
      </c>
      <c t="str" r="C11" s="6">
        <f>'השוואה כוללת'!B45</f>
        <v>URI 372    1 רפידת אנטי ריח</v>
      </c>
      <c r="D11" s="7">
        <f>'השוואה כוללת'!C45</f>
        <v>359</v>
      </c>
      <c r="E11" s="7">
        <f>'השוואה כוללת'!D45</f>
        <v>352</v>
      </c>
    </row>
    <row r="12" ht="15" customHeight="1">
      <c r="A12" s="6" t="n">
        <v>9</v>
      </c>
      <c r="B12" s="6">
        <f>'השוואה כוללת'!A87</f>
        <v>60472</v>
      </c>
      <c t="str" r="C12" s="6">
        <f>'השוואה כוללת'!B87</f>
        <v>URI PD340  1 קוצץ ציפורניים</v>
      </c>
      <c r="D12" s="7">
        <f>'השוואה כוללת'!C87</f>
        <v>266</v>
      </c>
      <c r="E12" s="7">
        <f>'השוואה כוללת'!D87</f>
        <v>350</v>
      </c>
    </row>
    <row r="13" ht="15" customHeight="1">
      <c r="A13" s="6" t="n">
        <v>10</v>
      </c>
      <c r="B13" s="6">
        <f>'השוואה כוללת'!A131</f>
        <v>66745</v>
      </c>
      <c t="str" r="C13" s="6">
        <f>'השוואה כוללת'!B131</f>
        <v>                       1 תרסיס דיאו.אנטי בקטר.לנעל</v>
      </c>
      <c r="D13" s="7">
        <f>'השוואה כוללת'!C131</f>
        <v>235</v>
      </c>
      <c r="E13" s="7">
        <f>'השוואה כוללת'!D131</f>
        <v>336</v>
      </c>
    </row>
    <row r="14" ht="15" customHeight="1">
      <c r="A14" s="6" t="n">
        <v>11</v>
      </c>
      <c r="B14" s="6">
        <f>'השוואה כוללת'!A97</f>
        <v>63359</v>
      </c>
      <c t="str" r="C14" s="6">
        <f>'השוואה כוללת'!B97</f>
        <v>URI 45 M          1 מגן ברך</v>
      </c>
      <c r="D14" s="7">
        <f>'השוואה כוללת'!C97</f>
        <v>311</v>
      </c>
      <c r="E14" s="7">
        <f>'השוואה כוללת'!D97</f>
        <v>297</v>
      </c>
    </row>
    <row r="15" ht="15" customHeight="1">
      <c r="A15" s="6" t="n">
        <v>12</v>
      </c>
      <c r="B15" s="6">
        <f>'השוואה כוללת'!A30</f>
        <v>24612</v>
      </c>
      <c t="str" r="C15" s="6">
        <f>'השוואה כוללת'!B30</f>
        <v>URI AC28        1 סד לאגודל</v>
      </c>
      <c r="D15" s="7">
        <f>'השוואה כוללת'!C30</f>
        <v>363</v>
      </c>
      <c r="E15" s="7">
        <f>'השוואה כוללת'!D30</f>
        <v>286</v>
      </c>
    </row>
    <row r="16" ht="15" customHeight="1">
      <c r="A16" s="6" t="n">
        <v>13</v>
      </c>
      <c r="B16" s="6">
        <f>'השוואה כוללת'!A162</f>
        <v>74709</v>
      </c>
      <c t="str" r="C16" s="6">
        <f>'השוואה כוללת'!B162</f>
        <v>URI 21 M      1 חבק יד ארוך</v>
      </c>
      <c r="D16" s="7">
        <f>'השוואה כוללת'!C162</f>
        <v>274</v>
      </c>
      <c r="E16" s="7">
        <f>'השוואה כוללת'!D162</f>
        <v>252</v>
      </c>
    </row>
    <row r="17" ht="15" customHeight="1">
      <c r="A17" s="6" t="n">
        <v>14</v>
      </c>
      <c r="B17" s="6">
        <f>'השוואה כוללת'!A29</f>
        <v>23008</v>
      </c>
      <c t="str" r="C17" s="6">
        <f>'השוואה כוללת'!B29</f>
        <v>URI 364 XL 1</v>
      </c>
      <c r="D17" s="7">
        <f>'השוואה כוללת'!C29</f>
        <v>212</v>
      </c>
      <c r="E17" s="7">
        <f>'השוואה כוללת'!D29</f>
        <v>246</v>
      </c>
    </row>
    <row r="18" ht="15" customHeight="1">
      <c r="A18" s="6" t="n">
        <v>15</v>
      </c>
      <c r="B18" s="6">
        <f>'השוואה כוללת'!A108</f>
        <v>63415</v>
      </c>
      <c t="str" r="C18" s="6">
        <f>'השוואה כוללת'!B108</f>
        <v>URI 85 L         1 מתלה ליד</v>
      </c>
      <c r="D18" s="7">
        <f>'השוואה כוללת'!C108</f>
        <v>214</v>
      </c>
      <c r="E18" s="7">
        <f>'השוואה כוללת'!D108</f>
        <v>241</v>
      </c>
    </row>
    <row r="19" ht="15" customHeight="1">
      <c r="A19" s="6" t="n">
        <v>16</v>
      </c>
      <c r="B19" s="6">
        <f>'השוואה כוללת'!A85</f>
        <v>59694</v>
      </c>
      <c t="str" r="C19" s="6">
        <f>'השוואה כוללת'!B85</f>
        <v>URI 365 S-L   1 טבעת אלסטית</v>
      </c>
      <c r="D19" s="7">
        <f>'השוואה כוללת'!C85</f>
        <v>258</v>
      </c>
      <c r="E19" s="7">
        <f>'השוואה כוללת'!D85</f>
        <v>240</v>
      </c>
    </row>
    <row r="20" ht="15" customHeight="1">
      <c r="A20" s="6" t="n">
        <v>17</v>
      </c>
      <c r="B20" s="6">
        <f>'השוואה כוללת'!A167</f>
        <v>74799</v>
      </c>
      <c t="str" r="C20" s="6">
        <f>'השוואה כוללת'!B167</f>
        <v>URI 45E L1 מגן ברך ארוך לבן</v>
      </c>
      <c r="D20" s="7">
        <f>'השוואה כוללת'!C167</f>
        <v>244</v>
      </c>
      <c r="E20" s="7">
        <f>'השוואה כוללת'!D167</f>
        <v>237</v>
      </c>
    </row>
    <row r="21" ht="15" customHeight="1">
      <c r="A21" s="6" t="n">
        <v>18</v>
      </c>
      <c r="B21" s="6">
        <f>'השוואה כוללת'!A44</f>
        <v>31183</v>
      </c>
      <c t="str" r="C21" s="6">
        <f>'השוואה כוללת'!B44</f>
        <v>URI 370       1 רפידת נוחות</v>
      </c>
      <c r="D21" s="7">
        <f>'השוואה כוללת'!C44</f>
        <v>219</v>
      </c>
      <c r="E21" s="7">
        <f>'השוואה כוללת'!D44</f>
        <v>221</v>
      </c>
    </row>
    <row r="22" ht="15" customHeight="1">
      <c r="A22" s="6" t="n">
        <v>19</v>
      </c>
      <c r="B22" s="6">
        <f>'השוואה כוללת'!A99</f>
        <v>63361</v>
      </c>
      <c t="str" r="C22" s="6">
        <f>'השוואה כוללת'!B99</f>
        <v>URI 45 XL         1 מגן ברך</v>
      </c>
      <c r="D22" s="7">
        <f>'השוואה כוללת'!C99</f>
        <v>226</v>
      </c>
      <c r="E22" s="7">
        <f>'השוואה כוללת'!D99</f>
        <v>217</v>
      </c>
    </row>
    <row r="23" ht="15" customHeight="1">
      <c r="A23" s="6" t="n">
        <v>20</v>
      </c>
      <c r="B23" s="6">
        <f>'השוואה כוללת'!A90</f>
        <v>60476</v>
      </c>
      <c t="str" r="C23" s="6">
        <f>'השוואה כוללת'!B90</f>
        <v>URI PD344       1 אבן טבעית</v>
      </c>
      <c r="D23" s="7">
        <f>'השוואה כוללת'!C90</f>
        <v>192</v>
      </c>
      <c r="E23" s="7">
        <f>'השוואה כוללת'!D90</f>
        <v>207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rightToLeft="1" zoomScaleNormal="100" workbookViewId="0">
      <pane ySplit="4" topLeftCell="A5" activePane="bottomLeft" state="frozen"/>
      <selection pane="bottomLeft" activeCell="A1" sqref="A1"/>
    </sheetView>
  </sheetViews>
  <sheetFormatPr baseColWidth="8" defaultColWidth="8.5703125" defaultRowHeight="15"/>
  <cols>
    <col width="5" customWidth="1" min="1" max="1"/>
    <col width="12" customWidth="1" min="2" max="2"/>
    <col width="34" customWidth="1" min="3" max="3"/>
    <col width="18" customWidth="1" min="4" max="5"/>
    <col width="12" customWidth="1" min="6" max="6"/>
  </cols>
  <sheetData>
    <row r="1" ht="16.5" customHeight="1">
      <c r="A1" s="1" t="inlineStr">
        <is>
          <t>עליות הכי גדולות - Top 20 לפי אחוז עלייה מ-2025 ל-2026</t>
        </is>
      </c>
    </row>
    <row r="2" ht="15" customHeight="1">
      <c r="A2" s="4" t="inlineStr">
        <is>
          <t>סף מינימלי: רק מוצרים עם לפחות 5 יחידות שנמכרו בינואר-אוגוסט 2025 (מוצאים מוצרים חדשים/שוליים עם בסיס נמוך שמעוותים אחוזים).</t>
        </is>
      </c>
    </row>
    <row r="4" ht="15" customHeight="1">
      <c r="A4" s="14" t="inlineStr">
        <is>
          <t>#</t>
        </is>
      </c>
      <c r="B4" s="14" t="inlineStr">
        <is>
          <t>קוד SKU</t>
        </is>
      </c>
      <c r="C4" s="14" t="inlineStr">
        <is>
          <t>שם מוצר</t>
        </is>
      </c>
      <c r="D4" s="14" t="inlineStr">
        <is>
          <t>יחידות ינואר-אוגוסט 2025</t>
        </is>
      </c>
      <c r="E4" s="14" t="inlineStr">
        <is>
          <t>יחידות ינואר-אוגוסט 2026</t>
        </is>
      </c>
      <c r="F4" s="14" t="inlineStr">
        <is>
          <t>שינוי %</t>
        </is>
      </c>
    </row>
    <row r="5" ht="15" customHeight="1">
      <c r="A5" s="6" t="n">
        <v>1</v>
      </c>
      <c r="B5" s="6">
        <f>'השוואה כוללת'!A207</f>
        <v>82206</v>
      </c>
      <c t="str" r="C5" s="6">
        <f>'השוואה כוללת'!B207</f>
        <v>ST25     1 חבק לשורש כף היד</v>
      </c>
      <c r="D5" s="7">
        <f>'השוואה כוללת'!C207</f>
        <v>138</v>
      </c>
      <c r="E5" s="7">
        <f>'השוואה כוללת'!D207</f>
        <v>498</v>
      </c>
      <c r="F5" s="9">
        <f>'השוואה כוללת'!F207</f>
        <v>2.608695652173913</v>
      </c>
    </row>
    <row r="6" ht="15" customHeight="1">
      <c r="A6" s="6" t="n">
        <v>2</v>
      </c>
      <c r="B6" s="6">
        <f>'השוואה כוללת'!A77</f>
        <v>57662</v>
      </c>
      <c t="str" r="C6" s="6">
        <f>'השוואה כוללת'!B77</f>
        <v>808KT-P   1 טייפ קינזיולוגי</v>
      </c>
      <c r="D6" s="7">
        <f>'השוואה כוללת'!C77</f>
        <v>16</v>
      </c>
      <c r="E6" s="7">
        <f>'השוואה כוללת'!D77</f>
        <v>56</v>
      </c>
      <c r="F6" s="9">
        <f>'השוואה כוללת'!F77</f>
        <v>2.5</v>
      </c>
    </row>
    <row r="7" ht="15" customHeight="1">
      <c r="A7" s="6" t="n">
        <v>3</v>
      </c>
      <c r="B7" s="6">
        <f>'השוואה כוללת'!A80</f>
        <v>57696</v>
      </c>
      <c t="str" r="C7" s="6">
        <f>'השוואה כוללת'!B80</f>
        <v>808KT-B   1 טייפ קינזיולוגי</v>
      </c>
      <c r="D7" s="7">
        <f>'השוואה כוללת'!C80</f>
        <v>20</v>
      </c>
      <c r="E7" s="7">
        <f>'השוואה כוללת'!D80</f>
        <v>70</v>
      </c>
      <c r="F7" s="9">
        <f>'השוואה כוללת'!F80</f>
        <v>2.5</v>
      </c>
    </row>
    <row r="8" ht="15" customHeight="1">
      <c r="A8" s="6" t="n">
        <v>4</v>
      </c>
      <c r="B8" s="6">
        <f>'השוואה כוללת'!A209</f>
        <v>82208</v>
      </c>
      <c t="str" r="C8" s="6">
        <f>'השוואה כוללת'!B209</f>
        <v>URI ST37      1 חבק לקרסול</v>
      </c>
      <c r="D8" s="7">
        <f>'השוואה כוללת'!C209</f>
        <v>49</v>
      </c>
      <c r="E8" s="7">
        <f>'השוואה כוללת'!D209</f>
        <v>166</v>
      </c>
      <c r="F8" s="9">
        <f>'השוואה כוללת'!F209</f>
        <v>2.3877551020408165</v>
      </c>
    </row>
    <row r="9" ht="15" customHeight="1">
      <c r="A9" s="6" t="n">
        <v>5</v>
      </c>
      <c r="B9" s="6">
        <f>'השוואה כוללת'!A79</f>
        <v>57690</v>
      </c>
      <c t="str" r="C9" s="6">
        <f>'השוואה כוללת'!B79</f>
        <v>808KT-C   1 טייפ קינזיולוגי</v>
      </c>
      <c r="D9" s="7">
        <f>'השוואה כוללת'!C79</f>
        <v>27</v>
      </c>
      <c r="E9" s="7">
        <f>'השוואה כוללת'!D79</f>
        <v>89</v>
      </c>
      <c r="F9" s="9">
        <f>'השוואה כוללת'!F79</f>
        <v>2.2962962962962963</v>
      </c>
    </row>
    <row r="10" ht="15" customHeight="1">
      <c r="A10" s="6" t="n">
        <v>6</v>
      </c>
      <c r="B10" s="6">
        <f>'השוואה כוללת'!A212</f>
        <v>83420</v>
      </c>
      <c t="str" r="C10" s="6">
        <f>'השוואה כוללת'!B212</f>
        <v>URI ST4221 מגן ברך +כ סיליק</v>
      </c>
      <c r="D10" s="7">
        <f>'השוואה כוללת'!C212</f>
        <v>33</v>
      </c>
      <c r="E10" s="7">
        <f>'השוואה כוללת'!D212</f>
        <v>105</v>
      </c>
      <c r="F10" s="9">
        <f>'השוואה כוללת'!F212</f>
        <v>2.1818181818181817</v>
      </c>
    </row>
    <row r="11" ht="15" customHeight="1">
      <c r="A11" s="6" t="n">
        <v>7</v>
      </c>
      <c r="B11" s="6">
        <f>'השוואה כוללת'!A206</f>
        <v>82202</v>
      </c>
      <c t="str" r="C11" s="6">
        <f>'השוואה כוללת'!B206</f>
        <v>ST91       1 מגן מרפק לטניס</v>
      </c>
      <c r="D11" s="7">
        <f>'השוואה כוללת'!C206</f>
        <v>56</v>
      </c>
      <c r="E11" s="7">
        <f>'השוואה כוללת'!D206</f>
        <v>175</v>
      </c>
      <c r="F11" s="9">
        <f>'השוואה כוללת'!F206</f>
        <v>2.125</v>
      </c>
    </row>
    <row r="12" ht="15" customHeight="1">
      <c r="A12" s="6" t="n">
        <v>8</v>
      </c>
      <c r="B12" s="6">
        <f>'השוואה כוללת'!A78</f>
        <v>57664</v>
      </c>
      <c t="str" r="C12" s="6">
        <f>'השוואה כוללת'!B78</f>
        <v>808KT-BL  1 טייפ קינזיולוגי</v>
      </c>
      <c r="D12" s="7">
        <f>'השוואה כוללת'!C78</f>
        <v>26</v>
      </c>
      <c r="E12" s="7">
        <f>'השוואה כוללת'!D78</f>
        <v>80</v>
      </c>
      <c r="F12" s="9">
        <f>'השוואה כוללת'!F78</f>
        <v>2.076923076923077</v>
      </c>
    </row>
    <row r="13" ht="15" customHeight="1">
      <c r="A13" s="6" t="n">
        <v>9</v>
      </c>
      <c r="B13" s="6">
        <f>'השוואה כוללת'!A208</f>
        <v>82207</v>
      </c>
      <c t="str" r="C13" s="6">
        <f>'השוואה כוללת'!B208</f>
        <v>ST20               1 חבק יד</v>
      </c>
      <c r="D13" s="7">
        <f>'השוואה כוללת'!C208</f>
        <v>39</v>
      </c>
      <c r="E13" s="7">
        <f>'השוואה כוללת'!D208</f>
        <v>116</v>
      </c>
      <c r="F13" s="9">
        <f>'השוואה כוללת'!F208</f>
        <v>1.9743589743589745</v>
      </c>
    </row>
    <row r="14" ht="15" customHeight="1">
      <c r="A14" s="6" t="n">
        <v>10</v>
      </c>
      <c r="B14" s="6">
        <f>'השוואה כוללת'!A122</f>
        <v>64635</v>
      </c>
      <c t="str" r="C14" s="6">
        <f>'השוואה כוללת'!B122</f>
        <v>URI 390B 43-46   1 גרבי כסף</v>
      </c>
      <c r="D14" s="7">
        <f>'השוואה כוללת'!C122</f>
        <v>25</v>
      </c>
      <c r="E14" s="7">
        <f>'השוואה כוללת'!D122</f>
        <v>59</v>
      </c>
      <c r="F14" s="9">
        <f>'השוואה כוללת'!F122</f>
        <v>1.36</v>
      </c>
    </row>
    <row r="15" ht="15" customHeight="1">
      <c r="A15" s="6" t="n">
        <v>11</v>
      </c>
      <c r="B15" s="6">
        <f>'השוואה כוללת'!A185</f>
        <v>74848</v>
      </c>
      <c t="str" r="C15" s="6">
        <f>'השוואה כוללת'!B185</f>
        <v>URI 76 XL       1 מיישר כתף</v>
      </c>
      <c r="D15" s="7">
        <f>'השוואה כוללת'!C185</f>
        <v>6</v>
      </c>
      <c r="E15" s="7">
        <f>'השוואה כוללת'!D185</f>
        <v>14</v>
      </c>
      <c r="F15" s="9">
        <f>'השוואה כוללת'!F185</f>
        <v>1.3333333333333333</v>
      </c>
    </row>
    <row r="16" ht="15" customHeight="1">
      <c r="A16" s="6" t="n">
        <v>12</v>
      </c>
      <c r="B16" s="6">
        <f>'השוואה כוללת'!A217</f>
        <v>87819</v>
      </c>
      <c t="str" r="C16" s="6">
        <f>'השוואה כוללת'!B217</f>
        <v>ST433    H 1 מגן ברך עם ציר</v>
      </c>
      <c r="D16" s="7">
        <f>'השוואה כוללת'!C217</f>
        <v>12</v>
      </c>
      <c r="E16" s="7">
        <f>'השוואה כוללת'!D217</f>
        <v>28</v>
      </c>
      <c r="F16" s="9">
        <f>'השוואה כוללת'!F217</f>
        <v>1.3333333333333333</v>
      </c>
    </row>
    <row r="17" ht="15" customHeight="1">
      <c r="A17" s="6" t="n">
        <v>13</v>
      </c>
      <c r="B17" s="6">
        <f>'השוואה כוללת'!A210</f>
        <v>82213</v>
      </c>
      <c t="str" r="C17" s="6">
        <f>'השוואה כוללת'!B210</f>
        <v>ST28  1 סט אגודלי+מוט תמיכה</v>
      </c>
      <c r="D17" s="7">
        <f>'השוואה כוללת'!C210</f>
        <v>80</v>
      </c>
      <c r="E17" s="7">
        <f>'השוואה כוללת'!D210</f>
        <v>175</v>
      </c>
      <c r="F17" s="9">
        <f>'השוואה כוללת'!F210</f>
        <v>1.1875</v>
      </c>
    </row>
    <row r="18" ht="15" customHeight="1">
      <c r="A18" s="6" t="n">
        <v>14</v>
      </c>
      <c r="B18" s="6">
        <f>'השוואה כוללת'!A147</f>
        <v>71086</v>
      </c>
      <c t="str" r="C18" s="6">
        <f>'השוואה כוללת'!B147</f>
        <v>URI 078M 1</v>
      </c>
      <c r="D18" s="7">
        <f>'השוואה כוללת'!C147</f>
        <v>24</v>
      </c>
      <c r="E18" s="7">
        <f>'השוואה כוללת'!D147</f>
        <v>48</v>
      </c>
      <c r="F18" s="9">
        <f>'השוואה כוללת'!F147</f>
        <v>1</v>
      </c>
    </row>
    <row r="19" ht="15" customHeight="1">
      <c r="A19" s="6" t="n">
        <v>15</v>
      </c>
      <c r="B19" s="6">
        <f>'השוואה כוללת'!A41</f>
        <v>29977</v>
      </c>
      <c t="str" r="C19" s="6">
        <f>'השוואה כוללת'!B41</f>
        <v>URI 11TO XXL    1 חגורת בטן</v>
      </c>
      <c r="D19" s="7">
        <f>'השוואה כוללת'!C41</f>
        <v>5</v>
      </c>
      <c r="E19" s="7">
        <f>'השוואה כוללת'!D41</f>
        <v>9</v>
      </c>
      <c r="F19" s="9">
        <f>'השוואה כוללת'!F41</f>
        <v>0.8</v>
      </c>
    </row>
    <row r="20" ht="15" customHeight="1">
      <c r="A20" s="6" t="n">
        <v>16</v>
      </c>
      <c r="B20" s="6">
        <f>'השוואה כוללת'!A67</f>
        <v>52147</v>
      </c>
      <c t="str" r="C20" s="6">
        <f>'השוואה כוללת'!B67</f>
        <v>URI FC321  1 מלח אמבט לכף ר</v>
      </c>
      <c r="D20" s="7">
        <f>'השוואה כוללת'!C67</f>
        <v>80</v>
      </c>
      <c r="E20" s="7">
        <f>'השוואה כוללת'!D67</f>
        <v>139</v>
      </c>
      <c r="F20" s="9">
        <f>'השוואה כוללת'!F67</f>
        <v>0.7375</v>
      </c>
    </row>
    <row r="21" ht="15" customHeight="1">
      <c r="A21" s="6" t="n">
        <v>17</v>
      </c>
      <c r="B21" s="6">
        <f>'השוואה כוללת'!A70</f>
        <v>52326</v>
      </c>
      <c t="str" r="C21" s="6">
        <f>'השוואה כוללת'!B70</f>
        <v>URI 078G S 1 חגורת גב אפורה</v>
      </c>
      <c r="D21" s="7">
        <f>'השוואה כוללת'!C70</f>
        <v>6</v>
      </c>
      <c r="E21" s="7">
        <f>'השוואה כוללת'!D70</f>
        <v>10</v>
      </c>
      <c r="F21" s="9">
        <f>'השוואה כוללת'!F70</f>
        <v>0.6666666666666666</v>
      </c>
    </row>
    <row r="22" ht="15" customHeight="1">
      <c r="A22" s="6" t="n">
        <v>18</v>
      </c>
      <c r="B22" s="6">
        <f>'השוואה כוללת'!A131</f>
        <v>66745</v>
      </c>
      <c t="str" r="C22" s="6">
        <f>'השוואה כוללת'!B131</f>
        <v>                       1 תרסיס דיאו.אנטי בקטר.לנעל</v>
      </c>
      <c r="D22" s="7">
        <f>'השוואה כוללת'!C131</f>
        <v>235</v>
      </c>
      <c r="E22" s="7">
        <f>'השוואה כוללת'!D131</f>
        <v>336</v>
      </c>
      <c r="F22" s="9">
        <f>'השוואה כוללת'!F131</f>
        <v>0.4297872340425532</v>
      </c>
    </row>
    <row r="23" ht="15" customHeight="1">
      <c r="A23" s="6" t="n">
        <v>19</v>
      </c>
      <c r="B23" s="6">
        <f>'השוואה כוללת'!A183</f>
        <v>74846</v>
      </c>
      <c t="str" r="C23" s="6">
        <f>'השוואה כוללת'!B183</f>
        <v>URI 76 L        1 מיישר כתף</v>
      </c>
      <c r="D23" s="7">
        <f>'השוואה כוללת'!C183</f>
        <v>14</v>
      </c>
      <c r="E23" s="7">
        <f>'השוואה כוללת'!D183</f>
        <v>20</v>
      </c>
      <c r="F23" s="9">
        <f>'השוואה כוללת'!F183</f>
        <v>0.42857142857142855</v>
      </c>
    </row>
    <row r="24" ht="15" customHeight="1">
      <c r="A24" s="6" t="n">
        <v>20</v>
      </c>
      <c r="B24" s="6">
        <f>'השוואה כוללת'!A195</f>
        <v>75762</v>
      </c>
      <c t="str" r="C24" s="6">
        <f>'השוואה כוללת'!B195</f>
        <v>URI 16 L-XL   1 חגורת הריון</v>
      </c>
      <c r="D24" s="7">
        <f>'השוואה כוללת'!C195</f>
        <v>38</v>
      </c>
      <c r="E24" s="7">
        <f>'השוואה כוללת'!D195</f>
        <v>54</v>
      </c>
      <c r="F24" s="9">
        <f>'השוואה כוללת'!F195</f>
        <v>0.42105263157894735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rightToLeft="1" tabSelected="1" zoomScale="145" zoomScaleNormal="145" workbookViewId="0">
      <pane ySplit="4" topLeftCell="A5" activePane="bottomLeft" state="frozen"/>
      <selection pane="bottomLeft" activeCell="F16" sqref="F16"/>
    </sheetView>
  </sheetViews>
  <sheetFormatPr baseColWidth="8" defaultColWidth="8.5703125" defaultRowHeight="15"/>
  <cols>
    <col width="5" customWidth="1" min="1" max="1"/>
    <col width="12" customWidth="1" min="2" max="2"/>
    <col width="34" customWidth="1" min="3" max="3"/>
    <col width="18" customWidth="1" min="4" max="5"/>
    <col width="12" customWidth="1" min="6" max="6"/>
  </cols>
  <sheetData>
    <row r="1" ht="16.5" customHeight="1">
      <c r="A1" s="1" t="inlineStr">
        <is>
          <t>ירידות הכי גדולות - Top 20 לפי אחוז ירידה מ-2025 ל-2026</t>
        </is>
      </c>
    </row>
    <row r="2" ht="15" customHeight="1">
      <c r="A2" s="4" t="inlineStr">
        <is>
          <t>סף מינימלי: רק מוצרים עם לפחות 5 יחידות שנמכרו בינואר-אוגוסט 2025 (מוצאים מוצרים חדשים/שוליים עם בסיס נמוך שמעוותים אחוזים).</t>
        </is>
      </c>
    </row>
    <row r="4" ht="15" customHeight="1">
      <c r="A4" s="14" t="inlineStr">
        <is>
          <t>#</t>
        </is>
      </c>
      <c r="B4" s="14" t="inlineStr">
        <is>
          <t>קוד SKU</t>
        </is>
      </c>
      <c r="C4" s="14" t="inlineStr">
        <is>
          <t>שם מוצר</t>
        </is>
      </c>
      <c r="D4" s="14" t="inlineStr">
        <is>
          <t>יחידות ינואר-אוגוסט 2025</t>
        </is>
      </c>
      <c r="E4" s="14" t="inlineStr">
        <is>
          <t>יחידות ינואר-אוגוסט 2026</t>
        </is>
      </c>
      <c r="F4" s="14" t="inlineStr">
        <is>
          <t>שינוי %</t>
        </is>
      </c>
    </row>
    <row r="5" ht="15" customHeight="1">
      <c r="A5" s="6" t="n">
        <v>1</v>
      </c>
      <c r="B5" s="27">
        <f>'השוואה כוללת'!A28</f>
        <v>21897</v>
      </c>
      <c t="str" r="C5" s="6">
        <f>'השוואה כוללת'!B28</f>
        <v>URI 388R    1 סד לילה לבוהן</v>
      </c>
      <c r="D5" s="7">
        <f>'השוואה כוללת'!C28</f>
        <v>9</v>
      </c>
      <c r="E5" s="7">
        <f>'השוואה כוללת'!D28</f>
        <v>1</v>
      </c>
      <c r="F5" s="9">
        <f>'השוואה כוללת'!F28</f>
        <v>-0.8888888888888888</v>
      </c>
    </row>
    <row r="6" ht="15" customHeight="1">
      <c r="A6" s="6" t="n">
        <v>2</v>
      </c>
      <c r="B6" s="6">
        <f>'השוואה כוללת'!A136</f>
        <v>67895</v>
      </c>
      <c t="str" r="C6" s="6">
        <f>'השוואה כוללת'!B136</f>
        <v>URI 11      1 ח בטן אורירית</v>
      </c>
      <c r="D6" s="7">
        <f>'השוואה כוללת'!C136</f>
        <v>17</v>
      </c>
      <c r="E6" s="7">
        <f>'השוואה כוללת'!D136</f>
        <v>4</v>
      </c>
      <c r="F6" s="9">
        <f>'השוואה כוללת'!F136</f>
        <v>-0.7647058823529411</v>
      </c>
    </row>
    <row r="7" ht="15" customHeight="1">
      <c r="A7" s="6" t="n">
        <v>3</v>
      </c>
      <c r="B7" s="6">
        <f>'השוואה כוללת'!A15</f>
        <v>16237</v>
      </c>
      <c t="str" r="C7" s="6">
        <f>'השוואה כוללת'!B15</f>
        <v>394G-43-461 גרבי קיץ לסוכרת</v>
      </c>
      <c r="D7" s="7">
        <f>'השוואה כוללת'!C15</f>
        <v>36</v>
      </c>
      <c r="E7" s="7">
        <f>'השוואה כוללת'!D15</f>
        <v>10</v>
      </c>
      <c r="F7" s="9">
        <f>'השוואה כוללת'!F15</f>
        <v>-0.7222222222222222</v>
      </c>
    </row>
    <row r="8" ht="15" customHeight="1">
      <c r="A8" s="6" t="n">
        <v>4</v>
      </c>
      <c r="B8" s="6">
        <f>'השוואה כוללת'!A43</f>
        <v>29984</v>
      </c>
      <c t="str" r="C8" s="6">
        <f>'השוואה כוללת'!B43</f>
        <v>URI 95 XS        1 מגן מרפק</v>
      </c>
      <c r="D8" s="7">
        <f>'השוואה כוללת'!C43</f>
        <v>26</v>
      </c>
      <c r="E8" s="7">
        <f>'השוואה כוללת'!D43</f>
        <v>9</v>
      </c>
      <c r="F8" s="9">
        <f>'השוואה כוללת'!F43</f>
        <v>-0.6538461538461539</v>
      </c>
    </row>
    <row r="9" ht="15" customHeight="1">
      <c r="A9" s="6" t="n">
        <v>5</v>
      </c>
      <c r="B9" s="6">
        <f>'השוואה כוללת'!A27</f>
        <v>21896</v>
      </c>
      <c t="str" r="C9" s="6">
        <f>'השוואה כוללת'!B27</f>
        <v>URI 388L    1 סד לילה לבוהן</v>
      </c>
      <c r="D9" s="7">
        <f>'השוואה כוללת'!C27</f>
        <v>8</v>
      </c>
      <c r="E9" s="7">
        <f>'השוואה כוללת'!D27</f>
        <v>3</v>
      </c>
      <c r="F9" s="9">
        <f>'השוואה כוללת'!F27</f>
        <v>-0.625</v>
      </c>
    </row>
    <row r="10" ht="15" customHeight="1">
      <c r="A10" s="6" t="n">
        <v>6</v>
      </c>
      <c r="B10" s="27">
        <f>'השוואה כוללת'!A124</f>
        <v>64637</v>
      </c>
      <c t="str" r="C10" s="6">
        <f>'השוואה כוללת'!B124</f>
        <v>URI 390G 39-42   1 גרבי כסף</v>
      </c>
      <c r="D10" s="7">
        <f>'השוואה כוללת'!C124</f>
        <v>20</v>
      </c>
      <c r="E10" s="7">
        <f>'השוואה כוללת'!D124</f>
        <v>8</v>
      </c>
      <c r="F10" s="9">
        <f>'השוואה כוללת'!F124</f>
        <v>-0.6</v>
      </c>
    </row>
    <row r="11" ht="15" customHeight="1">
      <c r="A11" s="6" t="n">
        <v>7</v>
      </c>
      <c r="B11" s="6">
        <f>'השוואה כוללת'!A33</f>
        <v>28302</v>
      </c>
      <c t="str" r="C11" s="6">
        <f>'השוואה כוללת'!B33</f>
        <v>URI 34+XXL1 מ קרסול+עכב סגו</v>
      </c>
      <c r="D11" s="7">
        <f>'השוואה כוללת'!C33</f>
        <v>14</v>
      </c>
      <c r="E11" s="7">
        <f>'השוואה כוללת'!D33</f>
        <v>6</v>
      </c>
      <c r="F11" s="9">
        <f>'השוואה כוללת'!F33</f>
        <v>-0.5714285714285714</v>
      </c>
    </row>
    <row r="12" ht="15" customHeight="1">
      <c r="A12" s="6" t="n">
        <v>8</v>
      </c>
      <c r="B12" s="6">
        <f>'השוואה כוללת'!A63</f>
        <v>50057</v>
      </c>
      <c t="str" r="C12" s="6">
        <f>'השוואה כוללת'!B63</f>
        <v>URI 76          1 מיישר כתף</v>
      </c>
      <c r="D12" s="7">
        <f>'השוואה כוללת'!C63</f>
        <v>9</v>
      </c>
      <c r="E12" s="7">
        <f>'השוואה כוללת'!D63</f>
        <v>4</v>
      </c>
      <c r="F12" s="9">
        <f>'השוואה כוללת'!F63</f>
        <v>-0.5555555555555556</v>
      </c>
    </row>
    <row r="13" ht="15" customHeight="1">
      <c r="A13" s="6" t="n">
        <v>9</v>
      </c>
      <c r="B13" s="6">
        <f>'השוואה כוללת'!A135</f>
        <v>67385</v>
      </c>
      <c t="str" r="C13" s="6">
        <f>'השוואה כוללת'!B135</f>
        <v>URI 302M 0  1 מדרס ג'ל לגבר</v>
      </c>
      <c r="D13" s="7">
        <f>'השוואה כוללת'!C135</f>
        <v>256</v>
      </c>
      <c r="E13" s="7">
        <f>'השוואה כוללת'!D135</f>
        <v>119</v>
      </c>
      <c r="F13" s="9">
        <f>'השוואה כוללת'!F135</f>
        <v>-0.53515625</v>
      </c>
    </row>
    <row r="14" ht="15" customHeight="1">
      <c r="A14" s="6" t="n">
        <v>10</v>
      </c>
      <c r="B14" s="6">
        <f>'השוואה כוללת'!A177</f>
        <v>74824</v>
      </c>
      <c t="str" r="C14" s="6">
        <f>'השוואה כוללת'!B177</f>
        <v>URI 59 L M 1 חגורת שבר צד ש</v>
      </c>
      <c r="D14" s="7">
        <f>'השוואה כוללת'!C177</f>
        <v>8</v>
      </c>
      <c r="E14" s="7">
        <f>'השוואה כוללת'!D177</f>
        <v>4</v>
      </c>
      <c r="F14" s="9">
        <f>'השוואה כוללת'!F177</f>
        <v>-0.5</v>
      </c>
    </row>
    <row r="15" ht="15" customHeight="1">
      <c r="A15" s="6" t="n">
        <v>11</v>
      </c>
      <c r="B15" s="6">
        <f>'השוואה כוללת'!A74</f>
        <v>53791</v>
      </c>
      <c t="str" r="C15" s="28">
        <f>'השוואה כוללת'!B74</f>
        <v>URI 397-43-46  1 גרבי טיסה</v>
      </c>
      <c r="D15" s="7">
        <f>'השוואה כוללת'!C74</f>
        <v>53</v>
      </c>
      <c r="E15" s="7">
        <f>'השוואה כוללת'!D74</f>
        <v>27</v>
      </c>
      <c r="F15" s="9">
        <f>'השוואה כוללת'!F74</f>
        <v>-0.49056603773584906</v>
      </c>
    </row>
    <row r="16" ht="15" customHeight="1">
      <c r="A16" s="6" t="n">
        <v>12</v>
      </c>
      <c r="B16" s="6">
        <f>'השוואה כוללת'!A11</f>
        <v>16212</v>
      </c>
      <c t="str" r="C16" s="6">
        <f>'השוואה כוללת'!B11</f>
        <v>394B-39-421 גרבי קיץ לסוכרת</v>
      </c>
      <c r="D16" s="7">
        <f>'השוואה כוללת'!C11</f>
        <v>107</v>
      </c>
      <c r="E16" s="7">
        <f>'השוואה כוללת'!D11</f>
        <v>55</v>
      </c>
      <c r="F16" s="9">
        <f>'השוואה כוללת'!F11</f>
        <v>-0.48598130841121495</v>
      </c>
    </row>
    <row r="17" ht="15" customHeight="1">
      <c r="A17" s="6" t="n">
        <v>13</v>
      </c>
      <c r="B17" s="6">
        <f>'השוואה כוללת'!A152</f>
        <v>74670</v>
      </c>
      <c t="str" r="C17" s="6">
        <f>'השוואה כוללת'!B152</f>
        <v>URI 07AU L   1 ח.גב איטלקית</v>
      </c>
      <c r="D17" s="7">
        <f>'השוואה כוללת'!C152</f>
        <v>40</v>
      </c>
      <c r="E17" s="7">
        <f>'השוואה כוללת'!D152</f>
        <v>21</v>
      </c>
      <c r="F17" s="9">
        <f>'השוואה כוללת'!F152</f>
        <v>-0.475</v>
      </c>
    </row>
    <row r="18" ht="15" customHeight="1">
      <c r="A18" s="6" t="n">
        <v>14</v>
      </c>
      <c r="B18" s="6">
        <f>'השוואה כוללת'!A14</f>
        <v>16217</v>
      </c>
      <c t="str" r="C18" s="6">
        <f>'השוואה כוללת'!B14</f>
        <v>394G-39-421 גרבי קיץ לסוכרת</v>
      </c>
      <c r="D18" s="7">
        <f>'השוואה כוללת'!C14</f>
        <v>33</v>
      </c>
      <c r="E18" s="7">
        <f>'השוואה כוללת'!D14</f>
        <v>18</v>
      </c>
      <c r="F18" s="9">
        <f>'השוואה כוללת'!F14</f>
        <v>-0.45454545454545453</v>
      </c>
    </row>
    <row r="19" ht="15" customHeight="1">
      <c r="A19" s="6" t="n">
        <v>15</v>
      </c>
      <c r="B19" s="6">
        <f>'השוואה כוללת'!A47</f>
        <v>34874</v>
      </c>
      <c t="str" r="C19" s="6">
        <f>'השוואה כוללת'!B47</f>
        <v>URI 333         1 סד לקרסול</v>
      </c>
      <c r="D19" s="7">
        <f>'השוואה כוללת'!C47</f>
        <v>22</v>
      </c>
      <c r="E19" s="7">
        <f>'השוואה כוללת'!D47</f>
        <v>12</v>
      </c>
      <c r="F19" s="9">
        <f>'השוואה כוללת'!F47</f>
        <v>-0.45454545454545453</v>
      </c>
    </row>
    <row r="20" ht="15" customHeight="1">
      <c r="A20" s="6" t="n">
        <v>16</v>
      </c>
      <c r="B20" s="6">
        <f>'השוואה כוללת'!A105</f>
        <v>63406</v>
      </c>
      <c t="str" r="C20" s="6">
        <f>'השוואה כוללת'!B105</f>
        <v>URI 11U L 1 ח בטן אחר ניתוח</v>
      </c>
      <c r="D20" s="7">
        <f>'השוואה כוללת'!C105</f>
        <v>9</v>
      </c>
      <c r="E20" s="7">
        <f>'השוואה כוללת'!D105</f>
        <v>5</v>
      </c>
      <c r="F20" s="9">
        <f>'השוואה כוללת'!F105</f>
        <v>-0.4444444444444444</v>
      </c>
    </row>
    <row r="21" ht="15" customHeight="1">
      <c r="A21" s="6" t="n">
        <v>17</v>
      </c>
      <c r="B21" s="6">
        <f>'השוואה כוללת'!A42</f>
        <v>29981</v>
      </c>
      <c t="str" r="C21" s="6">
        <f>'השוואה כוללת'!B42</f>
        <v>URI 35 XXL  1 מגן קרסול לבן</v>
      </c>
      <c r="D21" s="7">
        <f>'השוואה כוללת'!C42</f>
        <v>50</v>
      </c>
      <c r="E21" s="7">
        <f>'השוואה כוללת'!D42</f>
        <v>28</v>
      </c>
      <c r="F21" s="9">
        <f>'השוואה כוללת'!F42</f>
        <v>-0.44</v>
      </c>
    </row>
    <row r="22" ht="15" customHeight="1">
      <c r="A22" s="6" t="n">
        <v>18</v>
      </c>
      <c r="B22" s="6">
        <f>'השוואה כוללת'!A173</f>
        <v>74820</v>
      </c>
      <c t="str" r="C22" s="6">
        <f>'השוואה כוללת'!B173</f>
        <v>URI 59R L.1 חגורת שבר לצד י</v>
      </c>
      <c r="D22" s="7">
        <f>'השוואה כוללת'!C173</f>
        <v>7</v>
      </c>
      <c r="E22" s="7">
        <f>'השוואה כוללת'!D173</f>
        <v>4</v>
      </c>
      <c r="F22" s="9">
        <f>'השוואה כוללת'!F173</f>
        <v>-0.42857142857142855</v>
      </c>
    </row>
    <row r="23" ht="15" customHeight="1">
      <c r="A23" s="6" t="n">
        <v>19</v>
      </c>
      <c r="B23" s="6">
        <f>'השוואה כוללת'!A16</f>
        <v>16239</v>
      </c>
      <c t="str" r="C23" s="6">
        <f>'השוואה כוללת'!B16</f>
        <v>394W-35-381 גרבי קיץ לסוכרת</v>
      </c>
      <c r="D23" s="7">
        <f>'השוואה כוללת'!C16</f>
        <v>30</v>
      </c>
      <c r="E23" s="7">
        <f>'השוואה כוללת'!D16</f>
        <v>18</v>
      </c>
      <c r="F23" s="9">
        <f>'השוואה כוללת'!F16</f>
        <v>-0.4</v>
      </c>
    </row>
    <row r="24" ht="15" customHeight="1">
      <c r="A24" s="6" t="n">
        <v>20</v>
      </c>
      <c r="B24" s="6">
        <f>'השוואה כוללת'!A62</f>
        <v>50055</v>
      </c>
      <c t="str" r="C24" s="6">
        <f>'השוואה כוללת'!B62</f>
        <v>URI 74    1 רצועה לשבר בעצם</v>
      </c>
      <c r="D24" s="7">
        <f>'השוואה כוללת'!C62</f>
        <v>5</v>
      </c>
      <c r="E24" s="7">
        <f>'השוואה כוללת'!D62</f>
        <v>3</v>
      </c>
      <c r="F24" s="9">
        <f>'השוואה כוללת'!F62</f>
        <v>-0.4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rightToLeft="1" zoomScaleNormal="100" workbookViewId="0">
      <selection activeCell="A40" sqref="A40"/>
    </sheetView>
  </sheetViews>
  <sheetFormatPr baseColWidth="8" defaultColWidth="8.5703125" defaultRowHeight="15"/>
  <cols>
    <col width="130" customWidth="1" style="26" min="1" max="1"/>
  </cols>
  <sheetData>
    <row r="1" ht="16.5" customHeight="1">
      <c r="A1" s="23" t="inlineStr">
        <is>
          <t>סיכום ומסקנות - השוואת מכירות ינואר-אוגוסט 2025 מול 2026</t>
        </is>
      </c>
    </row>
    <row r="2" ht="15" customHeight="1">
      <c r="A2" s="24" t="inlineStr">
        <is>
          <t>תאריך חישוב:</t>
        </is>
      </c>
      <c r="B2" s="3">
        <f>'השוואה כוללת'!B2</f>
        <v>46243</v>
      </c>
    </row>
    <row r="4" ht="15" customHeight="1">
      <c r="A4" s="25" t="inlineStr">
        <is>
          <t>נתונים כלליים:</t>
        </is>
      </c>
    </row>
    <row r="5" ht="15" customHeight="1">
      <c r="A5" s="25" t="inlineStr">
        <is>
          <t xml:space="preserve">  - סה"כ יחידות שנמכרו בינואר-אוגוסט 2025: 16,642 (נוסחה: ='השוואה כוללת'!C240)</t>
        </is>
      </c>
    </row>
    <row r="6" ht="15" customHeight="1">
      <c r="A6" s="25" t="inlineStr">
        <is>
          <t xml:space="preserve">  - סה"כ יחידות שנמכרו בינואר-אוגוסט 2026: 17,314 (נוסחה: ='השוואה כוללת'!D240)</t>
        </is>
      </c>
    </row>
    <row r="7" ht="15" customHeight="1">
      <c r="A7" s="25" t="inlineStr">
        <is>
          <t xml:space="preserve">  - שינוי כולל: +672 יחידות, +4.0%</t>
        </is>
      </c>
    </row>
    <row r="8" ht="15" customHeight="1">
      <c r="A8" s="25" t="n"/>
    </row>
    <row r="9" ht="26.25" customHeight="1">
      <c r="A9" s="25" t="inlineStr">
        <is>
          <t>המגמה הכללית: הוספת אוגוסט חיזקה את מגמת העלייה - מ-+2.8% (ינואר-יולי) ל-+4.0% (ינואר-אוגוסט). אוגוסט עצמו היה חודש חזק במיוחד: 1,941 יחידות ב-2025 מול 2,199 ב-2026, כ-+13.3% - החודש השני-בעוצמתו אחרי יוני (+23.4%) מתוך כל שמונת החודשים. כלומר שני החודשים האחרונים (יוני, אוגוסט) הם שדוחפים את המגמה השנתית מעלייה שולית לעלייה משמעותית.</t>
        </is>
      </c>
    </row>
    <row r="10" ht="15" customHeight="1">
      <c r="A10" s="25" t="n"/>
    </row>
    <row r="11" hidden="1" ht="26.25" customHeight="1">
      <c r="A11" s="25" t="inlineStr">
        <is>
          <t>סה"כ נבדקו 234 SKU-ים ייחודיים על פני 8 החודשים (228 מתוך ינואר-יולי, ועוד 6 SKU-ים חדשים שהופיעו לראשונה באוגוסט). מתוכם 168 עומדים בסף המינימלי של 5 יחידות ב-2025 (ינואר-אוגוסט) ונכללים בטבלאות העליות/ירידות למטה - זה מסנן מוצרים שוליים עם בסיס נמוך שמעוותים אחוזי שינוי.</t>
        </is>
      </c>
    </row>
    <row r="12" ht="15" customHeight="1">
      <c r="A12" s="25" t="n"/>
    </row>
    <row r="13" ht="15" customHeight="1">
      <c r="A13" s="25" t="inlineStr">
        <is>
          <t>העליות הבולטות ביותר:</t>
        </is>
      </c>
    </row>
    <row r="14" ht="15" customHeight="1">
      <c r="A14" s="25" t="inlineStr">
        <is>
          <t xml:space="preserve">  1. ST25     1 חבק לשורש כף היד (SKU 82206): 138 -&gt; 498 יחידות (+261%)</t>
        </is>
      </c>
    </row>
    <row r="15" ht="15" customHeight="1">
      <c r="A15" s="25" t="inlineStr">
        <is>
          <t xml:space="preserve">  2. 808KT-P   1 טייפ קינזיולוגי (SKU 57662): 16 -&gt; 56 יחידות (+250%)</t>
        </is>
      </c>
    </row>
    <row r="16" ht="15" customHeight="1">
      <c r="A16" s="25" t="inlineStr">
        <is>
          <t xml:space="preserve">  3. 808KT-B   1 טייפ קינזיולוגי (SKU 57696): 20 -&gt; 70 יחידות (+250%)</t>
        </is>
      </c>
    </row>
    <row r="17" ht="15" customHeight="1">
      <c r="A17" s="25" t="inlineStr">
        <is>
          <t xml:space="preserve">  4. URI ST37      1 חבק לקרסול (SKU 82208): 49 -&gt; 166 יחידות (+239%)</t>
        </is>
      </c>
    </row>
    <row r="18" ht="15" customHeight="1">
      <c r="A18" s="25" t="inlineStr">
        <is>
          <t xml:space="preserve">  5. 808KT-C   1 טייפ קינזיולוגי (SKU 57690): 27 -&gt; 89 יחידות (+230%)</t>
        </is>
      </c>
    </row>
    <row r="19" ht="15" customHeight="1">
      <c r="A19" s="25" t="n"/>
    </row>
    <row r="20" hidden="1" ht="26.25" customHeight="1">
      <c r="A20" s="25" t="inlineStr">
        <is>
          <t>התמונה בעליות המשיכה להתפתח: ST25 (82206), שהיה #5 בינואר-יולי (+371%, בסיס 93), עלה ל-**#1** בינואר-אוגוסט עם בסיס גדול יותר (138) ועלייה של +261% - צמיחה מהותית ועקבית, לא רק "התנפחות" סטטיסטית מבסיס קטן. סדרת טייפ קינזיולוגי (808KT-P/B/C) ממשיכה להופיע חזק בטופ-5, וחדש בטופ-5 החודש: "חבק לקרסול" (ST37, 82208, +239%). ST20 (82207), שהוביל את הטופ-5 בינואר-יולי עם +494% (בסיס 17 בלבד), ירד מהטופ-5 - כעת 39 -&gt; 116 יחידות (+197%), עדיין צמיחה חזקה אך עם בסיס גדול יותר שממתן את האחוז.</t>
        </is>
      </c>
    </row>
    <row r="21" ht="15" customHeight="1">
      <c r="A21" s="25" t="n"/>
    </row>
    <row r="22" ht="15" customHeight="1">
      <c r="A22" s="25" t="inlineStr">
        <is>
          <t>הירידות הבולטות ביותר:</t>
        </is>
      </c>
    </row>
    <row r="23" ht="15" customHeight="1">
      <c r="A23" s="25" t="inlineStr">
        <is>
          <t xml:space="preserve">  1. URI 388R    1 סד לילה לבוהן (SKU 21897): 9 -&gt; 1 יחידות (-89%)</t>
        </is>
      </c>
    </row>
    <row r="24" ht="15" customHeight="1">
      <c r="A24" s="25" t="inlineStr">
        <is>
          <t xml:space="preserve">  2. URI 11      1 ח בטן אורירית (SKU 67895): 17 -&gt; 4 יחידות (-76%)</t>
        </is>
      </c>
    </row>
    <row r="25" ht="15" customHeight="1">
      <c r="A25" s="25" t="inlineStr">
        <is>
          <t xml:space="preserve">  3. 394G-43-461 גרבי קיץ לסוכרת (SKU 16237): 36 -&gt; 10 יחידות (-72%)</t>
        </is>
      </c>
    </row>
    <row r="26" ht="15" customHeight="1">
      <c r="A26" s="25" t="inlineStr">
        <is>
          <t xml:space="preserve">  4. URI 95 XS        1 מגן מרפק (SKU 29984): 26 -&gt; 9 יחידות (-65%)</t>
        </is>
      </c>
    </row>
    <row r="27" ht="15" customHeight="1">
      <c r="A27" s="25" t="inlineStr">
        <is>
          <t xml:space="preserve">  5. URI 388L    1 סד לילה לבוהן (SKU 21896): 8 -&gt; 3 יחידות (-62%)</t>
        </is>
      </c>
    </row>
    <row r="28" ht="15" customHeight="1">
      <c r="A28" s="25" t="n"/>
    </row>
    <row r="29" hidden="1" ht="26.25" customHeight="1">
      <c r="A29" s="25" t="inlineStr">
        <is>
          <t>הירידות יציבות מאוד לאורך כל השנה - אותם 5 מוצרים בקירוב (388R, 388L, גרבי קיץ 16237, ח.בטן אורירית 67895, מגן מרפק 29984) חוזרים בטופ-5 בכל תקופה שנבדקה עד כה. "מיישר כתף" (50057) שהיה בטופ-5 בינואר-יולי (-67%) ירד מעט בדירוג (8-&gt;4 יח', -56%) אך עדיין מציג ירידה עקבית.</t>
        </is>
      </c>
    </row>
    <row r="30" ht="15" customHeight="1">
      <c r="A30" s="25" t="n"/>
    </row>
    <row r="31" ht="15" customHeight="1">
      <c r="A31" s="25" t="inlineStr">
        <is>
          <t>המוצר הנמכר ביותר בשתי התקופות (2025 ו-2026 כאחד) ממשיך להיות "סד יד דו צדדי" (SKU 51567) - 1,085 יחידות ב-2025 מול 1,104 ב-2026, יציב וללא שינוי מהותי (+2%). לעומת זאת, שני המוצרים שהיו במקומות 2-3 מציגים כעת מגמת ירידה: "URI FC335 טלק לכף הרגל" (841 -&gt; 549, -35%, המשך ירידה עקבית שנמשכת לאורך השנה) ו"URI 3655 שרוול מסיליקון" שהתהפך מעלייה קלה בינואר-יולי לירידה מצטברת (733 -&gt; 631, -14%) - ייתכן שחודש אוגוסט היה חלש עבורו במיוחד, כדאי לבדוק בגיליון ההשוואה של יוני-יולי-אוגוסט.</t>
        </is>
      </c>
    </row>
    <row r="32" ht="15" customHeight="1">
      <c r="A32" s="25" t="n"/>
    </row>
    <row r="33" hidden="1" ht="15" customHeight="1">
      <c r="A33" s="25" t="inlineStr">
        <is>
          <t>הערות מתודולוגיות:</t>
        </is>
      </c>
    </row>
    <row r="34" hidden="1" ht="15" customHeight="1">
      <c r="A34" s="25" t="inlineStr">
        <is>
          <t xml:space="preserve">  - כל הנתונים נשלפו חי מגיליונות המקור (מקור-01 עד מקור-08) באמצעות SUMIF - שינוי בקבצי המקור יתעדכן אוטומטית בקובץ הזה.</t>
        </is>
      </c>
    </row>
    <row r="35" hidden="1" ht="15" customHeight="1">
      <c r="A35" s="25" t="inlineStr">
        <is>
          <t xml:space="preserve">  - מוצר שמופיע בחלק מהחודשים בלבד נספר כ-0 בחודשים החסרים (לא כשגיאה).</t>
        </is>
      </c>
    </row>
    <row r="36" hidden="1" ht="15" customHeight="1">
      <c r="A36" s="25" t="inlineStr">
        <is>
          <t xml:space="preserve">  - מוצרים עם 0 יחידות ב-2025 וסכום חיובי ב-2026 מסומנים בגיליון "השוואה כוללת" כ-"מוצר חדש" (במקום חלוקה באפס). 6 SKU-ים חדשים שלא הופיעו כלל בינואר-יולי נוספו לטבלת ה"השוואה כוללת" (שורות 234-239) עם נתוני אוגוסט בלבד.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1"/>
  <sheetViews>
    <sheetView rightToLeft="1" zoomScaleNormal="100" workbookViewId="0">
      <pane ySplit="2" topLeftCell="A3" activePane="bottomLeft" state="frozen"/>
      <selection pane="bottomLeft" activeCell="A1" sqref="A1"/>
    </sheetView>
  </sheetViews>
  <sheetFormatPr baseColWidth="8" defaultColWidth="8.5703125" defaultRowHeight="15"/>
  <cols>
    <col width="12" customWidth="1" min="1" max="1"/>
    <col width="32" customWidth="1" min="2" max="2"/>
    <col width="14" customWidth="1" min="3" max="4"/>
  </cols>
  <sheetData>
    <row r="1" ht="16.5" customHeight="1">
      <c r="A1" s="1" t="inlineStr">
        <is>
          <t>נתוני מקור - ינואר (2025 מול 2026) - מקור: month-01.xlsx</t>
        </is>
      </c>
    </row>
    <row r="2" ht="15" customHeight="1">
      <c r="A2" s="22" t="inlineStr">
        <is>
          <t>קוד SKU</t>
        </is>
      </c>
      <c r="B2" s="22" t="inlineStr">
        <is>
          <t>שם מוצר</t>
        </is>
      </c>
      <c r="C2" s="22" t="inlineStr">
        <is>
          <t>יחידות ינואר 2025</t>
        </is>
      </c>
      <c r="D2" s="22" t="inlineStr">
        <is>
          <t>יחידות ינואר 2026</t>
        </is>
      </c>
    </row>
    <row r="3" ht="15" customHeight="1">
      <c r="A3" s="2" t="n">
        <v>71086</v>
      </c>
      <c r="B3" s="2" t="inlineStr">
        <is>
          <t>URI 078M 1</t>
        </is>
      </c>
      <c r="C3" s="2" t="n">
        <v>1</v>
      </c>
      <c r="D3" s="2" t="n">
        <v>5</v>
      </c>
    </row>
    <row r="4" ht="15" customHeight="1">
      <c r="A4" s="2" t="n">
        <v>29981</v>
      </c>
      <c r="B4" s="2" t="inlineStr">
        <is>
          <t>URI 35 XXL  1 מגן קרסול לבן</t>
        </is>
      </c>
      <c r="C4" s="2" t="n">
        <v>2</v>
      </c>
      <c r="D4" s="2" t="n">
        <v>8</v>
      </c>
    </row>
    <row r="5" ht="15" customHeight="1">
      <c r="A5" s="2" t="n">
        <v>16239</v>
      </c>
      <c r="B5" s="2" t="inlineStr">
        <is>
          <t>394W-35-381 גרבי קיץ לסוכרת</t>
        </is>
      </c>
      <c r="C5" s="2" t="n">
        <v>2</v>
      </c>
      <c r="D5" s="2" t="n">
        <v>6</v>
      </c>
    </row>
    <row r="6" ht="15" customHeight="1">
      <c r="A6" s="2" t="n">
        <v>74672</v>
      </c>
      <c r="B6" s="2" t="inlineStr">
        <is>
          <t>URI 07AU XL  1 ח.גב איטלקית</t>
        </is>
      </c>
      <c r="C6" s="2" t="n">
        <v>1</v>
      </c>
      <c r="D6" s="2" t="n">
        <v>3</v>
      </c>
    </row>
    <row r="7" ht="15" customHeight="1">
      <c r="A7" s="2" t="n">
        <v>74683</v>
      </c>
      <c r="B7" s="2" t="inlineStr">
        <is>
          <t>URI 11 M    1 ח.בטן אורירית</t>
        </is>
      </c>
      <c r="C7" s="2" t="n">
        <v>3</v>
      </c>
      <c r="D7" s="2" t="n">
        <v>8</v>
      </c>
    </row>
    <row r="8" ht="15" customHeight="1">
      <c r="A8" s="2" t="n">
        <v>59659</v>
      </c>
      <c r="B8" s="2" t="inlineStr">
        <is>
          <t>URI 369 S-L 1</t>
        </is>
      </c>
      <c r="C8" s="2" t="n">
        <v>10</v>
      </c>
      <c r="D8" s="2" t="n">
        <v>25</v>
      </c>
    </row>
    <row r="9" ht="15" customHeight="1">
      <c r="A9" s="2" t="n">
        <v>63416</v>
      </c>
      <c r="B9" s="2" t="inlineStr">
        <is>
          <t>URI 85 XL        1 מתלה ליד</t>
        </is>
      </c>
      <c r="C9" s="2" t="n">
        <v>5</v>
      </c>
      <c r="D9" s="2" t="n">
        <v>11</v>
      </c>
    </row>
    <row r="10" ht="15" customHeight="1">
      <c r="A10" s="2" t="n">
        <v>67935</v>
      </c>
      <c r="B10" s="2" t="inlineStr">
        <is>
          <t>URI 45 S          1 מגן ברך</t>
        </is>
      </c>
      <c r="C10" s="2" t="n">
        <v>6</v>
      </c>
      <c r="D10" s="2" t="n">
        <v>13</v>
      </c>
    </row>
    <row r="11" ht="15" customHeight="1">
      <c r="A11" s="2" t="n">
        <v>52147</v>
      </c>
      <c r="B11" s="2" t="inlineStr">
        <is>
          <t>URI FC321  1 מלח אמבט לכף ר</t>
        </is>
      </c>
      <c r="C11" s="2" t="n">
        <v>8</v>
      </c>
      <c r="D11" s="2" t="n">
        <v>17</v>
      </c>
    </row>
    <row r="12" ht="15" customHeight="1">
      <c r="A12" s="2" t="n">
        <v>64632</v>
      </c>
      <c r="B12" s="2" t="inlineStr">
        <is>
          <t>URI 390W 43-46   1 גרבי כסף</t>
        </is>
      </c>
      <c r="C12" s="2" t="n">
        <v>1</v>
      </c>
      <c r="D12" s="2" t="n">
        <v>2</v>
      </c>
    </row>
    <row r="13" ht="15" customHeight="1">
      <c r="A13" s="2" t="n">
        <v>74824</v>
      </c>
      <c r="B13" s="2" t="inlineStr">
        <is>
          <t>URI 59 L M 1 חגורת שבר צד ש</t>
        </is>
      </c>
      <c r="C13" s="2" t="n">
        <v>1</v>
      </c>
      <c r="D13" s="2" t="n">
        <v>2</v>
      </c>
    </row>
    <row r="14" ht="15" customHeight="1">
      <c r="A14" s="2" t="n">
        <v>20948</v>
      </c>
      <c r="B14" s="2" t="inlineStr">
        <is>
          <t>URI 35 XST 1 מגן קרסול פתוח</t>
        </is>
      </c>
      <c r="C14" s="2" t="n">
        <v>1</v>
      </c>
      <c r="D14" s="2" t="n">
        <v>2</v>
      </c>
    </row>
    <row r="15" ht="15" customHeight="1">
      <c r="A15" s="2" t="n">
        <v>74931</v>
      </c>
      <c r="B15" s="2" t="inlineStr">
        <is>
          <t>URI T39 M         1 מגן שוק</t>
        </is>
      </c>
      <c r="C15" s="2" t="n">
        <v>1</v>
      </c>
      <c r="D15" s="2" t="n">
        <v>2</v>
      </c>
    </row>
    <row r="16" ht="15" customHeight="1">
      <c r="A16" s="2" t="n">
        <v>67053</v>
      </c>
      <c r="B16" s="2" t="inlineStr">
        <is>
          <t>URI 34 XS  1 מגן קרסול סגור</t>
        </is>
      </c>
      <c r="C16" s="2" t="n">
        <v>1</v>
      </c>
      <c r="D16" s="2" t="n">
        <v>2</v>
      </c>
    </row>
    <row r="17" ht="15" customHeight="1">
      <c r="A17" s="2" t="n">
        <v>28302</v>
      </c>
      <c r="B17" s="2" t="inlineStr">
        <is>
          <t>URI 34+XXL1 מ קרסול+עכב סגו</t>
        </is>
      </c>
      <c r="C17" s="2" t="n">
        <v>1</v>
      </c>
      <c r="D17" s="2" t="n">
        <v>2</v>
      </c>
    </row>
    <row r="18" ht="15" customHeight="1">
      <c r="A18" s="2" t="n">
        <v>60473</v>
      </c>
      <c r="B18" s="2" t="inlineStr">
        <is>
          <t>URI PD341 1 מקצוע להסרת עור</t>
        </is>
      </c>
      <c r="C18" s="2" t="n">
        <v>3</v>
      </c>
      <c r="D18" s="2" t="n">
        <v>5</v>
      </c>
    </row>
    <row r="19" ht="15" customHeight="1">
      <c r="A19" s="2" t="n">
        <v>16245</v>
      </c>
      <c r="B19" s="2" t="inlineStr">
        <is>
          <t>394W-43-461 גרבי קיץ לסוכרת</t>
        </is>
      </c>
      <c r="C19" s="2" t="n">
        <v>2</v>
      </c>
      <c r="D19" s="2" t="n">
        <v>3</v>
      </c>
    </row>
    <row r="20" ht="15" customHeight="1">
      <c r="A20" s="2" t="n">
        <v>16244</v>
      </c>
      <c r="B20" s="2" t="inlineStr">
        <is>
          <t>394W-39-421 גרבי קיץ לסוכרת</t>
        </is>
      </c>
      <c r="C20" s="2" t="n">
        <v>2</v>
      </c>
      <c r="D20" s="2" t="n">
        <v>3</v>
      </c>
    </row>
    <row r="21" ht="15" customHeight="1">
      <c r="A21" s="2" t="n">
        <v>21003</v>
      </c>
      <c r="B21" s="2" t="inlineStr">
        <is>
          <t>URI 45 XXL        1 מגן ברך</t>
        </is>
      </c>
      <c r="C21" s="2" t="n">
        <v>15</v>
      </c>
      <c r="D21" s="2" t="n">
        <v>22</v>
      </c>
    </row>
    <row r="22" ht="15" customHeight="1">
      <c r="A22" s="2" t="n">
        <v>64634</v>
      </c>
      <c r="B22" s="2" t="inlineStr">
        <is>
          <t>URI 390B 39-42   1 גרבי כסף</t>
        </is>
      </c>
      <c r="C22" s="2" t="n">
        <v>7</v>
      </c>
      <c r="D22" s="2" t="n">
        <v>10</v>
      </c>
    </row>
    <row r="23" ht="15" customHeight="1">
      <c r="A23" s="2" t="n">
        <v>8618</v>
      </c>
      <c r="B23" s="2" t="inlineStr">
        <is>
          <t>URI 311         1 מדבקת ג'ל</t>
        </is>
      </c>
      <c r="C23" s="2" t="n">
        <v>12</v>
      </c>
      <c r="D23" s="2" t="n">
        <v>17</v>
      </c>
    </row>
    <row r="24" ht="15" customHeight="1">
      <c r="A24" s="2" t="n">
        <v>60476</v>
      </c>
      <c r="B24" s="2" t="inlineStr">
        <is>
          <t>URI PD344       1 אבן טבעית</t>
        </is>
      </c>
      <c r="C24" s="2" t="n">
        <v>17</v>
      </c>
      <c r="D24" s="2" t="n">
        <v>24</v>
      </c>
    </row>
    <row r="25" ht="15" customHeight="1">
      <c r="A25" s="2" t="n">
        <v>53790</v>
      </c>
      <c r="B25" s="2" t="inlineStr">
        <is>
          <t>URI 397-39-42   1 גרבי טיסה</t>
        </is>
      </c>
      <c r="C25" s="2" t="n">
        <v>20</v>
      </c>
      <c r="D25" s="2" t="n">
        <v>28</v>
      </c>
    </row>
    <row r="26" ht="15" customHeight="1">
      <c r="A26" s="2" t="n">
        <v>55868</v>
      </c>
      <c r="B26" s="2" t="inlineStr">
        <is>
          <t>URI 078G XXL1 חגורת גב אפור</t>
        </is>
      </c>
      <c r="C26" s="2" t="n">
        <v>5</v>
      </c>
      <c r="D26" s="2" t="n">
        <v>7</v>
      </c>
    </row>
    <row r="27" ht="15" customHeight="1">
      <c r="A27" s="2" t="n">
        <v>49772</v>
      </c>
      <c r="B27" s="2" t="inlineStr">
        <is>
          <t>THERMOFLEX 90  1 רצועת טניס</t>
        </is>
      </c>
      <c r="C27" s="2" t="n">
        <v>8</v>
      </c>
      <c r="D27" s="2" t="n">
        <v>11</v>
      </c>
    </row>
    <row r="28" ht="15" customHeight="1">
      <c r="A28" s="2" t="n">
        <v>59657</v>
      </c>
      <c r="B28" s="2" t="inlineStr">
        <is>
          <t>URI 363 L R 1</t>
        </is>
      </c>
      <c r="C28" s="2" t="n">
        <v>6</v>
      </c>
      <c r="D28" s="2" t="n">
        <v>8</v>
      </c>
    </row>
    <row r="29" ht="15" customHeight="1">
      <c r="A29" s="2" t="n">
        <v>63414</v>
      </c>
      <c r="B29" s="2" t="inlineStr">
        <is>
          <t>URI 85 M         1 מתלה ליד</t>
        </is>
      </c>
      <c r="C29" s="2" t="n">
        <v>18</v>
      </c>
      <c r="D29" s="2" t="n">
        <v>23</v>
      </c>
    </row>
    <row r="30" ht="15" customHeight="1">
      <c r="A30" s="2" t="n">
        <v>85165</v>
      </c>
      <c r="B30" s="2" t="inlineStr">
        <is>
          <t>URI 307 XL  1 כרית סיל.לעקב</t>
        </is>
      </c>
      <c r="C30" s="2" t="n">
        <v>11</v>
      </c>
      <c r="D30" s="2" t="n">
        <v>14</v>
      </c>
    </row>
    <row r="31" ht="15" customHeight="1">
      <c r="A31" s="2" t="n">
        <v>64638</v>
      </c>
      <c r="B31" s="2" t="inlineStr">
        <is>
          <t>URI 390G 43-46   1 גרבי כסף</t>
        </is>
      </c>
      <c r="C31" s="2" t="n">
        <v>4</v>
      </c>
      <c r="D31" s="2" t="n">
        <v>5</v>
      </c>
    </row>
    <row r="32" ht="15" customHeight="1">
      <c r="A32" s="2" t="n">
        <v>60471</v>
      </c>
      <c r="B32" s="2" t="inlineStr">
        <is>
          <t>URI 365 XL    1 טבעת אלסטית</t>
        </is>
      </c>
      <c r="C32" s="2" t="n">
        <v>13</v>
      </c>
      <c r="D32" s="2" t="n">
        <v>16</v>
      </c>
    </row>
    <row r="33" ht="15" customHeight="1">
      <c r="A33" s="2" t="n">
        <v>85338</v>
      </c>
      <c r="B33" s="2" t="inlineStr">
        <is>
          <t>URI 302W 0     1 מדרס לאישה</t>
        </is>
      </c>
      <c r="C33" s="2" t="n">
        <v>15</v>
      </c>
      <c r="D33" s="2" t="n">
        <v>18</v>
      </c>
    </row>
    <row r="34" ht="15" customHeight="1">
      <c r="A34" s="2" t="n">
        <v>63418</v>
      </c>
      <c r="B34" s="2" t="inlineStr">
        <is>
          <t>URI 87 L1 חגו.לקיבוע תמ.אמה</t>
        </is>
      </c>
      <c r="C34" s="2" t="n">
        <v>5</v>
      </c>
      <c r="D34" s="2" t="n">
        <v>6</v>
      </c>
    </row>
    <row r="35" ht="15" customHeight="1">
      <c r="A35" s="2" t="n">
        <v>63419</v>
      </c>
      <c r="B35" s="2" t="inlineStr">
        <is>
          <t>URI 87 XL1 חגו.קיבוע תמ.אמה</t>
        </is>
      </c>
      <c r="C35" s="2" t="n">
        <v>5</v>
      </c>
      <c r="D35" s="2" t="n">
        <v>6</v>
      </c>
    </row>
    <row r="36" ht="15" customHeight="1">
      <c r="A36" s="2" t="n">
        <v>53789</v>
      </c>
      <c r="B36" s="2" t="inlineStr">
        <is>
          <t>URI 397-35-38   1 גרבי טיסה</t>
        </is>
      </c>
      <c r="C36" s="2" t="n">
        <v>12</v>
      </c>
      <c r="D36" s="2" t="n">
        <v>14</v>
      </c>
    </row>
    <row r="37" ht="15" customHeight="1">
      <c r="A37" s="2" t="n">
        <v>80182</v>
      </c>
      <c r="B37" s="2" t="inlineStr">
        <is>
          <t>URI 3667        1 מגן בונין</t>
        </is>
      </c>
      <c r="C37" s="2" t="n">
        <v>12</v>
      </c>
      <c r="D37" s="2" t="n">
        <v>14</v>
      </c>
    </row>
    <row r="38" ht="15" customHeight="1">
      <c r="A38" s="2" t="n">
        <v>20998</v>
      </c>
      <c r="B38" s="2" t="inlineStr">
        <is>
          <t>URI 11 XXL  1 ח.בטן אורירית</t>
        </is>
      </c>
      <c r="C38" s="2" t="n">
        <v>6</v>
      </c>
      <c r="D38" s="2" t="n">
        <v>7</v>
      </c>
    </row>
    <row r="39" ht="15" customHeight="1">
      <c r="A39" s="2" t="n">
        <v>88474</v>
      </c>
      <c r="B39" s="2" t="inlineStr">
        <is>
          <t>URI LF370 0 1 ריפוד סיליקון</t>
        </is>
      </c>
      <c r="C39" s="2" t="n">
        <v>6</v>
      </c>
      <c r="D39" s="2" t="n">
        <v>7</v>
      </c>
    </row>
    <row r="40" ht="15" customHeight="1">
      <c r="A40" s="2" t="n">
        <v>74764</v>
      </c>
      <c r="B40" s="2" t="inlineStr">
        <is>
          <t>URI 34+ XL      1 מגן קרסול</t>
        </is>
      </c>
      <c r="C40" s="2" t="n">
        <v>6</v>
      </c>
      <c r="D40" s="2" t="n">
        <v>7</v>
      </c>
    </row>
    <row r="41" ht="15" customHeight="1">
      <c r="A41" s="2" t="n">
        <v>9772</v>
      </c>
      <c r="B41" s="2" t="inlineStr">
        <is>
          <t>URI 307 L 1 זוג עקב סיל+נ כ</t>
        </is>
      </c>
      <c r="C41" s="2" t="n">
        <v>20</v>
      </c>
      <c r="D41" s="2" t="n">
        <v>23</v>
      </c>
    </row>
    <row r="42" ht="15" customHeight="1">
      <c r="A42" s="2" t="n">
        <v>74799</v>
      </c>
      <c r="B42" s="2" t="inlineStr">
        <is>
          <t>URI 45E L1 מגן ברך ארוך לבן</t>
        </is>
      </c>
      <c r="C42" s="2" t="n">
        <v>30</v>
      </c>
      <c r="D42" s="2" t="n">
        <v>34</v>
      </c>
    </row>
    <row r="43" ht="15" customHeight="1">
      <c r="A43" s="2" t="n">
        <v>67960</v>
      </c>
      <c r="B43" s="2" t="inlineStr">
        <is>
          <t>URI 85 S        1 מיתלה ליד</t>
        </is>
      </c>
      <c r="C43" s="2" t="n">
        <v>8</v>
      </c>
      <c r="D43" s="2" t="n">
        <v>9</v>
      </c>
    </row>
    <row r="44" ht="15" customHeight="1">
      <c r="A44" s="2" t="n">
        <v>21004</v>
      </c>
      <c r="B44" s="2" t="inlineStr">
        <is>
          <t>URI 45E XXL  1 מגן ברך ארוך</t>
        </is>
      </c>
      <c r="C44" s="2" t="n">
        <v>9</v>
      </c>
      <c r="D44" s="2" t="n">
        <v>10</v>
      </c>
    </row>
    <row r="45" ht="15" customHeight="1">
      <c r="A45" s="2" t="n">
        <v>24612</v>
      </c>
      <c r="B45" s="2" t="inlineStr">
        <is>
          <t>URI AC28        1 סד לאגודל</t>
        </is>
      </c>
      <c r="C45" s="2" t="n">
        <v>38</v>
      </c>
      <c r="D45" s="2" t="n">
        <v>42</v>
      </c>
    </row>
    <row r="46" ht="15" customHeight="1">
      <c r="A46" s="2" t="n">
        <v>74801</v>
      </c>
      <c r="B46" s="2" t="inlineStr">
        <is>
          <t>URI 45E XL   1 מגן ברך ארוך</t>
        </is>
      </c>
      <c r="C46" s="2" t="n">
        <v>19</v>
      </c>
      <c r="D46" s="2" t="n">
        <v>21</v>
      </c>
    </row>
    <row r="47" ht="15" customHeight="1">
      <c r="A47" s="2" t="n">
        <v>71087</v>
      </c>
      <c r="B47" s="2" t="inlineStr">
        <is>
          <t>URI 078L 1</t>
        </is>
      </c>
      <c r="C47" s="2" t="n">
        <v>10</v>
      </c>
      <c r="D47" s="2" t="n">
        <v>11</v>
      </c>
    </row>
    <row r="48" ht="15" customHeight="1">
      <c r="A48" s="2" t="n">
        <v>19082</v>
      </c>
      <c r="B48" s="2" t="inlineStr">
        <is>
          <t>URI 34 S 1 מגן קרסול ס בעקב</t>
        </is>
      </c>
      <c r="C48" s="2" t="n">
        <v>11</v>
      </c>
      <c r="D48" s="2" t="n">
        <v>12</v>
      </c>
    </row>
    <row r="49" ht="15" customHeight="1">
      <c r="A49" s="2" t="n">
        <v>71204</v>
      </c>
      <c r="B49" s="2" t="inlineStr">
        <is>
          <t>URI 3655   1 שרוול מסיליקון</t>
        </is>
      </c>
      <c r="C49" s="2" t="n">
        <v>97</v>
      </c>
      <c r="D49" s="2" t="n">
        <v>105</v>
      </c>
    </row>
    <row r="50" ht="15" customHeight="1">
      <c r="A50" s="2" t="n">
        <v>63415</v>
      </c>
      <c r="B50" s="2" t="inlineStr">
        <is>
          <t>URI 85 L         1 מתלה ליד</t>
        </is>
      </c>
      <c r="C50" s="2" t="n">
        <v>33</v>
      </c>
      <c r="D50" s="2" t="n">
        <v>35</v>
      </c>
    </row>
    <row r="51" ht="15" customHeight="1">
      <c r="A51" s="2" t="n">
        <v>51568</v>
      </c>
      <c r="B51" s="2" t="inlineStr">
        <is>
          <t xml:space="preserve">                                       1 סד לאגודל</t>
        </is>
      </c>
      <c r="C51" s="2" t="n">
        <v>57</v>
      </c>
      <c r="D51" s="2" t="n">
        <v>60</v>
      </c>
    </row>
    <row r="52" ht="15" customHeight="1">
      <c r="A52" s="2" t="n">
        <v>23008</v>
      </c>
      <c r="B52" s="2" t="inlineStr">
        <is>
          <t>URI 364 XL 1</t>
        </is>
      </c>
      <c r="C52" s="2" t="n">
        <v>22</v>
      </c>
      <c r="D52" s="2" t="n">
        <v>23</v>
      </c>
    </row>
    <row r="53" ht="15" customHeight="1">
      <c r="A53" s="2" t="n">
        <v>52323</v>
      </c>
      <c r="B53" s="2" t="inlineStr">
        <is>
          <t>URI 078G L 1 חגורת גב אפורה</t>
        </is>
      </c>
      <c r="C53" s="2" t="n">
        <v>27</v>
      </c>
      <c r="D53" s="2" t="n">
        <v>27</v>
      </c>
    </row>
    <row r="54" ht="15" customHeight="1">
      <c r="A54" s="2" t="n">
        <v>59656</v>
      </c>
      <c r="B54" s="2" t="inlineStr">
        <is>
          <t>URI 362 L R 1</t>
        </is>
      </c>
      <c r="C54" s="2" t="n">
        <v>19</v>
      </c>
      <c r="D54" s="2" t="n">
        <v>19</v>
      </c>
    </row>
    <row r="55" ht="15" customHeight="1">
      <c r="A55" s="2" t="n">
        <v>65243</v>
      </c>
      <c r="B55" s="2" t="inlineStr">
        <is>
          <t>URI XL35    1 מגן קרסול לבן</t>
        </is>
      </c>
      <c r="C55" s="2" t="n">
        <v>14</v>
      </c>
      <c r="D55" s="2" t="n">
        <v>14</v>
      </c>
    </row>
    <row r="56" ht="15" customHeight="1">
      <c r="A56" s="2" t="n">
        <v>66485</v>
      </c>
      <c r="B56" s="2" t="inlineStr">
        <is>
          <t>URI 801 ICE GO  1 תחבושת אל</t>
        </is>
      </c>
      <c r="C56" s="2" t="n">
        <v>10</v>
      </c>
      <c r="D56" s="2" t="n">
        <v>10</v>
      </c>
    </row>
    <row r="57" ht="15" customHeight="1">
      <c r="A57" s="2" t="n">
        <v>79327</v>
      </c>
      <c r="B57" s="2" t="inlineStr">
        <is>
          <t>URI 3611       '1 כרית בנדג</t>
        </is>
      </c>
      <c r="C57" s="2" t="n">
        <v>8</v>
      </c>
      <c r="D57" s="2" t="n">
        <v>8</v>
      </c>
    </row>
    <row r="58" ht="15" customHeight="1">
      <c r="A58" s="2" t="n">
        <v>64635</v>
      </c>
      <c r="B58" s="2" t="inlineStr">
        <is>
          <t>URI 390B 43-46   1 גרבי כסף</t>
        </is>
      </c>
      <c r="C58" s="2" t="n">
        <v>7</v>
      </c>
      <c r="D58" s="2" t="n">
        <v>7</v>
      </c>
    </row>
    <row r="59" ht="15" customHeight="1">
      <c r="A59" s="2" t="n">
        <v>75763</v>
      </c>
      <c r="B59" s="2" t="inlineStr">
        <is>
          <t>URI 16 S-M    1 חגורת הריון</t>
        </is>
      </c>
      <c r="C59" s="2" t="n">
        <v>6</v>
      </c>
      <c r="D59" s="2" t="n">
        <v>6</v>
      </c>
    </row>
    <row r="60" ht="15" customHeight="1">
      <c r="A60" s="2" t="n">
        <v>74671</v>
      </c>
      <c r="B60" s="2" t="inlineStr">
        <is>
          <t>URI 07AU M   1 ח גב איטלקית</t>
        </is>
      </c>
      <c r="C60" s="2" t="n">
        <v>3</v>
      </c>
      <c r="D60" s="2" t="n">
        <v>3</v>
      </c>
    </row>
    <row r="61" ht="15" customHeight="1">
      <c r="A61" s="2" t="n">
        <v>88476</v>
      </c>
      <c r="B61" s="2" t="inlineStr">
        <is>
          <t>URI LF373 0 1 ריפוד סיליקון</t>
        </is>
      </c>
      <c r="C61" s="2" t="n">
        <v>3</v>
      </c>
      <c r="D61" s="2" t="n">
        <v>3</v>
      </c>
    </row>
    <row r="62" ht="15" customHeight="1">
      <c r="A62" s="2" t="n">
        <v>74821</v>
      </c>
      <c r="B62" s="2" t="inlineStr">
        <is>
          <t>URI 59R  M.1 חגורת שבר צד י</t>
        </is>
      </c>
      <c r="C62" s="2" t="n">
        <v>2</v>
      </c>
      <c r="D62" s="2" t="n">
        <v>2</v>
      </c>
    </row>
    <row r="63" ht="15" customHeight="1">
      <c r="A63" s="2" t="n">
        <v>63407</v>
      </c>
      <c r="B63" s="2" t="inlineStr">
        <is>
          <t>URI 11U XL1 ח בטן אחר ניתוח</t>
        </is>
      </c>
      <c r="C63" s="2" t="n">
        <v>1</v>
      </c>
      <c r="D63" s="2" t="n">
        <v>1</v>
      </c>
    </row>
    <row r="64" ht="15" customHeight="1">
      <c r="A64" s="2" t="n">
        <v>64636</v>
      </c>
      <c r="B64" s="2" t="inlineStr">
        <is>
          <t>URI 390G 35-38   1 גרבי כסף</t>
        </is>
      </c>
      <c r="C64" s="2" t="n">
        <v>1</v>
      </c>
      <c r="D64" s="2" t="n">
        <v>1</v>
      </c>
    </row>
    <row r="65" ht="15" customHeight="1">
      <c r="A65" s="2" t="n">
        <v>50057</v>
      </c>
      <c r="B65" s="2" t="inlineStr">
        <is>
          <t>URI 76          1 מיישר כתף</t>
        </is>
      </c>
      <c r="C65" s="2" t="n">
        <v>1</v>
      </c>
      <c r="D65" s="2" t="n">
        <v>1</v>
      </c>
    </row>
    <row r="66" ht="15" customHeight="1">
      <c r="A66" s="2" t="n">
        <v>28323</v>
      </c>
      <c r="B66" s="2" t="inlineStr">
        <is>
          <t>URI T33 XXL     1 סד לקרסול</t>
        </is>
      </c>
      <c r="C66" s="2" t="n">
        <v>1</v>
      </c>
      <c r="D66" s="2" t="n">
        <v>1</v>
      </c>
    </row>
    <row r="67" ht="15" customHeight="1">
      <c r="A67" s="2" t="n">
        <v>74805</v>
      </c>
      <c r="B67" s="2" t="inlineStr">
        <is>
          <t>URI 49 L          1 מגן ירך</t>
        </is>
      </c>
      <c r="C67" s="2" t="n">
        <v>1</v>
      </c>
      <c r="D67" s="2" t="n">
        <v>1</v>
      </c>
    </row>
    <row r="68" ht="15" customHeight="1">
      <c r="A68" s="2" t="n">
        <v>31183</v>
      </c>
      <c r="B68" s="2" t="inlineStr">
        <is>
          <t>URI 370       1 רפידת נוחות</t>
        </is>
      </c>
      <c r="C68" s="2" t="n">
        <v>35</v>
      </c>
      <c r="D68" s="2" t="n">
        <v>34</v>
      </c>
    </row>
    <row r="69" ht="15" customHeight="1">
      <c r="A69" s="2" t="n">
        <v>52328</v>
      </c>
      <c r="B69" s="2" t="inlineStr">
        <is>
          <t>URI 078G XL 1 חגורת גב אפור</t>
        </is>
      </c>
      <c r="C69" s="2" t="n">
        <v>19</v>
      </c>
      <c r="D69" s="2" t="n">
        <v>18</v>
      </c>
    </row>
    <row r="70" ht="15" customHeight="1">
      <c r="A70" s="2" t="n">
        <v>74709</v>
      </c>
      <c r="B70" s="2" t="inlineStr">
        <is>
          <t>URI 21 M      1 חבק יד ארוך</t>
        </is>
      </c>
      <c r="C70" s="2" t="n">
        <v>40</v>
      </c>
      <c r="D70" s="2" t="n">
        <v>37</v>
      </c>
    </row>
    <row r="71" ht="15" customHeight="1">
      <c r="A71" s="2" t="n">
        <v>31190</v>
      </c>
      <c r="B71" s="2" t="inlineStr">
        <is>
          <t>URI 374 1 רפידה בולמת זעזוע</t>
        </is>
      </c>
      <c r="C71" s="2" t="n">
        <v>22</v>
      </c>
      <c r="D71" s="2" t="n">
        <v>20</v>
      </c>
    </row>
    <row r="72" ht="15" customHeight="1">
      <c r="A72" s="2" t="n">
        <v>59679</v>
      </c>
      <c r="B72" s="2" t="inlineStr">
        <is>
          <t>URI 364 S M 1</t>
        </is>
      </c>
      <c r="C72" s="2" t="n">
        <v>60</v>
      </c>
      <c r="D72" s="2" t="n">
        <v>54</v>
      </c>
    </row>
    <row r="73" ht="15" customHeight="1">
      <c r="A73" s="2" t="n">
        <v>51567</v>
      </c>
      <c r="B73" s="2" t="inlineStr">
        <is>
          <t xml:space="preserve">                                   1 סד יד דו צדדי</t>
        </is>
      </c>
      <c r="C73" s="2" t="n">
        <v>134</v>
      </c>
      <c r="D73" s="2" t="n">
        <v>120</v>
      </c>
    </row>
    <row r="74" ht="15" customHeight="1">
      <c r="A74" s="2" t="n">
        <v>67925</v>
      </c>
      <c r="B74" s="2" t="inlineStr">
        <is>
          <t>URI 35  S   1 מגן קרסול לבן</t>
        </is>
      </c>
      <c r="C74" s="2" t="n">
        <v>9</v>
      </c>
      <c r="D74" s="2" t="n">
        <v>8</v>
      </c>
    </row>
    <row r="75" ht="15" customHeight="1">
      <c r="A75" s="2" t="n">
        <v>60472</v>
      </c>
      <c r="B75" s="2" t="inlineStr">
        <is>
          <t>URI PD340  1 קוצץ ציפורניים</t>
        </is>
      </c>
      <c r="C75" s="2" t="n">
        <v>40</v>
      </c>
      <c r="D75" s="2" t="n">
        <v>35</v>
      </c>
    </row>
    <row r="76" ht="15" customHeight="1">
      <c r="A76" s="2" t="n">
        <v>63449</v>
      </c>
      <c r="B76" s="2" t="inlineStr">
        <is>
          <t>URI 40221 רצועה לפיקה +כרית</t>
        </is>
      </c>
      <c r="C76" s="2" t="n">
        <v>8</v>
      </c>
      <c r="D76" s="2" t="n">
        <v>7</v>
      </c>
    </row>
    <row r="77" ht="15" customHeight="1">
      <c r="A77" s="2" t="n">
        <v>63368</v>
      </c>
      <c r="B77" s="2" t="inlineStr">
        <is>
          <t>URI 34 XL1 מגן קרסול ס.בעקב</t>
        </is>
      </c>
      <c r="C77" s="2" t="n">
        <v>15</v>
      </c>
      <c r="D77" s="2" t="n">
        <v>13</v>
      </c>
    </row>
    <row r="78" ht="15" customHeight="1">
      <c r="A78" s="2" t="n">
        <v>9771</v>
      </c>
      <c r="B78" s="2" t="inlineStr">
        <is>
          <t>URI 307 M 1 זוג עקב סיל+נ כ</t>
        </is>
      </c>
      <c r="C78" s="2" t="n">
        <v>21</v>
      </c>
      <c r="D78" s="2" t="n">
        <v>18</v>
      </c>
    </row>
    <row r="79" ht="15" customHeight="1">
      <c r="A79" s="2" t="n">
        <v>61962</v>
      </c>
      <c r="B79" s="2" t="inlineStr">
        <is>
          <t>URI 3677 1 מדבקה לשחרור לחץ</t>
        </is>
      </c>
      <c r="C79" s="2" t="n">
        <v>14</v>
      </c>
      <c r="D79" s="2" t="n">
        <v>12</v>
      </c>
    </row>
    <row r="80" ht="15" customHeight="1">
      <c r="A80" s="2" t="n">
        <v>60485</v>
      </c>
      <c r="B80" s="2" t="inlineStr">
        <is>
          <t>URI 369 XL 1</t>
        </is>
      </c>
      <c r="C80" s="2" t="n">
        <v>32</v>
      </c>
      <c r="D80" s="2" t="n">
        <v>27</v>
      </c>
    </row>
    <row r="81" ht="15" customHeight="1">
      <c r="A81" s="2" t="n">
        <v>16211</v>
      </c>
      <c r="B81" s="2" t="inlineStr">
        <is>
          <t>394B-35-381 גרבי קיץ לסוכרת</t>
        </is>
      </c>
      <c r="C81" s="2" t="n">
        <v>6</v>
      </c>
      <c r="D81" s="2" t="n">
        <v>5</v>
      </c>
    </row>
    <row r="82" ht="15" customHeight="1">
      <c r="A82" s="2" t="n">
        <v>60478</v>
      </c>
      <c r="B82" s="2" t="inlineStr">
        <is>
          <t>URI PD3461 10 סכינים למקצוע</t>
        </is>
      </c>
      <c r="C82" s="2" t="n">
        <v>6</v>
      </c>
      <c r="D82" s="2" t="n">
        <v>5</v>
      </c>
    </row>
    <row r="83" ht="15" customHeight="1">
      <c r="A83" s="2" t="n">
        <v>63360</v>
      </c>
      <c r="B83" s="2" t="inlineStr">
        <is>
          <t>URI 45 L          1 מגן ברךBOX</t>
        </is>
      </c>
      <c r="C83" s="2" t="n">
        <v>48</v>
      </c>
      <c r="D83" s="2" t="n">
        <v>39</v>
      </c>
    </row>
    <row r="84" ht="15" customHeight="1">
      <c r="A84" s="2" t="n">
        <v>64637</v>
      </c>
      <c r="B84" s="2" t="inlineStr">
        <is>
          <t>URI 390G 39-42   1 גרבי כסף</t>
        </is>
      </c>
      <c r="C84" s="2" t="n">
        <v>5</v>
      </c>
      <c r="D84" s="2" t="n">
        <v>4</v>
      </c>
    </row>
    <row r="85" ht="15" customHeight="1">
      <c r="A85" s="2" t="n">
        <v>75762</v>
      </c>
      <c r="B85" s="2" t="inlineStr">
        <is>
          <t>URI 16 L-XL   1 חגורת הריון</t>
        </is>
      </c>
      <c r="C85" s="2" t="n">
        <v>5</v>
      </c>
      <c r="D85" s="2" t="n">
        <v>4</v>
      </c>
    </row>
    <row r="86" ht="15" customHeight="1">
      <c r="A86" s="2" t="n">
        <v>65242</v>
      </c>
      <c r="B86" s="2" t="inlineStr">
        <is>
          <t>URI L35     1 מגן קרסול לבן</t>
        </is>
      </c>
      <c r="C86" s="2" t="n">
        <v>24</v>
      </c>
      <c r="D86" s="2" t="n">
        <v>19</v>
      </c>
    </row>
    <row r="87" ht="15" customHeight="1">
      <c r="A87" s="2" t="n">
        <v>63420</v>
      </c>
      <c r="B87" s="2" t="inlineStr">
        <is>
          <t>URI 95 M         1 מגן מרפק</t>
        </is>
      </c>
      <c r="C87" s="2" t="n">
        <v>24</v>
      </c>
      <c r="D87" s="2" t="n">
        <v>19</v>
      </c>
    </row>
    <row r="88" ht="15" customHeight="1">
      <c r="A88" s="2" t="n">
        <v>76452</v>
      </c>
      <c r="B88" s="2" t="inlineStr">
        <is>
          <t xml:space="preserve">                             1 מ.בוניון+מפריד אצבע</t>
        </is>
      </c>
      <c r="C88" s="2" t="n">
        <v>18</v>
      </c>
      <c r="D88" s="2" t="n">
        <v>14</v>
      </c>
    </row>
    <row r="89" ht="15" customHeight="1">
      <c r="A89" s="2" t="n">
        <v>74762</v>
      </c>
      <c r="B89" s="2" t="inlineStr">
        <is>
          <t>URI 34+ L      1 מגן לקרסול</t>
        </is>
      </c>
      <c r="C89" s="2" t="n">
        <v>9</v>
      </c>
      <c r="D89" s="2" t="n">
        <v>7</v>
      </c>
    </row>
    <row r="90" ht="15" customHeight="1">
      <c r="A90" s="2" t="n">
        <v>47877</v>
      </c>
      <c r="B90" s="2" t="inlineStr">
        <is>
          <t>URI 21        1 חבק יד ארוך</t>
        </is>
      </c>
      <c r="C90" s="2" t="n">
        <v>17</v>
      </c>
      <c r="D90" s="2" t="n">
        <v>13</v>
      </c>
    </row>
    <row r="91" ht="15" customHeight="1">
      <c r="A91" s="2" t="n">
        <v>31188</v>
      </c>
      <c r="B91" s="2" t="inlineStr">
        <is>
          <t>URI 372    1 רפידת אנטי ריח</t>
        </is>
      </c>
      <c r="C91" s="2" t="n">
        <v>67</v>
      </c>
      <c r="D91" s="2" t="n">
        <v>50</v>
      </c>
    </row>
    <row r="92" ht="15" customHeight="1">
      <c r="A92" s="2" t="n">
        <v>74710</v>
      </c>
      <c r="B92" s="2" t="inlineStr">
        <is>
          <t>URI 21 XL     1 חבק יד ארוך</t>
        </is>
      </c>
      <c r="C92" s="2" t="n">
        <v>19</v>
      </c>
      <c r="D92" s="2" t="n">
        <v>14</v>
      </c>
    </row>
    <row r="93" ht="15" customHeight="1">
      <c r="A93" s="2" t="n">
        <v>74684</v>
      </c>
      <c r="B93" s="2" t="inlineStr">
        <is>
          <t>URI 11 XL   1 ח.בטן אורירית</t>
        </is>
      </c>
      <c r="C93" s="2" t="n">
        <v>11</v>
      </c>
      <c r="D93" s="2" t="n">
        <v>8</v>
      </c>
    </row>
    <row r="94" ht="15" customHeight="1">
      <c r="A94" s="2" t="n">
        <v>18559</v>
      </c>
      <c r="B94" s="2" t="inlineStr">
        <is>
          <t>URI 8200    1 כרית חום וקור</t>
        </is>
      </c>
      <c r="C94" s="2" t="n">
        <v>7</v>
      </c>
      <c r="D94" s="2" t="n">
        <v>5</v>
      </c>
    </row>
    <row r="95" ht="15" customHeight="1">
      <c r="A95" s="2" t="n">
        <v>63366</v>
      </c>
      <c r="B95" s="2" t="inlineStr">
        <is>
          <t>URI 34 M 1 מגן קרסול ס.בעקב</t>
        </is>
      </c>
      <c r="C95" s="2" t="n">
        <v>24</v>
      </c>
      <c r="D95" s="2" t="n">
        <v>17</v>
      </c>
    </row>
    <row r="96" ht="15" customHeight="1">
      <c r="A96" s="2" t="n">
        <v>65241</v>
      </c>
      <c r="B96" s="2" t="inlineStr">
        <is>
          <t>URI M35     1 מגן קרסול לבן</t>
        </is>
      </c>
      <c r="C96" s="2" t="n">
        <v>20</v>
      </c>
      <c r="D96" s="2" t="n">
        <v>14</v>
      </c>
    </row>
    <row r="97" ht="15" customHeight="1">
      <c r="A97" s="2" t="n">
        <v>8616</v>
      </c>
      <c r="B97" s="2" t="inlineStr">
        <is>
          <t>URI 3623 1 כרית ליישור אצבע</t>
        </is>
      </c>
      <c r="C97" s="2" t="n">
        <v>22</v>
      </c>
      <c r="D97" s="2" t="n">
        <v>15</v>
      </c>
    </row>
    <row r="98" ht="15" customHeight="1">
      <c r="A98" s="2" t="n">
        <v>63361</v>
      </c>
      <c r="B98" s="2" t="inlineStr">
        <is>
          <t>URI 45 XL         1 מגן ברך</t>
        </is>
      </c>
      <c r="C98" s="2" t="n">
        <v>36</v>
      </c>
      <c r="D98" s="2" t="n">
        <v>24</v>
      </c>
    </row>
    <row r="99" ht="15" customHeight="1">
      <c r="A99" s="2" t="n">
        <v>60474</v>
      </c>
      <c r="B99" s="2" t="inlineStr">
        <is>
          <t>URI PD3421 פומפיה להסרת עור</t>
        </is>
      </c>
      <c r="C99" s="2" t="n">
        <v>12</v>
      </c>
      <c r="D99" s="2" t="n">
        <v>8</v>
      </c>
    </row>
    <row r="100" ht="15" customHeight="1">
      <c r="A100" s="2" t="n">
        <v>63422</v>
      </c>
      <c r="B100" s="2" t="inlineStr">
        <is>
          <t>URI 95 XL        1 מגן מרפק</t>
        </is>
      </c>
      <c r="C100" s="2" t="n">
        <v>6</v>
      </c>
      <c r="D100" s="2" t="n">
        <v>4</v>
      </c>
    </row>
    <row r="101" ht="15" customHeight="1">
      <c r="A101" s="2" t="n">
        <v>20996</v>
      </c>
      <c r="B101" s="2" t="inlineStr">
        <is>
          <t>URI 07AU XXL 1</t>
        </is>
      </c>
      <c r="C101" s="2" t="n">
        <v>3</v>
      </c>
      <c r="D101" s="2" t="n">
        <v>2</v>
      </c>
    </row>
    <row r="102" ht="15" customHeight="1">
      <c r="A102" s="2" t="n">
        <v>74846</v>
      </c>
      <c r="B102" s="2" t="inlineStr">
        <is>
          <t>URI 76 L        1 מיישר כתף</t>
        </is>
      </c>
      <c r="C102" s="2" t="n">
        <v>3</v>
      </c>
      <c r="D102" s="2" t="n">
        <v>2</v>
      </c>
    </row>
    <row r="103" ht="15" customHeight="1">
      <c r="A103" s="2" t="n">
        <v>74708</v>
      </c>
      <c r="B103" s="2" t="inlineStr">
        <is>
          <t>URI 21 L      1 חבק יד ארוך</t>
        </is>
      </c>
      <c r="C103" s="2" t="n">
        <v>29</v>
      </c>
      <c r="D103" s="2" t="n">
        <v>19</v>
      </c>
    </row>
    <row r="104" ht="15" customHeight="1">
      <c r="A104" s="2" t="n">
        <v>63359</v>
      </c>
      <c r="B104" s="2" t="inlineStr">
        <is>
          <t>URI 45 M          1 מגן ברך</t>
        </is>
      </c>
      <c r="C104" s="2" t="n">
        <v>46</v>
      </c>
      <c r="D104" s="2" t="n">
        <v>30</v>
      </c>
    </row>
    <row r="105" ht="15" customHeight="1">
      <c r="A105" s="2" t="n">
        <v>61961</v>
      </c>
      <c r="B105" s="2" t="inlineStr">
        <is>
          <t>URI 366S 1 מדבקה לשחרור לחץ</t>
        </is>
      </c>
      <c r="C105" s="2" t="n">
        <v>14</v>
      </c>
      <c r="D105" s="2" t="n">
        <v>9</v>
      </c>
    </row>
    <row r="106" ht="15" customHeight="1">
      <c r="A106" s="2" t="n">
        <v>35339</v>
      </c>
      <c r="B106" s="2" t="inlineStr">
        <is>
          <t>URI 307 S 1 זוג עקב סיל+נ כ</t>
        </is>
      </c>
      <c r="C106" s="2" t="n">
        <v>8</v>
      </c>
      <c r="D106" s="2" t="n">
        <v>5</v>
      </c>
    </row>
    <row r="107" ht="15" customHeight="1">
      <c r="A107" s="2" t="n">
        <v>71088</v>
      </c>
      <c r="B107" s="2" t="inlineStr">
        <is>
          <t>URI 078XL 1</t>
        </is>
      </c>
      <c r="C107" s="2" t="n">
        <v>8</v>
      </c>
      <c r="D107" s="2" t="n">
        <v>5</v>
      </c>
    </row>
    <row r="108" ht="15" customHeight="1">
      <c r="A108" s="2" t="n">
        <v>16213</v>
      </c>
      <c r="B108" s="2" t="inlineStr">
        <is>
          <t>394B-43-461 גרבי קיץ לסוכרת</t>
        </is>
      </c>
      <c r="C108" s="2" t="n">
        <v>23</v>
      </c>
      <c r="D108" s="2" t="n">
        <v>14</v>
      </c>
    </row>
    <row r="109" ht="15" customHeight="1">
      <c r="A109" s="2" t="n">
        <v>59694</v>
      </c>
      <c r="B109" s="2" t="inlineStr">
        <is>
          <t>URI 365 S-L   1 טבעת אלסטית</t>
        </is>
      </c>
      <c r="C109" s="2" t="n">
        <v>39</v>
      </c>
      <c r="D109" s="2" t="n">
        <v>23</v>
      </c>
    </row>
    <row r="110" ht="15" customHeight="1">
      <c r="A110" s="2" t="n">
        <v>76453</v>
      </c>
      <c r="B110" s="2" t="inlineStr">
        <is>
          <t>URI 3675 1 מגן זרת מסיליקון</t>
        </is>
      </c>
      <c r="C110" s="2" t="n">
        <v>12</v>
      </c>
      <c r="D110" s="2" t="n">
        <v>7</v>
      </c>
    </row>
    <row r="111" ht="15" customHeight="1">
      <c r="A111" s="2" t="n">
        <v>63421</v>
      </c>
      <c r="B111" s="2" t="inlineStr">
        <is>
          <t>URI 95 L         1 מגן מרפק</t>
        </is>
      </c>
      <c r="C111" s="2" t="n">
        <v>12</v>
      </c>
      <c r="D111" s="2" t="n">
        <v>7</v>
      </c>
    </row>
    <row r="112" ht="15" customHeight="1">
      <c r="A112" s="2" t="n">
        <v>63367</v>
      </c>
      <c r="B112" s="2" t="inlineStr">
        <is>
          <t>URI 34 L 1 מגן קרסול ס.בעקב</t>
        </is>
      </c>
      <c r="C112" s="2" t="n">
        <v>33</v>
      </c>
      <c r="D112" s="2" t="n">
        <v>19</v>
      </c>
    </row>
    <row r="113" ht="15" customHeight="1">
      <c r="A113" s="2" t="n">
        <v>67957</v>
      </c>
      <c r="B113" s="2" t="inlineStr">
        <is>
          <t>URI 95 S         1 מגן מרפק</t>
        </is>
      </c>
      <c r="C113" s="2" t="n">
        <v>14</v>
      </c>
      <c r="D113" s="2" t="n">
        <v>8</v>
      </c>
    </row>
    <row r="114" ht="15" customHeight="1">
      <c r="A114" s="2" t="n">
        <v>74763</v>
      </c>
      <c r="B114" s="2" t="inlineStr">
        <is>
          <t>URI 34+ M       1 מגן קרסול</t>
        </is>
      </c>
      <c r="C114" s="2" t="n">
        <v>9</v>
      </c>
      <c r="D114" s="2" t="n">
        <v>5</v>
      </c>
    </row>
    <row r="115" ht="15" customHeight="1">
      <c r="A115" s="2" t="n">
        <v>80668</v>
      </c>
      <c r="B115" s="2" t="inlineStr">
        <is>
          <t>URI 320 BLISTER PLASTER 1</t>
        </is>
      </c>
      <c r="C115" s="2" t="n">
        <v>15</v>
      </c>
      <c r="D115" s="2" t="n">
        <v>8</v>
      </c>
    </row>
    <row r="116" ht="15" customHeight="1">
      <c r="A116" s="2" t="n">
        <v>74800</v>
      </c>
      <c r="B116" s="2" t="inlineStr">
        <is>
          <t>URI 45E M    1 מגן ברך ארוך</t>
        </is>
      </c>
      <c r="C116" s="2" t="n">
        <v>34</v>
      </c>
      <c r="D116" s="2" t="n">
        <v>17</v>
      </c>
    </row>
    <row r="117" ht="15" customHeight="1">
      <c r="A117" s="2" t="n">
        <v>52324</v>
      </c>
      <c r="B117" s="2" t="inlineStr">
        <is>
          <t>URI 078G M 1 חגורת גב אפורה</t>
        </is>
      </c>
      <c r="C117" s="2" t="n">
        <v>16</v>
      </c>
      <c r="D117" s="2" t="n">
        <v>8</v>
      </c>
    </row>
    <row r="118" ht="15" customHeight="1">
      <c r="A118" s="2" t="n">
        <v>61344</v>
      </c>
      <c r="B118" s="2" t="inlineStr">
        <is>
          <t>URI 312 9*5   1 מדבקה גדולה</t>
        </is>
      </c>
      <c r="C118" s="2" t="n">
        <v>8</v>
      </c>
      <c r="D118" s="2" t="n">
        <v>4</v>
      </c>
    </row>
    <row r="119" ht="15" customHeight="1">
      <c r="A119" s="2" t="n">
        <v>74670</v>
      </c>
      <c r="B119" s="2" t="inlineStr">
        <is>
          <t>URI 07AU L   1 ח.גב איטלקית</t>
        </is>
      </c>
      <c r="C119" s="2" t="n">
        <v>8</v>
      </c>
      <c r="D119" s="2" t="n">
        <v>4</v>
      </c>
    </row>
    <row r="120" ht="15" customHeight="1">
      <c r="A120" s="2" t="n">
        <v>42964</v>
      </c>
      <c r="B120" s="2" t="inlineStr">
        <is>
          <t>URI 45E  1 מגן ברך ארוך לבן</t>
        </is>
      </c>
      <c r="C120" s="2" t="n">
        <v>6</v>
      </c>
      <c r="D120" s="2" t="n">
        <v>3</v>
      </c>
    </row>
    <row r="121" ht="15" customHeight="1">
      <c r="A121" s="2" t="n">
        <v>71683</v>
      </c>
      <c r="B121" s="2" t="inlineStr">
        <is>
          <t>URI S 3622 1 מדבקה לשחרור ל</t>
        </is>
      </c>
      <c r="C121" s="2" t="n">
        <v>6</v>
      </c>
      <c r="D121" s="2" t="n">
        <v>3</v>
      </c>
    </row>
    <row r="122" ht="15" customHeight="1">
      <c r="A122" s="2" t="n">
        <v>21896</v>
      </c>
      <c r="B122" s="2" t="inlineStr">
        <is>
          <t>URI 388L    1 סד לילה לבוהן</t>
        </is>
      </c>
      <c r="C122" s="2" t="n">
        <v>4</v>
      </c>
      <c r="D122" s="2" t="n">
        <v>2</v>
      </c>
    </row>
    <row r="123" ht="15" customHeight="1">
      <c r="A123" s="2" t="n">
        <v>75764</v>
      </c>
      <c r="B123" s="2" t="inlineStr">
        <is>
          <t>URI 16 XXL    1 חגורת הריון</t>
        </is>
      </c>
      <c r="C123" s="2" t="n">
        <v>4</v>
      </c>
      <c r="D123" s="2" t="n">
        <v>2</v>
      </c>
    </row>
    <row r="124" ht="15" customHeight="1">
      <c r="A124" s="2" t="n">
        <v>16214</v>
      </c>
      <c r="B124" s="2" t="inlineStr">
        <is>
          <t>394-G-35-31 גרבי קיץ לסוכרת</t>
        </is>
      </c>
      <c r="C124" s="2" t="n">
        <v>2</v>
      </c>
      <c r="D124" s="2" t="n">
        <v>1</v>
      </c>
    </row>
    <row r="125" ht="15" customHeight="1">
      <c r="A125" s="2" t="n">
        <v>74807</v>
      </c>
      <c r="B125" s="2" t="inlineStr">
        <is>
          <t>URI 49 XL         1 מגן ירך</t>
        </is>
      </c>
      <c r="C125" s="2" t="n">
        <v>2</v>
      </c>
      <c r="D125" s="2" t="n">
        <v>1</v>
      </c>
    </row>
    <row r="126" ht="15" customHeight="1">
      <c r="A126" s="2" t="n">
        <v>50022</v>
      </c>
      <c r="B126" s="2" t="inlineStr">
        <is>
          <t>URI 38  1 חבישת הלוקס ולגוס</t>
        </is>
      </c>
      <c r="C126" s="2" t="n">
        <v>2</v>
      </c>
      <c r="D126" s="2" t="n">
        <v>1</v>
      </c>
    </row>
    <row r="127" ht="15" customHeight="1">
      <c r="A127" s="2" t="n">
        <v>74687</v>
      </c>
      <c r="B127" s="2" t="inlineStr">
        <is>
          <t>URI 11 TO L         1 ח בטן</t>
        </is>
      </c>
      <c r="C127" s="2" t="n">
        <v>2</v>
      </c>
      <c r="D127" s="2" t="n">
        <v>1</v>
      </c>
    </row>
    <row r="128" ht="15" customHeight="1">
      <c r="A128" s="2" t="n">
        <v>67895</v>
      </c>
      <c r="B128" s="2" t="inlineStr">
        <is>
          <t>URI 11      1 ח בטן אורירית</t>
        </is>
      </c>
      <c r="C128" s="2" t="n">
        <v>2</v>
      </c>
      <c r="D128" s="2" t="n">
        <v>1</v>
      </c>
    </row>
    <row r="129" ht="15" customHeight="1">
      <c r="A129" s="2" t="n">
        <v>74848</v>
      </c>
      <c r="B129" s="2" t="inlineStr">
        <is>
          <t>URI 76 XL       1 מיישר כתף</t>
        </is>
      </c>
      <c r="C129" s="2" t="n">
        <v>2</v>
      </c>
      <c r="D129" s="2" t="n">
        <v>1</v>
      </c>
    </row>
    <row r="130" ht="15" customHeight="1">
      <c r="A130" s="2" t="n">
        <v>83668</v>
      </c>
      <c r="B130" s="2" t="inlineStr">
        <is>
          <t>URI FC335    1 טלק לכף הרגל</t>
        </is>
      </c>
      <c r="C130" s="2" t="n">
        <v>145</v>
      </c>
      <c r="D130" s="2" t="n">
        <v>67</v>
      </c>
    </row>
    <row r="131" ht="15" customHeight="1">
      <c r="A131" s="2" t="n">
        <v>19083</v>
      </c>
      <c r="B131" s="2" t="inlineStr">
        <is>
          <t>URI 40    1 רצועת פיקה לברך</t>
        </is>
      </c>
      <c r="C131" s="2" t="n">
        <v>7</v>
      </c>
      <c r="D131" s="2" t="n">
        <v>3</v>
      </c>
    </row>
    <row r="132" ht="15" customHeight="1">
      <c r="A132" s="2" t="n">
        <v>53791</v>
      </c>
      <c r="B132" s="2" t="inlineStr">
        <is>
          <t>URI 397-43-46  1 גרבי טיסה</t>
        </is>
      </c>
      <c r="C132" s="2" t="n">
        <v>31</v>
      </c>
      <c r="D132" s="2" t="n">
        <v>13</v>
      </c>
    </row>
    <row r="133" ht="15" customHeight="1">
      <c r="A133" s="2" t="n">
        <v>16212</v>
      </c>
      <c r="B133" s="2" t="inlineStr">
        <is>
          <t>394B-39-421 גרבי קיץ לסוכרת</t>
        </is>
      </c>
      <c r="C133" s="2" t="n">
        <v>15</v>
      </c>
      <c r="D133" s="2" t="n">
        <v>6</v>
      </c>
    </row>
    <row r="134" ht="15" customHeight="1">
      <c r="A134" s="2" t="n">
        <v>29881</v>
      </c>
      <c r="B134" s="2" t="inlineStr">
        <is>
          <t>URI 34 XXL 1 מגן קרסול סגור</t>
        </is>
      </c>
      <c r="C134" s="2" t="n">
        <v>10</v>
      </c>
      <c r="D134" s="2" t="n">
        <v>4</v>
      </c>
    </row>
    <row r="135" ht="15" customHeight="1">
      <c r="A135" s="2" t="n">
        <v>67385</v>
      </c>
      <c r="B135" s="2" t="inlineStr">
        <is>
          <t>URI 302M 0  1 מדרס ג'ל לגבר</t>
        </is>
      </c>
      <c r="C135" s="2" t="n">
        <v>39</v>
      </c>
      <c r="D135" s="2" t="n">
        <v>14</v>
      </c>
    </row>
    <row r="136" ht="15" customHeight="1">
      <c r="A136" s="2" t="n">
        <v>86583</v>
      </c>
      <c r="B136" s="2" t="inlineStr">
        <is>
          <t>URI 87 XXL   1 מקבע כתף ויד</t>
        </is>
      </c>
      <c r="C136" s="2" t="n">
        <v>3</v>
      </c>
      <c r="D136" s="2" t="n">
        <v>1</v>
      </c>
    </row>
    <row r="137" ht="15" customHeight="1">
      <c r="A137" s="2" t="n">
        <v>64631</v>
      </c>
      <c r="B137" s="2" t="inlineStr">
        <is>
          <t>URI 390W 39-42   1 גרבי כסף</t>
        </is>
      </c>
      <c r="C137" s="2" t="n">
        <v>7</v>
      </c>
      <c r="D137" s="2" t="n">
        <v>2</v>
      </c>
    </row>
    <row r="138" ht="15" customHeight="1">
      <c r="A138" s="2" t="n">
        <v>74682</v>
      </c>
      <c r="B138" s="2" t="inlineStr">
        <is>
          <t>URI 11 L    1 ח.בטן אורירית</t>
        </is>
      </c>
      <c r="C138" s="2" t="n">
        <v>11</v>
      </c>
      <c r="D138" s="2" t="n">
        <v>3</v>
      </c>
    </row>
    <row r="139" ht="15" customHeight="1">
      <c r="A139" s="2" t="n">
        <v>60484</v>
      </c>
      <c r="B139" s="2" t="inlineStr">
        <is>
          <t>URI 3641 1</t>
        </is>
      </c>
      <c r="C139" s="2" t="n">
        <v>18</v>
      </c>
      <c r="D139" s="2" t="n">
        <v>4</v>
      </c>
    </row>
    <row r="140" ht="15" customHeight="1">
      <c r="A140" s="2" t="n">
        <v>21897</v>
      </c>
      <c r="B140" s="2" t="inlineStr">
        <is>
          <t>URI 388R    1 סד לילה לבוהן</t>
        </is>
      </c>
      <c r="C140" s="2" t="n">
        <v>5</v>
      </c>
      <c r="D140" s="2" t="n">
        <v>1</v>
      </c>
    </row>
    <row r="141" ht="15" customHeight="1">
      <c r="A141" s="2" t="n">
        <v>65743</v>
      </c>
      <c r="B141" s="2" t="inlineStr">
        <is>
          <t>URI LF 360   1 מדרס מטטרזלי</t>
        </is>
      </c>
      <c r="C141" s="2" t="n">
        <v>5</v>
      </c>
      <c r="D141" s="2" t="n">
        <v>1</v>
      </c>
    </row>
    <row r="142" ht="15" customHeight="1">
      <c r="A142" s="2" t="n">
        <v>88477</v>
      </c>
      <c r="B142" s="2" t="inlineStr">
        <is>
          <t>URI LF374 0 1 ריפוד סיליקון</t>
        </is>
      </c>
      <c r="C142" s="2" t="n">
        <v>7</v>
      </c>
      <c r="D142" s="2" t="n">
        <v>1</v>
      </c>
    </row>
    <row r="143" ht="15" customHeight="1">
      <c r="A143" s="2" t="n">
        <v>63417</v>
      </c>
      <c r="B143" s="2" t="inlineStr">
        <is>
          <t>URI 87 M1 חגו.לקיבוע תמ.אמה</t>
        </is>
      </c>
      <c r="C143" s="2" t="n">
        <v>6</v>
      </c>
      <c r="D143" s="2" t="n">
        <v>0</v>
      </c>
    </row>
    <row r="144" ht="15" customHeight="1">
      <c r="A144" s="2" t="n">
        <v>16217</v>
      </c>
      <c r="B144" s="2" t="inlineStr">
        <is>
          <t>394G-39-421 גרבי קיץ לסוכרת</t>
        </is>
      </c>
      <c r="C144" s="2" t="n">
        <v>5</v>
      </c>
      <c r="D144" s="2" t="n">
        <v>0</v>
      </c>
    </row>
    <row r="145" ht="15" customHeight="1">
      <c r="A145" s="2" t="n">
        <v>16237</v>
      </c>
      <c r="B145" s="2" t="inlineStr">
        <is>
          <t>394G-43-461 גרבי קיץ לסוכרת</t>
        </is>
      </c>
      <c r="C145" s="2" t="n">
        <v>4</v>
      </c>
      <c r="D145" s="2" t="n">
        <v>0</v>
      </c>
    </row>
    <row r="146" ht="15" customHeight="1">
      <c r="A146" s="2" t="n">
        <v>63406</v>
      </c>
      <c r="B146" s="2" t="inlineStr">
        <is>
          <t>URI 11U L 1 ח בטן אחר ניתוח</t>
        </is>
      </c>
      <c r="C146" s="2" t="n">
        <v>3</v>
      </c>
      <c r="D146" s="2" t="n">
        <v>0</v>
      </c>
    </row>
    <row r="147" ht="15" customHeight="1">
      <c r="A147" s="2" t="n">
        <v>45264</v>
      </c>
      <c r="B147" s="2" t="inlineStr">
        <is>
          <t>URI 34+        1 מגן לקרסול</t>
        </is>
      </c>
      <c r="C147" s="2" t="n">
        <v>2</v>
      </c>
      <c r="D147" s="2" t="n">
        <v>0</v>
      </c>
    </row>
    <row r="148" ht="15" customHeight="1">
      <c r="A148" s="2" t="n">
        <v>74686</v>
      </c>
      <c r="B148" s="2" t="inlineStr">
        <is>
          <t>URI 11 TO M         1 ח בטן</t>
        </is>
      </c>
      <c r="C148" s="2" t="n">
        <v>1</v>
      </c>
      <c r="D148" s="2" t="n">
        <v>0</v>
      </c>
    </row>
    <row r="149" ht="15" customHeight="1">
      <c r="A149" s="2" t="n">
        <v>28331</v>
      </c>
      <c r="B149" s="2" t="inlineStr">
        <is>
          <t>URI T78 XXL 1 תומך זרוע כתף</t>
        </is>
      </c>
      <c r="C149" s="2" t="n">
        <v>1</v>
      </c>
      <c r="D149" s="2" t="n">
        <v>0</v>
      </c>
    </row>
    <row r="150" ht="15" customHeight="1">
      <c r="A150" s="2" t="n">
        <v>67939</v>
      </c>
      <c r="B150" s="2" t="inlineStr">
        <is>
          <t>URI 49            1 מגן ירך</t>
        </is>
      </c>
      <c r="C150" s="2" t="n">
        <v>1</v>
      </c>
      <c r="D150" s="2" t="n">
        <v>0</v>
      </c>
    </row>
    <row r="151" ht="15" customHeight="1">
      <c r="A151" s="2" t="n">
        <v>67056</v>
      </c>
      <c r="B151" s="2" t="inlineStr">
        <is>
          <t>URI 95 XXL       1 מגן מרפק</t>
        </is>
      </c>
      <c r="C151" s="2" t="n">
        <v>1</v>
      </c>
      <c r="D151" s="2" t="n">
        <v>0</v>
      </c>
    </row>
    <row r="152" ht="15" customHeight="1">
      <c r="A152" s="2" t="n">
        <v>67949</v>
      </c>
      <c r="B152" s="2" t="inlineStr">
        <is>
          <t>URI 59D S1 חגורת שבר דו צדד</t>
        </is>
      </c>
      <c r="C152" s="2" t="n">
        <v>1</v>
      </c>
      <c r="D152" s="2" t="n">
        <v>0</v>
      </c>
    </row>
    <row r="153" ht="15" customHeight="1">
      <c r="A153" s="2" t="n">
        <v>50061</v>
      </c>
      <c r="B153" s="2" t="inlineStr">
        <is>
          <t>URI 87 S 1 חגו.קיבוע תמ.אמה</t>
        </is>
      </c>
      <c r="C153" s="2" t="n">
        <v>1</v>
      </c>
      <c r="D153" s="2" t="n">
        <v>0</v>
      </c>
    </row>
    <row r="154" ht="15" customHeight="1">
      <c r="A154" s="2" t="n">
        <v>29984</v>
      </c>
      <c r="B154" s="2" t="inlineStr">
        <is>
          <t>URI 95 XS        1 מגן מרפק</t>
        </is>
      </c>
      <c r="C154" s="2" t="n">
        <v>1</v>
      </c>
      <c r="D154" s="2" t="n">
        <v>0</v>
      </c>
    </row>
    <row r="155" ht="15" customHeight="1">
      <c r="A155" s="2" t="n">
        <v>74847</v>
      </c>
      <c r="B155" s="2" t="inlineStr">
        <is>
          <t>URI 76 M        1 מיישר כתף</t>
        </is>
      </c>
      <c r="C155" s="2" t="n">
        <v>1</v>
      </c>
      <c r="D155" s="2" t="n">
        <v>0</v>
      </c>
    </row>
    <row r="156" ht="15" customHeight="1">
      <c r="A156" s="2" t="n">
        <v>64633</v>
      </c>
      <c r="B156" s="2" t="inlineStr">
        <is>
          <t>URI 390B 35-38   1 גרבי כסף</t>
        </is>
      </c>
      <c r="C156" s="2" t="n">
        <v>-2</v>
      </c>
      <c r="D156" s="2" t="n">
        <v>2</v>
      </c>
    </row>
    <row r="157" ht="15" customHeight="1">
      <c r="A157" s="2" t="n">
        <v>74987</v>
      </c>
      <c r="B157" s="2" t="inlineStr">
        <is>
          <t>URI T78 L            1 תומך</t>
        </is>
      </c>
      <c r="C157" s="2" t="n">
        <v>-1</v>
      </c>
      <c r="D157" s="2" t="n">
        <v>2</v>
      </c>
    </row>
    <row r="158" ht="15" customHeight="1">
      <c r="A158" s="2" t="n">
        <v>82206</v>
      </c>
      <c r="B158" s="2" t="inlineStr">
        <is>
          <t>ST25     1 חבק לשורש כף היד</t>
        </is>
      </c>
      <c r="C158" s="2" t="n">
        <v>0</v>
      </c>
      <c r="D158" s="2" t="n">
        <v>57</v>
      </c>
    </row>
    <row r="159" ht="15" customHeight="1">
      <c r="A159" s="2" t="n">
        <v>66745</v>
      </c>
      <c r="B159" s="2" t="inlineStr">
        <is>
          <t xml:space="preserve">                       1 תרסיס דיאו.אנטי בקטר.לנעל</t>
        </is>
      </c>
      <c r="C159" s="2" t="n">
        <v>0</v>
      </c>
      <c r="D159" s="2" t="n">
        <v>32</v>
      </c>
    </row>
    <row r="160" ht="15" customHeight="1">
      <c r="A160" s="2" t="n">
        <v>82213</v>
      </c>
      <c r="B160" s="2" t="inlineStr">
        <is>
          <t>ST28  1 סט אגודלי+מוט תמיכה</t>
        </is>
      </c>
      <c r="C160" s="2" t="n">
        <v>0</v>
      </c>
      <c r="D160" s="2" t="n">
        <v>19</v>
      </c>
    </row>
    <row r="161" ht="15" customHeight="1">
      <c r="A161" s="2" t="n">
        <v>82208</v>
      </c>
      <c r="B161" s="2" t="inlineStr">
        <is>
          <t>URI ST37      1 חבק לקרסול</t>
        </is>
      </c>
      <c r="C161" s="2" t="n">
        <v>0</v>
      </c>
      <c r="D161" s="2" t="n">
        <v>18</v>
      </c>
    </row>
    <row r="162" ht="15" customHeight="1">
      <c r="A162" s="2" t="n">
        <v>82202</v>
      </c>
      <c r="B162" s="2" t="inlineStr">
        <is>
          <t>ST91       1 מגן מרפק לטניס</t>
        </is>
      </c>
      <c r="C162" s="2" t="n">
        <v>0</v>
      </c>
      <c r="D162" s="2" t="n">
        <v>15</v>
      </c>
    </row>
    <row r="163" ht="15" customHeight="1">
      <c r="A163" s="2" t="n">
        <v>82207</v>
      </c>
      <c r="B163" s="2" t="inlineStr">
        <is>
          <t>ST20               1 חבק יד</t>
        </is>
      </c>
      <c r="C163" s="2" t="n">
        <v>0</v>
      </c>
      <c r="D163" s="2" t="n">
        <v>13</v>
      </c>
    </row>
    <row r="164" ht="15" customHeight="1">
      <c r="A164" s="2" t="n">
        <v>57664</v>
      </c>
      <c r="B164" s="2" t="inlineStr">
        <is>
          <t>808KT-BL  1 טייפ קינזיולוגי</t>
        </is>
      </c>
      <c r="C164" s="2" t="n">
        <v>0</v>
      </c>
      <c r="D164" s="2" t="n">
        <v>11</v>
      </c>
    </row>
    <row r="165" ht="15" customHeight="1">
      <c r="A165" s="2" t="n">
        <v>57696</v>
      </c>
      <c r="B165" s="2" t="inlineStr">
        <is>
          <t>808KT-B   1 טייפ קינזיולוגי</t>
        </is>
      </c>
      <c r="C165" s="2" t="n">
        <v>0</v>
      </c>
      <c r="D165" s="2" t="n">
        <v>10</v>
      </c>
    </row>
    <row r="166" ht="15" customHeight="1">
      <c r="A166" s="2" t="n">
        <v>57690</v>
      </c>
      <c r="B166" s="2" t="inlineStr">
        <is>
          <t>808KT-C   1 טייפ קינזיולוגי</t>
        </is>
      </c>
      <c r="C166" s="2" t="n">
        <v>0</v>
      </c>
      <c r="D166" s="2" t="n">
        <v>9</v>
      </c>
    </row>
    <row r="167" ht="15" customHeight="1">
      <c r="A167" s="2" t="n">
        <v>83420</v>
      </c>
      <c r="B167" s="2" t="inlineStr">
        <is>
          <t>URI ST4221 מגן ברך +כ סיליק</t>
        </is>
      </c>
      <c r="C167" s="2" t="n">
        <v>0</v>
      </c>
      <c r="D167" s="2" t="n">
        <v>8</v>
      </c>
    </row>
    <row r="168" ht="15" customHeight="1">
      <c r="A168" s="2" t="n">
        <v>25386</v>
      </c>
      <c r="B168" s="2" t="inlineStr">
        <is>
          <t>URI 3666  1 מפריד הלקס+כרית</t>
        </is>
      </c>
      <c r="C168" s="2" t="n">
        <v>0</v>
      </c>
      <c r="D168" s="2" t="n">
        <v>3</v>
      </c>
    </row>
    <row r="169" ht="15" customHeight="1">
      <c r="A169" s="2" t="n">
        <v>52326</v>
      </c>
      <c r="B169" s="2" t="inlineStr">
        <is>
          <t>URI 078G S 1 חגורת גב אפורה</t>
        </is>
      </c>
      <c r="C169" s="2" t="n">
        <v>0</v>
      </c>
      <c r="D169" s="2" t="n">
        <v>3</v>
      </c>
    </row>
    <row r="170" ht="15" customHeight="1">
      <c r="A170" s="2" t="n">
        <v>87819</v>
      </c>
      <c r="B170" s="2" t="inlineStr">
        <is>
          <t>ST433    H 1 מגן ברך עם ציר</t>
        </is>
      </c>
      <c r="C170" s="2" t="n">
        <v>0</v>
      </c>
      <c r="D170" s="2" t="n">
        <v>3</v>
      </c>
    </row>
    <row r="171" ht="15" customHeight="1">
      <c r="A171" s="2" t="n">
        <v>57662</v>
      </c>
      <c r="B171" s="2" t="inlineStr">
        <is>
          <t>808KT-P   1 טייפ קינזיולוגי</t>
        </is>
      </c>
      <c r="C171" s="2" t="n">
        <v>0</v>
      </c>
      <c r="D171" s="2" t="n">
        <v>2</v>
      </c>
    </row>
    <row r="172" ht="15" customHeight="1">
      <c r="A172" s="2" t="n">
        <v>46309</v>
      </c>
      <c r="B172" s="2" t="inlineStr">
        <is>
          <t>STRAP4U 239B L-XL 1</t>
        </is>
      </c>
      <c r="C172" s="2" t="n">
        <v>0</v>
      </c>
      <c r="D172" s="2" t="n">
        <v>2</v>
      </c>
    </row>
    <row r="173" ht="15" customHeight="1">
      <c r="A173" s="2" t="n">
        <v>74988</v>
      </c>
      <c r="B173" s="2" t="inlineStr">
        <is>
          <t>URI T78 M            1 תומך</t>
        </is>
      </c>
      <c r="C173" s="2" t="n">
        <v>0</v>
      </c>
      <c r="D173" s="2" t="n">
        <v>1</v>
      </c>
    </row>
    <row r="174" ht="15" customHeight="1">
      <c r="A174" s="2" t="n">
        <v>29790</v>
      </c>
      <c r="B174" s="2" t="inlineStr">
        <is>
          <t>URI 11STO L1 חגורה אחר ניתו</t>
        </is>
      </c>
      <c r="C174" s="2" t="n">
        <v>0</v>
      </c>
      <c r="D174" s="2" t="n">
        <v>1</v>
      </c>
    </row>
    <row r="175" ht="15" customHeight="1">
      <c r="A175" s="2" t="n">
        <v>76244</v>
      </c>
      <c r="B175" s="2" t="inlineStr">
        <is>
          <t>URI 078C L   '1 חגורת גב בז</t>
        </is>
      </c>
      <c r="C175" s="2" t="n">
        <v>0</v>
      </c>
      <c r="D175" s="2" t="n">
        <v>1</v>
      </c>
    </row>
    <row r="176" ht="15" customHeight="1">
      <c r="A176" s="2" t="n">
        <v>64630</v>
      </c>
      <c r="B176" s="2" t="inlineStr">
        <is>
          <t>URI 390W 35-38   1 גרבי כסף</t>
        </is>
      </c>
      <c r="C176" s="2" t="n">
        <v>0</v>
      </c>
      <c r="D176" s="2" t="n">
        <v>1</v>
      </c>
    </row>
    <row r="177" ht="15" customHeight="1">
      <c r="A177" s="2" t="n">
        <v>71085</v>
      </c>
      <c r="B177" s="2" t="inlineStr">
        <is>
          <t>URI 078S 1</t>
        </is>
      </c>
      <c r="C177" s="2" t="n">
        <v>0</v>
      </c>
      <c r="D177" s="2" t="n">
        <v>1</v>
      </c>
    </row>
    <row r="178" ht="15" customHeight="1">
      <c r="A178" s="2" t="n">
        <v>74920</v>
      </c>
      <c r="B178" s="2" t="inlineStr">
        <is>
          <t>URI T33 XL      1 סד לקרסול</t>
        </is>
      </c>
      <c r="C178" s="2" t="n">
        <v>0</v>
      </c>
      <c r="D178" s="2" t="n">
        <v>1</v>
      </c>
    </row>
    <row r="179" ht="15" customHeight="1">
      <c r="A179" s="2" t="n">
        <v>74806</v>
      </c>
      <c r="B179" s="2" t="inlineStr">
        <is>
          <t>URI 49 M          1 מגן ירך</t>
        </is>
      </c>
      <c r="C179" s="2" t="n">
        <v>0</v>
      </c>
      <c r="D179" s="2" t="n">
        <v>1</v>
      </c>
    </row>
    <row r="180" ht="15" customHeight="1">
      <c r="A180" s="2" t="n">
        <v>74820</v>
      </c>
      <c r="B180" s="2" t="inlineStr">
        <is>
          <t>URI 59R L.1 חגורת שבר לצד י</t>
        </is>
      </c>
      <c r="C180" s="2" t="n">
        <v>0</v>
      </c>
      <c r="D180" s="2" t="n">
        <v>1</v>
      </c>
    </row>
    <row r="181" ht="15" customHeight="1">
      <c r="A181" s="2" t="n">
        <v>49770</v>
      </c>
      <c r="B181" s="2" t="inlineStr">
        <is>
          <t>THERMOFLEX 78        1 תומך</t>
        </is>
      </c>
      <c r="C181" s="2" t="n">
        <v>0</v>
      </c>
      <c r="D181" s="2" t="n">
        <v>1</v>
      </c>
    </row>
    <row r="182" ht="15" customHeight="1">
      <c r="A182" s="2" t="n">
        <v>74823</v>
      </c>
      <c r="B182" s="2" t="inlineStr">
        <is>
          <t>URI 59L L 1 חגורת שבר לשמאל</t>
        </is>
      </c>
      <c r="C182" s="2" t="n">
        <v>0</v>
      </c>
      <c r="D182" s="2" t="n">
        <v>1</v>
      </c>
    </row>
    <row r="183" ht="15" customHeight="1">
      <c r="A183" s="2" t="n">
        <v>82551</v>
      </c>
      <c r="B183" s="2" t="inlineStr">
        <is>
          <t>URI ST11        1 חגורת בטן</t>
        </is>
      </c>
      <c r="C183" s="2" t="n">
        <v>0</v>
      </c>
      <c r="D183" s="2" t="n">
        <v>1</v>
      </c>
    </row>
    <row r="184" ht="15" customHeight="1">
      <c r="A184" s="2" t="n">
        <v>29977</v>
      </c>
      <c r="B184" s="2" t="inlineStr">
        <is>
          <t>URI 11TO XXL    1 חגורת בטן</t>
        </is>
      </c>
      <c r="C184" s="2" t="n">
        <v>0</v>
      </c>
      <c r="D184" s="2" t="n">
        <v>1</v>
      </c>
    </row>
    <row r="185" ht="15" customHeight="1">
      <c r="A185" s="2" t="n">
        <v>74826</v>
      </c>
      <c r="B185" s="2" t="inlineStr">
        <is>
          <t>URI 59D L1 חגורת שבר דו צדד</t>
        </is>
      </c>
      <c r="C185" s="2" t="n">
        <v>0</v>
      </c>
      <c r="D185" s="2" t="n">
        <v>1</v>
      </c>
    </row>
    <row r="186" ht="15" customHeight="1">
      <c r="A186" s="2" t="n">
        <v>74827</v>
      </c>
      <c r="B186" s="2" t="inlineStr">
        <is>
          <t>URI 59D M 1 חגורת שבר דו צד</t>
        </is>
      </c>
      <c r="C186" s="2" t="n">
        <v>0</v>
      </c>
      <c r="D186" s="2" t="n">
        <v>1</v>
      </c>
    </row>
    <row r="187" ht="15" customHeight="1">
      <c r="A187" s="2" t="n">
        <v>88480</v>
      </c>
      <c r="B187" s="2" t="inlineStr">
        <is>
          <t>URI LF377 S  1 מדרס סיליקון</t>
        </is>
      </c>
      <c r="C187" s="2" t="n">
        <v>0</v>
      </c>
      <c r="D187" s="2" t="n">
        <v>1</v>
      </c>
    </row>
    <row r="188" ht="15" customHeight="1">
      <c r="A188" s="2" t="n">
        <v>34874</v>
      </c>
      <c r="B188" s="2" t="inlineStr">
        <is>
          <t>URI 333         1 סד לקרסול</t>
        </is>
      </c>
      <c r="C188" s="2" t="n">
        <v>0</v>
      </c>
      <c r="D188" s="2" t="n">
        <v>1</v>
      </c>
    </row>
    <row r="189" ht="15" customHeight="1">
      <c r="A189" s="2" t="n">
        <v>63404</v>
      </c>
      <c r="B189" s="2" t="inlineStr">
        <is>
          <t>URI 11U S 1 ח בטן אחר ניתוח</t>
        </is>
      </c>
      <c r="C189" s="2" t="n">
        <v>0</v>
      </c>
      <c r="D189" s="2" t="n">
        <v>0</v>
      </c>
    </row>
    <row r="190" ht="15" customHeight="1">
      <c r="A190" s="2" t="n">
        <v>74918</v>
      </c>
      <c r="B190" s="2" t="inlineStr">
        <is>
          <t>URI T33 L       1 סד לקרסול</t>
        </is>
      </c>
      <c r="C190" s="2" t="n">
        <v>0</v>
      </c>
      <c r="D190" s="2" t="n">
        <v>0</v>
      </c>
    </row>
    <row r="191" ht="15" customHeight="1">
      <c r="A191" s="2" t="n">
        <v>74825</v>
      </c>
      <c r="B191" s="2" t="inlineStr">
        <is>
          <t>URI 59L XL 1 חגורת שבר צד ש</t>
        </is>
      </c>
      <c r="C191" s="2" t="n">
        <v>0</v>
      </c>
      <c r="D191" s="2" t="n">
        <v>-1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5"/>
  <sheetViews>
    <sheetView rightToLeft="1" zoomScaleNormal="100" workbookViewId="0">
      <pane ySplit="2" topLeftCell="A3" activePane="bottomLeft" state="frozen"/>
      <selection pane="bottomLeft" activeCell="A1" sqref="A1"/>
    </sheetView>
  </sheetViews>
  <sheetFormatPr baseColWidth="8" defaultColWidth="8.5703125" defaultRowHeight="15"/>
  <cols>
    <col width="12" customWidth="1" min="1" max="1"/>
    <col width="32" customWidth="1" min="2" max="2"/>
    <col width="14" customWidth="1" min="3" max="4"/>
  </cols>
  <sheetData>
    <row r="1" ht="16.5" customHeight="1">
      <c r="A1" s="1" t="inlineStr">
        <is>
          <t>נתוני מקור - פברואר (2025 מול 2026) - מקור: month-02.xlsx</t>
        </is>
      </c>
    </row>
    <row r="2" ht="15" customHeight="1">
      <c r="A2" s="22" t="inlineStr">
        <is>
          <t>קוד SKU</t>
        </is>
      </c>
      <c r="B2" s="22" t="inlineStr">
        <is>
          <t>שם מוצר</t>
        </is>
      </c>
      <c r="C2" s="22" t="inlineStr">
        <is>
          <t>יחידות פברואר 2025</t>
        </is>
      </c>
      <c r="D2" s="22" t="inlineStr">
        <is>
          <t>יחידות פברואר 2026</t>
        </is>
      </c>
    </row>
    <row r="3" ht="15" customHeight="1">
      <c r="A3" s="2" t="n">
        <v>75762</v>
      </c>
      <c r="B3" s="2" t="inlineStr">
        <is>
          <t>URI 16 L-XL   1 חגורת הריון</t>
        </is>
      </c>
      <c r="C3" s="2" t="n">
        <v>2</v>
      </c>
      <c r="D3" s="2" t="n">
        <v>14</v>
      </c>
    </row>
    <row r="4" ht="15" customHeight="1">
      <c r="A4" s="2" t="n">
        <v>60478</v>
      </c>
      <c r="B4" s="2" t="inlineStr">
        <is>
          <t>URI PD3461 10 סכינים למקצוע</t>
        </is>
      </c>
      <c r="C4" s="2" t="n">
        <v>1</v>
      </c>
      <c r="D4" s="2" t="n">
        <v>5</v>
      </c>
    </row>
    <row r="5" ht="15" customHeight="1">
      <c r="A5" s="2" t="n">
        <v>8616</v>
      </c>
      <c r="B5" s="2" t="inlineStr">
        <is>
          <t>URI 3623 1 כרית ליישור אצבע</t>
        </is>
      </c>
      <c r="C5" s="2" t="n">
        <v>5</v>
      </c>
      <c r="D5" s="2" t="n">
        <v>20</v>
      </c>
    </row>
    <row r="6" ht="15" customHeight="1">
      <c r="A6" s="2" t="n">
        <v>25386</v>
      </c>
      <c r="B6" s="2" t="inlineStr">
        <is>
          <t>URI 3666  1 מפריד הלקס+כרית</t>
        </is>
      </c>
      <c r="C6" s="2" t="n">
        <v>2</v>
      </c>
      <c r="D6" s="2" t="n">
        <v>7</v>
      </c>
    </row>
    <row r="7" ht="15" customHeight="1">
      <c r="A7" s="2" t="n">
        <v>67960</v>
      </c>
      <c r="B7" s="2" t="inlineStr">
        <is>
          <t>URI 85 S        1 מיתלה ליד</t>
        </is>
      </c>
      <c r="C7" s="2" t="n">
        <v>3</v>
      </c>
      <c r="D7" s="2" t="n">
        <v>10</v>
      </c>
    </row>
    <row r="8" ht="15" customHeight="1">
      <c r="A8" s="2" t="n">
        <v>63421</v>
      </c>
      <c r="B8" s="2" t="inlineStr">
        <is>
          <t>URI 95 L         1 מגן מרפק</t>
        </is>
      </c>
      <c r="C8" s="2" t="n">
        <v>5</v>
      </c>
      <c r="D8" s="2" t="n">
        <v>15</v>
      </c>
    </row>
    <row r="9" ht="15" customHeight="1">
      <c r="A9" s="2" t="n">
        <v>71683</v>
      </c>
      <c r="B9" s="2" t="inlineStr">
        <is>
          <t>URI S 3622 1 מדבקה לשחרור ל</t>
        </is>
      </c>
      <c r="C9" s="2" t="n">
        <v>3</v>
      </c>
      <c r="D9" s="2" t="n">
        <v>9</v>
      </c>
    </row>
    <row r="10" ht="15" customHeight="1">
      <c r="A10" s="2" t="n">
        <v>71088</v>
      </c>
      <c r="B10" s="2" t="inlineStr">
        <is>
          <t>URI 078XL 1</t>
        </is>
      </c>
      <c r="C10" s="2" t="n">
        <v>4</v>
      </c>
      <c r="D10" s="2" t="n">
        <v>10</v>
      </c>
    </row>
    <row r="11" ht="15" customHeight="1">
      <c r="A11" s="2" t="n">
        <v>75764</v>
      </c>
      <c r="B11" s="2" t="inlineStr">
        <is>
          <t>URI 16 XXL    1 חגורת הריון</t>
        </is>
      </c>
      <c r="C11" s="2" t="n">
        <v>2</v>
      </c>
      <c r="D11" s="2" t="n">
        <v>5</v>
      </c>
    </row>
    <row r="12" ht="15" customHeight="1">
      <c r="A12" s="2" t="n">
        <v>64632</v>
      </c>
      <c r="B12" s="2" t="inlineStr">
        <is>
          <t>URI 390W 43-46   1 גרבי כסף</t>
        </is>
      </c>
      <c r="C12" s="2" t="n">
        <v>2</v>
      </c>
      <c r="D12" s="2" t="n">
        <v>5</v>
      </c>
    </row>
    <row r="13" ht="15" customHeight="1">
      <c r="A13" s="2" t="n">
        <v>63418</v>
      </c>
      <c r="B13" s="2" t="inlineStr">
        <is>
          <t>URI 87 L1 חגו.לקיבוע תמ.אמה</t>
        </is>
      </c>
      <c r="C13" s="2" t="n">
        <v>5</v>
      </c>
      <c r="D13" s="2" t="n">
        <v>12</v>
      </c>
    </row>
    <row r="14" ht="15" customHeight="1">
      <c r="A14" s="2" t="n">
        <v>61962</v>
      </c>
      <c r="B14" s="2" t="inlineStr">
        <is>
          <t>URI 3677 1 מדבקה לשחרור לחץ</t>
        </is>
      </c>
      <c r="C14" s="2" t="n">
        <v>3</v>
      </c>
      <c r="D14" s="2" t="n">
        <v>7</v>
      </c>
    </row>
    <row r="15" ht="15" customHeight="1">
      <c r="A15" s="2" t="n">
        <v>9771</v>
      </c>
      <c r="B15" s="2" t="inlineStr">
        <is>
          <t>URI 307 M 1 זוג עקב סיל+נ כ</t>
        </is>
      </c>
      <c r="C15" s="2" t="n">
        <v>10</v>
      </c>
      <c r="D15" s="2" t="n">
        <v>23</v>
      </c>
    </row>
    <row r="16" ht="15" customHeight="1">
      <c r="A16" s="2" t="n">
        <v>64635</v>
      </c>
      <c r="B16" s="2" t="inlineStr">
        <is>
          <t>URI 390B 43-46   1 גרבי כסף</t>
        </is>
      </c>
      <c r="C16" s="2" t="n">
        <v>9</v>
      </c>
      <c r="D16" s="2" t="n">
        <v>19</v>
      </c>
    </row>
    <row r="17" ht="15" customHeight="1">
      <c r="A17" s="2" t="n">
        <v>34874</v>
      </c>
      <c r="B17" s="2" t="inlineStr">
        <is>
          <t>URI 333         1 סד לקרסול</t>
        </is>
      </c>
      <c r="C17" s="2" t="n">
        <v>2</v>
      </c>
      <c r="D17" s="2" t="n">
        <v>4</v>
      </c>
    </row>
    <row r="18" ht="15" customHeight="1">
      <c r="A18" s="2" t="n">
        <v>20998</v>
      </c>
      <c r="B18" s="2" t="inlineStr">
        <is>
          <t>URI 11 XXL  1 ח.בטן אורירית</t>
        </is>
      </c>
      <c r="C18" s="2" t="n">
        <v>2</v>
      </c>
      <c r="D18" s="2" t="n">
        <v>4</v>
      </c>
    </row>
    <row r="19" ht="15" customHeight="1">
      <c r="A19" s="2" t="n">
        <v>28297</v>
      </c>
      <c r="B19" s="2" t="inlineStr">
        <is>
          <t>URI 13 XL1 חגורה ללשבר טבור</t>
        </is>
      </c>
      <c r="C19" s="2" t="n">
        <v>1</v>
      </c>
      <c r="D19" s="2" t="n">
        <v>2</v>
      </c>
    </row>
    <row r="20" ht="15" customHeight="1">
      <c r="A20" s="2" t="n">
        <v>67053</v>
      </c>
      <c r="B20" s="2" t="inlineStr">
        <is>
          <t>URI 34 XS  1 מגן קרסול סגור</t>
        </is>
      </c>
      <c r="C20" s="2" t="n">
        <v>1</v>
      </c>
      <c r="D20" s="2" t="n">
        <v>2</v>
      </c>
    </row>
    <row r="21" ht="15" customHeight="1">
      <c r="A21" s="2" t="n">
        <v>63406</v>
      </c>
      <c r="B21" s="2" t="inlineStr">
        <is>
          <t>URI 11U L 1 ח בטן אחר ניתוח</t>
        </is>
      </c>
      <c r="C21" s="2" t="n">
        <v>1</v>
      </c>
      <c r="D21" s="2" t="n">
        <v>2</v>
      </c>
    </row>
    <row r="22" ht="15" customHeight="1">
      <c r="A22" s="2" t="n">
        <v>52147</v>
      </c>
      <c r="B22" s="2" t="inlineStr">
        <is>
          <t>URI FC321  1 מלח אמבט לכף ר</t>
        </is>
      </c>
      <c r="C22" s="2" t="n">
        <v>9</v>
      </c>
      <c r="D22" s="2" t="n">
        <v>17</v>
      </c>
    </row>
    <row r="23" ht="15" customHeight="1">
      <c r="A23" s="2" t="n">
        <v>16244</v>
      </c>
      <c r="B23" s="2" t="inlineStr">
        <is>
          <t>394W-39-421 גרבי קיץ לסוכרת</t>
        </is>
      </c>
      <c r="C23" s="2" t="n">
        <v>4</v>
      </c>
      <c r="D23" s="2" t="n">
        <v>7</v>
      </c>
    </row>
    <row r="24" ht="15" customHeight="1">
      <c r="A24" s="2" t="n">
        <v>60471</v>
      </c>
      <c r="B24" s="2" t="inlineStr">
        <is>
          <t>URI 365 XL    1 טבעת אלסטית</t>
        </is>
      </c>
      <c r="C24" s="2" t="n">
        <v>9</v>
      </c>
      <c r="D24" s="2" t="n">
        <v>15</v>
      </c>
    </row>
    <row r="25" ht="15" customHeight="1">
      <c r="A25" s="2" t="n">
        <v>74764</v>
      </c>
      <c r="B25" s="2" t="inlineStr">
        <is>
          <t>URI 34+ XL      1 מגן קרסול</t>
        </is>
      </c>
      <c r="C25" s="2" t="n">
        <v>3</v>
      </c>
      <c r="D25" s="2" t="n">
        <v>5</v>
      </c>
    </row>
    <row r="26" ht="15" customHeight="1">
      <c r="A26" s="2" t="n">
        <v>63416</v>
      </c>
      <c r="B26" s="2" t="inlineStr">
        <is>
          <t>URI 85 XL        1 מתלה ליד</t>
        </is>
      </c>
      <c r="C26" s="2" t="n">
        <v>8</v>
      </c>
      <c r="D26" s="2" t="n">
        <v>13</v>
      </c>
    </row>
    <row r="27" ht="15" customHeight="1">
      <c r="A27" s="2" t="n">
        <v>76452</v>
      </c>
      <c r="B27" s="2" t="inlineStr">
        <is>
          <t xml:space="preserve">                             1 מ.בוניון+מפריד אצבע</t>
        </is>
      </c>
      <c r="C27" s="2" t="n">
        <v>10</v>
      </c>
      <c r="D27" s="2" t="n">
        <v>16</v>
      </c>
    </row>
    <row r="28" ht="15" customHeight="1">
      <c r="A28" s="2" t="n">
        <v>85165</v>
      </c>
      <c r="B28" s="2" t="inlineStr">
        <is>
          <t>URI 307 XL  1 כרית סיל.לעקב</t>
        </is>
      </c>
      <c r="C28" s="2" t="n">
        <v>5</v>
      </c>
      <c r="D28" s="2" t="n">
        <v>8</v>
      </c>
    </row>
    <row r="29" ht="15" customHeight="1">
      <c r="A29" s="2" t="n">
        <v>63367</v>
      </c>
      <c r="B29" s="2" t="inlineStr">
        <is>
          <t>URI 34 L 1 מגן קרסול ס.בעקב</t>
        </is>
      </c>
      <c r="C29" s="2" t="n">
        <v>18</v>
      </c>
      <c r="D29" s="2" t="n">
        <v>28</v>
      </c>
    </row>
    <row r="30" ht="15" customHeight="1">
      <c r="A30" s="2" t="n">
        <v>61961</v>
      </c>
      <c r="B30" s="2" t="inlineStr">
        <is>
          <t>URI 366S 1 מדבקה לשחרור לחץ</t>
        </is>
      </c>
      <c r="C30" s="2" t="n">
        <v>13</v>
      </c>
      <c r="D30" s="2" t="n">
        <v>20</v>
      </c>
    </row>
    <row r="31" ht="15" customHeight="1">
      <c r="A31" s="2" t="n">
        <v>63414</v>
      </c>
      <c r="B31" s="2" t="inlineStr">
        <is>
          <t>URI 85 M         1 מתלה ליד</t>
        </is>
      </c>
      <c r="C31" s="2" t="n">
        <v>18</v>
      </c>
      <c r="D31" s="2" t="n">
        <v>27</v>
      </c>
    </row>
    <row r="32" ht="15" customHeight="1">
      <c r="A32" s="2" t="n">
        <v>74710</v>
      </c>
      <c r="B32" s="2" t="inlineStr">
        <is>
          <t>URI 21 XL     1 חבק יד ארוך</t>
        </is>
      </c>
      <c r="C32" s="2" t="n">
        <v>6</v>
      </c>
      <c r="D32" s="2" t="n">
        <v>9</v>
      </c>
    </row>
    <row r="33" ht="15" customHeight="1">
      <c r="A33" s="2" t="n">
        <v>74682</v>
      </c>
      <c r="B33" s="2" t="inlineStr">
        <is>
          <t>URI 11 L    1 ח.בטן אורירית</t>
        </is>
      </c>
      <c r="C33" s="2" t="n">
        <v>4</v>
      </c>
      <c r="D33" s="2" t="n">
        <v>6</v>
      </c>
    </row>
    <row r="34" ht="15" customHeight="1">
      <c r="A34" s="2" t="n">
        <v>29881</v>
      </c>
      <c r="B34" s="2" t="inlineStr">
        <is>
          <t>URI 34 XXL 1 מגן קרסול סגור</t>
        </is>
      </c>
      <c r="C34" s="2" t="n">
        <v>2</v>
      </c>
      <c r="D34" s="2" t="n">
        <v>3</v>
      </c>
    </row>
    <row r="35" ht="15" customHeight="1">
      <c r="A35" s="2" t="n">
        <v>88474</v>
      </c>
      <c r="B35" s="2" t="inlineStr">
        <is>
          <t>URI LF370 0 1 ריפוד סיליקון</t>
        </is>
      </c>
      <c r="C35" s="2" t="n">
        <v>2</v>
      </c>
      <c r="D35" s="2" t="n">
        <v>3</v>
      </c>
    </row>
    <row r="36" ht="15" customHeight="1">
      <c r="A36" s="2" t="n">
        <v>63420</v>
      </c>
      <c r="B36" s="2" t="inlineStr">
        <is>
          <t>URI 95 M         1 מגן מרפק</t>
        </is>
      </c>
      <c r="C36" s="2" t="n">
        <v>17</v>
      </c>
      <c r="D36" s="2" t="n">
        <v>25</v>
      </c>
    </row>
    <row r="37" ht="15" customHeight="1">
      <c r="A37" s="2" t="n">
        <v>59694</v>
      </c>
      <c r="B37" s="2" t="inlineStr">
        <is>
          <t>URI 365 S-L   1 טבעת אלסטית</t>
        </is>
      </c>
      <c r="C37" s="2" t="n">
        <v>26</v>
      </c>
      <c r="D37" s="2" t="n">
        <v>38</v>
      </c>
    </row>
    <row r="38" ht="15" customHeight="1">
      <c r="A38" s="2" t="n">
        <v>67957</v>
      </c>
      <c r="B38" s="2" t="inlineStr">
        <is>
          <t>URI 95 S         1 מגן מרפק</t>
        </is>
      </c>
      <c r="C38" s="2" t="n">
        <v>11</v>
      </c>
      <c r="D38" s="2" t="n">
        <v>16</v>
      </c>
    </row>
    <row r="39" ht="15" customHeight="1">
      <c r="A39" s="2" t="n">
        <v>65242</v>
      </c>
      <c r="B39" s="2" t="inlineStr">
        <is>
          <t>URI L35     1 מגן קרסול לבן</t>
        </is>
      </c>
      <c r="C39" s="2" t="n">
        <v>16</v>
      </c>
      <c r="D39" s="2" t="n">
        <v>23</v>
      </c>
    </row>
    <row r="40" ht="15" customHeight="1">
      <c r="A40" s="2" t="n">
        <v>21004</v>
      </c>
      <c r="B40" s="2" t="inlineStr">
        <is>
          <t>URI 45E XXL  1 מגן ברך ארוך</t>
        </is>
      </c>
      <c r="C40" s="2" t="n">
        <v>5</v>
      </c>
      <c r="D40" s="2" t="n">
        <v>7</v>
      </c>
    </row>
    <row r="41" ht="15" customHeight="1">
      <c r="A41" s="2" t="n">
        <v>21003</v>
      </c>
      <c r="B41" s="2" t="inlineStr">
        <is>
          <t>URI 45 XXL        1 מגן ברך</t>
        </is>
      </c>
      <c r="C41" s="2" t="n">
        <v>13</v>
      </c>
      <c r="D41" s="2" t="n">
        <v>18</v>
      </c>
    </row>
    <row r="42" ht="15" customHeight="1">
      <c r="A42" s="2" t="n">
        <v>74684</v>
      </c>
      <c r="B42" s="2" t="inlineStr">
        <is>
          <t>URI 11 XL   1 ח.בטן אורירית</t>
        </is>
      </c>
      <c r="C42" s="2" t="n">
        <v>6</v>
      </c>
      <c r="D42" s="2" t="n">
        <v>8</v>
      </c>
    </row>
    <row r="43" ht="15" customHeight="1">
      <c r="A43" s="2" t="n">
        <v>75763</v>
      </c>
      <c r="B43" s="2" t="inlineStr">
        <is>
          <t>URI 16 S-M    1 חגורת הריון</t>
        </is>
      </c>
      <c r="C43" s="2" t="n">
        <v>3</v>
      </c>
      <c r="D43" s="2" t="n">
        <v>4</v>
      </c>
    </row>
    <row r="44" ht="15" customHeight="1">
      <c r="A44" s="2" t="n">
        <v>63417</v>
      </c>
      <c r="B44" s="2" t="inlineStr">
        <is>
          <t>URI 87 M1 חגו.לקיבוע תמ.אמה</t>
        </is>
      </c>
      <c r="C44" s="2" t="n">
        <v>3</v>
      </c>
      <c r="D44" s="2" t="n">
        <v>4</v>
      </c>
    </row>
    <row r="45" ht="15" customHeight="1">
      <c r="A45" s="2" t="n">
        <v>63422</v>
      </c>
      <c r="B45" s="2" t="inlineStr">
        <is>
          <t>URI 95 XL        1 מגן מרפק</t>
        </is>
      </c>
      <c r="C45" s="2" t="n">
        <v>7</v>
      </c>
      <c r="D45" s="2" t="n">
        <v>9</v>
      </c>
    </row>
    <row r="46" ht="15" customHeight="1">
      <c r="A46" s="2" t="n">
        <v>9772</v>
      </c>
      <c r="B46" s="2" t="inlineStr">
        <is>
          <t>URI 307 L 1 זוג עקב סיל+נ כ</t>
        </is>
      </c>
      <c r="C46" s="2" t="n">
        <v>15</v>
      </c>
      <c r="D46" s="2" t="n">
        <v>19</v>
      </c>
    </row>
    <row r="47" ht="15" customHeight="1">
      <c r="A47" s="2" t="n">
        <v>63415</v>
      </c>
      <c r="B47" s="2" t="inlineStr">
        <is>
          <t>URI 85 L         1 מתלה ליד</t>
        </is>
      </c>
      <c r="C47" s="2" t="n">
        <v>24</v>
      </c>
      <c r="D47" s="2" t="n">
        <v>30</v>
      </c>
    </row>
    <row r="48" ht="15" customHeight="1">
      <c r="A48" s="2" t="n">
        <v>42964</v>
      </c>
      <c r="B48" s="2" t="inlineStr">
        <is>
          <t>URI 45E  1 מגן ברך ארוך לבן</t>
        </is>
      </c>
      <c r="C48" s="2" t="n">
        <v>8</v>
      </c>
      <c r="D48" s="2" t="n">
        <v>10</v>
      </c>
    </row>
    <row r="49" ht="15" customHeight="1">
      <c r="A49" s="2" t="n">
        <v>52324</v>
      </c>
      <c r="B49" s="2" t="inlineStr">
        <is>
          <t>URI 078G M 1 חגורת גב אפורה</t>
        </is>
      </c>
      <c r="C49" s="2" t="n">
        <v>8</v>
      </c>
      <c r="D49" s="2" t="n">
        <v>10</v>
      </c>
    </row>
    <row r="50" ht="15" customHeight="1">
      <c r="A50" s="2" t="n">
        <v>53789</v>
      </c>
      <c r="B50" s="2" t="inlineStr">
        <is>
          <t>URI 397-35-38   1 גרבי טיסה</t>
        </is>
      </c>
      <c r="C50" s="2" t="n">
        <v>8</v>
      </c>
      <c r="D50" s="2" t="n">
        <v>10</v>
      </c>
    </row>
    <row r="51" ht="15" customHeight="1">
      <c r="A51" s="2" t="n">
        <v>76453</v>
      </c>
      <c r="B51" s="2" t="inlineStr">
        <is>
          <t>URI 3675 1 מגן זרת מסיליקון</t>
        </is>
      </c>
      <c r="C51" s="2" t="n">
        <v>8</v>
      </c>
      <c r="D51" s="2" t="n">
        <v>10</v>
      </c>
    </row>
    <row r="52" ht="15" customHeight="1">
      <c r="A52" s="2" t="n">
        <v>74801</v>
      </c>
      <c r="B52" s="2" t="inlineStr">
        <is>
          <t>URI 45E XL   1 מגן ברך ארוך</t>
        </is>
      </c>
      <c r="C52" s="2" t="n">
        <v>18</v>
      </c>
      <c r="D52" s="2" t="n">
        <v>22</v>
      </c>
    </row>
    <row r="53" ht="15" customHeight="1">
      <c r="A53" s="2" t="n">
        <v>74709</v>
      </c>
      <c r="B53" s="2" t="inlineStr">
        <is>
          <t>URI 21 M      1 חבק יד ארוך</t>
        </is>
      </c>
      <c r="C53" s="2" t="n">
        <v>33</v>
      </c>
      <c r="D53" s="2" t="n">
        <v>40</v>
      </c>
    </row>
    <row r="54" ht="15" customHeight="1">
      <c r="A54" s="2" t="n">
        <v>85338</v>
      </c>
      <c r="B54" s="2" t="inlineStr">
        <is>
          <t>URI 302W 0     1 מדרס לאישה</t>
        </is>
      </c>
      <c r="C54" s="2" t="n">
        <v>17</v>
      </c>
      <c r="D54" s="2" t="n">
        <v>20</v>
      </c>
    </row>
    <row r="55" ht="15" customHeight="1">
      <c r="A55" s="2" t="n">
        <v>67935</v>
      </c>
      <c r="B55" s="2" t="inlineStr">
        <is>
          <t>URI 45 S          1 מגן ברך</t>
        </is>
      </c>
      <c r="C55" s="2" t="n">
        <v>12</v>
      </c>
      <c r="D55" s="2" t="n">
        <v>14</v>
      </c>
    </row>
    <row r="56" ht="15" customHeight="1">
      <c r="A56" s="2" t="n">
        <v>59656</v>
      </c>
      <c r="B56" s="2" t="inlineStr">
        <is>
          <t>URI 362 L R 1</t>
        </is>
      </c>
      <c r="C56" s="2" t="n">
        <v>14</v>
      </c>
      <c r="D56" s="2" t="n">
        <v>16</v>
      </c>
    </row>
    <row r="57" ht="15" customHeight="1">
      <c r="A57" s="2" t="n">
        <v>8618</v>
      </c>
      <c r="B57" s="2" t="inlineStr">
        <is>
          <t>URI 311         1 מדבקת ג'ל</t>
        </is>
      </c>
      <c r="C57" s="2" t="n">
        <v>18</v>
      </c>
      <c r="D57" s="2" t="n">
        <v>20</v>
      </c>
    </row>
    <row r="58" ht="15" customHeight="1">
      <c r="A58" s="2" t="n">
        <v>79327</v>
      </c>
      <c r="B58" s="2" t="inlineStr">
        <is>
          <t>URI 3611       '1 כרית בנדג</t>
        </is>
      </c>
      <c r="C58" s="2" t="n">
        <v>9</v>
      </c>
      <c r="D58" s="2" t="n">
        <v>10</v>
      </c>
    </row>
    <row r="59" ht="15" customHeight="1">
      <c r="A59" s="2" t="n">
        <v>67925</v>
      </c>
      <c r="B59" s="2" t="inlineStr">
        <is>
          <t>URI 35  S   1 מגן קרסול לבן</t>
        </is>
      </c>
      <c r="C59" s="2" t="n">
        <v>9</v>
      </c>
      <c r="D59" s="2" t="n">
        <v>10</v>
      </c>
    </row>
    <row r="60" ht="15" customHeight="1">
      <c r="A60" s="2" t="n">
        <v>51568</v>
      </c>
      <c r="B60" s="2" t="inlineStr">
        <is>
          <t xml:space="preserve">                                       1 סד לאגודל</t>
        </is>
      </c>
      <c r="C60" s="2" t="n">
        <v>60</v>
      </c>
      <c r="D60" s="2" t="n">
        <v>65</v>
      </c>
    </row>
    <row r="61" ht="15" customHeight="1">
      <c r="A61" s="2" t="n">
        <v>60484</v>
      </c>
      <c r="B61" s="2" t="inlineStr">
        <is>
          <t>URI 3641 1</t>
        </is>
      </c>
      <c r="C61" s="2" t="n">
        <v>13</v>
      </c>
      <c r="D61" s="2" t="n">
        <v>14</v>
      </c>
    </row>
    <row r="62" ht="15" customHeight="1">
      <c r="A62" s="2" t="n">
        <v>51567</v>
      </c>
      <c r="B62" s="2" t="inlineStr">
        <is>
          <t xml:space="preserve">                                   1 סד יד דו צדדי</t>
        </is>
      </c>
      <c r="C62" s="2" t="n">
        <v>126</v>
      </c>
      <c r="D62" s="2" t="n">
        <v>135</v>
      </c>
    </row>
    <row r="63" ht="15" customHeight="1">
      <c r="A63" s="2" t="n">
        <v>52328</v>
      </c>
      <c r="B63" s="2" t="inlineStr">
        <is>
          <t>URI 078G XL 1 חגורת גב אפור</t>
        </is>
      </c>
      <c r="C63" s="2" t="n">
        <v>16</v>
      </c>
      <c r="D63" s="2" t="n">
        <v>17</v>
      </c>
    </row>
    <row r="64" ht="15" customHeight="1">
      <c r="A64" s="2" t="n">
        <v>31183</v>
      </c>
      <c r="B64" s="2" t="inlineStr">
        <is>
          <t>URI 370       1 רפידת נוחות</t>
        </is>
      </c>
      <c r="C64" s="2" t="n">
        <v>25</v>
      </c>
      <c r="D64" s="2" t="n">
        <v>26</v>
      </c>
    </row>
    <row r="65" ht="15" customHeight="1">
      <c r="A65" s="2" t="n">
        <v>23008</v>
      </c>
      <c r="B65" s="2" t="inlineStr">
        <is>
          <t>URI 364 XL 1</t>
        </is>
      </c>
      <c r="C65" s="2" t="n">
        <v>32</v>
      </c>
      <c r="D65" s="2" t="n">
        <v>33</v>
      </c>
    </row>
    <row r="66" ht="15" customHeight="1">
      <c r="A66" s="2" t="n">
        <v>59679</v>
      </c>
      <c r="B66" s="2" t="inlineStr">
        <is>
          <t>URI 364 S M 1</t>
        </is>
      </c>
      <c r="C66" s="2" t="n">
        <v>50</v>
      </c>
      <c r="D66" s="2" t="n">
        <v>50</v>
      </c>
    </row>
    <row r="67" ht="15" customHeight="1">
      <c r="A67" s="2" t="n">
        <v>63361</v>
      </c>
      <c r="B67" s="2" t="inlineStr">
        <is>
          <t>URI 45 XL         1 מגן ברך</t>
        </is>
      </c>
      <c r="C67" s="2" t="n">
        <v>25</v>
      </c>
      <c r="D67" s="2" t="n">
        <v>25</v>
      </c>
    </row>
    <row r="68" ht="15" customHeight="1">
      <c r="A68" s="2" t="n">
        <v>31190</v>
      </c>
      <c r="B68" s="2" t="inlineStr">
        <is>
          <t>URI 374 1 רפידה בולמת זעזוע</t>
        </is>
      </c>
      <c r="C68" s="2" t="n">
        <v>18</v>
      </c>
      <c r="D68" s="2" t="n">
        <v>18</v>
      </c>
    </row>
    <row r="69" ht="15" customHeight="1">
      <c r="A69" s="2" t="n">
        <v>80182</v>
      </c>
      <c r="B69" s="2" t="inlineStr">
        <is>
          <t>URI 3667        1 מגן בונין</t>
        </is>
      </c>
      <c r="C69" s="2" t="n">
        <v>11</v>
      </c>
      <c r="D69" s="2" t="n">
        <v>11</v>
      </c>
    </row>
    <row r="70" ht="15" customHeight="1">
      <c r="A70" s="2" t="n">
        <v>64634</v>
      </c>
      <c r="B70" s="2" t="inlineStr">
        <is>
          <t>URI 390B 39-42   1 גרבי כסף</t>
        </is>
      </c>
      <c r="C70" s="2" t="n">
        <v>5</v>
      </c>
      <c r="D70" s="2" t="n">
        <v>5</v>
      </c>
    </row>
    <row r="71" ht="15" customHeight="1">
      <c r="A71" s="2" t="n">
        <v>71086</v>
      </c>
      <c r="B71" s="2" t="inlineStr">
        <is>
          <t>URI 078M 1</t>
        </is>
      </c>
      <c r="C71" s="2" t="n">
        <v>4</v>
      </c>
      <c r="D71" s="2" t="n">
        <v>4</v>
      </c>
    </row>
    <row r="72" ht="15" customHeight="1">
      <c r="A72" s="2" t="n">
        <v>49772</v>
      </c>
      <c r="B72" s="2" t="inlineStr">
        <is>
          <t>THERMOFLEX 90  1 רצועת טניס</t>
        </is>
      </c>
      <c r="C72" s="2" t="n">
        <v>3</v>
      </c>
      <c r="D72" s="2" t="n">
        <v>3</v>
      </c>
    </row>
    <row r="73" ht="15" customHeight="1">
      <c r="A73" s="2" t="n">
        <v>88477</v>
      </c>
      <c r="B73" s="2" t="inlineStr">
        <is>
          <t>URI LF374 0 1 ריפוד סיליקון</t>
        </is>
      </c>
      <c r="C73" s="2" t="n">
        <v>3</v>
      </c>
      <c r="D73" s="2" t="n">
        <v>3</v>
      </c>
    </row>
    <row r="74" ht="15" customHeight="1">
      <c r="A74" s="2" t="n">
        <v>16214</v>
      </c>
      <c r="B74" s="2" t="inlineStr">
        <is>
          <t>394-G-35-31 גרבי קיץ לסוכרת</t>
        </is>
      </c>
      <c r="C74" s="2" t="n">
        <v>3</v>
      </c>
      <c r="D74" s="2" t="n">
        <v>3</v>
      </c>
    </row>
    <row r="75" ht="15" customHeight="1">
      <c r="A75" s="2" t="n">
        <v>28302</v>
      </c>
      <c r="B75" s="2" t="inlineStr">
        <is>
          <t>URI 34+XXL1 מ קרסול+עכב סגו</t>
        </is>
      </c>
      <c r="C75" s="2" t="n">
        <v>2</v>
      </c>
      <c r="D75" s="2" t="n">
        <v>2</v>
      </c>
    </row>
    <row r="76" ht="15" customHeight="1">
      <c r="A76" s="2" t="n">
        <v>74807</v>
      </c>
      <c r="B76" s="2" t="inlineStr">
        <is>
          <t>URI 49 XL         1 מגן ירך</t>
        </is>
      </c>
      <c r="C76" s="2" t="n">
        <v>1</v>
      </c>
      <c r="D76" s="2" t="n">
        <v>1</v>
      </c>
    </row>
    <row r="77" ht="15" customHeight="1">
      <c r="A77" s="2" t="n">
        <v>74688</v>
      </c>
      <c r="B77" s="2" t="inlineStr">
        <is>
          <t>URI 11 TO XL        1 ח בטן</t>
        </is>
      </c>
      <c r="C77" s="2" t="n">
        <v>1</v>
      </c>
      <c r="D77" s="2" t="n">
        <v>1</v>
      </c>
    </row>
    <row r="78" ht="15" customHeight="1">
      <c r="A78" s="2" t="n">
        <v>74918</v>
      </c>
      <c r="B78" s="2" t="inlineStr">
        <is>
          <t>URI T33 L       1 סד לקרסול</t>
        </is>
      </c>
      <c r="C78" s="2" t="n">
        <v>1</v>
      </c>
      <c r="D78" s="2" t="n">
        <v>1</v>
      </c>
    </row>
    <row r="79" ht="15" customHeight="1">
      <c r="A79" s="2" t="n">
        <v>74805</v>
      </c>
      <c r="B79" s="2" t="inlineStr">
        <is>
          <t>URI 49 L          1 מגן ירך</t>
        </is>
      </c>
      <c r="C79" s="2" t="n">
        <v>1</v>
      </c>
      <c r="D79" s="2" t="n">
        <v>1</v>
      </c>
    </row>
    <row r="80" ht="15" customHeight="1">
      <c r="A80" s="2" t="n">
        <v>74687</v>
      </c>
      <c r="B80" s="2" t="inlineStr">
        <is>
          <t>URI 11 TO L         1 ח בטן</t>
        </is>
      </c>
      <c r="C80" s="2" t="n">
        <v>1</v>
      </c>
      <c r="D80" s="2" t="n">
        <v>1</v>
      </c>
    </row>
    <row r="81" ht="15" customHeight="1">
      <c r="A81" s="2" t="n">
        <v>74987</v>
      </c>
      <c r="B81" s="2" t="inlineStr">
        <is>
          <t>URI T78 L            1 תומך</t>
        </is>
      </c>
      <c r="C81" s="2" t="n">
        <v>1</v>
      </c>
      <c r="D81" s="2" t="n">
        <v>1</v>
      </c>
    </row>
    <row r="82" ht="15" customHeight="1">
      <c r="A82" s="2" t="n">
        <v>74686</v>
      </c>
      <c r="B82" s="2" t="inlineStr">
        <is>
          <t>URI 11 TO M         1 ח בטן</t>
        </is>
      </c>
      <c r="C82" s="2" t="n">
        <v>1</v>
      </c>
      <c r="D82" s="2" t="n">
        <v>1</v>
      </c>
    </row>
    <row r="83" ht="15" customHeight="1">
      <c r="A83" s="2" t="n">
        <v>74708</v>
      </c>
      <c r="B83" s="2" t="inlineStr">
        <is>
          <t>URI 21 L      1 חבק יד ארוך</t>
        </is>
      </c>
      <c r="C83" s="2" t="n">
        <v>29</v>
      </c>
      <c r="D83" s="2" t="n">
        <v>27</v>
      </c>
    </row>
    <row r="84" ht="15" customHeight="1">
      <c r="A84" s="2" t="n">
        <v>71087</v>
      </c>
      <c r="B84" s="2" t="inlineStr">
        <is>
          <t>URI 078L 1</t>
        </is>
      </c>
      <c r="C84" s="2" t="n">
        <v>12</v>
      </c>
      <c r="D84" s="2" t="n">
        <v>11</v>
      </c>
    </row>
    <row r="85" ht="15" customHeight="1">
      <c r="A85" s="2" t="n">
        <v>71204</v>
      </c>
      <c r="B85" s="2" t="inlineStr">
        <is>
          <t>URI 3655   1 שרוול מסיליקון</t>
        </is>
      </c>
      <c r="C85" s="2" t="n">
        <v>99</v>
      </c>
      <c r="D85" s="2" t="n">
        <v>89</v>
      </c>
    </row>
    <row r="86" ht="15" customHeight="1">
      <c r="A86" s="2" t="n">
        <v>66485</v>
      </c>
      <c r="B86" s="2" t="inlineStr">
        <is>
          <t>URI 801 ICE GO  1 תחבושת אל</t>
        </is>
      </c>
      <c r="C86" s="2" t="n">
        <v>9</v>
      </c>
      <c r="D86" s="2" t="n">
        <v>8</v>
      </c>
    </row>
    <row r="87" ht="15" customHeight="1">
      <c r="A87" s="2" t="n">
        <v>60472</v>
      </c>
      <c r="B87" s="2" t="inlineStr">
        <is>
          <t>URI PD340  1 קוצץ ציפורניים</t>
        </is>
      </c>
      <c r="C87" s="2" t="n">
        <v>34</v>
      </c>
      <c r="D87" s="2" t="n">
        <v>30</v>
      </c>
    </row>
    <row r="88" ht="15" customHeight="1">
      <c r="A88" s="2" t="n">
        <v>63366</v>
      </c>
      <c r="B88" s="2" t="inlineStr">
        <is>
          <t>URI 34 M 1 מגן קרסול ס.בעקב</t>
        </is>
      </c>
      <c r="C88" s="2" t="n">
        <v>17</v>
      </c>
      <c r="D88" s="2" t="n">
        <v>15</v>
      </c>
    </row>
    <row r="89" ht="15" customHeight="1">
      <c r="A89" s="2" t="n">
        <v>59659</v>
      </c>
      <c r="B89" s="2" t="inlineStr">
        <is>
          <t>URI 369 S-L 1</t>
        </is>
      </c>
      <c r="C89" s="2" t="n">
        <v>17</v>
      </c>
      <c r="D89" s="2" t="n">
        <v>15</v>
      </c>
    </row>
    <row r="90" ht="15" customHeight="1">
      <c r="A90" s="2" t="n">
        <v>74763</v>
      </c>
      <c r="B90" s="2" t="inlineStr">
        <is>
          <t>URI 34+ M       1 מגן קרסול</t>
        </is>
      </c>
      <c r="C90" s="2" t="n">
        <v>8</v>
      </c>
      <c r="D90" s="2" t="n">
        <v>7</v>
      </c>
    </row>
    <row r="91" ht="15" customHeight="1">
      <c r="A91" s="2" t="n">
        <v>63368</v>
      </c>
      <c r="B91" s="2" t="inlineStr">
        <is>
          <t>URI 34 XL1 מגן קרסול ס.בעקב</t>
        </is>
      </c>
      <c r="C91" s="2" t="n">
        <v>14</v>
      </c>
      <c r="D91" s="2" t="n">
        <v>12</v>
      </c>
    </row>
    <row r="92" ht="15" customHeight="1">
      <c r="A92" s="2" t="n">
        <v>60476</v>
      </c>
      <c r="B92" s="2" t="inlineStr">
        <is>
          <t>URI PD344       1 אבן טבעית</t>
        </is>
      </c>
      <c r="C92" s="2" t="n">
        <v>25</v>
      </c>
      <c r="D92" s="2" t="n">
        <v>21</v>
      </c>
    </row>
    <row r="93" ht="15" customHeight="1">
      <c r="A93" s="2" t="n">
        <v>83668</v>
      </c>
      <c r="B93" s="2" t="inlineStr">
        <is>
          <t>URI FC335    1 טלק לכף הרגל</t>
        </is>
      </c>
      <c r="C93" s="2" t="n">
        <v>80</v>
      </c>
      <c r="D93" s="2" t="n">
        <v>67</v>
      </c>
    </row>
    <row r="94" ht="15" customHeight="1">
      <c r="A94" s="2" t="n">
        <v>19083</v>
      </c>
      <c r="B94" s="2" t="inlineStr">
        <is>
          <t>URI 40    1 רצועת פיקה לברך</t>
        </is>
      </c>
      <c r="C94" s="2" t="n">
        <v>6</v>
      </c>
      <c r="D94" s="2" t="n">
        <v>5</v>
      </c>
    </row>
    <row r="95" ht="15" customHeight="1">
      <c r="A95" s="2" t="n">
        <v>31188</v>
      </c>
      <c r="B95" s="2" t="inlineStr">
        <is>
          <t>URI 372    1 רפידת אנטי ריח</t>
        </is>
      </c>
      <c r="C95" s="2" t="n">
        <v>39</v>
      </c>
      <c r="D95" s="2" t="n">
        <v>32</v>
      </c>
    </row>
    <row r="96" ht="15" customHeight="1">
      <c r="A96" s="2" t="n">
        <v>63360</v>
      </c>
      <c r="B96" s="2" t="inlineStr">
        <is>
          <t>URI 45 L          1 מגן ברךBOX</t>
        </is>
      </c>
      <c r="C96" s="2" t="n">
        <v>56</v>
      </c>
      <c r="D96" s="2" t="n">
        <v>45</v>
      </c>
    </row>
    <row r="97" ht="15" customHeight="1">
      <c r="A97" s="2" t="n">
        <v>16213</v>
      </c>
      <c r="B97" s="2" t="inlineStr">
        <is>
          <t>394B-43-461 גרבי קיץ לסוכרת</t>
        </is>
      </c>
      <c r="C97" s="2" t="n">
        <v>15</v>
      </c>
      <c r="D97" s="2" t="n">
        <v>12</v>
      </c>
    </row>
    <row r="98" ht="15" customHeight="1">
      <c r="A98" s="2" t="n">
        <v>35339</v>
      </c>
      <c r="B98" s="2" t="inlineStr">
        <is>
          <t>URI 307 S 1 זוג עקב סיל+נ כ</t>
        </is>
      </c>
      <c r="C98" s="2" t="n">
        <v>5</v>
      </c>
      <c r="D98" s="2" t="n">
        <v>4</v>
      </c>
    </row>
    <row r="99" ht="15" customHeight="1">
      <c r="A99" s="2" t="n">
        <v>19082</v>
      </c>
      <c r="B99" s="2" t="inlineStr">
        <is>
          <t>URI 34 S 1 מגן קרסול ס בעקב</t>
        </is>
      </c>
      <c r="C99" s="2" t="n">
        <v>5</v>
      </c>
      <c r="D99" s="2" t="n">
        <v>4</v>
      </c>
    </row>
    <row r="100" ht="15" customHeight="1">
      <c r="A100" s="2" t="n">
        <v>74762</v>
      </c>
      <c r="B100" s="2" t="inlineStr">
        <is>
          <t>URI 34+ L      1 מגן לקרסול</t>
        </is>
      </c>
      <c r="C100" s="2" t="n">
        <v>9</v>
      </c>
      <c r="D100" s="2" t="n">
        <v>7</v>
      </c>
    </row>
    <row r="101" ht="15" customHeight="1">
      <c r="A101" s="2" t="n">
        <v>63359</v>
      </c>
      <c r="B101" s="2" t="inlineStr">
        <is>
          <t>URI 45 M          1 מגן ברך</t>
        </is>
      </c>
      <c r="C101" s="2" t="n">
        <v>47</v>
      </c>
      <c r="D101" s="2" t="n">
        <v>36</v>
      </c>
    </row>
    <row r="102" ht="15" customHeight="1">
      <c r="A102" s="2" t="n">
        <v>65241</v>
      </c>
      <c r="B102" s="2" t="inlineStr">
        <is>
          <t>URI M35     1 מגן קרסול לבן</t>
        </is>
      </c>
      <c r="C102" s="2" t="n">
        <v>17</v>
      </c>
      <c r="D102" s="2" t="n">
        <v>13</v>
      </c>
    </row>
    <row r="103" ht="15" customHeight="1">
      <c r="A103" s="2" t="n">
        <v>80668</v>
      </c>
      <c r="B103" s="2" t="inlineStr">
        <is>
          <t>URI 320 BLISTER PLASTER 1</t>
        </is>
      </c>
      <c r="C103" s="2" t="n">
        <v>12</v>
      </c>
      <c r="D103" s="2" t="n">
        <v>9</v>
      </c>
    </row>
    <row r="104" ht="15" customHeight="1">
      <c r="A104" s="2" t="n">
        <v>18559</v>
      </c>
      <c r="B104" s="2" t="inlineStr">
        <is>
          <t>URI 8200    1 כרית חום וקור</t>
        </is>
      </c>
      <c r="C104" s="2" t="n">
        <v>4</v>
      </c>
      <c r="D104" s="2" t="n">
        <v>3</v>
      </c>
    </row>
    <row r="105" ht="15" customHeight="1">
      <c r="A105" s="2" t="n">
        <v>64633</v>
      </c>
      <c r="B105" s="2" t="inlineStr">
        <is>
          <t>URI 390B 35-38   1 גרבי כסף</t>
        </is>
      </c>
      <c r="C105" s="2" t="n">
        <v>4</v>
      </c>
      <c r="D105" s="2" t="n">
        <v>3</v>
      </c>
    </row>
    <row r="106" ht="15" customHeight="1">
      <c r="A106" s="2" t="n">
        <v>55868</v>
      </c>
      <c r="B106" s="2" t="inlineStr">
        <is>
          <t>URI 078G XXL1 חגורת גב אפור</t>
        </is>
      </c>
      <c r="C106" s="2" t="n">
        <v>11</v>
      </c>
      <c r="D106" s="2" t="n">
        <v>8</v>
      </c>
    </row>
    <row r="107" ht="15" customHeight="1">
      <c r="A107" s="2" t="n">
        <v>24612</v>
      </c>
      <c r="B107" s="2" t="inlineStr">
        <is>
          <t>URI AC28        1 סד לאגודל</t>
        </is>
      </c>
      <c r="C107" s="2" t="n">
        <v>48</v>
      </c>
      <c r="D107" s="2" t="n">
        <v>34</v>
      </c>
    </row>
    <row r="108" ht="15" customHeight="1">
      <c r="A108" s="2" t="n">
        <v>52323</v>
      </c>
      <c r="B108" s="2" t="inlineStr">
        <is>
          <t>URI 078G L 1 חגורת גב אפורה</t>
        </is>
      </c>
      <c r="C108" s="2" t="n">
        <v>30</v>
      </c>
      <c r="D108" s="2" t="n">
        <v>21</v>
      </c>
    </row>
    <row r="109" ht="15" customHeight="1">
      <c r="A109" s="2" t="n">
        <v>16217</v>
      </c>
      <c r="B109" s="2" t="inlineStr">
        <is>
          <t>394G-39-421 גרבי קיץ לסוכרת</t>
        </is>
      </c>
      <c r="C109" s="2" t="n">
        <v>6</v>
      </c>
      <c r="D109" s="2" t="n">
        <v>4</v>
      </c>
    </row>
    <row r="110" ht="15" customHeight="1">
      <c r="A110" s="2" t="n">
        <v>65743</v>
      </c>
      <c r="B110" s="2" t="inlineStr">
        <is>
          <t>URI LF 360   1 מדרס מטטרזלי</t>
        </is>
      </c>
      <c r="C110" s="2" t="n">
        <v>3</v>
      </c>
      <c r="D110" s="2" t="n">
        <v>2</v>
      </c>
    </row>
    <row r="111" ht="15" customHeight="1">
      <c r="A111" s="2" t="n">
        <v>45264</v>
      </c>
      <c r="B111" s="2" t="inlineStr">
        <is>
          <t>URI 34+        1 מגן לקרסול</t>
        </is>
      </c>
      <c r="C111" s="2" t="n">
        <v>3</v>
      </c>
      <c r="D111" s="2" t="n">
        <v>2</v>
      </c>
    </row>
    <row r="112" ht="15" customHeight="1">
      <c r="A112" s="2" t="n">
        <v>74683</v>
      </c>
      <c r="B112" s="2" t="inlineStr">
        <is>
          <t>URI 11 M    1 ח.בטן אורירית</t>
        </is>
      </c>
      <c r="C112" s="2" t="n">
        <v>3</v>
      </c>
      <c r="D112" s="2" t="n">
        <v>2</v>
      </c>
    </row>
    <row r="113" ht="15" customHeight="1">
      <c r="A113" s="2" t="n">
        <v>29984</v>
      </c>
      <c r="B113" s="2" t="inlineStr">
        <is>
          <t>URI 95 XS        1 מגן מרפק</t>
        </is>
      </c>
      <c r="C113" s="2" t="n">
        <v>3</v>
      </c>
      <c r="D113" s="2" t="n">
        <v>2</v>
      </c>
    </row>
    <row r="114" ht="15" customHeight="1">
      <c r="A114" s="2" t="n">
        <v>47877</v>
      </c>
      <c r="B114" s="2" t="inlineStr">
        <is>
          <t>URI 21        1 חבק יד ארוך</t>
        </is>
      </c>
      <c r="C114" s="2" t="n">
        <v>17</v>
      </c>
      <c r="D114" s="2" t="n">
        <v>11</v>
      </c>
    </row>
    <row r="115" ht="15" customHeight="1">
      <c r="A115" s="2" t="n">
        <v>53791</v>
      </c>
      <c r="B115" s="2" t="inlineStr">
        <is>
          <t>URI 397-43-46  1 גרבי טיסה</t>
        </is>
      </c>
      <c r="C115" s="2" t="n">
        <v>22</v>
      </c>
      <c r="D115" s="2" t="n">
        <v>14</v>
      </c>
    </row>
    <row r="116" ht="15" customHeight="1">
      <c r="A116" s="2" t="n">
        <v>74670</v>
      </c>
      <c r="B116" s="2" t="inlineStr">
        <is>
          <t>URI 07AU L   1 ח.גב איטלקית</t>
        </is>
      </c>
      <c r="C116" s="2" t="n">
        <v>8</v>
      </c>
      <c r="D116" s="2" t="n">
        <v>5</v>
      </c>
    </row>
    <row r="117" ht="15" customHeight="1">
      <c r="A117" s="2" t="n">
        <v>65243</v>
      </c>
      <c r="B117" s="2" t="inlineStr">
        <is>
          <t>URI XL35    1 מגן קרסול לבן</t>
        </is>
      </c>
      <c r="C117" s="2" t="n">
        <v>18</v>
      </c>
      <c r="D117" s="2" t="n">
        <v>11</v>
      </c>
    </row>
    <row r="118" ht="15" customHeight="1">
      <c r="A118" s="2" t="n">
        <v>53790</v>
      </c>
      <c r="B118" s="2" t="inlineStr">
        <is>
          <t>URI 397-39-42   1 גרבי טיסה</t>
        </is>
      </c>
      <c r="C118" s="2" t="n">
        <v>23</v>
      </c>
      <c r="D118" s="2" t="n">
        <v>14</v>
      </c>
    </row>
    <row r="119" ht="15" customHeight="1">
      <c r="A119" s="2" t="n">
        <v>63449</v>
      </c>
      <c r="B119" s="2" t="inlineStr">
        <is>
          <t>URI 40221 רצועה לפיקה +כרית</t>
        </is>
      </c>
      <c r="C119" s="2" t="n">
        <v>10</v>
      </c>
      <c r="D119" s="2" t="n">
        <v>6</v>
      </c>
    </row>
    <row r="120" ht="15" customHeight="1">
      <c r="A120" s="2" t="n">
        <v>20996</v>
      </c>
      <c r="B120" s="2" t="inlineStr">
        <is>
          <t>URI 07AU XXL 1</t>
        </is>
      </c>
      <c r="C120" s="2" t="n">
        <v>5</v>
      </c>
      <c r="D120" s="2" t="n">
        <v>3</v>
      </c>
    </row>
    <row r="121" ht="15" customHeight="1">
      <c r="A121" s="2" t="n">
        <v>74799</v>
      </c>
      <c r="B121" s="2" t="inlineStr">
        <is>
          <t>URI 45E L1 מגן ברך ארוך לבן</t>
        </is>
      </c>
      <c r="C121" s="2" t="n">
        <v>42</v>
      </c>
      <c r="D121" s="2" t="n">
        <v>25</v>
      </c>
    </row>
    <row r="122" ht="15" customHeight="1">
      <c r="A122" s="2" t="n">
        <v>60485</v>
      </c>
      <c r="B122" s="2" t="inlineStr">
        <is>
          <t>URI 369 XL 1</t>
        </is>
      </c>
      <c r="C122" s="2" t="n">
        <v>33</v>
      </c>
      <c r="D122" s="2" t="n">
        <v>19</v>
      </c>
    </row>
    <row r="123" ht="15" customHeight="1">
      <c r="A123" s="2" t="n">
        <v>16245</v>
      </c>
      <c r="B123" s="2" t="inlineStr">
        <is>
          <t>394W-43-461 גרבי קיץ לסוכרת</t>
        </is>
      </c>
      <c r="C123" s="2" t="n">
        <v>7</v>
      </c>
      <c r="D123" s="2" t="n">
        <v>4</v>
      </c>
    </row>
    <row r="124" ht="15" customHeight="1">
      <c r="A124" s="2" t="n">
        <v>74800</v>
      </c>
      <c r="B124" s="2" t="inlineStr">
        <is>
          <t>URI 45E M    1 מגן ברך ארוך</t>
        </is>
      </c>
      <c r="C124" s="2" t="n">
        <v>39</v>
      </c>
      <c r="D124" s="2" t="n">
        <v>22</v>
      </c>
    </row>
    <row r="125" ht="15" customHeight="1">
      <c r="A125" s="2" t="n">
        <v>59657</v>
      </c>
      <c r="B125" s="2" t="inlineStr">
        <is>
          <t>URI 363 L R 1</t>
        </is>
      </c>
      <c r="C125" s="2" t="n">
        <v>13</v>
      </c>
      <c r="D125" s="2" t="n">
        <v>7</v>
      </c>
    </row>
    <row r="126" ht="15" customHeight="1">
      <c r="A126" s="2" t="n">
        <v>16237</v>
      </c>
      <c r="B126" s="2" t="inlineStr">
        <is>
          <t>394G-43-461 גרבי קיץ לסוכרת</t>
        </is>
      </c>
      <c r="C126" s="2" t="n">
        <v>10</v>
      </c>
      <c r="D126" s="2" t="n">
        <v>5</v>
      </c>
    </row>
    <row r="127" ht="15" customHeight="1">
      <c r="A127" s="2" t="n">
        <v>64638</v>
      </c>
      <c r="B127" s="2" t="inlineStr">
        <is>
          <t>URI 390G 43-46   1 גרבי כסף</t>
        </is>
      </c>
      <c r="C127" s="2" t="n">
        <v>4</v>
      </c>
      <c r="D127" s="2" t="n">
        <v>2</v>
      </c>
    </row>
    <row r="128" ht="15" customHeight="1">
      <c r="A128" s="2" t="n">
        <v>74848</v>
      </c>
      <c r="B128" s="2" t="inlineStr">
        <is>
          <t>URI 76 XL       1 מיישר כתף</t>
        </is>
      </c>
      <c r="C128" s="2" t="n">
        <v>2</v>
      </c>
      <c r="D128" s="2" t="n">
        <v>1</v>
      </c>
    </row>
    <row r="129" ht="15" customHeight="1">
      <c r="A129" s="2" t="n">
        <v>74847</v>
      </c>
      <c r="B129" s="2" t="inlineStr">
        <is>
          <t>URI 76 M        1 מיישר כתף</t>
        </is>
      </c>
      <c r="C129" s="2" t="n">
        <v>2</v>
      </c>
      <c r="D129" s="2" t="n">
        <v>1</v>
      </c>
    </row>
    <row r="130" ht="15" customHeight="1">
      <c r="A130" s="2" t="n">
        <v>52326</v>
      </c>
      <c r="B130" s="2" t="inlineStr">
        <is>
          <t>URI 078G S 1 חגורת גב אפורה</t>
        </is>
      </c>
      <c r="C130" s="2" t="n">
        <v>2</v>
      </c>
      <c r="D130" s="2" t="n">
        <v>1</v>
      </c>
    </row>
    <row r="131" ht="15" customHeight="1">
      <c r="A131" s="2" t="n">
        <v>16239</v>
      </c>
      <c r="B131" s="2" t="inlineStr">
        <is>
          <t>394W-35-381 גרבי קיץ לסוכרת</t>
        </is>
      </c>
      <c r="C131" s="2" t="n">
        <v>2</v>
      </c>
      <c r="D131" s="2" t="n">
        <v>1</v>
      </c>
    </row>
    <row r="132" ht="15" customHeight="1">
      <c r="A132" s="2" t="n">
        <v>60474</v>
      </c>
      <c r="B132" s="2" t="inlineStr">
        <is>
          <t>URI PD3421 פומפיה להסרת עור</t>
        </is>
      </c>
      <c r="C132" s="2" t="n">
        <v>13</v>
      </c>
      <c r="D132" s="2" t="n">
        <v>6</v>
      </c>
    </row>
    <row r="133" ht="15" customHeight="1">
      <c r="A133" s="2" t="n">
        <v>74672</v>
      </c>
      <c r="B133" s="2" t="inlineStr">
        <is>
          <t>URI 07AU XL  1 ח.גב איטלקית</t>
        </is>
      </c>
      <c r="C133" s="2" t="n">
        <v>9</v>
      </c>
      <c r="D133" s="2" t="n">
        <v>4</v>
      </c>
    </row>
    <row r="134" ht="15" customHeight="1">
      <c r="A134" s="2" t="n">
        <v>67385</v>
      </c>
      <c r="B134" s="2" t="inlineStr">
        <is>
          <t>URI 302M 0  1 מדרס ג'ל לגבר</t>
        </is>
      </c>
      <c r="C134" s="2" t="n">
        <v>23</v>
      </c>
      <c r="D134" s="2" t="n">
        <v>10</v>
      </c>
    </row>
    <row r="135" ht="15" customHeight="1">
      <c r="A135" s="2" t="n">
        <v>29981</v>
      </c>
      <c r="B135" s="2" t="inlineStr">
        <is>
          <t>URI 35 XXL  1 מגן קרסול לבן</t>
        </is>
      </c>
      <c r="C135" s="2" t="n">
        <v>6</v>
      </c>
      <c r="D135" s="2" t="n">
        <v>2</v>
      </c>
    </row>
    <row r="136" ht="15" customHeight="1">
      <c r="A136" s="2" t="n">
        <v>16211</v>
      </c>
      <c r="B136" s="2" t="inlineStr">
        <is>
          <t>394B-35-381 גרבי קיץ לסוכרת</t>
        </is>
      </c>
      <c r="C136" s="2" t="n">
        <v>6</v>
      </c>
      <c r="D136" s="2" t="n">
        <v>2</v>
      </c>
    </row>
    <row r="137" ht="15" customHeight="1">
      <c r="A137" s="2" t="n">
        <v>88476</v>
      </c>
      <c r="B137" s="2" t="inlineStr">
        <is>
          <t>URI LF373 0 1 ריפוד סיליקון</t>
        </is>
      </c>
      <c r="C137" s="2" t="n">
        <v>6</v>
      </c>
      <c r="D137" s="2" t="n">
        <v>2</v>
      </c>
    </row>
    <row r="138" ht="15" customHeight="1">
      <c r="A138" s="2" t="n">
        <v>86583</v>
      </c>
      <c r="B138" s="2" t="inlineStr">
        <is>
          <t>URI 87 XXL   1 מקבע כתף ויד</t>
        </is>
      </c>
      <c r="C138" s="2" t="n">
        <v>3</v>
      </c>
      <c r="D138" s="2" t="n">
        <v>1</v>
      </c>
    </row>
    <row r="139" ht="15" customHeight="1">
      <c r="A139" s="2" t="n">
        <v>64636</v>
      </c>
      <c r="B139" s="2" t="inlineStr">
        <is>
          <t>URI 390G 35-38   1 גרבי כסף</t>
        </is>
      </c>
      <c r="C139" s="2" t="n">
        <v>3</v>
      </c>
      <c r="D139" s="2" t="n">
        <v>1</v>
      </c>
    </row>
    <row r="140" ht="15" customHeight="1">
      <c r="A140" s="2" t="n">
        <v>74846</v>
      </c>
      <c r="B140" s="2" t="inlineStr">
        <is>
          <t>URI 76 L        1 מיישר כתף</t>
        </is>
      </c>
      <c r="C140" s="2" t="n">
        <v>3</v>
      </c>
      <c r="D140" s="2" t="n">
        <v>1</v>
      </c>
    </row>
    <row r="141" ht="15" customHeight="1">
      <c r="A141" s="2" t="n">
        <v>21896</v>
      </c>
      <c r="B141" s="2" t="inlineStr">
        <is>
          <t>URI 388L    1 סד לילה לבוהן</t>
        </is>
      </c>
      <c r="C141" s="2" t="n">
        <v>4</v>
      </c>
      <c r="D141" s="2" t="n">
        <v>1</v>
      </c>
    </row>
    <row r="142" ht="15" customHeight="1">
      <c r="A142" s="2" t="n">
        <v>16212</v>
      </c>
      <c r="B142" s="2" t="inlineStr">
        <is>
          <t>394B-39-421 גרבי קיץ לסוכרת</t>
        </is>
      </c>
      <c r="C142" s="2" t="n">
        <v>26</v>
      </c>
      <c r="D142" s="2" t="n">
        <v>6</v>
      </c>
    </row>
    <row r="143" ht="15" customHeight="1">
      <c r="A143" s="2" t="n">
        <v>64637</v>
      </c>
      <c r="B143" s="2" t="inlineStr">
        <is>
          <t>URI 390G 39-42   1 גרבי כסף</t>
        </is>
      </c>
      <c r="C143" s="2" t="n">
        <v>6</v>
      </c>
      <c r="D143" s="2" t="n">
        <v>1</v>
      </c>
    </row>
    <row r="144" ht="15" customHeight="1">
      <c r="A144" s="2" t="n">
        <v>61344</v>
      </c>
      <c r="B144" s="2" t="inlineStr">
        <is>
          <t>URI 312 9*5   1 מדבקה גדולה</t>
        </is>
      </c>
      <c r="C144" s="2" t="n">
        <v>7</v>
      </c>
      <c r="D144" s="2" t="n">
        <v>0</v>
      </c>
    </row>
    <row r="145" ht="15" customHeight="1">
      <c r="A145" s="2" t="n">
        <v>21897</v>
      </c>
      <c r="B145" s="2" t="inlineStr">
        <is>
          <t>URI 388R    1 סד לילה לבוהן</t>
        </is>
      </c>
      <c r="C145" s="2" t="n">
        <v>4</v>
      </c>
      <c r="D145" s="2" t="n">
        <v>0</v>
      </c>
    </row>
    <row r="146" ht="15" customHeight="1">
      <c r="A146" s="2" t="n">
        <v>88475</v>
      </c>
      <c r="B146" s="2" t="inlineStr">
        <is>
          <t>URI LF371 0 1 ריפוד סיליקון</t>
        </is>
      </c>
      <c r="C146" s="2" t="n">
        <v>2</v>
      </c>
      <c r="D146" s="2" t="n">
        <v>0</v>
      </c>
    </row>
    <row r="147" ht="15" customHeight="1">
      <c r="A147" s="2" t="n">
        <v>29977</v>
      </c>
      <c r="B147" s="2" t="inlineStr">
        <is>
          <t>URI 11TO XXL    1 חגורת בטן</t>
        </is>
      </c>
      <c r="C147" s="2" t="n">
        <v>1</v>
      </c>
      <c r="D147" s="2" t="n">
        <v>0</v>
      </c>
    </row>
    <row r="148" ht="15" customHeight="1">
      <c r="A148" s="2" t="n">
        <v>20948</v>
      </c>
      <c r="B148" s="2" t="inlineStr">
        <is>
          <t>URI 35 XST 1 מגן קרסול פתוח</t>
        </is>
      </c>
      <c r="C148" s="2" t="n">
        <v>1</v>
      </c>
      <c r="D148" s="2" t="n">
        <v>0</v>
      </c>
    </row>
    <row r="149" ht="15" customHeight="1">
      <c r="A149" s="2" t="n">
        <v>74988</v>
      </c>
      <c r="B149" s="2" t="inlineStr">
        <is>
          <t>URI T78 M            1 תומך</t>
        </is>
      </c>
      <c r="C149" s="2" t="n">
        <v>1</v>
      </c>
      <c r="D149" s="2" t="n">
        <v>0</v>
      </c>
    </row>
    <row r="150" ht="15" customHeight="1">
      <c r="A150" s="2" t="n">
        <v>74806</v>
      </c>
      <c r="B150" s="2" t="inlineStr">
        <is>
          <t>URI 49 M          1 מגן ירך</t>
        </is>
      </c>
      <c r="C150" s="2" t="n">
        <v>1</v>
      </c>
      <c r="D150" s="2" t="n">
        <v>0</v>
      </c>
    </row>
    <row r="151" ht="15" customHeight="1">
      <c r="A151" s="2" t="n">
        <v>74820</v>
      </c>
      <c r="B151" s="2" t="inlineStr">
        <is>
          <t>URI 59R L.1 חגורת שבר לצד י</t>
        </is>
      </c>
      <c r="C151" s="2" t="n">
        <v>1</v>
      </c>
      <c r="D151" s="2" t="n">
        <v>0</v>
      </c>
    </row>
    <row r="152" ht="15" customHeight="1">
      <c r="A152" s="2" t="n">
        <v>74821</v>
      </c>
      <c r="B152" s="2" t="inlineStr">
        <is>
          <t>URI 59R  M.1 חגורת שבר צד י</t>
        </is>
      </c>
      <c r="C152" s="2" t="n">
        <v>1</v>
      </c>
      <c r="D152" s="2" t="n">
        <v>0</v>
      </c>
    </row>
    <row r="153" ht="15" customHeight="1">
      <c r="A153" s="2" t="n">
        <v>74842</v>
      </c>
      <c r="B153" s="2" t="inlineStr">
        <is>
          <t>URI 74-L-XL    1 רצועה לשבר</t>
        </is>
      </c>
      <c r="C153" s="2" t="n">
        <v>1</v>
      </c>
      <c r="D153" s="2" t="n">
        <v>0</v>
      </c>
    </row>
    <row r="154" ht="15" customHeight="1">
      <c r="A154" s="2" t="n">
        <v>50057</v>
      </c>
      <c r="B154" s="2" t="inlineStr">
        <is>
          <t>URI 76          1 מיישר כתף</t>
        </is>
      </c>
      <c r="C154" s="2" t="n">
        <v>1</v>
      </c>
      <c r="D154" s="2" t="n">
        <v>0</v>
      </c>
    </row>
    <row r="155" ht="15" customHeight="1">
      <c r="A155" s="2" t="n">
        <v>64631</v>
      </c>
      <c r="B155" s="2" t="inlineStr">
        <is>
          <t>URI 390W 39-42   1 גרבי כסף</t>
        </is>
      </c>
      <c r="C155" s="2" t="n">
        <v>-1</v>
      </c>
      <c r="D155" s="2" t="n">
        <v>1</v>
      </c>
    </row>
    <row r="156" ht="15" customHeight="1">
      <c r="A156" s="2" t="n">
        <v>66745</v>
      </c>
      <c r="B156" s="2" t="inlineStr">
        <is>
          <t xml:space="preserve">                       1 תרסיס דיאו.אנטי בקטר.לנעל</t>
        </is>
      </c>
      <c r="C156" s="2" t="n">
        <v>0</v>
      </c>
      <c r="D156" s="2" t="n">
        <v>65</v>
      </c>
    </row>
    <row r="157" ht="15" customHeight="1">
      <c r="A157" s="2" t="n">
        <v>82206</v>
      </c>
      <c r="B157" s="2" t="inlineStr">
        <is>
          <t>ST25     1 חבק לשורש כף היד</t>
        </is>
      </c>
      <c r="C157" s="2" t="n">
        <v>0</v>
      </c>
      <c r="D157" s="2" t="n">
        <v>55</v>
      </c>
    </row>
    <row r="158" ht="15" customHeight="1">
      <c r="A158" s="2" t="n">
        <v>82213</v>
      </c>
      <c r="B158" s="2" t="inlineStr">
        <is>
          <t>ST28  1 סט אגודלי+מוט תמיכה</t>
        </is>
      </c>
      <c r="C158" s="2" t="n">
        <v>0</v>
      </c>
      <c r="D158" s="2" t="n">
        <v>31</v>
      </c>
    </row>
    <row r="159" ht="15" customHeight="1">
      <c r="A159" s="2" t="n">
        <v>82208</v>
      </c>
      <c r="B159" s="2" t="inlineStr">
        <is>
          <t>URI ST37      1 חבק לקרסול</t>
        </is>
      </c>
      <c r="C159" s="2" t="n">
        <v>0</v>
      </c>
      <c r="D159" s="2" t="n">
        <v>23</v>
      </c>
    </row>
    <row r="160" ht="15" customHeight="1">
      <c r="A160" s="2" t="n">
        <v>82202</v>
      </c>
      <c r="B160" s="2" t="inlineStr">
        <is>
          <t>ST91       1 מגן מרפק לטניס</t>
        </is>
      </c>
      <c r="C160" s="2" t="n">
        <v>0</v>
      </c>
      <c r="D160" s="2" t="n">
        <v>23</v>
      </c>
    </row>
    <row r="161" ht="15" customHeight="1">
      <c r="A161" s="2" t="n">
        <v>83420</v>
      </c>
      <c r="B161" s="2" t="inlineStr">
        <is>
          <t>URI ST4221 מגן ברך +כ סיליק</t>
        </is>
      </c>
      <c r="C161" s="2" t="n">
        <v>0</v>
      </c>
      <c r="D161" s="2" t="n">
        <v>17</v>
      </c>
    </row>
    <row r="162" ht="15" customHeight="1">
      <c r="A162" s="2" t="n">
        <v>60473</v>
      </c>
      <c r="B162" s="2" t="inlineStr">
        <is>
          <t>URI PD341 1 מקצוע להסרת עור</t>
        </is>
      </c>
      <c r="C162" s="2" t="n">
        <v>0</v>
      </c>
      <c r="D162" s="2" t="n">
        <v>11</v>
      </c>
    </row>
    <row r="163" ht="15" customHeight="1">
      <c r="A163" s="2" t="n">
        <v>82207</v>
      </c>
      <c r="B163" s="2" t="inlineStr">
        <is>
          <t>ST20               1 חבק יד</t>
        </is>
      </c>
      <c r="C163" s="2" t="n">
        <v>0</v>
      </c>
      <c r="D163" s="2" t="n">
        <v>9</v>
      </c>
    </row>
    <row r="164" ht="15" customHeight="1">
      <c r="A164" s="2" t="n">
        <v>57690</v>
      </c>
      <c r="B164" s="2" t="inlineStr">
        <is>
          <t>808KT-C   1 טייפ קינזיולוגי</t>
        </is>
      </c>
      <c r="C164" s="2" t="n">
        <v>0</v>
      </c>
      <c r="D164" s="2" t="n">
        <v>8</v>
      </c>
    </row>
    <row r="165" ht="15" customHeight="1">
      <c r="A165" s="2" t="n">
        <v>57664</v>
      </c>
      <c r="B165" s="2" t="inlineStr">
        <is>
          <t>808KT-BL  1 טייפ קינזיולוגי</t>
        </is>
      </c>
      <c r="C165" s="2" t="n">
        <v>0</v>
      </c>
      <c r="D165" s="2" t="n">
        <v>8</v>
      </c>
    </row>
    <row r="166" ht="15" customHeight="1">
      <c r="A166" s="2" t="n">
        <v>57662</v>
      </c>
      <c r="B166" s="2" t="inlineStr">
        <is>
          <t>808KT-P   1 טייפ קינזיולוגי</t>
        </is>
      </c>
      <c r="C166" s="2" t="n">
        <v>0</v>
      </c>
      <c r="D166" s="2" t="n">
        <v>7</v>
      </c>
    </row>
    <row r="167" ht="15" customHeight="1">
      <c r="A167" s="2" t="n">
        <v>57696</v>
      </c>
      <c r="B167" s="2" t="inlineStr">
        <is>
          <t>808KT-B   1 טייפ קינזיולוגי</t>
        </is>
      </c>
      <c r="C167" s="2" t="n">
        <v>0</v>
      </c>
      <c r="D167" s="2" t="n">
        <v>7</v>
      </c>
    </row>
    <row r="168" ht="15" customHeight="1">
      <c r="A168" s="2" t="n">
        <v>63419</v>
      </c>
      <c r="B168" s="2" t="inlineStr">
        <is>
          <t>URI 87 XL1 חגו.קיבוע תמ.אמה</t>
        </is>
      </c>
      <c r="C168" s="2" t="n">
        <v>0</v>
      </c>
      <c r="D168" s="2" t="n">
        <v>6</v>
      </c>
    </row>
    <row r="169" ht="15" customHeight="1">
      <c r="A169" s="2" t="n">
        <v>82551</v>
      </c>
      <c r="B169" s="2" t="inlineStr">
        <is>
          <t>URI ST11        1 חגורת בטן</t>
        </is>
      </c>
      <c r="C169" s="2" t="n">
        <v>0</v>
      </c>
      <c r="D169" s="2" t="n">
        <v>4</v>
      </c>
    </row>
    <row r="170" ht="15" customHeight="1">
      <c r="A170" s="2" t="n">
        <v>46306</v>
      </c>
      <c r="B170" s="2" t="inlineStr">
        <is>
          <t>STRAP4U 239B S-M 1</t>
        </is>
      </c>
      <c r="C170" s="2" t="n">
        <v>0</v>
      </c>
      <c r="D170" s="2" t="n">
        <v>3</v>
      </c>
    </row>
    <row r="171" ht="15" customHeight="1">
      <c r="A171" s="2" t="n">
        <v>87819</v>
      </c>
      <c r="B171" s="2" t="inlineStr">
        <is>
          <t>ST433    H 1 מגן ברך עם ציר</t>
        </is>
      </c>
      <c r="C171" s="2" t="n">
        <v>0</v>
      </c>
      <c r="D171" s="2" t="n">
        <v>3</v>
      </c>
    </row>
    <row r="172" ht="15" customHeight="1">
      <c r="A172" s="2" t="n">
        <v>46309</v>
      </c>
      <c r="B172" s="2" t="inlineStr">
        <is>
          <t>STRAP4U 239B L-XL 1</t>
        </is>
      </c>
      <c r="C172" s="2" t="n">
        <v>0</v>
      </c>
      <c r="D172" s="2" t="n">
        <v>2</v>
      </c>
    </row>
    <row r="173" ht="15" customHeight="1">
      <c r="A173" s="2" t="n">
        <v>67898</v>
      </c>
      <c r="B173" s="2" t="inlineStr">
        <is>
          <t>חגורה למנותחי בית חזה</t>
        </is>
      </c>
      <c r="C173" s="2" t="n">
        <v>0</v>
      </c>
      <c r="D173" s="2" t="n">
        <v>2</v>
      </c>
    </row>
    <row r="174" ht="15" customHeight="1">
      <c r="A174" s="2" t="n">
        <v>74932</v>
      </c>
      <c r="B174" s="2" t="inlineStr">
        <is>
          <t>URI T39 XL        1 מגן שוק</t>
        </is>
      </c>
      <c r="C174" s="2" t="n">
        <v>0</v>
      </c>
      <c r="D174" s="2" t="n">
        <v>2</v>
      </c>
    </row>
    <row r="175" ht="15" customHeight="1">
      <c r="A175" s="2" t="n">
        <v>68750</v>
      </c>
      <c r="B175" s="2" t="inlineStr">
        <is>
          <t>388B L 1 סד לילה שחור לבוהן</t>
        </is>
      </c>
      <c r="C175" s="2" t="n">
        <v>0</v>
      </c>
      <c r="D175" s="2" t="n">
        <v>1</v>
      </c>
    </row>
    <row r="176" ht="15" customHeight="1">
      <c r="A176" s="2" t="n">
        <v>63407</v>
      </c>
      <c r="B176" s="2" t="inlineStr">
        <is>
          <t>URI 11U XL1 ח בטן אחר ניתוח</t>
        </is>
      </c>
      <c r="C176" s="2" t="n">
        <v>0</v>
      </c>
      <c r="D176" s="2" t="n">
        <v>1</v>
      </c>
    </row>
    <row r="177" ht="15" customHeight="1">
      <c r="A177" s="2" t="n">
        <v>76247</v>
      </c>
      <c r="B177" s="2" t="inlineStr">
        <is>
          <t>URI 078C XL  '1 חגורת גב בז</t>
        </is>
      </c>
      <c r="C177" s="2" t="n">
        <v>0</v>
      </c>
      <c r="D177" s="2" t="n">
        <v>1</v>
      </c>
    </row>
    <row r="178" ht="15" customHeight="1">
      <c r="A178" s="2" t="n">
        <v>67055</v>
      </c>
      <c r="B178" s="2" t="inlineStr">
        <is>
          <t>URI 49 XXL        1 מגן ירך</t>
        </is>
      </c>
      <c r="C178" s="2" t="n">
        <v>0</v>
      </c>
      <c r="D178" s="2" t="n">
        <v>1</v>
      </c>
    </row>
    <row r="179" ht="15" customHeight="1">
      <c r="A179" s="2" t="n">
        <v>74920</v>
      </c>
      <c r="B179" s="2" t="inlineStr">
        <is>
          <t>URI T33 XL      1 סד לקרסול</t>
        </is>
      </c>
      <c r="C179" s="2" t="n">
        <v>0</v>
      </c>
      <c r="D179" s="2" t="n">
        <v>1</v>
      </c>
    </row>
    <row r="180" ht="15" customHeight="1">
      <c r="A180" s="2" t="n">
        <v>74823</v>
      </c>
      <c r="B180" s="2" t="inlineStr">
        <is>
          <t>URI 59L L 1 חגורת שבר לשמאל</t>
        </is>
      </c>
      <c r="C180" s="2" t="n">
        <v>0</v>
      </c>
      <c r="D180" s="2" t="n">
        <v>1</v>
      </c>
    </row>
    <row r="181" ht="15" customHeight="1">
      <c r="A181" s="2" t="n">
        <v>74824</v>
      </c>
      <c r="B181" s="2" t="inlineStr">
        <is>
          <t>URI 59 L M 1 חגורת שבר צד ש</t>
        </is>
      </c>
      <c r="C181" s="2" t="n">
        <v>0</v>
      </c>
      <c r="D181" s="2" t="n">
        <v>1</v>
      </c>
    </row>
    <row r="182" ht="15" customHeight="1">
      <c r="A182" s="2" t="n">
        <v>74828</v>
      </c>
      <c r="B182" s="2" t="inlineStr">
        <is>
          <t>URI 59D XL1 חגורת שבר דו צד</t>
        </is>
      </c>
      <c r="C182" s="2" t="n">
        <v>0</v>
      </c>
      <c r="D182" s="2" t="n">
        <v>1</v>
      </c>
    </row>
    <row r="183" ht="15" customHeight="1">
      <c r="A183" s="2" t="n">
        <v>67939</v>
      </c>
      <c r="B183" s="2" t="inlineStr">
        <is>
          <t>URI 49            1 מגן ירך</t>
        </is>
      </c>
      <c r="C183" s="2" t="n">
        <v>0</v>
      </c>
      <c r="D183" s="2" t="n">
        <v>1</v>
      </c>
    </row>
    <row r="184" ht="15" customHeight="1">
      <c r="A184" s="2" t="n">
        <v>67895</v>
      </c>
      <c r="B184" s="2" t="inlineStr">
        <is>
          <t>URI 11      1 ח בטן אורירית</t>
        </is>
      </c>
      <c r="C184" s="2" t="n">
        <v>0</v>
      </c>
      <c r="D184" s="2" t="n">
        <v>1</v>
      </c>
    </row>
    <row r="185" ht="15" customHeight="1">
      <c r="A185" s="2" t="n">
        <v>29790</v>
      </c>
      <c r="B185" s="2" t="inlineStr">
        <is>
          <t>URI 11STO L1 חגורה אחר ניתו</t>
        </is>
      </c>
      <c r="C185" s="2" t="n">
        <v>0</v>
      </c>
      <c r="D185" s="2" t="n">
        <v>1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1"/>
  <sheetViews>
    <sheetView rightToLeft="1" zoomScaleNormal="100" workbookViewId="0">
      <pane ySplit="2" topLeftCell="A3" activePane="bottomLeft" state="frozen"/>
      <selection pane="bottomLeft" activeCell="A1" sqref="A1"/>
    </sheetView>
  </sheetViews>
  <sheetFormatPr baseColWidth="8" defaultColWidth="8.5703125" defaultRowHeight="15"/>
  <cols>
    <col width="12" customWidth="1" min="1" max="1"/>
    <col width="32" customWidth="1" min="2" max="2"/>
    <col width="14" customWidth="1" min="3" max="4"/>
  </cols>
  <sheetData>
    <row r="1" ht="16.5" customHeight="1">
      <c r="A1" s="1" t="inlineStr">
        <is>
          <t>נתוני מקור - מרץ (2025 מול 2026) - מקור: month-03.xlsx</t>
        </is>
      </c>
    </row>
    <row r="2" ht="15" customHeight="1">
      <c r="A2" s="22" t="inlineStr">
        <is>
          <t>קוד SKU</t>
        </is>
      </c>
      <c r="B2" s="22" t="inlineStr">
        <is>
          <t>שם מוצר</t>
        </is>
      </c>
      <c r="C2" s="22" t="inlineStr">
        <is>
          <t>יחידות מרץ 2025</t>
        </is>
      </c>
      <c r="D2" s="22" t="inlineStr">
        <is>
          <t>יחידות מרץ 2026</t>
        </is>
      </c>
    </row>
    <row r="3" ht="15" customHeight="1">
      <c r="A3" s="2" t="n">
        <v>45264</v>
      </c>
      <c r="B3" s="2" t="inlineStr">
        <is>
          <t>URI 34+        1 מגן לקרסול</t>
        </is>
      </c>
      <c r="C3" s="2" t="n">
        <v>1</v>
      </c>
      <c r="D3" s="2" t="n">
        <v>6</v>
      </c>
    </row>
    <row r="4" ht="15" customHeight="1">
      <c r="A4" s="2" t="n">
        <v>86583</v>
      </c>
      <c r="B4" s="2" t="inlineStr">
        <is>
          <t>URI 87 XXL   1 מקבע כתף ויד</t>
        </is>
      </c>
      <c r="C4" s="2" t="n">
        <v>1</v>
      </c>
      <c r="D4" s="2" t="n">
        <v>5</v>
      </c>
    </row>
    <row r="5" ht="15" customHeight="1">
      <c r="A5" s="2" t="n">
        <v>29881</v>
      </c>
      <c r="B5" s="2" t="inlineStr">
        <is>
          <t>URI 34 XXL 1 מגן קרסול סגור</t>
        </is>
      </c>
      <c r="C5" s="2" t="n">
        <v>1</v>
      </c>
      <c r="D5" s="2" t="n">
        <v>4</v>
      </c>
    </row>
    <row r="6" ht="15" customHeight="1">
      <c r="A6" s="2" t="n">
        <v>60473</v>
      </c>
      <c r="B6" s="2" t="inlineStr">
        <is>
          <t>URI PD341 1 מקצוע להסרת עור</t>
        </is>
      </c>
      <c r="C6" s="2" t="n">
        <v>1</v>
      </c>
      <c r="D6" s="2" t="n">
        <v>4</v>
      </c>
    </row>
    <row r="7" ht="15" customHeight="1">
      <c r="A7" s="2" t="n">
        <v>64634</v>
      </c>
      <c r="B7" s="2" t="inlineStr">
        <is>
          <t>URI 390B 39-42   1 גרבי כסף</t>
        </is>
      </c>
      <c r="C7" s="2" t="n">
        <v>1</v>
      </c>
      <c r="D7" s="2" t="n">
        <v>4</v>
      </c>
    </row>
    <row r="8" ht="15" customHeight="1">
      <c r="A8" s="2" t="n">
        <v>71086</v>
      </c>
      <c r="B8" s="2" t="inlineStr">
        <is>
          <t>URI 078M 1</t>
        </is>
      </c>
      <c r="C8" s="2" t="n">
        <v>2</v>
      </c>
      <c r="D8" s="2" t="n">
        <v>6</v>
      </c>
    </row>
    <row r="9" ht="15" customHeight="1">
      <c r="A9" s="2" t="n">
        <v>64631</v>
      </c>
      <c r="B9" s="2" t="inlineStr">
        <is>
          <t>URI 390W 39-42   1 גרבי כסף</t>
        </is>
      </c>
      <c r="C9" s="2" t="n">
        <v>1</v>
      </c>
      <c r="D9" s="2" t="n">
        <v>3</v>
      </c>
    </row>
    <row r="10" ht="15" customHeight="1">
      <c r="A10" s="2" t="n">
        <v>63419</v>
      </c>
      <c r="B10" s="2" t="inlineStr">
        <is>
          <t>URI 87 XL1 חגו.קיבוע תמ.אמה</t>
        </is>
      </c>
      <c r="C10" s="2" t="n">
        <v>2</v>
      </c>
      <c r="D10" s="2" t="n">
        <v>5</v>
      </c>
    </row>
    <row r="11" ht="15" customHeight="1">
      <c r="A11" s="2" t="n">
        <v>63421</v>
      </c>
      <c r="B11" s="2" t="inlineStr">
        <is>
          <t>URI 95 L         1 מגן מרפק</t>
        </is>
      </c>
      <c r="C11" s="2" t="n">
        <v>6</v>
      </c>
      <c r="D11" s="2" t="n">
        <v>14</v>
      </c>
    </row>
    <row r="12" ht="15" customHeight="1">
      <c r="A12" s="2" t="n">
        <v>60478</v>
      </c>
      <c r="B12" s="2" t="inlineStr">
        <is>
          <t>URI PD3461 10 סכינים למקצוע</t>
        </is>
      </c>
      <c r="C12" s="2" t="n">
        <v>2</v>
      </c>
      <c r="D12" s="2" t="n">
        <v>4</v>
      </c>
    </row>
    <row r="13" ht="15" customHeight="1">
      <c r="A13" s="2" t="n">
        <v>29977</v>
      </c>
      <c r="B13" s="2" t="inlineStr">
        <is>
          <t>URI 11TO XXL    1 חגורת בטן</t>
        </is>
      </c>
      <c r="C13" s="2" t="n">
        <v>1</v>
      </c>
      <c r="D13" s="2" t="n">
        <v>2</v>
      </c>
    </row>
    <row r="14" ht="15" customHeight="1">
      <c r="A14" s="2" t="n">
        <v>63407</v>
      </c>
      <c r="B14" s="2" t="inlineStr">
        <is>
          <t>URI 11U XL1 ח בטן אחר ניתוח</t>
        </is>
      </c>
      <c r="C14" s="2" t="n">
        <v>1</v>
      </c>
      <c r="D14" s="2" t="n">
        <v>2</v>
      </c>
    </row>
    <row r="15" ht="15" customHeight="1">
      <c r="A15" s="2" t="n">
        <v>74988</v>
      </c>
      <c r="B15" s="2" t="inlineStr">
        <is>
          <t>URI T78 M            1 תומך</t>
        </is>
      </c>
      <c r="C15" s="2" t="n">
        <v>1</v>
      </c>
      <c r="D15" s="2" t="n">
        <v>2</v>
      </c>
    </row>
    <row r="16" ht="15" customHeight="1">
      <c r="A16" s="2" t="n">
        <v>51568</v>
      </c>
      <c r="B16" s="2" t="inlineStr">
        <is>
          <t xml:space="preserve">                                       1 סד לאגודל</t>
        </is>
      </c>
      <c r="C16" s="2" t="n">
        <v>34</v>
      </c>
      <c r="D16" s="2" t="n">
        <v>62</v>
      </c>
    </row>
    <row r="17" ht="15" customHeight="1">
      <c r="A17" s="2" t="n">
        <v>67925</v>
      </c>
      <c r="B17" s="2" t="inlineStr">
        <is>
          <t>URI 35  S   1 מגן קרסול לבן</t>
        </is>
      </c>
      <c r="C17" s="2" t="n">
        <v>4</v>
      </c>
      <c r="D17" s="2" t="n">
        <v>7</v>
      </c>
    </row>
    <row r="18" ht="15" customHeight="1">
      <c r="A18" s="2" t="n">
        <v>74762</v>
      </c>
      <c r="B18" s="2" t="inlineStr">
        <is>
          <t>URI 34+ L      1 מגן לקרסול</t>
        </is>
      </c>
      <c r="C18" s="2" t="n">
        <v>6</v>
      </c>
      <c r="D18" s="2" t="n">
        <v>10</v>
      </c>
    </row>
    <row r="19" ht="15" customHeight="1">
      <c r="A19" s="2" t="n">
        <v>74672</v>
      </c>
      <c r="B19" s="2" t="inlineStr">
        <is>
          <t>URI 07AU XL  1 ח.גב איטלקית</t>
        </is>
      </c>
      <c r="C19" s="2" t="n">
        <v>3</v>
      </c>
      <c r="D19" s="2" t="n">
        <v>5</v>
      </c>
    </row>
    <row r="20" ht="15" customHeight="1">
      <c r="A20" s="2" t="n">
        <v>71087</v>
      </c>
      <c r="B20" s="2" t="inlineStr">
        <is>
          <t>URI 078L 1</t>
        </is>
      </c>
      <c r="C20" s="2" t="n">
        <v>10</v>
      </c>
      <c r="D20" s="2" t="n">
        <v>16</v>
      </c>
    </row>
    <row r="21" ht="15" customHeight="1">
      <c r="A21" s="2" t="n">
        <v>60484</v>
      </c>
      <c r="B21" s="2" t="inlineStr">
        <is>
          <t>URI 3641 1</t>
        </is>
      </c>
      <c r="C21" s="2" t="n">
        <v>14</v>
      </c>
      <c r="D21" s="2" t="n">
        <v>22</v>
      </c>
    </row>
    <row r="22" ht="15" customHeight="1">
      <c r="A22" s="2" t="n">
        <v>67957</v>
      </c>
      <c r="B22" s="2" t="inlineStr">
        <is>
          <t>URI 95 S         1 מגן מרפק</t>
        </is>
      </c>
      <c r="C22" s="2" t="n">
        <v>12</v>
      </c>
      <c r="D22" s="2" t="n">
        <v>18</v>
      </c>
    </row>
    <row r="23" ht="15" customHeight="1">
      <c r="A23" s="2" t="n">
        <v>63422</v>
      </c>
      <c r="B23" s="2" t="inlineStr">
        <is>
          <t>URI 95 XL        1 מגן מרפק</t>
        </is>
      </c>
      <c r="C23" s="2" t="n">
        <v>4</v>
      </c>
      <c r="D23" s="2" t="n">
        <v>6</v>
      </c>
    </row>
    <row r="24" ht="15" customHeight="1">
      <c r="A24" s="2" t="n">
        <v>67960</v>
      </c>
      <c r="B24" s="2" t="inlineStr">
        <is>
          <t>URI 85 S        1 מיתלה ליד</t>
        </is>
      </c>
      <c r="C24" s="2" t="n">
        <v>4</v>
      </c>
      <c r="D24" s="2" t="n">
        <v>6</v>
      </c>
    </row>
    <row r="25" ht="15" customHeight="1">
      <c r="A25" s="2" t="n">
        <v>75764</v>
      </c>
      <c r="B25" s="2" t="inlineStr">
        <is>
          <t>URI 16 XXL    1 חגורת הריון</t>
        </is>
      </c>
      <c r="C25" s="2" t="n">
        <v>2</v>
      </c>
      <c r="D25" s="2" t="n">
        <v>3</v>
      </c>
    </row>
    <row r="26" ht="15" customHeight="1">
      <c r="A26" s="2" t="n">
        <v>66485</v>
      </c>
      <c r="B26" s="2" t="inlineStr">
        <is>
          <t>URI 801 ICE GO  1 תחבושת אל</t>
        </is>
      </c>
      <c r="C26" s="2" t="n">
        <v>15</v>
      </c>
      <c r="D26" s="2" t="n">
        <v>22</v>
      </c>
    </row>
    <row r="27" ht="15" customHeight="1">
      <c r="A27" s="2" t="n">
        <v>52324</v>
      </c>
      <c r="B27" s="2" t="inlineStr">
        <is>
          <t>URI 078G M 1 חגורת גב אפורה</t>
        </is>
      </c>
      <c r="C27" s="2" t="n">
        <v>12</v>
      </c>
      <c r="D27" s="2" t="n">
        <v>17</v>
      </c>
    </row>
    <row r="28" ht="15" customHeight="1">
      <c r="A28" s="2" t="n">
        <v>85165</v>
      </c>
      <c r="B28" s="2" t="inlineStr">
        <is>
          <t>URI 307 XL  1 כרית סיל.לעקב</t>
        </is>
      </c>
      <c r="C28" s="2" t="n">
        <v>8</v>
      </c>
      <c r="D28" s="2" t="n">
        <v>11</v>
      </c>
    </row>
    <row r="29" ht="15" customHeight="1">
      <c r="A29" s="2" t="n">
        <v>60474</v>
      </c>
      <c r="B29" s="2" t="inlineStr">
        <is>
          <t>URI PD3421 פומפיה להסרת עור</t>
        </is>
      </c>
      <c r="C29" s="2" t="n">
        <v>12</v>
      </c>
      <c r="D29" s="2" t="n">
        <v>16</v>
      </c>
    </row>
    <row r="30" ht="15" customHeight="1">
      <c r="A30" s="2" t="n">
        <v>52328</v>
      </c>
      <c r="B30" s="2" t="inlineStr">
        <is>
          <t>URI 078G XL 1 חגורת גב אפור</t>
        </is>
      </c>
      <c r="C30" s="2" t="n">
        <v>17</v>
      </c>
      <c r="D30" s="2" t="n">
        <v>22</v>
      </c>
    </row>
    <row r="31" ht="15" customHeight="1">
      <c r="A31" s="2" t="n">
        <v>63416</v>
      </c>
      <c r="B31" s="2" t="inlineStr">
        <is>
          <t>URI 85 XL        1 מתלה ליד</t>
        </is>
      </c>
      <c r="C31" s="2" t="n">
        <v>7</v>
      </c>
      <c r="D31" s="2" t="n">
        <v>9</v>
      </c>
    </row>
    <row r="32" ht="15" customHeight="1">
      <c r="A32" s="2" t="n">
        <v>61344</v>
      </c>
      <c r="B32" s="2" t="inlineStr">
        <is>
          <t>URI 312 9*5   1 מדבקה גדולה</t>
        </is>
      </c>
      <c r="C32" s="2" t="n">
        <v>4</v>
      </c>
      <c r="D32" s="2" t="n">
        <v>5</v>
      </c>
    </row>
    <row r="33" ht="15" customHeight="1">
      <c r="A33" s="2" t="n">
        <v>31183</v>
      </c>
      <c r="B33" s="2" t="inlineStr">
        <is>
          <t>URI 370       1 רפידת נוחות</t>
        </is>
      </c>
      <c r="C33" s="2" t="n">
        <v>25</v>
      </c>
      <c r="D33" s="2" t="n">
        <v>30</v>
      </c>
    </row>
    <row r="34" ht="15" customHeight="1">
      <c r="A34" s="2" t="n">
        <v>80182</v>
      </c>
      <c r="B34" s="2" t="inlineStr">
        <is>
          <t>URI 3667        1 מגן בונין</t>
        </is>
      </c>
      <c r="C34" s="2" t="n">
        <v>10</v>
      </c>
      <c r="D34" s="2" t="n">
        <v>12</v>
      </c>
    </row>
    <row r="35" ht="15" customHeight="1">
      <c r="A35" s="2" t="n">
        <v>64635</v>
      </c>
      <c r="B35" s="2" t="inlineStr">
        <is>
          <t>URI 390B 43-46   1 גרבי כסף</t>
        </is>
      </c>
      <c r="C35" s="2" t="n">
        <v>5</v>
      </c>
      <c r="D35" s="2" t="n">
        <v>6</v>
      </c>
    </row>
    <row r="36" ht="15" customHeight="1">
      <c r="A36" s="2" t="n">
        <v>63368</v>
      </c>
      <c r="B36" s="2" t="inlineStr">
        <is>
          <t>URI 34 XL1 מגן קרסול ס.בעקב</t>
        </is>
      </c>
      <c r="C36" s="2" t="n">
        <v>13</v>
      </c>
      <c r="D36" s="2" t="n">
        <v>15</v>
      </c>
    </row>
    <row r="37" ht="15" customHeight="1">
      <c r="A37" s="2" t="n">
        <v>60476</v>
      </c>
      <c r="B37" s="2" t="inlineStr">
        <is>
          <t>URI PD344       1 אבן טבעית</t>
        </is>
      </c>
      <c r="C37" s="2" t="n">
        <v>19</v>
      </c>
      <c r="D37" s="2" t="n">
        <v>21</v>
      </c>
    </row>
    <row r="38" ht="15" customHeight="1">
      <c r="A38" s="2" t="n">
        <v>63415</v>
      </c>
      <c r="B38" s="2" t="inlineStr">
        <is>
          <t>URI 85 L         1 מתלה ליד</t>
        </is>
      </c>
      <c r="C38" s="2" t="n">
        <v>25</v>
      </c>
      <c r="D38" s="2" t="n">
        <v>27</v>
      </c>
    </row>
    <row r="39" ht="15" customHeight="1">
      <c r="A39" s="2" t="n">
        <v>52147</v>
      </c>
      <c r="B39" s="2" t="inlineStr">
        <is>
          <t>URI FC321  1 מלח אמבט לכף ר</t>
        </is>
      </c>
      <c r="C39" s="2" t="n">
        <v>13</v>
      </c>
      <c r="D39" s="2" t="n">
        <v>14</v>
      </c>
    </row>
    <row r="40" ht="15" customHeight="1">
      <c r="A40" s="2" t="n">
        <v>59659</v>
      </c>
      <c r="B40" s="2" t="inlineStr">
        <is>
          <t>URI 369 S-L 1</t>
        </is>
      </c>
      <c r="C40" s="2" t="n">
        <v>20</v>
      </c>
      <c r="D40" s="2" t="n">
        <v>21</v>
      </c>
    </row>
    <row r="41" ht="15" customHeight="1">
      <c r="A41" s="2" t="n">
        <v>59656</v>
      </c>
      <c r="B41" s="2" t="inlineStr">
        <is>
          <t>URI 362 L R 1</t>
        </is>
      </c>
      <c r="C41" s="2" t="n">
        <v>11</v>
      </c>
      <c r="D41" s="2" t="n">
        <v>11</v>
      </c>
    </row>
    <row r="42" ht="15" customHeight="1">
      <c r="A42" s="2" t="n">
        <v>55868</v>
      </c>
      <c r="B42" s="2" t="inlineStr">
        <is>
          <t>URI 078G XXL1 חגורת גב אפור</t>
        </is>
      </c>
      <c r="C42" s="2" t="n">
        <v>7</v>
      </c>
      <c r="D42" s="2" t="n">
        <v>7</v>
      </c>
    </row>
    <row r="43" ht="15" customHeight="1">
      <c r="A43" s="2" t="n">
        <v>63417</v>
      </c>
      <c r="B43" s="2" t="inlineStr">
        <is>
          <t>URI 87 M1 חגו.לקיבוע תמ.אמה</t>
        </is>
      </c>
      <c r="C43" s="2" t="n">
        <v>6</v>
      </c>
      <c r="D43" s="2" t="n">
        <v>6</v>
      </c>
    </row>
    <row r="44" ht="15" customHeight="1">
      <c r="A44" s="2" t="n">
        <v>74670</v>
      </c>
      <c r="B44" s="2" t="inlineStr">
        <is>
          <t>URI 07AU L   1 ח.גב איטלקית</t>
        </is>
      </c>
      <c r="C44" s="2" t="n">
        <v>3</v>
      </c>
      <c r="D44" s="2" t="n">
        <v>3</v>
      </c>
    </row>
    <row r="45" ht="15" customHeight="1">
      <c r="A45" s="2" t="n">
        <v>64636</v>
      </c>
      <c r="B45" s="2" t="inlineStr">
        <is>
          <t>URI 390G 35-38   1 גרבי כסף</t>
        </is>
      </c>
      <c r="C45" s="2" t="n">
        <v>2</v>
      </c>
      <c r="D45" s="2" t="n">
        <v>2</v>
      </c>
    </row>
    <row r="46" ht="15" customHeight="1">
      <c r="A46" s="2" t="n">
        <v>74688</v>
      </c>
      <c r="B46" s="2" t="inlineStr">
        <is>
          <t>URI 11 TO XL        1 ח בטן</t>
        </is>
      </c>
      <c r="C46" s="2" t="n">
        <v>2</v>
      </c>
      <c r="D46" s="2" t="n">
        <v>2</v>
      </c>
    </row>
    <row r="47" ht="15" customHeight="1">
      <c r="A47" s="2" t="n">
        <v>16237</v>
      </c>
      <c r="B47" s="2" t="inlineStr">
        <is>
          <t>394G-43-461 גרבי קיץ לסוכרת</t>
        </is>
      </c>
      <c r="C47" s="2" t="n">
        <v>1</v>
      </c>
      <c r="D47" s="2" t="n">
        <v>1</v>
      </c>
    </row>
    <row r="48" ht="15" customHeight="1">
      <c r="A48" s="2" t="n">
        <v>50055</v>
      </c>
      <c r="B48" s="2" t="inlineStr">
        <is>
          <t>URI 74    1 רצועה לשבר בעצם</t>
        </is>
      </c>
      <c r="C48" s="2" t="n">
        <v>1</v>
      </c>
      <c r="D48" s="2" t="n">
        <v>1</v>
      </c>
    </row>
    <row r="49" ht="15" customHeight="1">
      <c r="A49" s="2" t="n">
        <v>74671</v>
      </c>
      <c r="B49" s="2" t="inlineStr">
        <is>
          <t>URI 07AU M   1 ח גב איטלקית</t>
        </is>
      </c>
      <c r="C49" s="2" t="n">
        <v>1</v>
      </c>
      <c r="D49" s="2" t="n">
        <v>1</v>
      </c>
    </row>
    <row r="50" ht="15" customHeight="1">
      <c r="A50" s="2" t="n">
        <v>74687</v>
      </c>
      <c r="B50" s="2" t="inlineStr">
        <is>
          <t>URI 11 TO L         1 ח בטן</t>
        </is>
      </c>
      <c r="C50" s="2" t="n">
        <v>1</v>
      </c>
      <c r="D50" s="2" t="n">
        <v>1</v>
      </c>
    </row>
    <row r="51" ht="15" customHeight="1">
      <c r="A51" s="2" t="n">
        <v>74824</v>
      </c>
      <c r="B51" s="2" t="inlineStr">
        <is>
          <t>URI 59 L M 1 חגורת שבר צד ש</t>
        </is>
      </c>
      <c r="C51" s="2" t="n">
        <v>1</v>
      </c>
      <c r="D51" s="2" t="n">
        <v>1</v>
      </c>
    </row>
    <row r="52" ht="15" customHeight="1">
      <c r="A52" s="2" t="n">
        <v>74920</v>
      </c>
      <c r="B52" s="2" t="inlineStr">
        <is>
          <t>URI T33 XL      1 סד לקרסול</t>
        </is>
      </c>
      <c r="C52" s="2" t="n">
        <v>1</v>
      </c>
      <c r="D52" s="2" t="n">
        <v>1</v>
      </c>
    </row>
    <row r="53" ht="15" customHeight="1">
      <c r="A53" s="2" t="n">
        <v>74799</v>
      </c>
      <c r="B53" s="2" t="inlineStr">
        <is>
          <t>URI 45E L1 מגן ברך ארוך לבן</t>
        </is>
      </c>
      <c r="C53" s="2" t="n">
        <v>34</v>
      </c>
      <c r="D53" s="2" t="n">
        <v>32</v>
      </c>
    </row>
    <row r="54" ht="15" customHeight="1">
      <c r="A54" s="2" t="n">
        <v>8616</v>
      </c>
      <c r="B54" s="2" t="inlineStr">
        <is>
          <t>URI 3623 1 כרית ליישור אצבע</t>
        </is>
      </c>
      <c r="C54" s="2" t="n">
        <v>13</v>
      </c>
      <c r="D54" s="2" t="n">
        <v>12</v>
      </c>
    </row>
    <row r="55" ht="15" customHeight="1">
      <c r="A55" s="2" t="n">
        <v>21003</v>
      </c>
      <c r="B55" s="2" t="inlineStr">
        <is>
          <t>URI 45 XXL        1 מגן ברך</t>
        </is>
      </c>
      <c r="C55" s="2" t="n">
        <v>12</v>
      </c>
      <c r="D55" s="2" t="n">
        <v>11</v>
      </c>
    </row>
    <row r="56" ht="15" customHeight="1">
      <c r="A56" s="2" t="n">
        <v>71088</v>
      </c>
      <c r="B56" s="2" t="inlineStr">
        <is>
          <t>URI 078XL 1</t>
        </is>
      </c>
      <c r="C56" s="2" t="n">
        <v>12</v>
      </c>
      <c r="D56" s="2" t="n">
        <v>11</v>
      </c>
    </row>
    <row r="57" ht="15" customHeight="1">
      <c r="A57" s="2" t="n">
        <v>51567</v>
      </c>
      <c r="B57" s="2" t="inlineStr">
        <is>
          <t xml:space="preserve">                                   1 סד יד דו צדדי</t>
        </is>
      </c>
      <c r="C57" s="2" t="n">
        <v>153</v>
      </c>
      <c r="D57" s="2" t="n">
        <v>136</v>
      </c>
    </row>
    <row r="58" ht="15" customHeight="1">
      <c r="A58" s="2" t="n">
        <v>63361</v>
      </c>
      <c r="B58" s="2" t="inlineStr">
        <is>
          <t>URI 45 XL         1 מגן ברך</t>
        </is>
      </c>
      <c r="C58" s="2" t="n">
        <v>24</v>
      </c>
      <c r="D58" s="2" t="n">
        <v>21</v>
      </c>
    </row>
    <row r="59" ht="15" customHeight="1">
      <c r="A59" s="2" t="n">
        <v>42964</v>
      </c>
      <c r="B59" s="2" t="inlineStr">
        <is>
          <t>URI 45E  1 מגן ברך ארוך לבן</t>
        </is>
      </c>
      <c r="C59" s="2" t="n">
        <v>8</v>
      </c>
      <c r="D59" s="2" t="n">
        <v>7</v>
      </c>
    </row>
    <row r="60" ht="15" customHeight="1">
      <c r="A60" s="2" t="n">
        <v>63414</v>
      </c>
      <c r="B60" s="2" t="inlineStr">
        <is>
          <t>URI 85 M         1 מתלה ליד</t>
        </is>
      </c>
      <c r="C60" s="2" t="n">
        <v>23</v>
      </c>
      <c r="D60" s="2" t="n">
        <v>20</v>
      </c>
    </row>
    <row r="61" ht="15" customHeight="1">
      <c r="A61" s="2" t="n">
        <v>63360</v>
      </c>
      <c r="B61" s="2" t="inlineStr">
        <is>
          <t>URI 45 L          1 מגן ברךBOX</t>
        </is>
      </c>
      <c r="C61" s="2" t="n">
        <v>41</v>
      </c>
      <c r="D61" s="2" t="n">
        <v>35</v>
      </c>
    </row>
    <row r="62" ht="15" customHeight="1">
      <c r="A62" s="2" t="n">
        <v>47877</v>
      </c>
      <c r="B62" s="2" t="inlineStr">
        <is>
          <t>URI 21        1 חבק יד ארוך</t>
        </is>
      </c>
      <c r="C62" s="2" t="n">
        <v>13</v>
      </c>
      <c r="D62" s="2" t="n">
        <v>11</v>
      </c>
    </row>
    <row r="63" ht="15" customHeight="1">
      <c r="A63" s="2" t="n">
        <v>65243</v>
      </c>
      <c r="B63" s="2" t="inlineStr">
        <is>
          <t>URI XL35    1 מגן קרסול לבן</t>
        </is>
      </c>
      <c r="C63" s="2" t="n">
        <v>13</v>
      </c>
      <c r="D63" s="2" t="n">
        <v>11</v>
      </c>
    </row>
    <row r="64" ht="15" customHeight="1">
      <c r="A64" s="2" t="n">
        <v>76452</v>
      </c>
      <c r="B64" s="2" t="inlineStr">
        <is>
          <t xml:space="preserve">                             1 מ.בוניון+מפריד אצבע</t>
        </is>
      </c>
      <c r="C64" s="2" t="n">
        <v>19</v>
      </c>
      <c r="D64" s="2" t="n">
        <v>16</v>
      </c>
    </row>
    <row r="65" ht="15" customHeight="1">
      <c r="A65" s="2" t="n">
        <v>60471</v>
      </c>
      <c r="B65" s="2" t="inlineStr">
        <is>
          <t>URI 365 XL    1 טבעת אלסטית</t>
        </is>
      </c>
      <c r="C65" s="2" t="n">
        <v>12</v>
      </c>
      <c r="D65" s="2" t="n">
        <v>10</v>
      </c>
    </row>
    <row r="66" ht="15" customHeight="1">
      <c r="A66" s="2" t="n">
        <v>74710</v>
      </c>
      <c r="B66" s="2" t="inlineStr">
        <is>
          <t>URI 21 XL     1 חבק יד ארוך</t>
        </is>
      </c>
      <c r="C66" s="2" t="n">
        <v>12</v>
      </c>
      <c r="D66" s="2" t="n">
        <v>10</v>
      </c>
    </row>
    <row r="67" ht="15" customHeight="1">
      <c r="A67" s="2" t="n">
        <v>25386</v>
      </c>
      <c r="B67" s="2" t="inlineStr">
        <is>
          <t>URI 3666  1 מפריד הלקס+כרית</t>
        </is>
      </c>
      <c r="C67" s="2" t="n">
        <v>6</v>
      </c>
      <c r="D67" s="2" t="n">
        <v>5</v>
      </c>
    </row>
    <row r="68" ht="15" customHeight="1">
      <c r="A68" s="2" t="n">
        <v>52323</v>
      </c>
      <c r="B68" s="2" t="inlineStr">
        <is>
          <t>URI 078G L 1 חגורת גב אפורה</t>
        </is>
      </c>
      <c r="C68" s="2" t="n">
        <v>29</v>
      </c>
      <c r="D68" s="2" t="n">
        <v>24</v>
      </c>
    </row>
    <row r="69" ht="15" customHeight="1">
      <c r="A69" s="2" t="n">
        <v>59679</v>
      </c>
      <c r="B69" s="2" t="inlineStr">
        <is>
          <t>URI 364 S M 1</t>
        </is>
      </c>
      <c r="C69" s="2" t="n">
        <v>61</v>
      </c>
      <c r="D69" s="2" t="n">
        <v>50</v>
      </c>
    </row>
    <row r="70" ht="15" customHeight="1">
      <c r="A70" s="2" t="n">
        <v>31188</v>
      </c>
      <c r="B70" s="2" t="inlineStr">
        <is>
          <t>URI 372    1 רפידת אנטי ריח</t>
        </is>
      </c>
      <c r="C70" s="2" t="n">
        <v>49</v>
      </c>
      <c r="D70" s="2" t="n">
        <v>40</v>
      </c>
    </row>
    <row r="71" ht="15" customHeight="1">
      <c r="A71" s="2" t="n">
        <v>74682</v>
      </c>
      <c r="B71" s="2" t="inlineStr">
        <is>
          <t>URI 11 L    1 ח.בטן אורירית</t>
        </is>
      </c>
      <c r="C71" s="2" t="n">
        <v>5</v>
      </c>
      <c r="D71" s="2" t="n">
        <v>4</v>
      </c>
    </row>
    <row r="72" ht="15" customHeight="1">
      <c r="A72" s="2" t="n">
        <v>88476</v>
      </c>
      <c r="B72" s="2" t="inlineStr">
        <is>
          <t>URI LF373 0 1 ריפוד סיליקון</t>
        </is>
      </c>
      <c r="C72" s="2" t="n">
        <v>5</v>
      </c>
      <c r="D72" s="2" t="n">
        <v>4</v>
      </c>
    </row>
    <row r="73" ht="15" customHeight="1">
      <c r="A73" s="2" t="n">
        <v>60472</v>
      </c>
      <c r="B73" s="2" t="inlineStr">
        <is>
          <t>URI PD340  1 קוצץ ציפורניים</t>
        </is>
      </c>
      <c r="C73" s="2" t="n">
        <v>39</v>
      </c>
      <c r="D73" s="2" t="n">
        <v>30</v>
      </c>
    </row>
    <row r="74" ht="15" customHeight="1">
      <c r="A74" s="2" t="n">
        <v>23008</v>
      </c>
      <c r="B74" s="2" t="inlineStr">
        <is>
          <t>URI 364 XL 1</t>
        </is>
      </c>
      <c r="C74" s="2" t="n">
        <v>34</v>
      </c>
      <c r="D74" s="2" t="n">
        <v>26</v>
      </c>
    </row>
    <row r="75" ht="15" customHeight="1">
      <c r="A75" s="2" t="n">
        <v>65242</v>
      </c>
      <c r="B75" s="2" t="inlineStr">
        <is>
          <t>URI L35     1 מגן קרסול לבן</t>
        </is>
      </c>
      <c r="C75" s="2" t="n">
        <v>24</v>
      </c>
      <c r="D75" s="2" t="n">
        <v>18</v>
      </c>
    </row>
    <row r="76" ht="15" customHeight="1">
      <c r="A76" s="2" t="n">
        <v>59657</v>
      </c>
      <c r="B76" s="2" t="inlineStr">
        <is>
          <t>URI 363 L R 1</t>
        </is>
      </c>
      <c r="C76" s="2" t="n">
        <v>8</v>
      </c>
      <c r="D76" s="2" t="n">
        <v>6</v>
      </c>
    </row>
    <row r="77" ht="15" customHeight="1">
      <c r="A77" s="2" t="n">
        <v>63366</v>
      </c>
      <c r="B77" s="2" t="inlineStr">
        <is>
          <t>URI 34 M 1 מגן קרסול ס.בעקב</t>
        </is>
      </c>
      <c r="C77" s="2" t="n">
        <v>26</v>
      </c>
      <c r="D77" s="2" t="n">
        <v>19</v>
      </c>
    </row>
    <row r="78" ht="15" customHeight="1">
      <c r="A78" s="2" t="n">
        <v>74708</v>
      </c>
      <c r="B78" s="2" t="inlineStr">
        <is>
          <t>URI 21 L      1 חבק יד ארוך</t>
        </is>
      </c>
      <c r="C78" s="2" t="n">
        <v>26</v>
      </c>
      <c r="D78" s="2" t="n">
        <v>19</v>
      </c>
    </row>
    <row r="79" ht="15" customHeight="1">
      <c r="A79" s="2" t="n">
        <v>16211</v>
      </c>
      <c r="B79" s="2" t="inlineStr">
        <is>
          <t>394B-35-381 גרבי קיץ לסוכרת</t>
        </is>
      </c>
      <c r="C79" s="2" t="n">
        <v>7</v>
      </c>
      <c r="D79" s="2" t="n">
        <v>5</v>
      </c>
    </row>
    <row r="80" ht="15" customHeight="1">
      <c r="A80" s="2" t="n">
        <v>19082</v>
      </c>
      <c r="B80" s="2" t="inlineStr">
        <is>
          <t>URI 34 S 1 מגן קרסול ס בעקב</t>
        </is>
      </c>
      <c r="C80" s="2" t="n">
        <v>7</v>
      </c>
      <c r="D80" s="2" t="n">
        <v>5</v>
      </c>
    </row>
    <row r="81" ht="15" customHeight="1">
      <c r="A81" s="2" t="n">
        <v>65241</v>
      </c>
      <c r="B81" s="2" t="inlineStr">
        <is>
          <t>URI M35     1 מגן קרסול לבן</t>
        </is>
      </c>
      <c r="C81" s="2" t="n">
        <v>24</v>
      </c>
      <c r="D81" s="2" t="n">
        <v>17</v>
      </c>
    </row>
    <row r="82" ht="15" customHeight="1">
      <c r="A82" s="2" t="n">
        <v>74800</v>
      </c>
      <c r="B82" s="2" t="inlineStr">
        <is>
          <t>URI 45E M    1 מגן ברך ארוך</t>
        </is>
      </c>
      <c r="C82" s="2" t="n">
        <v>30</v>
      </c>
      <c r="D82" s="2" t="n">
        <v>21</v>
      </c>
    </row>
    <row r="83" ht="15" customHeight="1">
      <c r="A83" s="2" t="n">
        <v>21004</v>
      </c>
      <c r="B83" s="2" t="inlineStr">
        <is>
          <t>URI 45E XXL  1 מגן ברך ארוך</t>
        </is>
      </c>
      <c r="C83" s="2" t="n">
        <v>10</v>
      </c>
      <c r="D83" s="2" t="n">
        <v>7</v>
      </c>
    </row>
    <row r="84" ht="15" customHeight="1">
      <c r="A84" s="2" t="n">
        <v>74801</v>
      </c>
      <c r="B84" s="2" t="inlineStr">
        <is>
          <t>URI 45E XL   1 מגן ברך ארוך</t>
        </is>
      </c>
      <c r="C84" s="2" t="n">
        <v>22</v>
      </c>
      <c r="D84" s="2" t="n">
        <v>15</v>
      </c>
    </row>
    <row r="85" ht="15" customHeight="1">
      <c r="A85" s="2" t="n">
        <v>74763</v>
      </c>
      <c r="B85" s="2" t="inlineStr">
        <is>
          <t>URI 34+ M       1 מגן קרסול</t>
        </is>
      </c>
      <c r="C85" s="2" t="n">
        <v>6</v>
      </c>
      <c r="D85" s="2" t="n">
        <v>4</v>
      </c>
    </row>
    <row r="86" ht="15" customHeight="1">
      <c r="A86" s="2" t="n">
        <v>75762</v>
      </c>
      <c r="B86" s="2" t="inlineStr">
        <is>
          <t>URI 16 L-XL   1 חגורת הריון</t>
        </is>
      </c>
      <c r="C86" s="2" t="n">
        <v>6</v>
      </c>
      <c r="D86" s="2" t="n">
        <v>4</v>
      </c>
    </row>
    <row r="87" ht="15" customHeight="1">
      <c r="A87" s="2" t="n">
        <v>19083</v>
      </c>
      <c r="B87" s="2" t="inlineStr">
        <is>
          <t>URI 40    1 רצועת פיקה לברך</t>
        </is>
      </c>
      <c r="C87" s="2" t="n">
        <v>3</v>
      </c>
      <c r="D87" s="2" t="n">
        <v>2</v>
      </c>
    </row>
    <row r="88" ht="15" customHeight="1">
      <c r="A88" s="2" t="n">
        <v>63449</v>
      </c>
      <c r="B88" s="2" t="inlineStr">
        <is>
          <t>URI 40221 רצועה לפיקה +כרית</t>
        </is>
      </c>
      <c r="C88" s="2" t="n">
        <v>8</v>
      </c>
      <c r="D88" s="2" t="n">
        <v>5</v>
      </c>
    </row>
    <row r="89" ht="15" customHeight="1">
      <c r="A89" s="2" t="n">
        <v>71204</v>
      </c>
      <c r="B89" s="2" t="inlineStr">
        <is>
          <t>URI 3655   1 שרוול מסיליקון</t>
        </is>
      </c>
      <c r="C89" s="2" t="n">
        <v>98</v>
      </c>
      <c r="D89" s="2" t="n">
        <v>60</v>
      </c>
    </row>
    <row r="90" ht="15" customHeight="1">
      <c r="A90" s="2" t="n">
        <v>74709</v>
      </c>
      <c r="B90" s="2" t="inlineStr">
        <is>
          <t>URI 21 M      1 חבק יד ארוך</t>
        </is>
      </c>
      <c r="C90" s="2" t="n">
        <v>40</v>
      </c>
      <c r="D90" s="2" t="n">
        <v>24</v>
      </c>
    </row>
    <row r="91" ht="15" customHeight="1">
      <c r="A91" s="2" t="n">
        <v>18559</v>
      </c>
      <c r="B91" s="2" t="inlineStr">
        <is>
          <t>URI 8200    1 כרית חום וקור</t>
        </is>
      </c>
      <c r="C91" s="2" t="n">
        <v>5</v>
      </c>
      <c r="D91" s="2" t="n">
        <v>3</v>
      </c>
    </row>
    <row r="92" ht="15" customHeight="1">
      <c r="A92" s="2" t="n">
        <v>63359</v>
      </c>
      <c r="B92" s="2" t="inlineStr">
        <is>
          <t>URI 45 M          1 מגן ברך</t>
        </is>
      </c>
      <c r="C92" s="2" t="n">
        <v>49</v>
      </c>
      <c r="D92" s="2" t="n">
        <v>29</v>
      </c>
    </row>
    <row r="93" ht="15" customHeight="1">
      <c r="A93" s="2" t="n">
        <v>74764</v>
      </c>
      <c r="B93" s="2" t="inlineStr">
        <is>
          <t>URI 34+ XL      1 מגן קרסול</t>
        </is>
      </c>
      <c r="C93" s="2" t="n">
        <v>7</v>
      </c>
      <c r="D93" s="2" t="n">
        <v>4</v>
      </c>
    </row>
    <row r="94" ht="15" customHeight="1">
      <c r="A94" s="2" t="n">
        <v>61962</v>
      </c>
      <c r="B94" s="2" t="inlineStr">
        <is>
          <t>URI 3677 1 מדבקה לשחרור לחץ</t>
        </is>
      </c>
      <c r="C94" s="2" t="n">
        <v>11</v>
      </c>
      <c r="D94" s="2" t="n">
        <v>6</v>
      </c>
    </row>
    <row r="95" ht="15" customHeight="1">
      <c r="A95" s="2" t="n">
        <v>9771</v>
      </c>
      <c r="B95" s="2" t="inlineStr">
        <is>
          <t>URI 307 M 1 זוג עקב סיל+נ כ</t>
        </is>
      </c>
      <c r="C95" s="2" t="n">
        <v>24</v>
      </c>
      <c r="D95" s="2" t="n">
        <v>13</v>
      </c>
    </row>
    <row r="96" ht="15" customHeight="1">
      <c r="A96" s="2" t="n">
        <v>31190</v>
      </c>
      <c r="B96" s="2" t="inlineStr">
        <is>
          <t>URI 374 1 רפידה בולמת זעזוע</t>
        </is>
      </c>
      <c r="C96" s="2" t="n">
        <v>19</v>
      </c>
      <c r="D96" s="2" t="n">
        <v>10</v>
      </c>
    </row>
    <row r="97" ht="15" customHeight="1">
      <c r="A97" s="2" t="n">
        <v>63420</v>
      </c>
      <c r="B97" s="2" t="inlineStr">
        <is>
          <t>URI 95 M         1 מגן מרפק</t>
        </is>
      </c>
      <c r="C97" s="2" t="n">
        <v>19</v>
      </c>
      <c r="D97" s="2" t="n">
        <v>10</v>
      </c>
    </row>
    <row r="98" ht="15" customHeight="1">
      <c r="A98" s="2" t="n">
        <v>8618</v>
      </c>
      <c r="B98" s="2" t="inlineStr">
        <is>
          <t>URI 311         1 מדבקת ג'ל</t>
        </is>
      </c>
      <c r="C98" s="2" t="n">
        <v>21</v>
      </c>
      <c r="D98" s="2" t="n">
        <v>11</v>
      </c>
    </row>
    <row r="99" ht="15" customHeight="1">
      <c r="A99" s="2" t="n">
        <v>63367</v>
      </c>
      <c r="B99" s="2" t="inlineStr">
        <is>
          <t>URI 34 L 1 מגן קרסול ס.בעקב</t>
        </is>
      </c>
      <c r="C99" s="2" t="n">
        <v>32</v>
      </c>
      <c r="D99" s="2" t="n">
        <v>16</v>
      </c>
    </row>
    <row r="100" ht="15" customHeight="1">
      <c r="A100" s="2" t="n">
        <v>9772</v>
      </c>
      <c r="B100" s="2" t="inlineStr">
        <is>
          <t>URI 307 L 1 זוג עקב סיל+נ כ</t>
        </is>
      </c>
      <c r="C100" s="2" t="n">
        <v>20</v>
      </c>
      <c r="D100" s="2" t="n">
        <v>10</v>
      </c>
    </row>
    <row r="101" ht="15" customHeight="1">
      <c r="A101" s="2" t="n">
        <v>16239</v>
      </c>
      <c r="B101" s="2" t="inlineStr">
        <is>
          <t>394W-35-381 גרבי קיץ לסוכרת</t>
        </is>
      </c>
      <c r="C101" s="2" t="n">
        <v>8</v>
      </c>
      <c r="D101" s="2" t="n">
        <v>4</v>
      </c>
    </row>
    <row r="102" ht="15" customHeight="1">
      <c r="A102" s="2" t="n">
        <v>76453</v>
      </c>
      <c r="B102" s="2" t="inlineStr">
        <is>
          <t>URI 3675 1 מגן זרת מסיליקון</t>
        </is>
      </c>
      <c r="C102" s="2" t="n">
        <v>6</v>
      </c>
      <c r="D102" s="2" t="n">
        <v>3</v>
      </c>
    </row>
    <row r="103" ht="15" customHeight="1">
      <c r="A103" s="2" t="n">
        <v>16244</v>
      </c>
      <c r="B103" s="2" t="inlineStr">
        <is>
          <t>394W-39-421 גרבי קיץ לסוכרת</t>
        </is>
      </c>
      <c r="C103" s="2" t="n">
        <v>4</v>
      </c>
      <c r="D103" s="2" t="n">
        <v>2</v>
      </c>
    </row>
    <row r="104" ht="15" customHeight="1">
      <c r="A104" s="2" t="n">
        <v>16214</v>
      </c>
      <c r="B104" s="2" t="inlineStr">
        <is>
          <t>394-G-35-31 גרבי קיץ לסוכרת</t>
        </is>
      </c>
      <c r="C104" s="2" t="n">
        <v>2</v>
      </c>
      <c r="D104" s="2" t="n">
        <v>1</v>
      </c>
    </row>
    <row r="105" ht="15" customHeight="1">
      <c r="A105" s="2" t="n">
        <v>64637</v>
      </c>
      <c r="B105" s="2" t="inlineStr">
        <is>
          <t>URI 390G 39-42   1 גרבי כסף</t>
        </is>
      </c>
      <c r="C105" s="2" t="n">
        <v>2</v>
      </c>
      <c r="D105" s="2" t="n">
        <v>1</v>
      </c>
    </row>
    <row r="106" ht="15" customHeight="1">
      <c r="A106" s="2" t="n">
        <v>74807</v>
      </c>
      <c r="B106" s="2" t="inlineStr">
        <is>
          <t>URI 49 XL         1 מגן ירך</t>
        </is>
      </c>
      <c r="C106" s="2" t="n">
        <v>2</v>
      </c>
      <c r="D106" s="2" t="n">
        <v>1</v>
      </c>
    </row>
    <row r="107" ht="15" customHeight="1">
      <c r="A107" s="2" t="n">
        <v>88477</v>
      </c>
      <c r="B107" s="2" t="inlineStr">
        <is>
          <t>URI LF374 0 1 ריפוד סיליקון</t>
        </is>
      </c>
      <c r="C107" s="2" t="n">
        <v>2</v>
      </c>
      <c r="D107" s="2" t="n">
        <v>1</v>
      </c>
    </row>
    <row r="108" ht="15" customHeight="1">
      <c r="A108" s="2" t="n">
        <v>83668</v>
      </c>
      <c r="B108" s="2" t="inlineStr">
        <is>
          <t>URI FC335    1 טלק לכף הרגל</t>
        </is>
      </c>
      <c r="C108" s="2" t="n">
        <v>101</v>
      </c>
      <c r="D108" s="2" t="n">
        <v>49</v>
      </c>
    </row>
    <row r="109" ht="15" customHeight="1">
      <c r="A109" s="2" t="n">
        <v>16213</v>
      </c>
      <c r="B109" s="2" t="inlineStr">
        <is>
          <t>394B-43-461 גרבי קיץ לסוכרת</t>
        </is>
      </c>
      <c r="C109" s="2" t="n">
        <v>17</v>
      </c>
      <c r="D109" s="2" t="n">
        <v>8</v>
      </c>
    </row>
    <row r="110" ht="15" customHeight="1">
      <c r="A110" s="2" t="n">
        <v>60485</v>
      </c>
      <c r="B110" s="2" t="inlineStr">
        <is>
          <t>URI 369 XL 1</t>
        </is>
      </c>
      <c r="C110" s="2" t="n">
        <v>30</v>
      </c>
      <c r="D110" s="2" t="n">
        <v>14</v>
      </c>
    </row>
    <row r="111" ht="15" customHeight="1">
      <c r="A111" s="2" t="n">
        <v>16212</v>
      </c>
      <c r="B111" s="2" t="inlineStr">
        <is>
          <t>394B-39-421 גרבי קיץ לסוכרת</t>
        </is>
      </c>
      <c r="C111" s="2" t="n">
        <v>13</v>
      </c>
      <c r="D111" s="2" t="n">
        <v>6</v>
      </c>
    </row>
    <row r="112" ht="15" customHeight="1">
      <c r="A112" s="2" t="n">
        <v>80668</v>
      </c>
      <c r="B112" s="2" t="inlineStr">
        <is>
          <t>URI 320 BLISTER PLASTER 1</t>
        </is>
      </c>
      <c r="C112" s="2" t="n">
        <v>16</v>
      </c>
      <c r="D112" s="2" t="n">
        <v>7</v>
      </c>
    </row>
    <row r="113" ht="15" customHeight="1">
      <c r="A113" s="2" t="n">
        <v>63418</v>
      </c>
      <c r="B113" s="2" t="inlineStr">
        <is>
          <t>URI 87 L1 חגו.לקיבוע תמ.אמה</t>
        </is>
      </c>
      <c r="C113" s="2" t="n">
        <v>7</v>
      </c>
      <c r="D113" s="2" t="n">
        <v>3</v>
      </c>
    </row>
    <row r="114" ht="15" customHeight="1">
      <c r="A114" s="2" t="n">
        <v>59694</v>
      </c>
      <c r="B114" s="2" t="inlineStr">
        <is>
          <t>URI 365 S-L   1 טבעת אלסטית</t>
        </is>
      </c>
      <c r="C114" s="2" t="n">
        <v>47</v>
      </c>
      <c r="D114" s="2" t="n">
        <v>20</v>
      </c>
    </row>
    <row r="115" ht="15" customHeight="1">
      <c r="A115" s="2" t="n">
        <v>24612</v>
      </c>
      <c r="B115" s="2" t="inlineStr">
        <is>
          <t>URI AC28        1 סד לאגודל</t>
        </is>
      </c>
      <c r="C115" s="2" t="n">
        <v>53</v>
      </c>
      <c r="D115" s="2" t="n">
        <v>22</v>
      </c>
    </row>
    <row r="116" ht="15" customHeight="1">
      <c r="A116" s="2" t="n">
        <v>85338</v>
      </c>
      <c r="B116" s="2" t="inlineStr">
        <is>
          <t>URI 302W 0     1 מדרס לאישה</t>
        </is>
      </c>
      <c r="C116" s="2" t="n">
        <v>17</v>
      </c>
      <c r="D116" s="2" t="n">
        <v>7</v>
      </c>
    </row>
    <row r="117" ht="15" customHeight="1">
      <c r="A117" s="2" t="n">
        <v>49772</v>
      </c>
      <c r="B117" s="2" t="inlineStr">
        <is>
          <t>THERMOFLEX 90  1 רצועת טניס</t>
        </is>
      </c>
      <c r="C117" s="2" t="n">
        <v>10</v>
      </c>
      <c r="D117" s="2" t="n">
        <v>4</v>
      </c>
    </row>
    <row r="118" ht="15" customHeight="1">
      <c r="A118" s="2" t="n">
        <v>67935</v>
      </c>
      <c r="B118" s="2" t="inlineStr">
        <is>
          <t>URI 45 S          1 מגן ברך</t>
        </is>
      </c>
      <c r="C118" s="2" t="n">
        <v>10</v>
      </c>
      <c r="D118" s="2" t="n">
        <v>4</v>
      </c>
    </row>
    <row r="119" ht="15" customHeight="1">
      <c r="A119" s="2" t="n">
        <v>35339</v>
      </c>
      <c r="B119" s="2" t="inlineStr">
        <is>
          <t>URI 307 S 1 זוג עקב סיל+נ כ</t>
        </is>
      </c>
      <c r="C119" s="2" t="n">
        <v>5</v>
      </c>
      <c r="D119" s="2" t="n">
        <v>2</v>
      </c>
    </row>
    <row r="120" ht="15" customHeight="1">
      <c r="A120" s="2" t="n">
        <v>61961</v>
      </c>
      <c r="B120" s="2" t="inlineStr">
        <is>
          <t>URI 366S 1 מדבקה לשחרור לחץ</t>
        </is>
      </c>
      <c r="C120" s="2" t="n">
        <v>24</v>
      </c>
      <c r="D120" s="2" t="n">
        <v>8</v>
      </c>
    </row>
    <row r="121" ht="15" customHeight="1">
      <c r="A121" s="2" t="n">
        <v>71683</v>
      </c>
      <c r="B121" s="2" t="inlineStr">
        <is>
          <t>URI S 3622 1 מדבקה לשחרור ל</t>
        </is>
      </c>
      <c r="C121" s="2" t="n">
        <v>6</v>
      </c>
      <c r="D121" s="2" t="n">
        <v>2</v>
      </c>
    </row>
    <row r="122" ht="15" customHeight="1">
      <c r="A122" s="2" t="n">
        <v>75763</v>
      </c>
      <c r="B122" s="2" t="inlineStr">
        <is>
          <t>URI 16 S-M    1 חגורת הריון</t>
        </is>
      </c>
      <c r="C122" s="2" t="n">
        <v>6</v>
      </c>
      <c r="D122" s="2" t="n">
        <v>2</v>
      </c>
    </row>
    <row r="123" ht="15" customHeight="1">
      <c r="A123" s="2" t="n">
        <v>65743</v>
      </c>
      <c r="B123" s="2" t="inlineStr">
        <is>
          <t>URI LF 360   1 מדרס מטטרזלי</t>
        </is>
      </c>
      <c r="C123" s="2" t="n">
        <v>3</v>
      </c>
      <c r="D123" s="2" t="n">
        <v>1</v>
      </c>
    </row>
    <row r="124" ht="15" customHeight="1">
      <c r="A124" s="2" t="n">
        <v>67895</v>
      </c>
      <c r="B124" s="2" t="inlineStr">
        <is>
          <t>URI 11      1 ח בטן אורירית</t>
        </is>
      </c>
      <c r="C124" s="2" t="n">
        <v>3</v>
      </c>
      <c r="D124" s="2" t="n">
        <v>1</v>
      </c>
    </row>
    <row r="125" ht="15" customHeight="1">
      <c r="A125" s="2" t="n">
        <v>74684</v>
      </c>
      <c r="B125" s="2" t="inlineStr">
        <is>
          <t>URI 11 XL   1 ח.בטן אורירית</t>
        </is>
      </c>
      <c r="C125" s="2" t="n">
        <v>13</v>
      </c>
      <c r="D125" s="2" t="n">
        <v>4</v>
      </c>
    </row>
    <row r="126" ht="15" customHeight="1">
      <c r="A126" s="2" t="n">
        <v>79327</v>
      </c>
      <c r="B126" s="2" t="inlineStr">
        <is>
          <t>URI 3611       '1 כרית בנדג</t>
        </is>
      </c>
      <c r="C126" s="2" t="n">
        <v>13</v>
      </c>
      <c r="D126" s="2" t="n">
        <v>4</v>
      </c>
    </row>
    <row r="127" ht="15" customHeight="1">
      <c r="A127" s="2" t="n">
        <v>29984</v>
      </c>
      <c r="B127" s="2" t="inlineStr">
        <is>
          <t>URI 95 XS        1 מגן מרפק</t>
        </is>
      </c>
      <c r="C127" s="2" t="n">
        <v>5</v>
      </c>
      <c r="D127" s="2" t="n">
        <v>1</v>
      </c>
    </row>
    <row r="128" ht="15" customHeight="1">
      <c r="A128" s="2" t="n">
        <v>34874</v>
      </c>
      <c r="B128" s="2" t="inlineStr">
        <is>
          <t>URI 333         1 סד לקרסול</t>
        </is>
      </c>
      <c r="C128" s="2" t="n">
        <v>5</v>
      </c>
      <c r="D128" s="2" t="n">
        <v>1</v>
      </c>
    </row>
    <row r="129" ht="15" customHeight="1">
      <c r="A129" s="2" t="n">
        <v>88474</v>
      </c>
      <c r="B129" s="2" t="inlineStr">
        <is>
          <t>URI LF370 0 1 ריפוד סיליקון</t>
        </is>
      </c>
      <c r="C129" s="2" t="n">
        <v>5</v>
      </c>
      <c r="D129" s="2" t="n">
        <v>1</v>
      </c>
    </row>
    <row r="130" ht="15" customHeight="1">
      <c r="A130" s="2" t="n">
        <v>16217</v>
      </c>
      <c r="B130" s="2" t="inlineStr">
        <is>
          <t>394G-39-421 גרבי קיץ לסוכרת</t>
        </is>
      </c>
      <c r="C130" s="2" t="n">
        <v>11</v>
      </c>
      <c r="D130" s="2" t="n">
        <v>2</v>
      </c>
    </row>
    <row r="131" ht="15" customHeight="1">
      <c r="A131" s="2" t="n">
        <v>20998</v>
      </c>
      <c r="B131" s="2" t="inlineStr">
        <is>
          <t>URI 11 XXL  1 ח.בטן אורירית</t>
        </is>
      </c>
      <c r="C131" s="2" t="n">
        <v>7</v>
      </c>
      <c r="D131" s="2" t="n">
        <v>1</v>
      </c>
    </row>
    <row r="132" ht="15" customHeight="1">
      <c r="A132" s="2" t="n">
        <v>67385</v>
      </c>
      <c r="B132" s="2" t="inlineStr">
        <is>
          <t>URI 302M 0  1 מדרס ג'ל לגבר</t>
        </is>
      </c>
      <c r="C132" s="2" t="n">
        <v>33</v>
      </c>
      <c r="D132" s="2" t="n">
        <v>4</v>
      </c>
    </row>
    <row r="133" ht="15" customHeight="1">
      <c r="A133" s="2" t="n">
        <v>29981</v>
      </c>
      <c r="B133" s="2" t="inlineStr">
        <is>
          <t>URI 35 XXL  1 מגן קרסול לבן</t>
        </is>
      </c>
      <c r="C133" s="2" t="n">
        <v>9</v>
      </c>
      <c r="D133" s="2" t="n">
        <v>1</v>
      </c>
    </row>
    <row r="134" ht="15" customHeight="1">
      <c r="A134" s="2" t="n">
        <v>74683</v>
      </c>
      <c r="B134" s="2" t="inlineStr">
        <is>
          <t>URI 11 M    1 ח.בטן אורירית</t>
        </is>
      </c>
      <c r="C134" s="2" t="n">
        <v>10</v>
      </c>
      <c r="D134" s="2" t="n">
        <v>1</v>
      </c>
    </row>
    <row r="135" ht="15" customHeight="1">
      <c r="A135" s="2" t="n">
        <v>64632</v>
      </c>
      <c r="B135" s="2" t="inlineStr">
        <is>
          <t>URI 390W 43-46   1 גרבי כסף</t>
        </is>
      </c>
      <c r="C135" s="2" t="n">
        <v>2</v>
      </c>
      <c r="D135" s="2" t="n">
        <v>0</v>
      </c>
    </row>
    <row r="136" ht="15" customHeight="1">
      <c r="A136" s="2" t="n">
        <v>74820</v>
      </c>
      <c r="B136" s="2" t="inlineStr">
        <is>
          <t>URI 59R L.1 חגורת שבר לצד י</t>
        </is>
      </c>
      <c r="C136" s="2" t="n">
        <v>1</v>
      </c>
      <c r="D136" s="2" t="n">
        <v>0</v>
      </c>
    </row>
    <row r="137" ht="15" customHeight="1">
      <c r="A137" s="2" t="n">
        <v>74827</v>
      </c>
      <c r="B137" s="2" t="inlineStr">
        <is>
          <t>URI 59D M 1 חגורת שבר דו צד</t>
        </is>
      </c>
      <c r="C137" s="2" t="n">
        <v>1</v>
      </c>
      <c r="D137" s="2" t="n">
        <v>0</v>
      </c>
    </row>
    <row r="138" ht="15" customHeight="1">
      <c r="A138" s="2" t="n">
        <v>16245</v>
      </c>
      <c r="B138" s="2" t="inlineStr">
        <is>
          <t>394W-43-461 גרבי קיץ לסוכרת</t>
        </is>
      </c>
      <c r="C138" s="2" t="n">
        <v>6</v>
      </c>
      <c r="D138" s="2" t="n">
        <v>0</v>
      </c>
    </row>
    <row r="139" ht="15" customHeight="1">
      <c r="A139" s="2" t="n">
        <v>20948</v>
      </c>
      <c r="B139" s="2" t="inlineStr">
        <is>
          <t>URI 35 XST 1 מגן קרסול פתוח</t>
        </is>
      </c>
      <c r="C139" s="2" t="n">
        <v>2</v>
      </c>
      <c r="D139" s="2" t="n">
        <v>0</v>
      </c>
    </row>
    <row r="140" ht="15" customHeight="1">
      <c r="A140" s="2" t="n">
        <v>28302</v>
      </c>
      <c r="B140" s="2" t="inlineStr">
        <is>
          <t>URI 34+XXL1 מ קרסול+עכב סגו</t>
        </is>
      </c>
      <c r="C140" s="2" t="n">
        <v>4</v>
      </c>
      <c r="D140" s="2" t="n">
        <v>0</v>
      </c>
    </row>
    <row r="141" ht="15" customHeight="1">
      <c r="A141" s="2" t="n">
        <v>29794</v>
      </c>
      <c r="B141" s="2" t="inlineStr">
        <is>
          <t>URI 11STO XXL1 חגורה א ניתו</t>
        </is>
      </c>
      <c r="C141" s="2" t="n">
        <v>1</v>
      </c>
      <c r="D141" s="2" t="n">
        <v>0</v>
      </c>
    </row>
    <row r="142" ht="15" customHeight="1">
      <c r="A142" s="2" t="n">
        <v>50057</v>
      </c>
      <c r="B142" s="2" t="inlineStr">
        <is>
          <t>URI 76          1 מיישר כתף</t>
        </is>
      </c>
      <c r="C142" s="2" t="n">
        <v>1</v>
      </c>
      <c r="D142" s="2" t="n">
        <v>0</v>
      </c>
    </row>
    <row r="143" ht="15" customHeight="1">
      <c r="A143" s="2" t="n">
        <v>63406</v>
      </c>
      <c r="B143" s="2" t="inlineStr">
        <is>
          <t>URI 11U L 1 ח בטן אחר ניתוח</t>
        </is>
      </c>
      <c r="C143" s="2" t="n">
        <v>1</v>
      </c>
      <c r="D143" s="2" t="n">
        <v>0</v>
      </c>
    </row>
    <row r="144" ht="15" customHeight="1">
      <c r="A144" s="2" t="n">
        <v>64633</v>
      </c>
      <c r="B144" s="2" t="inlineStr">
        <is>
          <t>URI 390B 35-38   1 גרבי כסף</t>
        </is>
      </c>
      <c r="C144" s="2" t="n">
        <v>1</v>
      </c>
      <c r="D144" s="2" t="n">
        <v>0</v>
      </c>
    </row>
    <row r="145" ht="15" customHeight="1">
      <c r="A145" s="2" t="n">
        <v>64638</v>
      </c>
      <c r="B145" s="2" t="inlineStr">
        <is>
          <t>URI 390G 43-46   1 גרבי כסף</t>
        </is>
      </c>
      <c r="C145" s="2" t="n">
        <v>3</v>
      </c>
      <c r="D145" s="2" t="n">
        <v>0</v>
      </c>
    </row>
    <row r="146" ht="15" customHeight="1">
      <c r="A146" s="2" t="n">
        <v>67949</v>
      </c>
      <c r="B146" s="2" t="inlineStr">
        <is>
          <t>URI 59D S1 חגורת שבר דו צדד</t>
        </is>
      </c>
      <c r="C146" s="2" t="n">
        <v>1</v>
      </c>
      <c r="D146" s="2" t="n">
        <v>0</v>
      </c>
    </row>
    <row r="147" ht="15" customHeight="1">
      <c r="A147" s="2" t="n">
        <v>74805</v>
      </c>
      <c r="B147" s="2" t="inlineStr">
        <is>
          <t>URI 49 L          1 מגן ירך</t>
        </is>
      </c>
      <c r="C147" s="2" t="n">
        <v>1</v>
      </c>
      <c r="D147" s="2" t="n">
        <v>0</v>
      </c>
    </row>
    <row r="148" ht="15" customHeight="1">
      <c r="A148" s="2" t="n">
        <v>74821</v>
      </c>
      <c r="B148" s="2" t="inlineStr">
        <is>
          <t>URI 59R  M.1 חגורת שבר צד י</t>
        </is>
      </c>
      <c r="C148" s="2" t="n">
        <v>1</v>
      </c>
      <c r="D148" s="2" t="n">
        <v>0</v>
      </c>
    </row>
    <row r="149" ht="15" customHeight="1">
      <c r="A149" s="2" t="n">
        <v>74826</v>
      </c>
      <c r="B149" s="2" t="inlineStr">
        <is>
          <t>URI 59D L1 חגורת שבר דו צדד</t>
        </is>
      </c>
      <c r="C149" s="2" t="n">
        <v>1</v>
      </c>
      <c r="D149" s="2" t="n">
        <v>0</v>
      </c>
    </row>
    <row r="150" ht="15" customHeight="1">
      <c r="A150" s="2" t="n">
        <v>74847</v>
      </c>
      <c r="B150" s="2" t="inlineStr">
        <is>
          <t>URI 76 M        1 מיישר כתף</t>
        </is>
      </c>
      <c r="C150" s="2" t="n">
        <v>2</v>
      </c>
      <c r="D150" s="2" t="n">
        <v>0</v>
      </c>
    </row>
    <row r="151" ht="15" customHeight="1">
      <c r="A151" s="2" t="n">
        <v>74848</v>
      </c>
      <c r="B151" s="2" t="inlineStr">
        <is>
          <t>URI 76 XL       1 מיישר כתף</t>
        </is>
      </c>
      <c r="C151" s="2" t="n">
        <v>1</v>
      </c>
      <c r="D151" s="2" t="n">
        <v>0</v>
      </c>
    </row>
    <row r="152" ht="15" customHeight="1">
      <c r="A152" s="2" t="n">
        <v>74918</v>
      </c>
      <c r="B152" s="2" t="inlineStr">
        <is>
          <t>URI T33 L       1 סד לקרסול</t>
        </is>
      </c>
      <c r="C152" s="2" t="n">
        <v>1</v>
      </c>
      <c r="D152" s="2" t="n">
        <v>0</v>
      </c>
    </row>
    <row r="153" ht="15" customHeight="1">
      <c r="A153" s="2" t="n">
        <v>74919</v>
      </c>
      <c r="B153" s="2" t="inlineStr">
        <is>
          <t>URI T33 M       1 סד לקרסול</t>
        </is>
      </c>
      <c r="C153" s="2" t="n">
        <v>1</v>
      </c>
      <c r="D153" s="2" t="n">
        <v>0</v>
      </c>
    </row>
    <row r="154" ht="15" customHeight="1">
      <c r="A154" s="2" t="n">
        <v>76244</v>
      </c>
      <c r="B154" s="2" t="inlineStr">
        <is>
          <t>URI 078C L   '1 חגורת גב בז</t>
        </is>
      </c>
      <c r="C154" s="2" t="n">
        <v>1</v>
      </c>
      <c r="D154" s="2" t="n">
        <v>0</v>
      </c>
    </row>
    <row r="155" ht="15" customHeight="1">
      <c r="A155" s="2" t="n">
        <v>76248</v>
      </c>
      <c r="B155" s="2" t="inlineStr">
        <is>
          <t>URI 078C XXL '1 חגורת גב בז</t>
        </is>
      </c>
      <c r="C155" s="2" t="n">
        <v>1</v>
      </c>
      <c r="D155" s="2" t="n">
        <v>0</v>
      </c>
    </row>
    <row r="156" ht="15" customHeight="1">
      <c r="A156" s="2" t="n">
        <v>74987</v>
      </c>
      <c r="B156" s="2" t="inlineStr">
        <is>
          <t>URI T78 L            1 תומך</t>
        </is>
      </c>
      <c r="C156" s="2" t="n">
        <v>-1</v>
      </c>
      <c r="D156" s="2" t="n">
        <v>2</v>
      </c>
    </row>
    <row r="157" ht="15" customHeight="1">
      <c r="A157" s="2" t="n">
        <v>82206</v>
      </c>
      <c r="B157" s="2" t="inlineStr">
        <is>
          <t>ST25     1 חבק לשורש כף היד</t>
        </is>
      </c>
      <c r="C157" s="2" t="n">
        <v>0</v>
      </c>
      <c r="D157" s="2" t="n">
        <v>42</v>
      </c>
    </row>
    <row r="158" ht="15" customHeight="1">
      <c r="A158" s="2" t="n">
        <v>66745</v>
      </c>
      <c r="B158" s="2" t="inlineStr">
        <is>
          <t xml:space="preserve">                       1 תרסיס דיאו.אנטי בקטר.לנעל</t>
        </is>
      </c>
      <c r="C158" s="2" t="n">
        <v>0</v>
      </c>
      <c r="D158" s="2" t="n">
        <v>29</v>
      </c>
    </row>
    <row r="159" ht="15" customHeight="1">
      <c r="A159" s="2" t="n">
        <v>82213</v>
      </c>
      <c r="B159" s="2" t="inlineStr">
        <is>
          <t>ST28  1 סט אגודלי+מוט תמיכה</t>
        </is>
      </c>
      <c r="C159" s="2" t="n">
        <v>0</v>
      </c>
      <c r="D159" s="2" t="n">
        <v>23</v>
      </c>
    </row>
    <row r="160" ht="15" customHeight="1">
      <c r="A160" s="2" t="n">
        <v>82202</v>
      </c>
      <c r="B160" s="2" t="inlineStr">
        <is>
          <t>ST91       1 מגן מרפק לטניס</t>
        </is>
      </c>
      <c r="C160" s="2" t="n">
        <v>0</v>
      </c>
      <c r="D160" s="2" t="n">
        <v>19</v>
      </c>
    </row>
    <row r="161" ht="15" customHeight="1">
      <c r="A161" s="2" t="n">
        <v>82208</v>
      </c>
      <c r="B161" s="2" t="inlineStr">
        <is>
          <t>URI ST37      1 חבק לקרסול</t>
        </is>
      </c>
      <c r="C161" s="2" t="n">
        <v>0</v>
      </c>
      <c r="D161" s="2" t="n">
        <v>19</v>
      </c>
    </row>
    <row r="162" ht="15" customHeight="1">
      <c r="A162" s="2" t="n">
        <v>82207</v>
      </c>
      <c r="B162" s="2" t="inlineStr">
        <is>
          <t>ST20               1 חבק יד</t>
        </is>
      </c>
      <c r="C162" s="2" t="n">
        <v>0</v>
      </c>
      <c r="D162" s="2" t="n">
        <v>12</v>
      </c>
    </row>
    <row r="163" ht="15" customHeight="1">
      <c r="A163" s="2" t="n">
        <v>83420</v>
      </c>
      <c r="B163" s="2" t="inlineStr">
        <is>
          <t>URI ST4221 מגן ברך +כ סיליק</t>
        </is>
      </c>
      <c r="C163" s="2" t="n">
        <v>0</v>
      </c>
      <c r="D163" s="2" t="n">
        <v>12</v>
      </c>
    </row>
    <row r="164" ht="15" customHeight="1">
      <c r="A164" s="2" t="n">
        <v>57696</v>
      </c>
      <c r="B164" s="2" t="inlineStr">
        <is>
          <t>808KT-B   1 טייפ קינזיולוגי</t>
        </is>
      </c>
      <c r="C164" s="2" t="n">
        <v>0</v>
      </c>
      <c r="D164" s="2" t="n">
        <v>11</v>
      </c>
    </row>
    <row r="165" ht="15" customHeight="1">
      <c r="A165" s="2" t="n">
        <v>57662</v>
      </c>
      <c r="B165" s="2" t="inlineStr">
        <is>
          <t>808KT-P   1 טייפ קינזיולוגי</t>
        </is>
      </c>
      <c r="C165" s="2" t="n">
        <v>0</v>
      </c>
      <c r="D165" s="2" t="n">
        <v>7</v>
      </c>
    </row>
    <row r="166" ht="15" customHeight="1">
      <c r="A166" s="2" t="n">
        <v>57690</v>
      </c>
      <c r="B166" s="2" t="inlineStr">
        <is>
          <t>808KT-C   1 טייפ קינזיולוגי</t>
        </is>
      </c>
      <c r="C166" s="2" t="n">
        <v>0</v>
      </c>
      <c r="D166" s="2" t="n">
        <v>6</v>
      </c>
    </row>
    <row r="167" ht="15" customHeight="1">
      <c r="A167" s="2" t="n">
        <v>20996</v>
      </c>
      <c r="B167" s="2" t="inlineStr">
        <is>
          <t>URI 07AU XXL 1</t>
        </is>
      </c>
      <c r="C167" s="2" t="n">
        <v>0</v>
      </c>
      <c r="D167" s="2" t="n">
        <v>5</v>
      </c>
    </row>
    <row r="168" ht="15" customHeight="1">
      <c r="A168" s="2" t="n">
        <v>57664</v>
      </c>
      <c r="B168" s="2" t="inlineStr">
        <is>
          <t>808KT-BL  1 טייפ קינזיולוגי</t>
        </is>
      </c>
      <c r="C168" s="2" t="n">
        <v>0</v>
      </c>
      <c r="D168" s="2" t="n">
        <v>4</v>
      </c>
    </row>
    <row r="169" ht="15" customHeight="1">
      <c r="A169" s="2" t="n">
        <v>82551</v>
      </c>
      <c r="B169" s="2" t="inlineStr">
        <is>
          <t>URI ST11        1 חגורת בטן</t>
        </is>
      </c>
      <c r="C169" s="2" t="n">
        <v>0</v>
      </c>
      <c r="D169" s="2" t="n">
        <v>3</v>
      </c>
    </row>
    <row r="170" ht="15" customHeight="1">
      <c r="A170" s="2" t="n">
        <v>46309</v>
      </c>
      <c r="B170" s="2" t="inlineStr">
        <is>
          <t>STRAP4U 239B L-XL 1</t>
        </is>
      </c>
      <c r="C170" s="2" t="n">
        <v>0</v>
      </c>
      <c r="D170" s="2" t="n">
        <v>2</v>
      </c>
    </row>
    <row r="171" ht="15" customHeight="1">
      <c r="A171" s="2" t="n">
        <v>64630</v>
      </c>
      <c r="B171" s="2" t="inlineStr">
        <is>
          <t>URI 390W 35-38   1 גרבי כסף</t>
        </is>
      </c>
      <c r="C171" s="2" t="n">
        <v>0</v>
      </c>
      <c r="D171" s="2" t="n">
        <v>2</v>
      </c>
    </row>
    <row r="172" ht="15" customHeight="1">
      <c r="A172" s="2" t="n">
        <v>68751</v>
      </c>
      <c r="B172" s="2" t="inlineStr">
        <is>
          <t>388B R 1 סד לילה שחור לבוהן</t>
        </is>
      </c>
      <c r="C172" s="2" t="n">
        <v>0</v>
      </c>
      <c r="D172" s="2" t="n">
        <v>2</v>
      </c>
    </row>
    <row r="173" ht="15" customHeight="1">
      <c r="A173" s="2" t="n">
        <v>74823</v>
      </c>
      <c r="B173" s="2" t="inlineStr">
        <is>
          <t>URI 59L L 1 חגורת שבר לשמאל</t>
        </is>
      </c>
      <c r="C173" s="2" t="n">
        <v>0</v>
      </c>
      <c r="D173" s="2" t="n">
        <v>2</v>
      </c>
    </row>
    <row r="174" ht="15" customHeight="1">
      <c r="A174" s="2" t="n">
        <v>74932</v>
      </c>
      <c r="B174" s="2" t="inlineStr">
        <is>
          <t>URI T39 XL        1 מגן שוק</t>
        </is>
      </c>
      <c r="C174" s="2" t="n">
        <v>0</v>
      </c>
      <c r="D174" s="2" t="n">
        <v>2</v>
      </c>
    </row>
    <row r="175" ht="15" customHeight="1">
      <c r="A175" s="2" t="n">
        <v>44007</v>
      </c>
      <c r="B175" s="2" t="inlineStr">
        <is>
          <t>URI 07AU  1 חגור.גב איטלקית</t>
        </is>
      </c>
      <c r="C175" s="2" t="n">
        <v>0</v>
      </c>
      <c r="D175" s="2" t="n">
        <v>1</v>
      </c>
    </row>
    <row r="176" ht="15" customHeight="1">
      <c r="A176" s="2" t="n">
        <v>46306</v>
      </c>
      <c r="B176" s="2" t="inlineStr">
        <is>
          <t>STRAP4U 239B S-M 1</t>
        </is>
      </c>
      <c r="C176" s="2" t="n">
        <v>0</v>
      </c>
      <c r="D176" s="2" t="n">
        <v>1</v>
      </c>
    </row>
    <row r="177" ht="15" customHeight="1">
      <c r="A177" s="2" t="n">
        <v>50022</v>
      </c>
      <c r="B177" s="2" t="inlineStr">
        <is>
          <t>URI 38  1 חבישת הלוקס ולגוס</t>
        </is>
      </c>
      <c r="C177" s="2" t="n">
        <v>0</v>
      </c>
      <c r="D177" s="2" t="n">
        <v>1</v>
      </c>
    </row>
    <row r="178" ht="15" customHeight="1">
      <c r="A178" s="2" t="n">
        <v>67056</v>
      </c>
      <c r="B178" s="2" t="inlineStr">
        <is>
          <t>URI 95 XXL       1 מגן מרפק</t>
        </is>
      </c>
      <c r="C178" s="2" t="n">
        <v>0</v>
      </c>
      <c r="D178" s="2" t="n">
        <v>1</v>
      </c>
    </row>
    <row r="179" ht="15" customHeight="1">
      <c r="A179" s="2" t="n">
        <v>67898</v>
      </c>
      <c r="B179" s="2" t="inlineStr">
        <is>
          <t>חגורה למנותחי בית חזה</t>
        </is>
      </c>
      <c r="C179" s="2" t="n">
        <v>0</v>
      </c>
      <c r="D179" s="2" t="n">
        <v>1</v>
      </c>
    </row>
    <row r="180" ht="15" customHeight="1">
      <c r="A180" s="2" t="n">
        <v>68750</v>
      </c>
      <c r="B180" s="2" t="inlineStr">
        <is>
          <t>388B L 1 סד לילה שחור לבוהן</t>
        </is>
      </c>
      <c r="C180" s="2" t="n">
        <v>0</v>
      </c>
      <c r="D180" s="2" t="n">
        <v>1</v>
      </c>
    </row>
    <row r="181" ht="15" customHeight="1">
      <c r="A181" s="2" t="n">
        <v>71085</v>
      </c>
      <c r="B181" s="2" t="inlineStr">
        <is>
          <t>URI 078S 1</t>
        </is>
      </c>
      <c r="C181" s="2" t="n">
        <v>0</v>
      </c>
      <c r="D181" s="2" t="n">
        <v>1</v>
      </c>
    </row>
    <row r="182" ht="15" customHeight="1">
      <c r="A182" s="2" t="n">
        <v>74842</v>
      </c>
      <c r="B182" s="2" t="inlineStr">
        <is>
          <t>URI 74-L-XL    1 רצועה לשבר</t>
        </is>
      </c>
      <c r="C182" s="2" t="n">
        <v>0</v>
      </c>
      <c r="D182" s="2" t="n">
        <v>1</v>
      </c>
    </row>
    <row r="183" ht="15" customHeight="1">
      <c r="A183" s="2" t="n">
        <v>74846</v>
      </c>
      <c r="B183" s="2" t="inlineStr">
        <is>
          <t>URI 76 L        1 מיישר כתף</t>
        </is>
      </c>
      <c r="C183" s="2" t="n">
        <v>0</v>
      </c>
      <c r="D183" s="2" t="n">
        <v>1</v>
      </c>
    </row>
    <row r="184" ht="15" customHeight="1">
      <c r="A184" s="2" t="n">
        <v>74930</v>
      </c>
      <c r="B184" s="2" t="inlineStr">
        <is>
          <t>URI T39 L         1 מגן שוק</t>
        </is>
      </c>
      <c r="C184" s="2" t="n">
        <v>0</v>
      </c>
      <c r="D184" s="2" t="n">
        <v>1</v>
      </c>
    </row>
    <row r="185" ht="15" customHeight="1">
      <c r="A185" s="2" t="n">
        <v>74931</v>
      </c>
      <c r="B185" s="2" t="inlineStr">
        <is>
          <t>URI T39 M         1 מגן שוק</t>
        </is>
      </c>
      <c r="C185" s="2" t="n">
        <v>0</v>
      </c>
      <c r="D185" s="2" t="n">
        <v>1</v>
      </c>
    </row>
    <row r="186" ht="15" customHeight="1">
      <c r="A186" s="2" t="n">
        <v>74989</v>
      </c>
      <c r="B186" s="2" t="inlineStr">
        <is>
          <t>URI T78 XL           1 תומך</t>
        </is>
      </c>
      <c r="C186" s="2" t="n">
        <v>0</v>
      </c>
      <c r="D186" s="2" t="n">
        <v>1</v>
      </c>
    </row>
    <row r="187" ht="15" customHeight="1">
      <c r="A187" s="2" t="n">
        <v>87828</v>
      </c>
      <c r="B187" s="2" t="inlineStr">
        <is>
          <t>ST49              1 מגן ירך</t>
        </is>
      </c>
      <c r="C187" s="2" t="n">
        <v>0</v>
      </c>
      <c r="D187" s="2" t="n">
        <v>1</v>
      </c>
    </row>
    <row r="188" ht="15" customHeight="1">
      <c r="A188" s="2" t="n">
        <v>88479</v>
      </c>
      <c r="B188" s="2" t="inlineStr">
        <is>
          <t>URI LF377 M  1 מדרס סיליקון</t>
        </is>
      </c>
      <c r="C188" s="2" t="n">
        <v>0</v>
      </c>
      <c r="D188" s="2" t="n">
        <v>1</v>
      </c>
    </row>
    <row r="189" ht="15" customHeight="1">
      <c r="A189" s="2" t="n">
        <v>74825</v>
      </c>
      <c r="B189" s="2" t="inlineStr">
        <is>
          <t>URI 59L XL 1 חגורת שבר צד ש</t>
        </is>
      </c>
      <c r="C189" s="2" t="n">
        <v>0</v>
      </c>
      <c r="D189" s="2" t="n">
        <v>0</v>
      </c>
    </row>
    <row r="190" ht="15" customHeight="1">
      <c r="A190" s="2" t="n">
        <v>87819</v>
      </c>
      <c r="B190" s="2" t="inlineStr">
        <is>
          <t>ST433    H 1 מגן ברך עם ציר</t>
        </is>
      </c>
      <c r="C190" s="2" t="n">
        <v>0</v>
      </c>
      <c r="D190" s="2" t="n">
        <v>0</v>
      </c>
    </row>
    <row r="191" ht="15" customHeight="1">
      <c r="A191" s="2" t="n">
        <v>50061</v>
      </c>
      <c r="B191" s="2" t="inlineStr">
        <is>
          <t>URI 87 S 1 חגו.קיבוע תמ.אמה</t>
        </is>
      </c>
      <c r="C191" s="2" t="n">
        <v>0</v>
      </c>
      <c r="D191" s="2" t="n">
        <v>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1"/>
  <sheetViews>
    <sheetView rightToLeft="1" zoomScaleNormal="100" workbookViewId="0">
      <pane ySplit="2" topLeftCell="A3" activePane="bottomLeft" state="frozen"/>
      <selection pane="bottomLeft" activeCell="A1" sqref="A1"/>
    </sheetView>
  </sheetViews>
  <sheetFormatPr baseColWidth="8" defaultColWidth="8.5703125" defaultRowHeight="15"/>
  <cols>
    <col width="12" customWidth="1" min="1" max="1"/>
    <col width="32" customWidth="1" min="2" max="2"/>
    <col width="14" customWidth="1" min="3" max="4"/>
  </cols>
  <sheetData>
    <row r="1" ht="16.5" customHeight="1">
      <c r="A1" s="1" t="inlineStr">
        <is>
          <t>נתוני מקור - אפריל (2025 מול 2026) - מקור: month-04.xlsx</t>
        </is>
      </c>
    </row>
    <row r="2" ht="15" customHeight="1">
      <c r="A2" s="22" t="inlineStr">
        <is>
          <t>קוד SKU</t>
        </is>
      </c>
      <c r="B2" s="22" t="inlineStr">
        <is>
          <t>שם מוצר</t>
        </is>
      </c>
      <c r="C2" s="22" t="inlineStr">
        <is>
          <t>יחידות אפריל 2025</t>
        </is>
      </c>
      <c r="D2" s="22" t="inlineStr">
        <is>
          <t>יחידות אפריל 2026</t>
        </is>
      </c>
    </row>
    <row r="3" ht="15" customHeight="1">
      <c r="A3" s="2" t="n">
        <v>25386</v>
      </c>
      <c r="B3" s="2" t="inlineStr">
        <is>
          <t>URI 3666  1 מפריד הלקס+כרית</t>
        </is>
      </c>
      <c r="C3" s="2" t="n">
        <v>1</v>
      </c>
      <c r="D3" s="2" t="n">
        <v>6</v>
      </c>
    </row>
    <row r="4" ht="15" customHeight="1">
      <c r="A4" s="2" t="n">
        <v>64635</v>
      </c>
      <c r="B4" s="2" t="inlineStr">
        <is>
          <t>URI 390B 43-46   1 גרבי כסף</t>
        </is>
      </c>
      <c r="C4" s="2" t="n">
        <v>2</v>
      </c>
      <c r="D4" s="2" t="n">
        <v>11</v>
      </c>
    </row>
    <row r="5" ht="15" customHeight="1">
      <c r="A5" s="2" t="n">
        <v>16217</v>
      </c>
      <c r="B5" s="2" t="inlineStr">
        <is>
          <t>394G-39-421 גרבי קיץ לסוכרת</t>
        </is>
      </c>
      <c r="C5" s="2" t="n">
        <v>1</v>
      </c>
      <c r="D5" s="2" t="n">
        <v>5</v>
      </c>
    </row>
    <row r="6" ht="15" customHeight="1">
      <c r="A6" s="2" t="n">
        <v>67925</v>
      </c>
      <c r="B6" s="2" t="inlineStr">
        <is>
          <t>URI 35  S   1 מגן קרסול לבן</t>
        </is>
      </c>
      <c r="C6" s="2" t="n">
        <v>3</v>
      </c>
      <c r="D6" s="2" t="n">
        <v>10</v>
      </c>
    </row>
    <row r="7" ht="15" customHeight="1">
      <c r="A7" s="2" t="n">
        <v>74846</v>
      </c>
      <c r="B7" s="2" t="inlineStr">
        <is>
          <t>URI 76 L        1 מיישר כתף</t>
        </is>
      </c>
      <c r="C7" s="2" t="n">
        <v>2</v>
      </c>
      <c r="D7" s="2" t="n">
        <v>6</v>
      </c>
    </row>
    <row r="8" ht="15" customHeight="1">
      <c r="A8" s="2" t="n">
        <v>74806</v>
      </c>
      <c r="B8" s="2" t="inlineStr">
        <is>
          <t>URI 49 M          1 מגן ירך</t>
        </is>
      </c>
      <c r="C8" s="2" t="n">
        <v>1</v>
      </c>
      <c r="D8" s="2" t="n">
        <v>3</v>
      </c>
    </row>
    <row r="9" ht="15" customHeight="1">
      <c r="A9" s="2" t="n">
        <v>21004</v>
      </c>
      <c r="B9" s="2" t="inlineStr">
        <is>
          <t>URI 45E XXL  1 מגן ברך ארוך</t>
        </is>
      </c>
      <c r="C9" s="2" t="n">
        <v>4</v>
      </c>
      <c r="D9" s="2" t="n">
        <v>10</v>
      </c>
    </row>
    <row r="10" ht="15" customHeight="1">
      <c r="A10" s="2" t="n">
        <v>52324</v>
      </c>
      <c r="B10" s="2" t="inlineStr">
        <is>
          <t>URI 078G M 1 חגורת גב אפורה</t>
        </is>
      </c>
      <c r="C10" s="2" t="n">
        <v>4</v>
      </c>
      <c r="D10" s="2" t="n">
        <v>10</v>
      </c>
    </row>
    <row r="11" ht="15" customHeight="1">
      <c r="A11" s="2" t="n">
        <v>20998</v>
      </c>
      <c r="B11" s="2" t="inlineStr">
        <is>
          <t>URI 11 XXL  1 ח.בטן אורירית</t>
        </is>
      </c>
      <c r="C11" s="2" t="n">
        <v>2</v>
      </c>
      <c r="D11" s="2" t="n">
        <v>5</v>
      </c>
    </row>
    <row r="12" ht="15" customHeight="1">
      <c r="A12" s="2" t="n">
        <v>71086</v>
      </c>
      <c r="B12" s="2" t="inlineStr">
        <is>
          <t>URI 078M 1</t>
        </is>
      </c>
      <c r="C12" s="2" t="n">
        <v>2</v>
      </c>
      <c r="D12" s="2" t="n">
        <v>5</v>
      </c>
    </row>
    <row r="13" ht="15" customHeight="1">
      <c r="A13" s="2" t="n">
        <v>74684</v>
      </c>
      <c r="B13" s="2" t="inlineStr">
        <is>
          <t>URI 11 XL   1 ח.בטן אורירית</t>
        </is>
      </c>
      <c r="C13" s="2" t="n">
        <v>4</v>
      </c>
      <c r="D13" s="2" t="n">
        <v>9</v>
      </c>
    </row>
    <row r="14" ht="15" customHeight="1">
      <c r="A14" s="2" t="n">
        <v>52147</v>
      </c>
      <c r="B14" s="2" t="inlineStr">
        <is>
          <t>URI FC321  1 מלח אמבט לכף ר</t>
        </is>
      </c>
      <c r="C14" s="2" t="n">
        <v>5</v>
      </c>
      <c r="D14" s="2" t="n">
        <v>11</v>
      </c>
    </row>
    <row r="15" ht="15" customHeight="1">
      <c r="A15" s="2" t="n">
        <v>71683</v>
      </c>
      <c r="B15" s="2" t="inlineStr">
        <is>
          <t>URI S 3622 1 מדבקה לשחרור ל</t>
        </is>
      </c>
      <c r="C15" s="2" t="n">
        <v>5</v>
      </c>
      <c r="D15" s="2" t="n">
        <v>11</v>
      </c>
    </row>
    <row r="16" ht="15" customHeight="1">
      <c r="A16" s="2" t="n">
        <v>16211</v>
      </c>
      <c r="B16" s="2" t="inlineStr">
        <is>
          <t>394B-35-381 גרבי קיץ לסוכרת</t>
        </is>
      </c>
      <c r="C16" s="2" t="n">
        <v>3</v>
      </c>
      <c r="D16" s="2" t="n">
        <v>6</v>
      </c>
    </row>
    <row r="17" ht="15" customHeight="1">
      <c r="A17" s="2" t="n">
        <v>74671</v>
      </c>
      <c r="B17" s="2" t="inlineStr">
        <is>
          <t>URI 07AU M   1 ח גב איטלקית</t>
        </is>
      </c>
      <c r="C17" s="2" t="n">
        <v>2</v>
      </c>
      <c r="D17" s="2" t="n">
        <v>4</v>
      </c>
    </row>
    <row r="18" ht="15" customHeight="1">
      <c r="A18" s="2" t="n">
        <v>50022</v>
      </c>
      <c r="B18" s="2" t="inlineStr">
        <is>
          <t>URI 38  1 חבישת הלוקס ולגוס</t>
        </is>
      </c>
      <c r="C18" s="2" t="n">
        <v>1</v>
      </c>
      <c r="D18" s="2" t="n">
        <v>2</v>
      </c>
    </row>
    <row r="19" ht="15" customHeight="1">
      <c r="A19" s="2" t="n">
        <v>64636</v>
      </c>
      <c r="B19" s="2" t="inlineStr">
        <is>
          <t>URI 390G 35-38   1 גרבי כסף</t>
        </is>
      </c>
      <c r="C19" s="2" t="n">
        <v>1</v>
      </c>
      <c r="D19" s="2" t="n">
        <v>2</v>
      </c>
    </row>
    <row r="20" ht="15" customHeight="1">
      <c r="A20" s="2" t="n">
        <v>67053</v>
      </c>
      <c r="B20" s="2" t="inlineStr">
        <is>
          <t>URI 34 XS  1 מגן קרסול סגור</t>
        </is>
      </c>
      <c r="C20" s="2" t="n">
        <v>1</v>
      </c>
      <c r="D20" s="2" t="n">
        <v>2</v>
      </c>
    </row>
    <row r="21" ht="15" customHeight="1">
      <c r="A21" s="2" t="n">
        <v>86583</v>
      </c>
      <c r="B21" s="2" t="inlineStr">
        <is>
          <t>URI 87 XXL   1 מקבע כתף ויד</t>
        </is>
      </c>
      <c r="C21" s="2" t="n">
        <v>1</v>
      </c>
      <c r="D21" s="2" t="n">
        <v>2</v>
      </c>
    </row>
    <row r="22" ht="15" customHeight="1">
      <c r="A22" s="2" t="n">
        <v>63359</v>
      </c>
      <c r="B22" s="2" t="inlineStr">
        <is>
          <t>URI 45 M          1 מגן ברך</t>
        </is>
      </c>
      <c r="C22" s="2" t="n">
        <v>19</v>
      </c>
      <c r="D22" s="2" t="n">
        <v>35</v>
      </c>
    </row>
    <row r="23" ht="15" customHeight="1">
      <c r="A23" s="2" t="n">
        <v>19082</v>
      </c>
      <c r="B23" s="2" t="inlineStr">
        <is>
          <t>URI 34 S 1 מגן קרסול ס בעקב</t>
        </is>
      </c>
      <c r="C23" s="2" t="n">
        <v>5</v>
      </c>
      <c r="D23" s="2" t="n">
        <v>9</v>
      </c>
    </row>
    <row r="24" ht="15" customHeight="1">
      <c r="A24" s="2" t="n">
        <v>88476</v>
      </c>
      <c r="B24" s="2" t="inlineStr">
        <is>
          <t>URI LF373 0 1 ריפוד סיליקון</t>
        </is>
      </c>
      <c r="C24" s="2" t="n">
        <v>4</v>
      </c>
      <c r="D24" s="2" t="n">
        <v>7</v>
      </c>
    </row>
    <row r="25" ht="15" customHeight="1">
      <c r="A25" s="2" t="n">
        <v>88477</v>
      </c>
      <c r="B25" s="2" t="inlineStr">
        <is>
          <t>URI LF374 0 1 ריפוד סיליקון</t>
        </is>
      </c>
      <c r="C25" s="2" t="n">
        <v>4</v>
      </c>
      <c r="D25" s="2" t="n">
        <v>7</v>
      </c>
    </row>
    <row r="26" ht="15" customHeight="1">
      <c r="A26" s="2" t="n">
        <v>67960</v>
      </c>
      <c r="B26" s="2" t="inlineStr">
        <is>
          <t>URI 85 S        1 מיתלה ליד</t>
        </is>
      </c>
      <c r="C26" s="2" t="n">
        <v>9</v>
      </c>
      <c r="D26" s="2" t="n">
        <v>15</v>
      </c>
    </row>
    <row r="27" ht="15" customHeight="1">
      <c r="A27" s="2" t="n">
        <v>51568</v>
      </c>
      <c r="B27" s="2" t="inlineStr">
        <is>
          <t xml:space="preserve">                                       1 סד לאגודל</t>
        </is>
      </c>
      <c r="C27" s="2" t="n">
        <v>27</v>
      </c>
      <c r="D27" s="2" t="n">
        <v>41</v>
      </c>
    </row>
    <row r="28" ht="15" customHeight="1">
      <c r="A28" s="2" t="n">
        <v>65243</v>
      </c>
      <c r="B28" s="2" t="inlineStr">
        <is>
          <t>URI XL35    1 מגן קרסול לבן</t>
        </is>
      </c>
      <c r="C28" s="2" t="n">
        <v>16</v>
      </c>
      <c r="D28" s="2" t="n">
        <v>24</v>
      </c>
    </row>
    <row r="29" ht="15" customHeight="1">
      <c r="A29" s="2" t="n">
        <v>71088</v>
      </c>
      <c r="B29" s="2" t="inlineStr">
        <is>
          <t>URI 078XL 1</t>
        </is>
      </c>
      <c r="C29" s="2" t="n">
        <v>10</v>
      </c>
      <c r="D29" s="2" t="n">
        <v>15</v>
      </c>
    </row>
    <row r="30" ht="15" customHeight="1">
      <c r="A30" s="2" t="n">
        <v>63422</v>
      </c>
      <c r="B30" s="2" t="inlineStr">
        <is>
          <t>URI 95 XL        1 מגן מרפק</t>
        </is>
      </c>
      <c r="C30" s="2" t="n">
        <v>4</v>
      </c>
      <c r="D30" s="2" t="n">
        <v>6</v>
      </c>
    </row>
    <row r="31" ht="15" customHeight="1">
      <c r="A31" s="2" t="n">
        <v>35339</v>
      </c>
      <c r="B31" s="2" t="inlineStr">
        <is>
          <t>URI 307 S 1 זוג עקב סיל+נ כ</t>
        </is>
      </c>
      <c r="C31" s="2" t="n">
        <v>2</v>
      </c>
      <c r="D31" s="2" t="n">
        <v>3</v>
      </c>
    </row>
    <row r="32" ht="15" customHeight="1">
      <c r="A32" s="2" t="n">
        <v>74687</v>
      </c>
      <c r="B32" s="2" t="inlineStr">
        <is>
          <t>URI 11 TO L         1 ח בטן</t>
        </is>
      </c>
      <c r="C32" s="2" t="n">
        <v>2</v>
      </c>
      <c r="D32" s="2" t="n">
        <v>3</v>
      </c>
    </row>
    <row r="33" ht="15" customHeight="1">
      <c r="A33" s="2" t="n">
        <v>63420</v>
      </c>
      <c r="B33" s="2" t="inlineStr">
        <is>
          <t>URI 95 M         1 מגן מרפק</t>
        </is>
      </c>
      <c r="C33" s="2" t="n">
        <v>20</v>
      </c>
      <c r="D33" s="2" t="n">
        <v>29</v>
      </c>
    </row>
    <row r="34" ht="15" customHeight="1">
      <c r="A34" s="2" t="n">
        <v>71087</v>
      </c>
      <c r="B34" s="2" t="inlineStr">
        <is>
          <t>URI 078L 1</t>
        </is>
      </c>
      <c r="C34" s="2" t="n">
        <v>9</v>
      </c>
      <c r="D34" s="2" t="n">
        <v>13</v>
      </c>
    </row>
    <row r="35" ht="15" customHeight="1">
      <c r="A35" s="2" t="n">
        <v>42964</v>
      </c>
      <c r="B35" s="2" t="inlineStr">
        <is>
          <t>URI 45E  1 מגן ברך ארוך לבן</t>
        </is>
      </c>
      <c r="C35" s="2" t="n">
        <v>7</v>
      </c>
      <c r="D35" s="2" t="n">
        <v>10</v>
      </c>
    </row>
    <row r="36" ht="15" customHeight="1">
      <c r="A36" s="2" t="n">
        <v>60472</v>
      </c>
      <c r="B36" s="2" t="inlineStr">
        <is>
          <t>URI PD340  1 קוצץ ציפורניים</t>
        </is>
      </c>
      <c r="C36" s="2" t="n">
        <v>31</v>
      </c>
      <c r="D36" s="2" t="n">
        <v>44</v>
      </c>
    </row>
    <row r="37" ht="15" customHeight="1">
      <c r="A37" s="2" t="n">
        <v>61961</v>
      </c>
      <c r="B37" s="2" t="inlineStr">
        <is>
          <t>URI 366S 1 מדבקה לשחרור לחץ</t>
        </is>
      </c>
      <c r="C37" s="2" t="n">
        <v>9</v>
      </c>
      <c r="D37" s="2" t="n">
        <v>12</v>
      </c>
    </row>
    <row r="38" ht="15" customHeight="1">
      <c r="A38" s="2" t="n">
        <v>75763</v>
      </c>
      <c r="B38" s="2" t="inlineStr">
        <is>
          <t>URI 16 S-M    1 חגורת הריון</t>
        </is>
      </c>
      <c r="C38" s="2" t="n">
        <v>3</v>
      </c>
      <c r="D38" s="2" t="n">
        <v>4</v>
      </c>
    </row>
    <row r="39" ht="15" customHeight="1">
      <c r="A39" s="2" t="n">
        <v>74672</v>
      </c>
      <c r="B39" s="2" t="inlineStr">
        <is>
          <t>URI 07AU XL  1 ח.גב איטלקית</t>
        </is>
      </c>
      <c r="C39" s="2" t="n">
        <v>7</v>
      </c>
      <c r="D39" s="2" t="n">
        <v>9</v>
      </c>
    </row>
    <row r="40" ht="15" customHeight="1">
      <c r="A40" s="2" t="n">
        <v>61962</v>
      </c>
      <c r="B40" s="2" t="inlineStr">
        <is>
          <t>URI 3677 1 מדבקה לשחרור לחץ</t>
        </is>
      </c>
      <c r="C40" s="2" t="n">
        <v>4</v>
      </c>
      <c r="D40" s="2" t="n">
        <v>5</v>
      </c>
    </row>
    <row r="41" ht="15" customHeight="1">
      <c r="A41" s="2" t="n">
        <v>31183</v>
      </c>
      <c r="B41" s="2" t="inlineStr">
        <is>
          <t>URI 370       1 רפידת נוחות</t>
        </is>
      </c>
      <c r="C41" s="2" t="n">
        <v>27</v>
      </c>
      <c r="D41" s="2" t="n">
        <v>33</v>
      </c>
    </row>
    <row r="42" ht="15" customHeight="1">
      <c r="A42" s="2" t="n">
        <v>74710</v>
      </c>
      <c r="B42" s="2" t="inlineStr">
        <is>
          <t>URI 21 XL     1 חבק יד ארוך</t>
        </is>
      </c>
      <c r="C42" s="2" t="n">
        <v>9</v>
      </c>
      <c r="D42" s="2" t="n">
        <v>11</v>
      </c>
    </row>
    <row r="43" ht="15" customHeight="1">
      <c r="A43" s="2" t="n">
        <v>74682</v>
      </c>
      <c r="B43" s="2" t="inlineStr">
        <is>
          <t>URI 11 L    1 ח.בטן אורירית</t>
        </is>
      </c>
      <c r="C43" s="2" t="n">
        <v>5</v>
      </c>
      <c r="D43" s="2" t="n">
        <v>6</v>
      </c>
    </row>
    <row r="44" ht="15" customHeight="1">
      <c r="A44" s="2" t="n">
        <v>21003</v>
      </c>
      <c r="B44" s="2" t="inlineStr">
        <is>
          <t>URI 45 XXL        1 מגן ברך</t>
        </is>
      </c>
      <c r="C44" s="2" t="n">
        <v>11</v>
      </c>
      <c r="D44" s="2" t="n">
        <v>13</v>
      </c>
    </row>
    <row r="45" ht="15" customHeight="1">
      <c r="A45" s="2" t="n">
        <v>80668</v>
      </c>
      <c r="B45" s="2" t="inlineStr">
        <is>
          <t>URI 320 BLISTER PLASTER 1</t>
        </is>
      </c>
      <c r="C45" s="2" t="n">
        <v>18</v>
      </c>
      <c r="D45" s="2" t="n">
        <v>21</v>
      </c>
    </row>
    <row r="46" ht="15" customHeight="1">
      <c r="A46" s="2" t="n">
        <v>63367</v>
      </c>
      <c r="B46" s="2" t="inlineStr">
        <is>
          <t>URI 34 L 1 מגן קרסול ס.בעקב</t>
        </is>
      </c>
      <c r="C46" s="2" t="n">
        <v>19</v>
      </c>
      <c r="D46" s="2" t="n">
        <v>22</v>
      </c>
    </row>
    <row r="47" ht="15" customHeight="1">
      <c r="A47" s="2" t="n">
        <v>74801</v>
      </c>
      <c r="B47" s="2" t="inlineStr">
        <is>
          <t>URI 45E XL   1 מגן ברך ארוך</t>
        </is>
      </c>
      <c r="C47" s="2" t="n">
        <v>19</v>
      </c>
      <c r="D47" s="2" t="n">
        <v>21</v>
      </c>
    </row>
    <row r="48" ht="15" customHeight="1">
      <c r="A48" s="2" t="n">
        <v>59694</v>
      </c>
      <c r="B48" s="2" t="inlineStr">
        <is>
          <t>URI 365 S-L   1 טבעת אלסטית</t>
        </is>
      </c>
      <c r="C48" s="2" t="n">
        <v>29</v>
      </c>
      <c r="D48" s="2" t="n">
        <v>32</v>
      </c>
    </row>
    <row r="49" ht="15" customHeight="1">
      <c r="A49" s="2" t="n">
        <v>63360</v>
      </c>
      <c r="B49" s="2" t="inlineStr">
        <is>
          <t>URI 45 L          1 מגן ברךBOX</t>
        </is>
      </c>
      <c r="C49" s="2" t="n">
        <v>44</v>
      </c>
      <c r="D49" s="2" t="n">
        <v>46</v>
      </c>
    </row>
    <row r="50" ht="15" customHeight="1">
      <c r="A50" s="2" t="n">
        <v>31188</v>
      </c>
      <c r="B50" s="2" t="inlineStr">
        <is>
          <t>URI 372    1 רפידת אנטי ריח</t>
        </is>
      </c>
      <c r="C50" s="2" t="n">
        <v>45</v>
      </c>
      <c r="D50" s="2" t="n">
        <v>47</v>
      </c>
    </row>
    <row r="51" ht="15" customHeight="1">
      <c r="A51" s="2" t="n">
        <v>23008</v>
      </c>
      <c r="B51" s="2" t="inlineStr">
        <is>
          <t>URI 364 XL 1</t>
        </is>
      </c>
      <c r="C51" s="2" t="n">
        <v>33</v>
      </c>
      <c r="D51" s="2" t="n">
        <v>34</v>
      </c>
    </row>
    <row r="52" ht="15" customHeight="1">
      <c r="A52" s="2" t="n">
        <v>52323</v>
      </c>
      <c r="B52" s="2" t="inlineStr">
        <is>
          <t>URI 078G L 1 חגורת גב אפורה</t>
        </is>
      </c>
      <c r="C52" s="2" t="n">
        <v>25</v>
      </c>
      <c r="D52" s="2" t="n">
        <v>25</v>
      </c>
    </row>
    <row r="53" ht="15" customHeight="1">
      <c r="A53" s="2" t="n">
        <v>59656</v>
      </c>
      <c r="B53" s="2" t="inlineStr">
        <is>
          <t>URI 362 L R 1</t>
        </is>
      </c>
      <c r="C53" s="2" t="n">
        <v>19</v>
      </c>
      <c r="D53" s="2" t="n">
        <v>19</v>
      </c>
    </row>
    <row r="54" ht="15" customHeight="1">
      <c r="A54" s="2" t="n">
        <v>67957</v>
      </c>
      <c r="B54" s="2" t="inlineStr">
        <is>
          <t>URI 95 S         1 מגן מרפק</t>
        </is>
      </c>
      <c r="C54" s="2" t="n">
        <v>17</v>
      </c>
      <c r="D54" s="2" t="n">
        <v>17</v>
      </c>
    </row>
    <row r="55" ht="15" customHeight="1">
      <c r="A55" s="2" t="n">
        <v>63368</v>
      </c>
      <c r="B55" s="2" t="inlineStr">
        <is>
          <t>URI 34 XL1 מגן קרסול ס.בעקב</t>
        </is>
      </c>
      <c r="C55" s="2" t="n">
        <v>11</v>
      </c>
      <c r="D55" s="2" t="n">
        <v>11</v>
      </c>
    </row>
    <row r="56" ht="15" customHeight="1">
      <c r="A56" s="2" t="n">
        <v>55868</v>
      </c>
      <c r="B56" s="2" t="inlineStr">
        <is>
          <t>URI 078G XXL1 חגורת גב אפור</t>
        </is>
      </c>
      <c r="C56" s="2" t="n">
        <v>9</v>
      </c>
      <c r="D56" s="2" t="n">
        <v>9</v>
      </c>
    </row>
    <row r="57" ht="15" customHeight="1">
      <c r="A57" s="2" t="n">
        <v>74764</v>
      </c>
      <c r="B57" s="2" t="inlineStr">
        <is>
          <t>URI 34+ XL      1 מגן קרסול</t>
        </is>
      </c>
      <c r="C57" s="2" t="n">
        <v>6</v>
      </c>
      <c r="D57" s="2" t="n">
        <v>6</v>
      </c>
    </row>
    <row r="58" ht="15" customHeight="1">
      <c r="A58" s="2" t="n">
        <v>75762</v>
      </c>
      <c r="B58" s="2" t="inlineStr">
        <is>
          <t>URI 16 L-XL   1 חגורת הריון</t>
        </is>
      </c>
      <c r="C58" s="2" t="n">
        <v>5</v>
      </c>
      <c r="D58" s="2" t="n">
        <v>5</v>
      </c>
    </row>
    <row r="59" ht="15" customHeight="1">
      <c r="A59" s="2" t="n">
        <v>29881</v>
      </c>
      <c r="B59" s="2" t="inlineStr">
        <is>
          <t>URI 34 XXL 1 מגן קרסול סגור</t>
        </is>
      </c>
      <c r="C59" s="2" t="n">
        <v>4</v>
      </c>
      <c r="D59" s="2" t="n">
        <v>4</v>
      </c>
    </row>
    <row r="60" ht="15" customHeight="1">
      <c r="A60" s="2" t="n">
        <v>63449</v>
      </c>
      <c r="B60" s="2" t="inlineStr">
        <is>
          <t>URI 40221 רצועה לפיקה +כרית</t>
        </is>
      </c>
      <c r="C60" s="2" t="n">
        <v>4</v>
      </c>
      <c r="D60" s="2" t="n">
        <v>4</v>
      </c>
    </row>
    <row r="61" ht="15" customHeight="1">
      <c r="A61" s="2" t="n">
        <v>65743</v>
      </c>
      <c r="B61" s="2" t="inlineStr">
        <is>
          <t>URI LF 360   1 מדרס מטטרזלי</t>
        </is>
      </c>
      <c r="C61" s="2" t="n">
        <v>4</v>
      </c>
      <c r="D61" s="2" t="n">
        <v>4</v>
      </c>
    </row>
    <row r="62" ht="15" customHeight="1">
      <c r="A62" s="2" t="n">
        <v>16245</v>
      </c>
      <c r="B62" s="2" t="inlineStr">
        <is>
          <t>394W-43-461 גרבי קיץ לסוכרת</t>
        </is>
      </c>
      <c r="C62" s="2" t="n">
        <v>3</v>
      </c>
      <c r="D62" s="2" t="n">
        <v>3</v>
      </c>
    </row>
    <row r="63" ht="15" customHeight="1">
      <c r="A63" s="2" t="n">
        <v>63406</v>
      </c>
      <c r="B63" s="2" t="inlineStr">
        <is>
          <t>URI 11U L 1 ח בטן אחר ניתוח</t>
        </is>
      </c>
      <c r="C63" s="2" t="n">
        <v>2</v>
      </c>
      <c r="D63" s="2" t="n">
        <v>2</v>
      </c>
    </row>
    <row r="64" ht="15" customHeight="1">
      <c r="A64" s="2" t="n">
        <v>74688</v>
      </c>
      <c r="B64" s="2" t="inlineStr">
        <is>
          <t>URI 11 TO XL        1 ח בטן</t>
        </is>
      </c>
      <c r="C64" s="2" t="n">
        <v>2</v>
      </c>
      <c r="D64" s="2" t="n">
        <v>2</v>
      </c>
    </row>
    <row r="65" ht="15" customHeight="1">
      <c r="A65" s="2" t="n">
        <v>74821</v>
      </c>
      <c r="B65" s="2" t="inlineStr">
        <is>
          <t>URI 59R  M.1 חגורת שבר צד י</t>
        </is>
      </c>
      <c r="C65" s="2" t="n">
        <v>2</v>
      </c>
      <c r="D65" s="2" t="n">
        <v>2</v>
      </c>
    </row>
    <row r="66" ht="15" customHeight="1">
      <c r="A66" s="2" t="n">
        <v>29793</v>
      </c>
      <c r="B66" s="2" t="inlineStr">
        <is>
          <t>URI 11STO XL1 חגורה אחר נית</t>
        </is>
      </c>
      <c r="C66" s="2" t="n">
        <v>1</v>
      </c>
      <c r="D66" s="2" t="n">
        <v>1</v>
      </c>
    </row>
    <row r="67" ht="15" customHeight="1">
      <c r="A67" s="2" t="n">
        <v>74820</v>
      </c>
      <c r="B67" s="2" t="inlineStr">
        <is>
          <t>URI 59R L.1 חגורת שבר לצד י</t>
        </is>
      </c>
      <c r="C67" s="2" t="n">
        <v>1</v>
      </c>
      <c r="D67" s="2" t="n">
        <v>1</v>
      </c>
    </row>
    <row r="68" ht="15" customHeight="1">
      <c r="A68" s="2" t="n">
        <v>74920</v>
      </c>
      <c r="B68" s="2" t="inlineStr">
        <is>
          <t>URI T33 XL      1 סד לקרסול</t>
        </is>
      </c>
      <c r="C68" s="2" t="n">
        <v>1</v>
      </c>
      <c r="D68" s="2" t="n">
        <v>1</v>
      </c>
    </row>
    <row r="69" ht="15" customHeight="1">
      <c r="A69" s="2" t="n">
        <v>75764</v>
      </c>
      <c r="B69" s="2" t="inlineStr">
        <is>
          <t>URI 16 XXL    1 חגורת הריון</t>
        </is>
      </c>
      <c r="C69" s="2" t="n">
        <v>1</v>
      </c>
      <c r="D69" s="2" t="n">
        <v>1</v>
      </c>
    </row>
    <row r="70" ht="15" customHeight="1">
      <c r="A70" s="2" t="n">
        <v>63414</v>
      </c>
      <c r="B70" s="2" t="inlineStr">
        <is>
          <t>URI 85 M         1 מתלה ליד</t>
        </is>
      </c>
      <c r="C70" s="2" t="n">
        <v>19</v>
      </c>
      <c r="D70" s="2" t="n">
        <v>18</v>
      </c>
    </row>
    <row r="71" ht="15" customHeight="1">
      <c r="A71" s="2" t="n">
        <v>65242</v>
      </c>
      <c r="B71" s="2" t="inlineStr">
        <is>
          <t>URI L35     1 מגן קרסול לבן</t>
        </is>
      </c>
      <c r="C71" s="2" t="n">
        <v>19</v>
      </c>
      <c r="D71" s="2" t="n">
        <v>18</v>
      </c>
    </row>
    <row r="72" ht="15" customHeight="1">
      <c r="A72" s="2" t="n">
        <v>51567</v>
      </c>
      <c r="B72" s="2" t="inlineStr">
        <is>
          <t xml:space="preserve">                                   1 סד יד דו צדדי</t>
        </is>
      </c>
      <c r="C72" s="2" t="n">
        <v>141</v>
      </c>
      <c r="D72" s="2" t="n">
        <v>132</v>
      </c>
    </row>
    <row r="73" ht="15" customHeight="1">
      <c r="A73" s="2" t="n">
        <v>60471</v>
      </c>
      <c r="B73" s="2" t="inlineStr">
        <is>
          <t>URI 365 XL    1 טבעת אלסטית</t>
        </is>
      </c>
      <c r="C73" s="2" t="n">
        <v>14</v>
      </c>
      <c r="D73" s="2" t="n">
        <v>13</v>
      </c>
    </row>
    <row r="74" ht="15" customHeight="1">
      <c r="A74" s="2" t="n">
        <v>63415</v>
      </c>
      <c r="B74" s="2" t="inlineStr">
        <is>
          <t>URI 85 L         1 מתלה ליד</t>
        </is>
      </c>
      <c r="C74" s="2" t="n">
        <v>26</v>
      </c>
      <c r="D74" s="2" t="n">
        <v>24</v>
      </c>
    </row>
    <row r="75" ht="15" customHeight="1">
      <c r="A75" s="2" t="n">
        <v>8616</v>
      </c>
      <c r="B75" s="2" t="inlineStr">
        <is>
          <t>URI 3623 1 כרית ליישור אצבע</t>
        </is>
      </c>
      <c r="C75" s="2" t="n">
        <v>13</v>
      </c>
      <c r="D75" s="2" t="n">
        <v>12</v>
      </c>
    </row>
    <row r="76" ht="15" customHeight="1">
      <c r="A76" s="2" t="n">
        <v>24612</v>
      </c>
      <c r="B76" s="2" t="inlineStr">
        <is>
          <t>URI AC28        1 סד לאגודל</t>
        </is>
      </c>
      <c r="C76" s="2" t="n">
        <v>56</v>
      </c>
      <c r="D76" s="2" t="n">
        <v>51</v>
      </c>
    </row>
    <row r="77" ht="15" customHeight="1">
      <c r="A77" s="2" t="n">
        <v>71204</v>
      </c>
      <c r="B77" s="2" t="inlineStr">
        <is>
          <t>URI 3655   1 שרוול מסיליקון</t>
        </is>
      </c>
      <c r="C77" s="2" t="n">
        <v>89</v>
      </c>
      <c r="D77" s="2" t="n">
        <v>80</v>
      </c>
    </row>
    <row r="78" ht="15" customHeight="1">
      <c r="A78" s="2" t="n">
        <v>63361</v>
      </c>
      <c r="B78" s="2" t="inlineStr">
        <is>
          <t>URI 45 XL         1 מגן ברך</t>
        </is>
      </c>
      <c r="C78" s="2" t="n">
        <v>28</v>
      </c>
      <c r="D78" s="2" t="n">
        <v>25</v>
      </c>
    </row>
    <row r="79" ht="15" customHeight="1">
      <c r="A79" s="2" t="n">
        <v>59659</v>
      </c>
      <c r="B79" s="2" t="inlineStr">
        <is>
          <t>URI 369 S-L 1</t>
        </is>
      </c>
      <c r="C79" s="2" t="n">
        <v>15</v>
      </c>
      <c r="D79" s="2" t="n">
        <v>13</v>
      </c>
    </row>
    <row r="80" ht="15" customHeight="1">
      <c r="A80" s="2" t="n">
        <v>61344</v>
      </c>
      <c r="B80" s="2" t="inlineStr">
        <is>
          <t>URI 312 9*5   1 מדבקה גדולה</t>
        </is>
      </c>
      <c r="C80" s="2" t="n">
        <v>7</v>
      </c>
      <c r="D80" s="2" t="n">
        <v>6</v>
      </c>
    </row>
    <row r="81" ht="15" customHeight="1">
      <c r="A81" s="2" t="n">
        <v>63418</v>
      </c>
      <c r="B81" s="2" t="inlineStr">
        <is>
          <t>URI 87 L1 חגו.לקיבוע תמ.אמה</t>
        </is>
      </c>
      <c r="C81" s="2" t="n">
        <v>7</v>
      </c>
      <c r="D81" s="2" t="n">
        <v>6</v>
      </c>
    </row>
    <row r="82" ht="15" customHeight="1">
      <c r="A82" s="2" t="n">
        <v>65241</v>
      </c>
      <c r="B82" s="2" t="inlineStr">
        <is>
          <t>URI M35     1 מגן קרסול לבן</t>
        </is>
      </c>
      <c r="C82" s="2" t="n">
        <v>24</v>
      </c>
      <c r="D82" s="2" t="n">
        <v>20</v>
      </c>
    </row>
    <row r="83" ht="15" customHeight="1">
      <c r="A83" s="2" t="n">
        <v>88474</v>
      </c>
      <c r="B83" s="2" t="inlineStr">
        <is>
          <t>URI LF370 0 1 ריפוד סיליקון</t>
        </is>
      </c>
      <c r="C83" s="2" t="n">
        <v>6</v>
      </c>
      <c r="D83" s="2" t="n">
        <v>5</v>
      </c>
    </row>
    <row r="84" ht="15" customHeight="1">
      <c r="A84" s="2" t="n">
        <v>52328</v>
      </c>
      <c r="B84" s="2" t="inlineStr">
        <is>
          <t>URI 078G XL 1 חגורת גב אפור</t>
        </is>
      </c>
      <c r="C84" s="2" t="n">
        <v>21</v>
      </c>
      <c r="D84" s="2" t="n">
        <v>17</v>
      </c>
    </row>
    <row r="85" ht="15" customHeight="1">
      <c r="A85" s="2" t="n">
        <v>59679</v>
      </c>
      <c r="B85" s="2" t="inlineStr">
        <is>
          <t>URI 364 S M 1</t>
        </is>
      </c>
      <c r="C85" s="2" t="n">
        <v>65</v>
      </c>
      <c r="D85" s="2" t="n">
        <v>52</v>
      </c>
    </row>
    <row r="86" ht="15" customHeight="1">
      <c r="A86" s="2" t="n">
        <v>63366</v>
      </c>
      <c r="B86" s="2" t="inlineStr">
        <is>
          <t>URI 34 M 1 מגן קרסול ס.בעקב</t>
        </is>
      </c>
      <c r="C86" s="2" t="n">
        <v>25</v>
      </c>
      <c r="D86" s="2" t="n">
        <v>20</v>
      </c>
    </row>
    <row r="87" ht="15" customHeight="1">
      <c r="A87" s="2" t="n">
        <v>31190</v>
      </c>
      <c r="B87" s="2" t="inlineStr">
        <is>
          <t>URI 374 1 רפידה בולמת זעזוע</t>
        </is>
      </c>
      <c r="C87" s="2" t="n">
        <v>15</v>
      </c>
      <c r="D87" s="2" t="n">
        <v>12</v>
      </c>
    </row>
    <row r="88" ht="15" customHeight="1">
      <c r="A88" s="2" t="n">
        <v>85165</v>
      </c>
      <c r="B88" s="2" t="inlineStr">
        <is>
          <t>URI 307 XL  1 כרית סיל.לעקב</t>
        </is>
      </c>
      <c r="C88" s="2" t="n">
        <v>10</v>
      </c>
      <c r="D88" s="2" t="n">
        <v>8</v>
      </c>
    </row>
    <row r="89" ht="15" customHeight="1">
      <c r="A89" s="2" t="n">
        <v>49772</v>
      </c>
      <c r="B89" s="2" t="inlineStr">
        <is>
          <t>THERMOFLEX 90  1 רצועת טניס</t>
        </is>
      </c>
      <c r="C89" s="2" t="n">
        <v>5</v>
      </c>
      <c r="D89" s="2" t="n">
        <v>4</v>
      </c>
    </row>
    <row r="90" ht="15" customHeight="1">
      <c r="A90" s="2" t="n">
        <v>60478</v>
      </c>
      <c r="B90" s="2" t="inlineStr">
        <is>
          <t>URI PD3461 10 סכינים למקצוע</t>
        </is>
      </c>
      <c r="C90" s="2" t="n">
        <v>5</v>
      </c>
      <c r="D90" s="2" t="n">
        <v>4</v>
      </c>
    </row>
    <row r="91" ht="15" customHeight="1">
      <c r="A91" s="2" t="n">
        <v>74683</v>
      </c>
      <c r="B91" s="2" t="inlineStr">
        <is>
          <t>URI 11 M    1 ח.בטן אורירית</t>
        </is>
      </c>
      <c r="C91" s="2" t="n">
        <v>5</v>
      </c>
      <c r="D91" s="2" t="n">
        <v>4</v>
      </c>
    </row>
    <row r="92" ht="15" customHeight="1">
      <c r="A92" s="2" t="n">
        <v>74708</v>
      </c>
      <c r="B92" s="2" t="inlineStr">
        <is>
          <t>URI 21 L      1 חבק יד ארוך</t>
        </is>
      </c>
      <c r="C92" s="2" t="n">
        <v>24</v>
      </c>
      <c r="D92" s="2" t="n">
        <v>19</v>
      </c>
    </row>
    <row r="93" ht="15" customHeight="1">
      <c r="A93" s="2" t="n">
        <v>63421</v>
      </c>
      <c r="B93" s="2" t="inlineStr">
        <is>
          <t>URI 95 L         1 מגן מרפק</t>
        </is>
      </c>
      <c r="C93" s="2" t="n">
        <v>23</v>
      </c>
      <c r="D93" s="2" t="n">
        <v>18</v>
      </c>
    </row>
    <row r="94" ht="15" customHeight="1">
      <c r="A94" s="2" t="n">
        <v>16212</v>
      </c>
      <c r="B94" s="2" t="inlineStr">
        <is>
          <t>394B-39-421 גרבי קיץ לסוכרת</t>
        </is>
      </c>
      <c r="C94" s="2" t="n">
        <v>9</v>
      </c>
      <c r="D94" s="2" t="n">
        <v>7</v>
      </c>
    </row>
    <row r="95" ht="15" customHeight="1">
      <c r="A95" s="2" t="n">
        <v>74762</v>
      </c>
      <c r="B95" s="2" t="inlineStr">
        <is>
          <t>URI 34+ L      1 מגן לקרסול</t>
        </is>
      </c>
      <c r="C95" s="2" t="n">
        <v>9</v>
      </c>
      <c r="D95" s="2" t="n">
        <v>7</v>
      </c>
    </row>
    <row r="96" ht="15" customHeight="1">
      <c r="A96" s="2" t="n">
        <v>47877</v>
      </c>
      <c r="B96" s="2" t="inlineStr">
        <is>
          <t>URI 21        1 חבק יד ארוך</t>
        </is>
      </c>
      <c r="C96" s="2" t="n">
        <v>8</v>
      </c>
      <c r="D96" s="2" t="n">
        <v>6</v>
      </c>
    </row>
    <row r="97" ht="15" customHeight="1">
      <c r="A97" s="2" t="n">
        <v>9772</v>
      </c>
      <c r="B97" s="2" t="inlineStr">
        <is>
          <t>URI 307 L 1 זוג עקב סיל+נ כ</t>
        </is>
      </c>
      <c r="C97" s="2" t="n">
        <v>26</v>
      </c>
      <c r="D97" s="2" t="n">
        <v>19</v>
      </c>
    </row>
    <row r="98" ht="15" customHeight="1">
      <c r="A98" s="2" t="n">
        <v>74709</v>
      </c>
      <c r="B98" s="2" t="inlineStr">
        <is>
          <t>URI 21 M      1 חבק יד ארוך</t>
        </is>
      </c>
      <c r="C98" s="2" t="n">
        <v>51</v>
      </c>
      <c r="D98" s="2" t="n">
        <v>35</v>
      </c>
    </row>
    <row r="99" ht="15" customHeight="1">
      <c r="A99" s="2" t="n">
        <v>60485</v>
      </c>
      <c r="B99" s="2" t="inlineStr">
        <is>
          <t>URI 369 XL 1</t>
        </is>
      </c>
      <c r="C99" s="2" t="n">
        <v>24</v>
      </c>
      <c r="D99" s="2" t="n">
        <v>16</v>
      </c>
    </row>
    <row r="100" ht="15" customHeight="1">
      <c r="A100" s="2" t="n">
        <v>80182</v>
      </c>
      <c r="B100" s="2" t="inlineStr">
        <is>
          <t>URI 3667        1 מגן בונין</t>
        </is>
      </c>
      <c r="C100" s="2" t="n">
        <v>18</v>
      </c>
      <c r="D100" s="2" t="n">
        <v>12</v>
      </c>
    </row>
    <row r="101" ht="15" customHeight="1">
      <c r="A101" s="2" t="n">
        <v>34874</v>
      </c>
      <c r="B101" s="2" t="inlineStr">
        <is>
          <t>URI 333         1 סד לקרסול</t>
        </is>
      </c>
      <c r="C101" s="2" t="n">
        <v>3</v>
      </c>
      <c r="D101" s="2" t="n">
        <v>2</v>
      </c>
    </row>
    <row r="102" ht="15" customHeight="1">
      <c r="A102" s="2" t="n">
        <v>74799</v>
      </c>
      <c r="B102" s="2" t="inlineStr">
        <is>
          <t>URI 45E L1 מגן ברך ארוך לבן</t>
        </is>
      </c>
      <c r="C102" s="2" t="n">
        <v>31</v>
      </c>
      <c r="D102" s="2" t="n">
        <v>20</v>
      </c>
    </row>
    <row r="103" ht="15" customHeight="1">
      <c r="A103" s="2" t="n">
        <v>76452</v>
      </c>
      <c r="B103" s="2" t="inlineStr">
        <is>
          <t xml:space="preserve">                             1 מ.בוניון+מפריד אצבע</t>
        </is>
      </c>
      <c r="C103" s="2" t="n">
        <v>16</v>
      </c>
      <c r="D103" s="2" t="n">
        <v>10</v>
      </c>
    </row>
    <row r="104" ht="15" customHeight="1">
      <c r="A104" s="2" t="n">
        <v>45264</v>
      </c>
      <c r="B104" s="2" t="inlineStr">
        <is>
          <t>URI 34+        1 מגן לקרסול</t>
        </is>
      </c>
      <c r="C104" s="2" t="n">
        <v>5</v>
      </c>
      <c r="D104" s="2" t="n">
        <v>3</v>
      </c>
    </row>
    <row r="105" ht="15" customHeight="1">
      <c r="A105" s="2" t="n">
        <v>63419</v>
      </c>
      <c r="B105" s="2" t="inlineStr">
        <is>
          <t>URI 87 XL1 חגו.קיבוע תמ.אמה</t>
        </is>
      </c>
      <c r="C105" s="2" t="n">
        <v>5</v>
      </c>
      <c r="D105" s="2" t="n">
        <v>3</v>
      </c>
    </row>
    <row r="106" ht="15" customHeight="1">
      <c r="A106" s="2" t="n">
        <v>60476</v>
      </c>
      <c r="B106" s="2" t="inlineStr">
        <is>
          <t>URI PD344       1 אבן טבעית</t>
        </is>
      </c>
      <c r="C106" s="2" t="n">
        <v>32</v>
      </c>
      <c r="D106" s="2" t="n">
        <v>19</v>
      </c>
    </row>
    <row r="107" ht="15" customHeight="1">
      <c r="A107" s="2" t="n">
        <v>59657</v>
      </c>
      <c r="B107" s="2" t="inlineStr">
        <is>
          <t>URI 363 L R 1</t>
        </is>
      </c>
      <c r="C107" s="2" t="n">
        <v>17</v>
      </c>
      <c r="D107" s="2" t="n">
        <v>10</v>
      </c>
    </row>
    <row r="108" ht="15" customHeight="1">
      <c r="A108" s="2" t="n">
        <v>67935</v>
      </c>
      <c r="B108" s="2" t="inlineStr">
        <is>
          <t>URI 45 S          1 מגן ברך</t>
        </is>
      </c>
      <c r="C108" s="2" t="n">
        <v>14</v>
      </c>
      <c r="D108" s="2" t="n">
        <v>8</v>
      </c>
    </row>
    <row r="109" ht="15" customHeight="1">
      <c r="A109" s="2" t="n">
        <v>29981</v>
      </c>
      <c r="B109" s="2" t="inlineStr">
        <is>
          <t>URI 35 XXL  1 מגן קרסול לבן</t>
        </is>
      </c>
      <c r="C109" s="2" t="n">
        <v>7</v>
      </c>
      <c r="D109" s="2" t="n">
        <v>4</v>
      </c>
    </row>
    <row r="110" ht="15" customHeight="1">
      <c r="A110" s="2" t="n">
        <v>9771</v>
      </c>
      <c r="B110" s="2" t="inlineStr">
        <is>
          <t>URI 307 M 1 זוג עקב סיל+נ כ</t>
        </is>
      </c>
      <c r="C110" s="2" t="n">
        <v>27</v>
      </c>
      <c r="D110" s="2" t="n">
        <v>15</v>
      </c>
    </row>
    <row r="111" ht="15" customHeight="1">
      <c r="A111" s="2" t="n">
        <v>67385</v>
      </c>
      <c r="B111" s="2" t="inlineStr">
        <is>
          <t>URI 302M 0  1 מדרס ג'ל לגבר</t>
        </is>
      </c>
      <c r="C111" s="2" t="n">
        <v>27</v>
      </c>
      <c r="D111" s="2" t="n">
        <v>15</v>
      </c>
    </row>
    <row r="112" ht="15" customHeight="1">
      <c r="A112" s="2" t="n">
        <v>76453</v>
      </c>
      <c r="B112" s="2" t="inlineStr">
        <is>
          <t>URI 3675 1 מגן זרת מסיליקון</t>
        </is>
      </c>
      <c r="C112" s="2" t="n">
        <v>9</v>
      </c>
      <c r="D112" s="2" t="n">
        <v>5</v>
      </c>
    </row>
    <row r="113" ht="15" customHeight="1">
      <c r="A113" s="2" t="n">
        <v>79327</v>
      </c>
      <c r="B113" s="2" t="inlineStr">
        <is>
          <t>URI 3611       '1 כרית בנדג</t>
        </is>
      </c>
      <c r="C113" s="2" t="n">
        <v>11</v>
      </c>
      <c r="D113" s="2" t="n">
        <v>6</v>
      </c>
    </row>
    <row r="114" ht="15" customHeight="1">
      <c r="A114" s="2" t="n">
        <v>8618</v>
      </c>
      <c r="B114" s="2" t="inlineStr">
        <is>
          <t>URI 311         1 מדבקת ג'ל</t>
        </is>
      </c>
      <c r="C114" s="2" t="n">
        <v>39</v>
      </c>
      <c r="D114" s="2" t="n">
        <v>21</v>
      </c>
    </row>
    <row r="115" ht="15" customHeight="1">
      <c r="A115" s="2" t="n">
        <v>83668</v>
      </c>
      <c r="B115" s="2" t="inlineStr">
        <is>
          <t>URI FC335    1 טלק לכף הרגל</t>
        </is>
      </c>
      <c r="C115" s="2" t="n">
        <v>110</v>
      </c>
      <c r="D115" s="2" t="n">
        <v>59</v>
      </c>
    </row>
    <row r="116" ht="15" customHeight="1">
      <c r="A116" s="2" t="n">
        <v>16237</v>
      </c>
      <c r="B116" s="2" t="inlineStr">
        <is>
          <t>394G-43-461 גרבי קיץ לסוכרת</t>
        </is>
      </c>
      <c r="C116" s="2" t="n">
        <v>4</v>
      </c>
      <c r="D116" s="2" t="n">
        <v>2</v>
      </c>
    </row>
    <row r="117" ht="15" customHeight="1">
      <c r="A117" s="2" t="n">
        <v>20996</v>
      </c>
      <c r="B117" s="2" t="inlineStr">
        <is>
          <t>URI 07AU XXL 1</t>
        </is>
      </c>
      <c r="C117" s="2" t="n">
        <v>4</v>
      </c>
      <c r="D117" s="2" t="n">
        <v>2</v>
      </c>
    </row>
    <row r="118" ht="15" customHeight="1">
      <c r="A118" s="2" t="n">
        <v>64634</v>
      </c>
      <c r="B118" s="2" t="inlineStr">
        <is>
          <t>URI 390B 39-42   1 גרבי כסף</t>
        </is>
      </c>
      <c r="C118" s="2" t="n">
        <v>2</v>
      </c>
      <c r="D118" s="2" t="n">
        <v>1</v>
      </c>
    </row>
    <row r="119" ht="15" customHeight="1">
      <c r="A119" s="2" t="n">
        <v>67056</v>
      </c>
      <c r="B119" s="2" t="inlineStr">
        <is>
          <t>URI 95 XXL       1 מגן מרפק</t>
        </is>
      </c>
      <c r="C119" s="2" t="n">
        <v>2</v>
      </c>
      <c r="D119" s="2" t="n">
        <v>1</v>
      </c>
    </row>
    <row r="120" ht="15" customHeight="1">
      <c r="A120" s="2" t="n">
        <v>74847</v>
      </c>
      <c r="B120" s="2" t="inlineStr">
        <is>
          <t>URI 76 M        1 מיישר כתף</t>
        </is>
      </c>
      <c r="C120" s="2" t="n">
        <v>2</v>
      </c>
      <c r="D120" s="2" t="n">
        <v>1</v>
      </c>
    </row>
    <row r="121" ht="15" customHeight="1">
      <c r="A121" s="2" t="n">
        <v>63416</v>
      </c>
      <c r="B121" s="2" t="inlineStr">
        <is>
          <t>URI 85 XL        1 מתלה ליד</t>
        </is>
      </c>
      <c r="C121" s="2" t="n">
        <v>17</v>
      </c>
      <c r="D121" s="2" t="n">
        <v>8</v>
      </c>
    </row>
    <row r="122" ht="15" customHeight="1">
      <c r="A122" s="2" t="n">
        <v>85338</v>
      </c>
      <c r="B122" s="2" t="inlineStr">
        <is>
          <t>URI 302W 0     1 מדרס לאישה</t>
        </is>
      </c>
      <c r="C122" s="2" t="n">
        <v>20</v>
      </c>
      <c r="D122" s="2" t="n">
        <v>9</v>
      </c>
    </row>
    <row r="123" ht="15" customHeight="1">
      <c r="A123" s="2" t="n">
        <v>74763</v>
      </c>
      <c r="B123" s="2" t="inlineStr">
        <is>
          <t>URI 34+ M       1 מגן קרסול</t>
        </is>
      </c>
      <c r="C123" s="2" t="n">
        <v>7</v>
      </c>
      <c r="D123" s="2" t="n">
        <v>3</v>
      </c>
    </row>
    <row r="124" ht="15" customHeight="1">
      <c r="A124" s="2" t="n">
        <v>60474</v>
      </c>
      <c r="B124" s="2" t="inlineStr">
        <is>
          <t>URI PD3421 פומפיה להסרת עור</t>
        </is>
      </c>
      <c r="C124" s="2" t="n">
        <v>19</v>
      </c>
      <c r="D124" s="2" t="n">
        <v>8</v>
      </c>
    </row>
    <row r="125" ht="15" customHeight="1">
      <c r="A125" s="2" t="n">
        <v>74800</v>
      </c>
      <c r="B125" s="2" t="inlineStr">
        <is>
          <t>URI 45E M    1 מגן ברך ארוך</t>
        </is>
      </c>
      <c r="C125" s="2" t="n">
        <v>24</v>
      </c>
      <c r="D125" s="2" t="n">
        <v>10</v>
      </c>
    </row>
    <row r="126" ht="15" customHeight="1">
      <c r="A126" s="2" t="n">
        <v>60484</v>
      </c>
      <c r="B126" s="2" t="inlineStr">
        <is>
          <t>URI 3641 1</t>
        </is>
      </c>
      <c r="C126" s="2" t="n">
        <v>17</v>
      </c>
      <c r="D126" s="2" t="n">
        <v>7</v>
      </c>
    </row>
    <row r="127" ht="15" customHeight="1">
      <c r="A127" s="2" t="n">
        <v>16213</v>
      </c>
      <c r="B127" s="2" t="inlineStr">
        <is>
          <t>394B-43-461 גרבי קיץ לסוכרת</t>
        </is>
      </c>
      <c r="C127" s="2" t="n">
        <v>22</v>
      </c>
      <c r="D127" s="2" t="n">
        <v>9</v>
      </c>
    </row>
    <row r="128" ht="15" customHeight="1">
      <c r="A128" s="2" t="n">
        <v>16214</v>
      </c>
      <c r="B128" s="2" t="inlineStr">
        <is>
          <t>394-G-35-31 גרבי קיץ לסוכרת</t>
        </is>
      </c>
      <c r="C128" s="2" t="n">
        <v>5</v>
      </c>
      <c r="D128" s="2" t="n">
        <v>2</v>
      </c>
    </row>
    <row r="129" ht="15" customHeight="1">
      <c r="A129" s="2" t="n">
        <v>16244</v>
      </c>
      <c r="B129" s="2" t="inlineStr">
        <is>
          <t>394W-39-421 גרבי קיץ לסוכרת</t>
        </is>
      </c>
      <c r="C129" s="2" t="n">
        <v>8</v>
      </c>
      <c r="D129" s="2" t="n">
        <v>3</v>
      </c>
    </row>
    <row r="130" ht="15" customHeight="1">
      <c r="A130" s="2" t="n">
        <v>74670</v>
      </c>
      <c r="B130" s="2" t="inlineStr">
        <is>
          <t>URI 07AU L   1 ח.גב איטלקית</t>
        </is>
      </c>
      <c r="C130" s="2" t="n">
        <v>8</v>
      </c>
      <c r="D130" s="2" t="n">
        <v>3</v>
      </c>
    </row>
    <row r="131" ht="15" customHeight="1">
      <c r="A131" s="2" t="n">
        <v>66485</v>
      </c>
      <c r="B131" s="2" t="inlineStr">
        <is>
          <t>URI 801 ICE GO  1 תחבושת אל</t>
        </is>
      </c>
      <c r="C131" s="2" t="n">
        <v>21</v>
      </c>
      <c r="D131" s="2" t="n">
        <v>7</v>
      </c>
    </row>
    <row r="132" ht="15" customHeight="1">
      <c r="A132" s="2" t="n">
        <v>60473</v>
      </c>
      <c r="B132" s="2" t="inlineStr">
        <is>
          <t>URI PD341 1 מקצוע להסרת עור</t>
        </is>
      </c>
      <c r="C132" s="2" t="n">
        <v>9</v>
      </c>
      <c r="D132" s="2" t="n">
        <v>3</v>
      </c>
    </row>
    <row r="133" ht="15" customHeight="1">
      <c r="A133" s="2" t="n">
        <v>19083</v>
      </c>
      <c r="B133" s="2" t="inlineStr">
        <is>
          <t>URI 40    1 רצועת פיקה לברך</t>
        </is>
      </c>
      <c r="C133" s="2" t="n">
        <v>3</v>
      </c>
      <c r="D133" s="2" t="n">
        <v>1</v>
      </c>
    </row>
    <row r="134" ht="15" customHeight="1">
      <c r="A134" s="2" t="n">
        <v>63417</v>
      </c>
      <c r="B134" s="2" t="inlineStr">
        <is>
          <t>URI 87 M1 חגו.לקיבוע תמ.אמה</t>
        </is>
      </c>
      <c r="C134" s="2" t="n">
        <v>7</v>
      </c>
      <c r="D134" s="2" t="n">
        <v>2</v>
      </c>
    </row>
    <row r="135" ht="15" customHeight="1">
      <c r="A135" s="2" t="n">
        <v>29984</v>
      </c>
      <c r="B135" s="2" t="inlineStr">
        <is>
          <t>URI 95 XS        1 מגן מרפק</t>
        </is>
      </c>
      <c r="C135" s="2" t="n">
        <v>4</v>
      </c>
      <c r="D135" s="2" t="n">
        <v>1</v>
      </c>
    </row>
    <row r="136" ht="15" customHeight="1">
      <c r="A136" s="2" t="n">
        <v>18559</v>
      </c>
      <c r="B136" s="2" t="inlineStr">
        <is>
          <t>URI 8200    1 כרית חום וקור</t>
        </is>
      </c>
      <c r="C136" s="2" t="n">
        <v>11</v>
      </c>
      <c r="D136" s="2" t="n">
        <v>2</v>
      </c>
    </row>
    <row r="137" ht="15" customHeight="1">
      <c r="A137" s="2" t="n">
        <v>16239</v>
      </c>
      <c r="B137" s="2" t="inlineStr">
        <is>
          <t>394W-35-381 גרבי קיץ לסוכרת</t>
        </is>
      </c>
      <c r="C137" s="2" t="n">
        <v>2</v>
      </c>
      <c r="D137" s="2" t="n">
        <v>0</v>
      </c>
    </row>
    <row r="138" ht="15" customHeight="1">
      <c r="A138" s="2" t="n">
        <v>28302</v>
      </c>
      <c r="B138" s="2" t="inlineStr">
        <is>
          <t>URI 34+XXL1 מ קרסול+עכב סגו</t>
        </is>
      </c>
      <c r="C138" s="2" t="n">
        <v>3</v>
      </c>
      <c r="D138" s="2" t="n">
        <v>0</v>
      </c>
    </row>
    <row r="139" ht="15" customHeight="1">
      <c r="A139" s="2" t="n">
        <v>29790</v>
      </c>
      <c r="B139" s="2" t="inlineStr">
        <is>
          <t>URI 11STO L1 חגורה אחר ניתו</t>
        </is>
      </c>
      <c r="C139" s="2" t="n">
        <v>1</v>
      </c>
      <c r="D139" s="2" t="n">
        <v>0</v>
      </c>
    </row>
    <row r="140" ht="15" customHeight="1">
      <c r="A140" s="2" t="n">
        <v>50055</v>
      </c>
      <c r="B140" s="2" t="inlineStr">
        <is>
          <t>URI 74    1 רצועה לשבר בעצם</t>
        </is>
      </c>
      <c r="C140" s="2" t="n">
        <v>1</v>
      </c>
      <c r="D140" s="2" t="n">
        <v>0</v>
      </c>
    </row>
    <row r="141" ht="15" customHeight="1">
      <c r="A141" s="2" t="n">
        <v>50057</v>
      </c>
      <c r="B141" s="2" t="inlineStr">
        <is>
          <t>URI 76          1 מיישר כתף</t>
        </is>
      </c>
      <c r="C141" s="2" t="n">
        <v>1</v>
      </c>
      <c r="D141" s="2" t="n">
        <v>0</v>
      </c>
    </row>
    <row r="142" ht="15" customHeight="1">
      <c r="A142" s="2" t="n">
        <v>63405</v>
      </c>
      <c r="B142" s="2" t="inlineStr">
        <is>
          <t>URI 11U M 1 ח בטן אחר ניתוח</t>
        </is>
      </c>
      <c r="C142" s="2" t="n">
        <v>1</v>
      </c>
      <c r="D142" s="2" t="n">
        <v>0</v>
      </c>
    </row>
    <row r="143" ht="15" customHeight="1">
      <c r="A143" s="2" t="n">
        <v>63407</v>
      </c>
      <c r="B143" s="2" t="inlineStr">
        <is>
          <t>URI 11U XL1 ח בטן אחר ניתוח</t>
        </is>
      </c>
      <c r="C143" s="2" t="n">
        <v>1</v>
      </c>
      <c r="D143" s="2" t="n">
        <v>0</v>
      </c>
    </row>
    <row r="144" ht="15" customHeight="1">
      <c r="A144" s="2" t="n">
        <v>64631</v>
      </c>
      <c r="B144" s="2" t="inlineStr">
        <is>
          <t>URI 390W 39-42   1 גרבי כסף</t>
        </is>
      </c>
      <c r="C144" s="2" t="n">
        <v>3</v>
      </c>
      <c r="D144" s="2" t="n">
        <v>0</v>
      </c>
    </row>
    <row r="145" ht="15" customHeight="1">
      <c r="A145" s="2" t="n">
        <v>64632</v>
      </c>
      <c r="B145" s="2" t="inlineStr">
        <is>
          <t>URI 390W 43-46   1 גרבי כסף</t>
        </is>
      </c>
      <c r="C145" s="2" t="n">
        <v>2</v>
      </c>
      <c r="D145" s="2" t="n">
        <v>0</v>
      </c>
    </row>
    <row r="146" ht="15" customHeight="1">
      <c r="A146" s="2" t="n">
        <v>64637</v>
      </c>
      <c r="B146" s="2" t="inlineStr">
        <is>
          <t>URI 390G 39-42   1 גרבי כסף</t>
        </is>
      </c>
      <c r="C146" s="2" t="n">
        <v>4</v>
      </c>
      <c r="D146" s="2" t="n">
        <v>0</v>
      </c>
    </row>
    <row r="147" ht="15" customHeight="1">
      <c r="A147" s="2" t="n">
        <v>64638</v>
      </c>
      <c r="B147" s="2" t="inlineStr">
        <is>
          <t>URI 390G 43-46   1 גרבי כסף</t>
        </is>
      </c>
      <c r="C147" s="2" t="n">
        <v>2</v>
      </c>
      <c r="D147" s="2" t="n">
        <v>0</v>
      </c>
    </row>
    <row r="148" ht="15" customHeight="1">
      <c r="A148" s="2" t="n">
        <v>67895</v>
      </c>
      <c r="B148" s="2" t="inlineStr">
        <is>
          <t>URI 11      1 ח בטן אורירית</t>
        </is>
      </c>
      <c r="C148" s="2" t="n">
        <v>1</v>
      </c>
      <c r="D148" s="2" t="n">
        <v>0</v>
      </c>
    </row>
    <row r="149" ht="15" customHeight="1">
      <c r="A149" s="2" t="n">
        <v>74807</v>
      </c>
      <c r="B149" s="2" t="inlineStr">
        <is>
          <t>URI 49 XL         1 מגן ירך</t>
        </is>
      </c>
      <c r="C149" s="2" t="n">
        <v>1</v>
      </c>
      <c r="D149" s="2" t="n">
        <v>0</v>
      </c>
    </row>
    <row r="150" ht="15" customHeight="1">
      <c r="A150" s="2" t="n">
        <v>74822</v>
      </c>
      <c r="B150" s="2" t="inlineStr">
        <is>
          <t>URI 59R  XL1 חגורת שבר צד י</t>
        </is>
      </c>
      <c r="C150" s="2" t="n">
        <v>1</v>
      </c>
      <c r="D150" s="2" t="n">
        <v>0</v>
      </c>
    </row>
    <row r="151" ht="15" customHeight="1">
      <c r="A151" s="2" t="n">
        <v>74823</v>
      </c>
      <c r="B151" s="2" t="inlineStr">
        <is>
          <t>URI 59L L 1 חגורת שבר לשמאל</t>
        </is>
      </c>
      <c r="C151" s="2" t="n">
        <v>1</v>
      </c>
      <c r="D151" s="2" t="n">
        <v>0</v>
      </c>
    </row>
    <row r="152" ht="15" customHeight="1">
      <c r="A152" s="2" t="n">
        <v>74824</v>
      </c>
      <c r="B152" s="2" t="inlineStr">
        <is>
          <t>URI 59 L M 1 חגורת שבר צד ש</t>
        </is>
      </c>
      <c r="C152" s="2" t="n">
        <v>1</v>
      </c>
      <c r="D152" s="2" t="n">
        <v>0</v>
      </c>
    </row>
    <row r="153" ht="15" customHeight="1">
      <c r="A153" s="2" t="n">
        <v>74827</v>
      </c>
      <c r="B153" s="2" t="inlineStr">
        <is>
          <t>URI 59D M 1 חגורת שבר דו צד</t>
        </is>
      </c>
      <c r="C153" s="2" t="n">
        <v>1</v>
      </c>
      <c r="D153" s="2" t="n">
        <v>0</v>
      </c>
    </row>
    <row r="154" ht="15" customHeight="1">
      <c r="A154" s="2" t="n">
        <v>74931</v>
      </c>
      <c r="B154" s="2" t="inlineStr">
        <is>
          <t>URI T39 M         1 מגן שוק</t>
        </is>
      </c>
      <c r="C154" s="2" t="n">
        <v>1</v>
      </c>
      <c r="D154" s="2" t="n">
        <v>0</v>
      </c>
    </row>
    <row r="155" ht="15" customHeight="1">
      <c r="A155" s="2" t="n">
        <v>74987</v>
      </c>
      <c r="B155" s="2" t="inlineStr">
        <is>
          <t>URI T78 L            1 תומך</t>
        </is>
      </c>
      <c r="C155" s="2" t="n">
        <v>1</v>
      </c>
      <c r="D155" s="2" t="n">
        <v>0</v>
      </c>
    </row>
    <row r="156" ht="15" customHeight="1">
      <c r="A156" s="2" t="n">
        <v>74989</v>
      </c>
      <c r="B156" s="2" t="inlineStr">
        <is>
          <t>URI T78 XL           1 תומך</t>
        </is>
      </c>
      <c r="C156" s="2" t="n">
        <v>1</v>
      </c>
      <c r="D156" s="2" t="n">
        <v>0</v>
      </c>
    </row>
    <row r="157" ht="15" customHeight="1">
      <c r="A157" s="2" t="n">
        <v>71085</v>
      </c>
      <c r="B157" s="2" t="inlineStr">
        <is>
          <t>URI 078S 1</t>
        </is>
      </c>
      <c r="C157" s="2" t="n">
        <v>2</v>
      </c>
      <c r="D157" s="2" t="n">
        <v>-1</v>
      </c>
    </row>
    <row r="158" ht="15" customHeight="1">
      <c r="A158" s="2" t="n">
        <v>82206</v>
      </c>
      <c r="B158" s="2" t="inlineStr">
        <is>
          <t>ST25     1 חבק לשורש כף היד</t>
        </is>
      </c>
      <c r="C158" s="2" t="n">
        <v>0</v>
      </c>
      <c r="D158" s="2" t="n">
        <v>61</v>
      </c>
    </row>
    <row r="159" ht="15" customHeight="1">
      <c r="A159" s="2" t="n">
        <v>66745</v>
      </c>
      <c r="B159" s="2" t="inlineStr">
        <is>
          <t xml:space="preserve">                       1 תרסיס דיאו.אנטי בקטר.לנעל</t>
        </is>
      </c>
      <c r="C159" s="2" t="n">
        <v>0</v>
      </c>
      <c r="D159" s="2" t="n">
        <v>39</v>
      </c>
    </row>
    <row r="160" ht="15" customHeight="1">
      <c r="A160" s="2" t="n">
        <v>82213</v>
      </c>
      <c r="B160" s="2" t="inlineStr">
        <is>
          <t>ST28  1 סט אגודלי+מוט תמיכה</t>
        </is>
      </c>
      <c r="C160" s="2" t="n">
        <v>0</v>
      </c>
      <c r="D160" s="2" t="n">
        <v>18</v>
      </c>
    </row>
    <row r="161" ht="15" customHeight="1">
      <c r="A161" s="2" t="n">
        <v>82208</v>
      </c>
      <c r="B161" s="2" t="inlineStr">
        <is>
          <t>URI ST37      1 חבק לקרסול</t>
        </is>
      </c>
      <c r="C161" s="2" t="n">
        <v>0</v>
      </c>
      <c r="D161" s="2" t="n">
        <v>15</v>
      </c>
    </row>
    <row r="162" ht="15" customHeight="1">
      <c r="A162" s="2" t="n">
        <v>82202</v>
      </c>
      <c r="B162" s="2" t="inlineStr">
        <is>
          <t>ST91       1 מגן מרפק לטניס</t>
        </is>
      </c>
      <c r="C162" s="2" t="n">
        <v>0</v>
      </c>
      <c r="D162" s="2" t="n">
        <v>13</v>
      </c>
    </row>
    <row r="163" ht="15" customHeight="1">
      <c r="A163" s="2" t="n">
        <v>57690</v>
      </c>
      <c r="B163" s="2" t="inlineStr">
        <is>
          <t>808KT-C   1 טייפ קינזיולוגי</t>
        </is>
      </c>
      <c r="C163" s="2" t="n">
        <v>0</v>
      </c>
      <c r="D163" s="2" t="n">
        <v>11</v>
      </c>
    </row>
    <row r="164" ht="15" customHeight="1">
      <c r="A164" s="2" t="n">
        <v>82207</v>
      </c>
      <c r="B164" s="2" t="inlineStr">
        <is>
          <t>ST20               1 חבק יד</t>
        </is>
      </c>
      <c r="C164" s="2" t="n">
        <v>0</v>
      </c>
      <c r="D164" s="2" t="n">
        <v>11</v>
      </c>
    </row>
    <row r="165" ht="15" customHeight="1">
      <c r="A165" s="2" t="n">
        <v>83420</v>
      </c>
      <c r="B165" s="2" t="inlineStr">
        <is>
          <t>URI ST4221 מגן ברך +כ סיליק</t>
        </is>
      </c>
      <c r="C165" s="2" t="n">
        <v>0</v>
      </c>
      <c r="D165" s="2" t="n">
        <v>10</v>
      </c>
    </row>
    <row r="166" ht="15" customHeight="1">
      <c r="A166" s="2" t="n">
        <v>57664</v>
      </c>
      <c r="B166" s="2" t="inlineStr">
        <is>
          <t>808KT-BL  1 טייפ קינזיולוגי</t>
        </is>
      </c>
      <c r="C166" s="2" t="n">
        <v>0</v>
      </c>
      <c r="D166" s="2" t="n">
        <v>9</v>
      </c>
    </row>
    <row r="167" ht="15" customHeight="1">
      <c r="A167" s="2" t="n">
        <v>57662</v>
      </c>
      <c r="B167" s="2" t="inlineStr">
        <is>
          <t>808KT-P   1 טייפ קינזיולוגי</t>
        </is>
      </c>
      <c r="C167" s="2" t="n">
        <v>0</v>
      </c>
      <c r="D167" s="2" t="n">
        <v>8</v>
      </c>
    </row>
    <row r="168" ht="15" customHeight="1">
      <c r="A168" s="2" t="n">
        <v>57696</v>
      </c>
      <c r="B168" s="2" t="inlineStr">
        <is>
          <t>808KT-B   1 טייפ קינזיולוגי</t>
        </is>
      </c>
      <c r="C168" s="2" t="n">
        <v>0</v>
      </c>
      <c r="D168" s="2" t="n">
        <v>5</v>
      </c>
    </row>
    <row r="169" ht="15" customHeight="1">
      <c r="A169" s="2" t="n">
        <v>68751</v>
      </c>
      <c r="B169" s="2" t="inlineStr">
        <is>
          <t>388B R 1 סד לילה שחור לבוהן</t>
        </is>
      </c>
      <c r="C169" s="2" t="n">
        <v>0</v>
      </c>
      <c r="D169" s="2" t="n">
        <v>3</v>
      </c>
    </row>
    <row r="170" ht="15" customHeight="1">
      <c r="A170" s="2" t="n">
        <v>87819</v>
      </c>
      <c r="B170" s="2" t="inlineStr">
        <is>
          <t>ST433    H 1 מגן ברך עם ציר</t>
        </is>
      </c>
      <c r="C170" s="2" t="n">
        <v>0</v>
      </c>
      <c r="D170" s="2" t="n">
        <v>3</v>
      </c>
    </row>
    <row r="171" ht="15" customHeight="1">
      <c r="A171" s="2" t="n">
        <v>55066</v>
      </c>
      <c r="B171" s="2" t="inlineStr">
        <is>
          <t>URI 422EN M .1 מ.ברך+כר.סיל</t>
        </is>
      </c>
      <c r="C171" s="2" t="n">
        <v>0</v>
      </c>
      <c r="D171" s="2" t="n">
        <v>2</v>
      </c>
    </row>
    <row r="172" ht="15" customHeight="1">
      <c r="A172" s="2" t="n">
        <v>68750</v>
      </c>
      <c r="B172" s="2" t="inlineStr">
        <is>
          <t>388B L 1 סד לילה שחור לבוהן</t>
        </is>
      </c>
      <c r="C172" s="2" t="n">
        <v>0</v>
      </c>
      <c r="D172" s="2" t="n">
        <v>2</v>
      </c>
    </row>
    <row r="173" ht="15" customHeight="1">
      <c r="A173" s="2" t="n">
        <v>74848</v>
      </c>
      <c r="B173" s="2" t="inlineStr">
        <is>
          <t>URI 76 XL       1 מיישר כתף</t>
        </is>
      </c>
      <c r="C173" s="2" t="n">
        <v>0</v>
      </c>
      <c r="D173" s="2" t="n">
        <v>2</v>
      </c>
    </row>
    <row r="174" ht="15" customHeight="1">
      <c r="A174" s="2" t="n">
        <v>74988</v>
      </c>
      <c r="B174" s="2" t="inlineStr">
        <is>
          <t>URI T78 M            1 תומך</t>
        </is>
      </c>
      <c r="C174" s="2" t="n">
        <v>0</v>
      </c>
      <c r="D174" s="2" t="n">
        <v>2</v>
      </c>
    </row>
    <row r="175" ht="15" customHeight="1">
      <c r="A175" s="2" t="n">
        <v>28323</v>
      </c>
      <c r="B175" s="2" t="inlineStr">
        <is>
          <t>URI T33 XXL     1 סד לקרסול</t>
        </is>
      </c>
      <c r="C175" s="2" t="n">
        <v>0</v>
      </c>
      <c r="D175" s="2" t="n">
        <v>1</v>
      </c>
    </row>
    <row r="176" ht="15" customHeight="1">
      <c r="A176" s="2" t="n">
        <v>28331</v>
      </c>
      <c r="B176" s="2" t="inlineStr">
        <is>
          <t>URI T78 XXL 1 תומך זרוע כתף</t>
        </is>
      </c>
      <c r="C176" s="2" t="n">
        <v>0</v>
      </c>
      <c r="D176" s="2" t="n">
        <v>1</v>
      </c>
    </row>
    <row r="177" ht="15" customHeight="1">
      <c r="A177" s="2" t="n">
        <v>74686</v>
      </c>
      <c r="B177" s="2" t="inlineStr">
        <is>
          <t>URI 11 TO M         1 ח בטן</t>
        </is>
      </c>
      <c r="C177" s="2" t="n">
        <v>0</v>
      </c>
      <c r="D177" s="2" t="n">
        <v>1</v>
      </c>
    </row>
    <row r="178" ht="15" customHeight="1">
      <c r="A178" s="2" t="n">
        <v>74825</v>
      </c>
      <c r="B178" s="2" t="inlineStr">
        <is>
          <t>URI 59L XL 1 חגורת שבר צד ש</t>
        </is>
      </c>
      <c r="C178" s="2" t="n">
        <v>0</v>
      </c>
      <c r="D178" s="2" t="n">
        <v>1</v>
      </c>
    </row>
    <row r="179" ht="15" customHeight="1">
      <c r="A179" s="2" t="n">
        <v>74842</v>
      </c>
      <c r="B179" s="2" t="inlineStr">
        <is>
          <t>URI 74-L-XL    1 רצועה לשבר</t>
        </is>
      </c>
      <c r="C179" s="2" t="n">
        <v>0</v>
      </c>
      <c r="D179" s="2" t="n">
        <v>1</v>
      </c>
    </row>
    <row r="180" ht="15" customHeight="1">
      <c r="A180" s="2" t="n">
        <v>74919</v>
      </c>
      <c r="B180" s="2" t="inlineStr">
        <is>
          <t>URI T33 M       1 סד לקרסול</t>
        </is>
      </c>
      <c r="C180" s="2" t="n">
        <v>0</v>
      </c>
      <c r="D180" s="2" t="n">
        <v>1</v>
      </c>
    </row>
    <row r="181" ht="15" customHeight="1">
      <c r="A181" s="2" t="n">
        <v>82551</v>
      </c>
      <c r="B181" s="2" t="inlineStr">
        <is>
          <t>URI ST11        1 חגורת בטן</t>
        </is>
      </c>
      <c r="C181" s="2" t="n">
        <v>0</v>
      </c>
      <c r="D181" s="2" t="n">
        <v>1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2"/>
  <sheetViews>
    <sheetView rightToLeft="1" zoomScaleNormal="100" workbookViewId="0">
      <pane ySplit="2" topLeftCell="A3" activePane="bottomLeft" state="frozen"/>
      <selection pane="bottomLeft" activeCell="A1" sqref="A1"/>
    </sheetView>
  </sheetViews>
  <sheetFormatPr baseColWidth="8" defaultColWidth="8.5703125" defaultRowHeight="15"/>
  <cols>
    <col width="12" customWidth="1" min="1" max="1"/>
    <col width="32" customWidth="1" min="2" max="2"/>
    <col width="14" customWidth="1" min="3" max="4"/>
  </cols>
  <sheetData>
    <row r="1" ht="16.5" customHeight="1">
      <c r="A1" s="1" t="inlineStr">
        <is>
          <t>נתוני מקור - מאי (2025 מול 2026) - מקור: month-05.xlsx</t>
        </is>
      </c>
    </row>
    <row r="2" ht="15" customHeight="1">
      <c r="A2" s="22" t="inlineStr">
        <is>
          <t>קוד SKU</t>
        </is>
      </c>
      <c r="B2" s="22" t="inlineStr">
        <is>
          <t>שם מוצר</t>
        </is>
      </c>
      <c r="C2" s="22" t="inlineStr">
        <is>
          <t>יחידות מאי 2025</t>
        </is>
      </c>
      <c r="D2" s="22" t="inlineStr">
        <is>
          <t>יחידות מאי 2026</t>
        </is>
      </c>
    </row>
    <row r="3" ht="15" customHeight="1">
      <c r="A3" s="2" t="n">
        <v>82208</v>
      </c>
      <c r="B3" s="2" t="inlineStr">
        <is>
          <t>URI ST37      1 חבק לקרסול</t>
        </is>
      </c>
      <c r="C3" s="2" t="n">
        <v>2</v>
      </c>
      <c r="D3" s="2" t="n">
        <v>23</v>
      </c>
    </row>
    <row r="4" ht="15" customHeight="1">
      <c r="A4" s="2" t="n">
        <v>83420</v>
      </c>
      <c r="B4" s="2" t="inlineStr">
        <is>
          <t>URI ST4221 מגן ברך +כ סיליק</t>
        </is>
      </c>
      <c r="C4" s="2" t="n">
        <v>2</v>
      </c>
      <c r="D4" s="2" t="n">
        <v>17</v>
      </c>
    </row>
    <row r="5" ht="15" customHeight="1">
      <c r="A5" s="2" t="n">
        <v>57696</v>
      </c>
      <c r="B5" s="2" t="inlineStr">
        <is>
          <t>808KT-B   1 טייפ קינזיולוגי</t>
        </is>
      </c>
      <c r="C5" s="2" t="n">
        <v>2</v>
      </c>
      <c r="D5" s="2" t="n">
        <v>14</v>
      </c>
    </row>
    <row r="6" ht="15" customHeight="1">
      <c r="A6" s="2" t="n">
        <v>82202</v>
      </c>
      <c r="B6" s="2" t="inlineStr">
        <is>
          <t>ST91       1 מגן מרפק לטניס</t>
        </is>
      </c>
      <c r="C6" s="2" t="n">
        <v>4</v>
      </c>
      <c r="D6" s="2" t="n">
        <v>25</v>
      </c>
    </row>
    <row r="7" ht="15" customHeight="1">
      <c r="A7" s="2" t="n">
        <v>82206</v>
      </c>
      <c r="B7" s="2" t="inlineStr">
        <is>
          <t>ST25     1 חבק לשורש כף היד</t>
        </is>
      </c>
      <c r="C7" s="2" t="n">
        <v>10</v>
      </c>
      <c r="D7" s="2" t="n">
        <v>61</v>
      </c>
    </row>
    <row r="8" ht="15" customHeight="1">
      <c r="A8" s="2" t="n">
        <v>82207</v>
      </c>
      <c r="B8" s="2" t="inlineStr">
        <is>
          <t>ST20               1 חבק יד</t>
        </is>
      </c>
      <c r="C8" s="2" t="n">
        <v>4</v>
      </c>
      <c r="D8" s="2" t="n">
        <v>24</v>
      </c>
    </row>
    <row r="9" ht="15" customHeight="1">
      <c r="A9" s="2" t="n">
        <v>57662</v>
      </c>
      <c r="B9" s="2" t="inlineStr">
        <is>
          <t>808KT-P   1 טייפ קינזיולוגי</t>
        </is>
      </c>
      <c r="C9" s="2" t="n">
        <v>2</v>
      </c>
      <c r="D9" s="2" t="n">
        <v>10</v>
      </c>
    </row>
    <row r="10" ht="15" customHeight="1">
      <c r="A10" s="2" t="n">
        <v>75764</v>
      </c>
      <c r="B10" s="2" t="inlineStr">
        <is>
          <t>URI 16 XXL    1 חגורת הריון</t>
        </is>
      </c>
      <c r="C10" s="2" t="n">
        <v>1</v>
      </c>
      <c r="D10" s="2" t="n">
        <v>5</v>
      </c>
    </row>
    <row r="11" ht="15" customHeight="1">
      <c r="A11" s="2" t="n">
        <v>63417</v>
      </c>
      <c r="B11" s="2" t="inlineStr">
        <is>
          <t>URI 87 M1 חגו.לקיבוע תמ.אמה</t>
        </is>
      </c>
      <c r="C11" s="2" t="n">
        <v>2</v>
      </c>
      <c r="D11" s="2" t="n">
        <v>9</v>
      </c>
    </row>
    <row r="12" ht="15" customHeight="1">
      <c r="A12" s="2" t="n">
        <v>19083</v>
      </c>
      <c r="B12" s="2" t="inlineStr">
        <is>
          <t>URI 40    1 רצועת פיקה לברך</t>
        </is>
      </c>
      <c r="C12" s="2" t="n">
        <v>1</v>
      </c>
      <c r="D12" s="2" t="n">
        <v>4</v>
      </c>
    </row>
    <row r="13" ht="15" customHeight="1">
      <c r="A13" s="2" t="n">
        <v>68750</v>
      </c>
      <c r="B13" s="2" t="inlineStr">
        <is>
          <t>388B L 1 סד לילה שחור לבוהן</t>
        </is>
      </c>
      <c r="C13" s="2" t="n">
        <v>1</v>
      </c>
      <c r="D13" s="2" t="n">
        <v>4</v>
      </c>
    </row>
    <row r="14" ht="15" customHeight="1">
      <c r="A14" s="2" t="n">
        <v>57664</v>
      </c>
      <c r="B14" s="2" t="inlineStr">
        <is>
          <t>808KT-BL  1 טייפ קינזיולוגי</t>
        </is>
      </c>
      <c r="C14" s="2" t="n">
        <v>4</v>
      </c>
      <c r="D14" s="2" t="n">
        <v>14</v>
      </c>
    </row>
    <row r="15" ht="15" customHeight="1">
      <c r="A15" s="2" t="n">
        <v>87819</v>
      </c>
      <c r="B15" s="2" t="inlineStr">
        <is>
          <t>ST433    H 1 מגן ברך עם ציר</t>
        </is>
      </c>
      <c r="C15" s="2" t="n">
        <v>2</v>
      </c>
      <c r="D15" s="2" t="n">
        <v>7</v>
      </c>
    </row>
    <row r="16" ht="15" customHeight="1">
      <c r="A16" s="2" t="n">
        <v>82213</v>
      </c>
      <c r="B16" s="2" t="inlineStr">
        <is>
          <t>ST28  1 סט אגודלי+מוט תמיכה</t>
        </is>
      </c>
      <c r="C16" s="2" t="n">
        <v>7</v>
      </c>
      <c r="D16" s="2" t="n">
        <v>24</v>
      </c>
    </row>
    <row r="17" ht="15" customHeight="1">
      <c r="A17" s="2" t="n">
        <v>29881</v>
      </c>
      <c r="B17" s="2" t="inlineStr">
        <is>
          <t>URI 34 XXL 1 מגן קרסול סגור</t>
        </is>
      </c>
      <c r="C17" s="2" t="n">
        <v>3</v>
      </c>
      <c r="D17" s="2" t="n">
        <v>10</v>
      </c>
    </row>
    <row r="18" ht="15" customHeight="1">
      <c r="A18" s="2" t="n">
        <v>64635</v>
      </c>
      <c r="B18" s="2" t="inlineStr">
        <is>
          <t>URI 390B 43-46   1 גרבי כסף</t>
        </is>
      </c>
      <c r="C18" s="2" t="n">
        <v>1</v>
      </c>
      <c r="D18" s="2" t="n">
        <v>3</v>
      </c>
    </row>
    <row r="19" ht="15" customHeight="1">
      <c r="A19" s="2" t="n">
        <v>75763</v>
      </c>
      <c r="B19" s="2" t="inlineStr">
        <is>
          <t>URI 16 S-M    1 חגורת הריון</t>
        </is>
      </c>
      <c r="C19" s="2" t="n">
        <v>1</v>
      </c>
      <c r="D19" s="2" t="n">
        <v>3</v>
      </c>
    </row>
    <row r="20" ht="15" customHeight="1">
      <c r="A20" s="2" t="n">
        <v>66745</v>
      </c>
      <c r="B20" s="2" t="inlineStr">
        <is>
          <t xml:space="preserve">                       1 תרסיס דיאו.אנטי בקטר.לנעל</t>
        </is>
      </c>
      <c r="C20" s="2" t="n">
        <v>15</v>
      </c>
      <c r="D20" s="2" t="n">
        <v>42</v>
      </c>
    </row>
    <row r="21" ht="15" customHeight="1">
      <c r="A21" s="2" t="n">
        <v>52147</v>
      </c>
      <c r="B21" s="2" t="inlineStr">
        <is>
          <t>URI FC321  1 מלח אמבט לכף ר</t>
        </is>
      </c>
      <c r="C21" s="2" t="n">
        <v>10</v>
      </c>
      <c r="D21" s="2" t="n">
        <v>26</v>
      </c>
    </row>
    <row r="22" ht="15" customHeight="1">
      <c r="A22" s="2" t="n">
        <v>67935</v>
      </c>
      <c r="B22" s="2" t="inlineStr">
        <is>
          <t>URI 45 S          1 מגן ברך</t>
        </is>
      </c>
      <c r="C22" s="2" t="n">
        <v>8</v>
      </c>
      <c r="D22" s="2" t="n">
        <v>19</v>
      </c>
    </row>
    <row r="23" ht="15" customHeight="1">
      <c r="A23" s="2" t="n">
        <v>35339</v>
      </c>
      <c r="B23" s="2" t="inlineStr">
        <is>
          <t>URI 307 S 1 זוג עקב סיל+נ כ</t>
        </is>
      </c>
      <c r="C23" s="2" t="n">
        <v>3</v>
      </c>
      <c r="D23" s="2" t="n">
        <v>7</v>
      </c>
    </row>
    <row r="24" ht="15" customHeight="1">
      <c r="A24" s="2" t="n">
        <v>42964</v>
      </c>
      <c r="B24" s="2" t="inlineStr">
        <is>
          <t>URI 45E  1 מגן ברך ארוך לבן</t>
        </is>
      </c>
      <c r="C24" s="2" t="n">
        <v>4</v>
      </c>
      <c r="D24" s="2" t="n">
        <v>9</v>
      </c>
    </row>
    <row r="25" ht="15" customHeight="1">
      <c r="A25" s="2" t="n">
        <v>46306</v>
      </c>
      <c r="B25" s="2" t="inlineStr">
        <is>
          <t>STRAP4U 239B S-M 1</t>
        </is>
      </c>
      <c r="C25" s="2" t="n">
        <v>1</v>
      </c>
      <c r="D25" s="2" t="n">
        <v>2</v>
      </c>
    </row>
    <row r="26" ht="15" customHeight="1">
      <c r="A26" s="2" t="n">
        <v>63416</v>
      </c>
      <c r="B26" s="2" t="inlineStr">
        <is>
          <t>URI 85 XL        1 מתלה ליד</t>
        </is>
      </c>
      <c r="C26" s="2" t="n">
        <v>7</v>
      </c>
      <c r="D26" s="2" t="n">
        <v>14</v>
      </c>
    </row>
    <row r="27" ht="15" customHeight="1">
      <c r="A27" s="2" t="n">
        <v>67053</v>
      </c>
      <c r="B27" s="2" t="inlineStr">
        <is>
          <t>URI 34 XS  1 מגן קרסול סגור</t>
        </is>
      </c>
      <c r="C27" s="2" t="n">
        <v>1</v>
      </c>
      <c r="D27" s="2" t="n">
        <v>2</v>
      </c>
    </row>
    <row r="28" ht="15" customHeight="1">
      <c r="A28" s="2" t="n">
        <v>88475</v>
      </c>
      <c r="B28" s="2" t="inlineStr">
        <is>
          <t>URI LF371 0 1 ריפוד סיליקון</t>
        </is>
      </c>
      <c r="C28" s="2" t="n">
        <v>1</v>
      </c>
      <c r="D28" s="2" t="n">
        <v>2</v>
      </c>
    </row>
    <row r="29" ht="15" customHeight="1">
      <c r="A29" s="2" t="n">
        <v>23008</v>
      </c>
      <c r="B29" s="2" t="inlineStr">
        <is>
          <t>URI 364 XL 1</t>
        </is>
      </c>
      <c r="C29" s="2" t="n">
        <v>21</v>
      </c>
      <c r="D29" s="2" t="n">
        <v>39</v>
      </c>
    </row>
    <row r="30" ht="15" customHeight="1">
      <c r="A30" s="2" t="n">
        <v>16214</v>
      </c>
      <c r="B30" s="2" t="inlineStr">
        <is>
          <t>394-G-35-31 גרבי קיץ לסוכרת</t>
        </is>
      </c>
      <c r="C30" s="2" t="n">
        <v>4</v>
      </c>
      <c r="D30" s="2" t="n">
        <v>7</v>
      </c>
    </row>
    <row r="31" ht="15" customHeight="1">
      <c r="A31" s="2" t="n">
        <v>88477</v>
      </c>
      <c r="B31" s="2" t="inlineStr">
        <is>
          <t>URI LF374 0 1 ריפוד סיליקון</t>
        </is>
      </c>
      <c r="C31" s="2" t="n">
        <v>4</v>
      </c>
      <c r="D31" s="2" t="n">
        <v>7</v>
      </c>
    </row>
    <row r="32" ht="15" customHeight="1">
      <c r="A32" s="2" t="n">
        <v>51568</v>
      </c>
      <c r="B32" s="2" t="inlineStr">
        <is>
          <t xml:space="preserve">                                       1 סד לאגודל</t>
        </is>
      </c>
      <c r="C32" s="2" t="n">
        <v>37</v>
      </c>
      <c r="D32" s="2" t="n">
        <v>64</v>
      </c>
    </row>
    <row r="33" ht="15" customHeight="1">
      <c r="A33" s="2" t="n">
        <v>67960</v>
      </c>
      <c r="B33" s="2" t="inlineStr">
        <is>
          <t>URI 85 S        1 מיתלה ליד</t>
        </is>
      </c>
      <c r="C33" s="2" t="n">
        <v>9</v>
      </c>
      <c r="D33" s="2" t="n">
        <v>15</v>
      </c>
    </row>
    <row r="34" ht="15" customHeight="1">
      <c r="A34" s="2" t="n">
        <v>65241</v>
      </c>
      <c r="B34" s="2" t="inlineStr">
        <is>
          <t>URI M35     1 מגן קרסול לבן</t>
        </is>
      </c>
      <c r="C34" s="2" t="n">
        <v>16</v>
      </c>
      <c r="D34" s="2" t="n">
        <v>26</v>
      </c>
    </row>
    <row r="35" ht="15" customHeight="1">
      <c r="A35" s="2" t="n">
        <v>67957</v>
      </c>
      <c r="B35" s="2" t="inlineStr">
        <is>
          <t>URI 95 S         1 מגן מרפק</t>
        </is>
      </c>
      <c r="C35" s="2" t="n">
        <v>15</v>
      </c>
      <c r="D35" s="2" t="n">
        <v>24</v>
      </c>
    </row>
    <row r="36" ht="15" customHeight="1">
      <c r="A36" s="2" t="n">
        <v>63415</v>
      </c>
      <c r="B36" s="2" t="inlineStr">
        <is>
          <t>URI 85 L         1 מתלה ליד</t>
        </is>
      </c>
      <c r="C36" s="2" t="n">
        <v>21</v>
      </c>
      <c r="D36" s="2" t="n">
        <v>32</v>
      </c>
    </row>
    <row r="37" ht="15" customHeight="1">
      <c r="A37" s="2" t="n">
        <v>16217</v>
      </c>
      <c r="B37" s="2" t="inlineStr">
        <is>
          <t>394G-39-421 גרבי קיץ לסוכרת</t>
        </is>
      </c>
      <c r="C37" s="2" t="n">
        <v>2</v>
      </c>
      <c r="D37" s="2" t="n">
        <v>3</v>
      </c>
    </row>
    <row r="38" ht="15" customHeight="1">
      <c r="A38" s="2" t="n">
        <v>60474</v>
      </c>
      <c r="B38" s="2" t="inlineStr">
        <is>
          <t>URI PD3421 פומפיה להסרת עור</t>
        </is>
      </c>
      <c r="C38" s="2" t="n">
        <v>8</v>
      </c>
      <c r="D38" s="2" t="n">
        <v>12</v>
      </c>
    </row>
    <row r="39" ht="15" customHeight="1">
      <c r="A39" s="2" t="n">
        <v>74763</v>
      </c>
      <c r="B39" s="2" t="inlineStr">
        <is>
          <t>URI 34+ M       1 מגן קרסול</t>
        </is>
      </c>
      <c r="C39" s="2" t="n">
        <v>8</v>
      </c>
      <c r="D39" s="2" t="n">
        <v>12</v>
      </c>
    </row>
    <row r="40" ht="15" customHeight="1">
      <c r="A40" s="2" t="n">
        <v>63422</v>
      </c>
      <c r="B40" s="2" t="inlineStr">
        <is>
          <t>URI 95 XL        1 מגן מרפק</t>
        </is>
      </c>
      <c r="C40" s="2" t="n">
        <v>5</v>
      </c>
      <c r="D40" s="2" t="n">
        <v>7</v>
      </c>
    </row>
    <row r="41" ht="15" customHeight="1">
      <c r="A41" s="2" t="n">
        <v>16211</v>
      </c>
      <c r="B41" s="2" t="inlineStr">
        <is>
          <t>394B-35-381 גרבי קיץ לסוכרת</t>
        </is>
      </c>
      <c r="C41" s="2" t="n">
        <v>6</v>
      </c>
      <c r="D41" s="2" t="n">
        <v>8</v>
      </c>
    </row>
    <row r="42" ht="15" customHeight="1">
      <c r="A42" s="2" t="n">
        <v>74847</v>
      </c>
      <c r="B42" s="2" t="inlineStr">
        <is>
          <t>URI 76 M        1 מיישר כתף</t>
        </is>
      </c>
      <c r="C42" s="2" t="n">
        <v>3</v>
      </c>
      <c r="D42" s="2" t="n">
        <v>4</v>
      </c>
    </row>
    <row r="43" ht="15" customHeight="1">
      <c r="A43" s="2" t="n">
        <v>21003</v>
      </c>
      <c r="B43" s="2" t="inlineStr">
        <is>
          <t>URI 45 XXL        1 מגן ברך</t>
        </is>
      </c>
      <c r="C43" s="2" t="n">
        <v>13</v>
      </c>
      <c r="D43" s="2" t="n">
        <v>17</v>
      </c>
    </row>
    <row r="44" ht="15" customHeight="1">
      <c r="A44" s="2" t="n">
        <v>80668</v>
      </c>
      <c r="B44" s="2" t="inlineStr">
        <is>
          <t>URI 320 BLISTER PLASTER 1</t>
        </is>
      </c>
      <c r="C44" s="2" t="n">
        <v>10</v>
      </c>
      <c r="D44" s="2" t="n">
        <v>13</v>
      </c>
    </row>
    <row r="45" ht="15" customHeight="1">
      <c r="A45" s="2" t="n">
        <v>71087</v>
      </c>
      <c r="B45" s="2" t="inlineStr">
        <is>
          <t>URI 078L 1</t>
        </is>
      </c>
      <c r="C45" s="2" t="n">
        <v>14</v>
      </c>
      <c r="D45" s="2" t="n">
        <v>18</v>
      </c>
    </row>
    <row r="46" ht="15" customHeight="1">
      <c r="A46" s="2" t="n">
        <v>76453</v>
      </c>
      <c r="B46" s="2" t="inlineStr">
        <is>
          <t>URI 3675 1 מגן זרת מסיליקון</t>
        </is>
      </c>
      <c r="C46" s="2" t="n">
        <v>7</v>
      </c>
      <c r="D46" s="2" t="n">
        <v>9</v>
      </c>
    </row>
    <row r="47" ht="15" customHeight="1">
      <c r="A47" s="2" t="n">
        <v>52328</v>
      </c>
      <c r="B47" s="2" t="inlineStr">
        <is>
          <t>URI 078G XL 1 חגורת גב אפור</t>
        </is>
      </c>
      <c r="C47" s="2" t="n">
        <v>16</v>
      </c>
      <c r="D47" s="2" t="n">
        <v>20</v>
      </c>
    </row>
    <row r="48" ht="15" customHeight="1">
      <c r="A48" s="2" t="n">
        <v>85165</v>
      </c>
      <c r="B48" s="2" t="inlineStr">
        <is>
          <t>URI 307 XL  1 כרית סיל.לעקב</t>
        </is>
      </c>
      <c r="C48" s="2" t="n">
        <v>8</v>
      </c>
      <c r="D48" s="2" t="n">
        <v>10</v>
      </c>
    </row>
    <row r="49" ht="15" customHeight="1">
      <c r="A49" s="2" t="n">
        <v>74800</v>
      </c>
      <c r="B49" s="2" t="inlineStr">
        <is>
          <t>URI 45E M    1 מגן ברך ארוך</t>
        </is>
      </c>
      <c r="C49" s="2" t="n">
        <v>26</v>
      </c>
      <c r="D49" s="2" t="n">
        <v>32</v>
      </c>
    </row>
    <row r="50" ht="15" customHeight="1">
      <c r="A50" s="2" t="n">
        <v>8618</v>
      </c>
      <c r="B50" s="2" t="inlineStr">
        <is>
          <t>URI 311         1 מדבקת ג'ל</t>
        </is>
      </c>
      <c r="C50" s="2" t="n">
        <v>18</v>
      </c>
      <c r="D50" s="2" t="n">
        <v>22</v>
      </c>
    </row>
    <row r="51" ht="15" customHeight="1">
      <c r="A51" s="2" t="n">
        <v>59659</v>
      </c>
      <c r="B51" s="2" t="inlineStr">
        <is>
          <t>URI 369 S-L 1</t>
        </is>
      </c>
      <c r="C51" s="2" t="n">
        <v>15</v>
      </c>
      <c r="D51" s="2" t="n">
        <v>18</v>
      </c>
    </row>
    <row r="52" ht="15" customHeight="1">
      <c r="A52" s="2" t="n">
        <v>74683</v>
      </c>
      <c r="B52" s="2" t="inlineStr">
        <is>
          <t>URI 11 M    1 ח.בטן אורירית</t>
        </is>
      </c>
      <c r="C52" s="2" t="n">
        <v>5</v>
      </c>
      <c r="D52" s="2" t="n">
        <v>6</v>
      </c>
    </row>
    <row r="53" ht="15" customHeight="1">
      <c r="A53" s="2" t="n">
        <v>65243</v>
      </c>
      <c r="B53" s="2" t="inlineStr">
        <is>
          <t>URI XL35    1 מגן קרסול לבן</t>
        </is>
      </c>
      <c r="C53" s="2" t="n">
        <v>17</v>
      </c>
      <c r="D53" s="2" t="n">
        <v>20</v>
      </c>
    </row>
    <row r="54" ht="15" customHeight="1">
      <c r="A54" s="2" t="n">
        <v>71683</v>
      </c>
      <c r="B54" s="2" t="inlineStr">
        <is>
          <t>URI S 3622 1 מדבקה לשחרור ל</t>
        </is>
      </c>
      <c r="C54" s="2" t="n">
        <v>6</v>
      </c>
      <c r="D54" s="2" t="n">
        <v>7</v>
      </c>
    </row>
    <row r="55" ht="15" customHeight="1">
      <c r="A55" s="2" t="n">
        <v>9772</v>
      </c>
      <c r="B55" s="2" t="inlineStr">
        <is>
          <t>URI 307 L 1 זוג עקב סיל+נ כ</t>
        </is>
      </c>
      <c r="C55" s="2" t="n">
        <v>21</v>
      </c>
      <c r="D55" s="2" t="n">
        <v>23</v>
      </c>
    </row>
    <row r="56" ht="15" customHeight="1">
      <c r="A56" s="2" t="n">
        <v>52323</v>
      </c>
      <c r="B56" s="2" t="inlineStr">
        <is>
          <t>URI 078G L 1 חגורת גב אפורה</t>
        </is>
      </c>
      <c r="C56" s="2" t="n">
        <v>26</v>
      </c>
      <c r="D56" s="2" t="n">
        <v>28</v>
      </c>
    </row>
    <row r="57" ht="15" customHeight="1">
      <c r="A57" s="2" t="n">
        <v>60472</v>
      </c>
      <c r="B57" s="2" t="inlineStr">
        <is>
          <t>URI PD340  1 קוצץ ציפורניים</t>
        </is>
      </c>
      <c r="C57" s="2" t="n">
        <v>39</v>
      </c>
      <c r="D57" s="2" t="n">
        <v>41</v>
      </c>
    </row>
    <row r="58" ht="15" customHeight="1">
      <c r="A58" s="2" t="n">
        <v>74799</v>
      </c>
      <c r="B58" s="2" t="inlineStr">
        <is>
          <t>URI 45E L1 מגן ברך ארוך לבן</t>
        </is>
      </c>
      <c r="C58" s="2" t="n">
        <v>31</v>
      </c>
      <c r="D58" s="2" t="n">
        <v>32</v>
      </c>
    </row>
    <row r="59" ht="15" customHeight="1">
      <c r="A59" s="2" t="n">
        <v>74709</v>
      </c>
      <c r="B59" s="2" t="inlineStr">
        <is>
          <t>URI 21 M      1 חבק יד ארוך</t>
        </is>
      </c>
      <c r="C59" s="2" t="n">
        <v>37</v>
      </c>
      <c r="D59" s="2" t="n">
        <v>38</v>
      </c>
    </row>
    <row r="60" ht="15" customHeight="1">
      <c r="A60" s="2" t="n">
        <v>21004</v>
      </c>
      <c r="B60" s="2" t="inlineStr">
        <is>
          <t>URI 45E XXL  1 מגן ברך ארוך</t>
        </is>
      </c>
      <c r="C60" s="2" t="n">
        <v>7</v>
      </c>
      <c r="D60" s="2" t="n">
        <v>7</v>
      </c>
    </row>
    <row r="61" ht="15" customHeight="1">
      <c r="A61" s="2" t="n">
        <v>50055</v>
      </c>
      <c r="B61" s="2" t="inlineStr">
        <is>
          <t>URI 74    1 רצועה לשבר בעצם</t>
        </is>
      </c>
      <c r="C61" s="2" t="n">
        <v>1</v>
      </c>
      <c r="D61" s="2" t="n">
        <v>1</v>
      </c>
    </row>
    <row r="62" ht="15" customHeight="1">
      <c r="A62" s="2" t="n">
        <v>59656</v>
      </c>
      <c r="B62" s="2" t="inlineStr">
        <is>
          <t>URI 362 L R 1</t>
        </is>
      </c>
      <c r="C62" s="2" t="n">
        <v>16</v>
      </c>
      <c r="D62" s="2" t="n">
        <v>16</v>
      </c>
    </row>
    <row r="63" ht="15" customHeight="1">
      <c r="A63" s="2" t="n">
        <v>60485</v>
      </c>
      <c r="B63" s="2" t="inlineStr">
        <is>
          <t>URI 369 XL 1</t>
        </is>
      </c>
      <c r="C63" s="2" t="n">
        <v>26</v>
      </c>
      <c r="D63" s="2" t="n">
        <v>26</v>
      </c>
    </row>
    <row r="64" ht="15" customHeight="1">
      <c r="A64" s="2" t="n">
        <v>61962</v>
      </c>
      <c r="B64" s="2" t="inlineStr">
        <is>
          <t>URI 3677 1 מדבקה לשחרור לחץ</t>
        </is>
      </c>
      <c r="C64" s="2" t="n">
        <v>9</v>
      </c>
      <c r="D64" s="2" t="n">
        <v>9</v>
      </c>
    </row>
    <row r="65" ht="15" customHeight="1">
      <c r="A65" s="2" t="n">
        <v>63361</v>
      </c>
      <c r="B65" s="2" t="inlineStr">
        <is>
          <t>URI 45 XL         1 מגן ברך</t>
        </is>
      </c>
      <c r="C65" s="2" t="n">
        <v>35</v>
      </c>
      <c r="D65" s="2" t="n">
        <v>35</v>
      </c>
    </row>
    <row r="66" ht="15" customHeight="1">
      <c r="A66" s="2" t="n">
        <v>63367</v>
      </c>
      <c r="B66" s="2" t="inlineStr">
        <is>
          <t>URI 34 L 1 מגן קרסול ס.בעקב</t>
        </is>
      </c>
      <c r="C66" s="2" t="n">
        <v>34</v>
      </c>
      <c r="D66" s="2" t="n">
        <v>34</v>
      </c>
    </row>
    <row r="67" ht="15" customHeight="1">
      <c r="A67" s="2" t="n">
        <v>63406</v>
      </c>
      <c r="B67" s="2" t="inlineStr">
        <is>
          <t>URI 11U L 1 ח בטן אחר ניתוח</t>
        </is>
      </c>
      <c r="C67" s="2" t="n">
        <v>1</v>
      </c>
      <c r="D67" s="2" t="n">
        <v>1</v>
      </c>
    </row>
    <row r="68" ht="15" customHeight="1">
      <c r="A68" s="2" t="n">
        <v>63419</v>
      </c>
      <c r="B68" s="2" t="inlineStr">
        <is>
          <t>URI 87 XL1 חגו.קיבוע תמ.אמה</t>
        </is>
      </c>
      <c r="C68" s="2" t="n">
        <v>2</v>
      </c>
      <c r="D68" s="2" t="n">
        <v>2</v>
      </c>
    </row>
    <row r="69" ht="15" customHeight="1">
      <c r="A69" s="2" t="n">
        <v>63449</v>
      </c>
      <c r="B69" s="2" t="inlineStr">
        <is>
          <t>URI 40221 רצועה לפיקה +כרית</t>
        </is>
      </c>
      <c r="C69" s="2" t="n">
        <v>4</v>
      </c>
      <c r="D69" s="2" t="n">
        <v>4</v>
      </c>
    </row>
    <row r="70" ht="15" customHeight="1">
      <c r="A70" s="2" t="n">
        <v>64630</v>
      </c>
      <c r="B70" s="2" t="inlineStr">
        <is>
          <t>URI 390W 35-38   1 גרבי כסף</t>
        </is>
      </c>
      <c r="C70" s="2" t="n">
        <v>1</v>
      </c>
      <c r="D70" s="2" t="n">
        <v>1</v>
      </c>
    </row>
    <row r="71" ht="15" customHeight="1">
      <c r="A71" s="2" t="n">
        <v>64631</v>
      </c>
      <c r="B71" s="2" t="inlineStr">
        <is>
          <t>URI 390W 39-42   1 גרבי כסף</t>
        </is>
      </c>
      <c r="C71" s="2" t="n">
        <v>2</v>
      </c>
      <c r="D71" s="2" t="n">
        <v>2</v>
      </c>
    </row>
    <row r="72" ht="15" customHeight="1">
      <c r="A72" s="2" t="n">
        <v>64634</v>
      </c>
      <c r="B72" s="2" t="inlineStr">
        <is>
          <t>URI 390B 39-42   1 גרבי כסף</t>
        </is>
      </c>
      <c r="C72" s="2" t="n">
        <v>3</v>
      </c>
      <c r="D72" s="2" t="n">
        <v>3</v>
      </c>
    </row>
    <row r="73" ht="15" customHeight="1">
      <c r="A73" s="2" t="n">
        <v>65743</v>
      </c>
      <c r="B73" s="2" t="inlineStr">
        <is>
          <t>URI LF 360   1 מדרס מטטרזלי</t>
        </is>
      </c>
      <c r="C73" s="2" t="n">
        <v>3</v>
      </c>
      <c r="D73" s="2" t="n">
        <v>3</v>
      </c>
    </row>
    <row r="74" ht="15" customHeight="1">
      <c r="A74" s="2" t="n">
        <v>67898</v>
      </c>
      <c r="B74" s="2" t="inlineStr">
        <is>
          <t>חגורה למנותחי בית חזה</t>
        </is>
      </c>
      <c r="C74" s="2" t="n">
        <v>1</v>
      </c>
      <c r="D74" s="2" t="n">
        <v>1</v>
      </c>
    </row>
    <row r="75" ht="15" customHeight="1">
      <c r="A75" s="2" t="n">
        <v>74671</v>
      </c>
      <c r="B75" s="2" t="inlineStr">
        <is>
          <t>URI 07AU M   1 ח גב איטלקית</t>
        </is>
      </c>
      <c r="C75" s="2" t="n">
        <v>2</v>
      </c>
      <c r="D75" s="2" t="n">
        <v>2</v>
      </c>
    </row>
    <row r="76" ht="15" customHeight="1">
      <c r="A76" s="2" t="n">
        <v>74672</v>
      </c>
      <c r="B76" s="2" t="inlineStr">
        <is>
          <t>URI 07AU XL  1 ח.גב איטלקית</t>
        </is>
      </c>
      <c r="C76" s="2" t="n">
        <v>5</v>
      </c>
      <c r="D76" s="2" t="n">
        <v>5</v>
      </c>
    </row>
    <row r="77" ht="15" customHeight="1">
      <c r="A77" s="2" t="n">
        <v>74684</v>
      </c>
      <c r="B77" s="2" t="inlineStr">
        <is>
          <t>URI 11 XL   1 ח.בטן אורירית</t>
        </is>
      </c>
      <c r="C77" s="2" t="n">
        <v>11</v>
      </c>
      <c r="D77" s="2" t="n">
        <v>11</v>
      </c>
    </row>
    <row r="78" ht="15" customHeight="1">
      <c r="A78" s="2" t="n">
        <v>74764</v>
      </c>
      <c r="B78" s="2" t="inlineStr">
        <is>
          <t>URI 34+ XL      1 מגן קרסול</t>
        </is>
      </c>
      <c r="C78" s="2" t="n">
        <v>4</v>
      </c>
      <c r="D78" s="2" t="n">
        <v>4</v>
      </c>
    </row>
    <row r="79" ht="15" customHeight="1">
      <c r="A79" s="2" t="n">
        <v>74805</v>
      </c>
      <c r="B79" s="2" t="inlineStr">
        <is>
          <t>URI 49 L          1 מגן ירך</t>
        </is>
      </c>
      <c r="C79" s="2" t="n">
        <v>1</v>
      </c>
      <c r="D79" s="2" t="n">
        <v>1</v>
      </c>
    </row>
    <row r="80" ht="15" customHeight="1">
      <c r="A80" s="2" t="n">
        <v>74820</v>
      </c>
      <c r="B80" s="2" t="inlineStr">
        <is>
          <t>URI 59R L.1 חגורת שבר לצד י</t>
        </is>
      </c>
      <c r="C80" s="2" t="n">
        <v>1</v>
      </c>
      <c r="D80" s="2" t="n">
        <v>1</v>
      </c>
    </row>
    <row r="81" ht="15" customHeight="1">
      <c r="A81" s="2" t="n">
        <v>74846</v>
      </c>
      <c r="B81" s="2" t="inlineStr">
        <is>
          <t>URI 76 L        1 מיישר כתף</t>
        </is>
      </c>
      <c r="C81" s="2" t="n">
        <v>2</v>
      </c>
      <c r="D81" s="2" t="n">
        <v>2</v>
      </c>
    </row>
    <row r="82" ht="15" customHeight="1">
      <c r="A82" s="2" t="n">
        <v>74918</v>
      </c>
      <c r="B82" s="2" t="inlineStr">
        <is>
          <t>URI T33 L       1 סד לקרסול</t>
        </is>
      </c>
      <c r="C82" s="2" t="n">
        <v>2</v>
      </c>
      <c r="D82" s="2" t="n">
        <v>2</v>
      </c>
    </row>
    <row r="83" ht="15" customHeight="1">
      <c r="A83" s="2" t="n">
        <v>74920</v>
      </c>
      <c r="B83" s="2" t="inlineStr">
        <is>
          <t>URI T33 XL      1 סד לקרסול</t>
        </is>
      </c>
      <c r="C83" s="2" t="n">
        <v>1</v>
      </c>
      <c r="D83" s="2" t="n">
        <v>1</v>
      </c>
    </row>
    <row r="84" ht="15" customHeight="1">
      <c r="A84" s="2" t="n">
        <v>82551</v>
      </c>
      <c r="B84" s="2" t="inlineStr">
        <is>
          <t>URI ST11        1 חגורת בטן</t>
        </is>
      </c>
      <c r="C84" s="2" t="n">
        <v>1</v>
      </c>
      <c r="D84" s="2" t="n">
        <v>1</v>
      </c>
    </row>
    <row r="85" ht="15" customHeight="1">
      <c r="A85" s="2" t="n">
        <v>85338</v>
      </c>
      <c r="B85" s="2" t="inlineStr">
        <is>
          <t>URI 302W 0     1 מדרס לאישה</t>
        </is>
      </c>
      <c r="C85" s="2" t="n">
        <v>18</v>
      </c>
      <c r="D85" s="2" t="n">
        <v>18</v>
      </c>
    </row>
    <row r="86" ht="15" customHeight="1">
      <c r="A86" s="2" t="n">
        <v>86583</v>
      </c>
      <c r="B86" s="2" t="inlineStr">
        <is>
          <t>URI 87 XXL   1 מקבע כתף ויד</t>
        </is>
      </c>
      <c r="C86" s="2" t="n">
        <v>1</v>
      </c>
      <c r="D86" s="2" t="n">
        <v>1</v>
      </c>
    </row>
    <row r="87" ht="15" customHeight="1">
      <c r="A87" s="2" t="n">
        <v>51567</v>
      </c>
      <c r="B87" s="2" t="inlineStr">
        <is>
          <t xml:space="preserve">                                   1 סד יד דו צדדי</t>
        </is>
      </c>
      <c r="C87" s="2" t="n">
        <v>157</v>
      </c>
      <c r="D87" s="2" t="n">
        <v>156</v>
      </c>
    </row>
    <row r="88" ht="15" customHeight="1">
      <c r="A88" s="2" t="n">
        <v>74708</v>
      </c>
      <c r="B88" s="2" t="inlineStr">
        <is>
          <t>URI 21 L      1 חבק יד ארוך</t>
        </is>
      </c>
      <c r="C88" s="2" t="n">
        <v>33</v>
      </c>
      <c r="D88" s="2" t="n">
        <v>32</v>
      </c>
    </row>
    <row r="89" ht="15" customHeight="1">
      <c r="A89" s="2" t="n">
        <v>63420</v>
      </c>
      <c r="B89" s="2" t="inlineStr">
        <is>
          <t>URI 95 M         1 מגן מרפק</t>
        </is>
      </c>
      <c r="C89" s="2" t="n">
        <v>22</v>
      </c>
      <c r="D89" s="2" t="n">
        <v>21</v>
      </c>
    </row>
    <row r="90" ht="15" customHeight="1">
      <c r="A90" s="2" t="n">
        <v>63366</v>
      </c>
      <c r="B90" s="2" t="inlineStr">
        <is>
          <t>URI 34 M 1 מגן קרסול ס.בעקב</t>
        </is>
      </c>
      <c r="C90" s="2" t="n">
        <v>29</v>
      </c>
      <c r="D90" s="2" t="n">
        <v>27</v>
      </c>
    </row>
    <row r="91" ht="15" customHeight="1">
      <c r="A91" s="2" t="n">
        <v>74762</v>
      </c>
      <c r="B91" s="2" t="inlineStr">
        <is>
          <t>URI 34+ L      1 מגן לקרסול</t>
        </is>
      </c>
      <c r="C91" s="2" t="n">
        <v>14</v>
      </c>
      <c r="D91" s="2" t="n">
        <v>13</v>
      </c>
    </row>
    <row r="92" ht="15" customHeight="1">
      <c r="A92" s="2" t="n">
        <v>59694</v>
      </c>
      <c r="B92" s="2" t="inlineStr">
        <is>
          <t>URI 365 S-L   1 טבעת אלסטית</t>
        </is>
      </c>
      <c r="C92" s="2" t="n">
        <v>40</v>
      </c>
      <c r="D92" s="2" t="n">
        <v>37</v>
      </c>
    </row>
    <row r="93" ht="15" customHeight="1">
      <c r="A93" s="2" t="n">
        <v>74710</v>
      </c>
      <c r="B93" s="2" t="inlineStr">
        <is>
          <t>URI 21 XL     1 חבק יד ארוך</t>
        </is>
      </c>
      <c r="C93" s="2" t="n">
        <v>12</v>
      </c>
      <c r="D93" s="2" t="n">
        <v>11</v>
      </c>
    </row>
    <row r="94" ht="15" customHeight="1">
      <c r="A94" s="2" t="n">
        <v>63359</v>
      </c>
      <c r="B94" s="2" t="inlineStr">
        <is>
          <t>URI 45 M          1 מגן ברך</t>
        </is>
      </c>
      <c r="C94" s="2" t="n">
        <v>45</v>
      </c>
      <c r="D94" s="2" t="n">
        <v>41</v>
      </c>
    </row>
    <row r="95" ht="15" customHeight="1">
      <c r="A95" s="2" t="n">
        <v>19082</v>
      </c>
      <c r="B95" s="2" t="inlineStr">
        <is>
          <t>URI 34 S 1 מגן קרסול ס בעקב</t>
        </is>
      </c>
      <c r="C95" s="2" t="n">
        <v>9</v>
      </c>
      <c r="D95" s="2" t="n">
        <v>8</v>
      </c>
    </row>
    <row r="96" ht="15" customHeight="1">
      <c r="A96" s="2" t="n">
        <v>71088</v>
      </c>
      <c r="B96" s="2" t="inlineStr">
        <is>
          <t>URI 078XL 1</t>
        </is>
      </c>
      <c r="C96" s="2" t="n">
        <v>9</v>
      </c>
      <c r="D96" s="2" t="n">
        <v>8</v>
      </c>
    </row>
    <row r="97" ht="15" customHeight="1">
      <c r="A97" s="2" t="n">
        <v>79327</v>
      </c>
      <c r="B97" s="2" t="inlineStr">
        <is>
          <t>URI 3611       '1 כרית בנדג</t>
        </is>
      </c>
      <c r="C97" s="2" t="n">
        <v>8</v>
      </c>
      <c r="D97" s="2" t="n">
        <v>7</v>
      </c>
    </row>
    <row r="98" ht="15" customHeight="1">
      <c r="A98" s="2" t="n">
        <v>8616</v>
      </c>
      <c r="B98" s="2" t="inlineStr">
        <is>
          <t>URI 3623 1 כרית ליישור אצבע</t>
        </is>
      </c>
      <c r="C98" s="2" t="n">
        <v>15</v>
      </c>
      <c r="D98" s="2" t="n">
        <v>13</v>
      </c>
    </row>
    <row r="99" ht="15" customHeight="1">
      <c r="A99" s="2" t="n">
        <v>16212</v>
      </c>
      <c r="B99" s="2" t="inlineStr">
        <is>
          <t>394B-39-421 גרבי קיץ לסוכרת</t>
        </is>
      </c>
      <c r="C99" s="2" t="n">
        <v>15</v>
      </c>
      <c r="D99" s="2" t="n">
        <v>13</v>
      </c>
    </row>
    <row r="100" ht="15" customHeight="1">
      <c r="A100" s="2" t="n">
        <v>20998</v>
      </c>
      <c r="B100" s="2" t="inlineStr">
        <is>
          <t>URI 11 XXL  1 ח.בטן אורירית</t>
        </is>
      </c>
      <c r="C100" s="2" t="n">
        <v>7</v>
      </c>
      <c r="D100" s="2" t="n">
        <v>6</v>
      </c>
    </row>
    <row r="101" ht="15" customHeight="1">
      <c r="A101" s="2" t="n">
        <v>55868</v>
      </c>
      <c r="B101" s="2" t="inlineStr">
        <is>
          <t>URI 078G XXL1 חגורת גב אפור</t>
        </is>
      </c>
      <c r="C101" s="2" t="n">
        <v>7</v>
      </c>
      <c r="D101" s="2" t="n">
        <v>6</v>
      </c>
    </row>
    <row r="102" ht="15" customHeight="1">
      <c r="A102" s="2" t="n">
        <v>88476</v>
      </c>
      <c r="B102" s="2" t="inlineStr">
        <is>
          <t>URI LF373 0 1 ריפוד סיליקון</t>
        </is>
      </c>
      <c r="C102" s="2" t="n">
        <v>7</v>
      </c>
      <c r="D102" s="2" t="n">
        <v>6</v>
      </c>
    </row>
    <row r="103" ht="15" customHeight="1">
      <c r="A103" s="2" t="n">
        <v>63414</v>
      </c>
      <c r="B103" s="2" t="inlineStr">
        <is>
          <t>URI 85 M         1 מתלה ליד</t>
        </is>
      </c>
      <c r="C103" s="2" t="n">
        <v>20</v>
      </c>
      <c r="D103" s="2" t="n">
        <v>17</v>
      </c>
    </row>
    <row r="104" ht="15" customHeight="1">
      <c r="A104" s="2" t="n">
        <v>31188</v>
      </c>
      <c r="B104" s="2" t="inlineStr">
        <is>
          <t>URI 372    1 רפידת אנטי ריח</t>
        </is>
      </c>
      <c r="C104" s="2" t="n">
        <v>57</v>
      </c>
      <c r="D104" s="2" t="n">
        <v>48</v>
      </c>
    </row>
    <row r="105" ht="15" customHeight="1">
      <c r="A105" s="2" t="n">
        <v>16213</v>
      </c>
      <c r="B105" s="2" t="inlineStr">
        <is>
          <t>394B-43-461 גרבי קיץ לסוכרת</t>
        </is>
      </c>
      <c r="C105" s="2" t="n">
        <v>12</v>
      </c>
      <c r="D105" s="2" t="n">
        <v>10</v>
      </c>
    </row>
    <row r="106" ht="15" customHeight="1">
      <c r="A106" s="2" t="n">
        <v>45264</v>
      </c>
      <c r="B106" s="2" t="inlineStr">
        <is>
          <t>URI 34+        1 מגן לקרסול</t>
        </is>
      </c>
      <c r="C106" s="2" t="n">
        <v>6</v>
      </c>
      <c r="D106" s="2" t="n">
        <v>5</v>
      </c>
    </row>
    <row r="107" ht="15" customHeight="1">
      <c r="A107" s="2" t="n">
        <v>71086</v>
      </c>
      <c r="B107" s="2" t="inlineStr">
        <is>
          <t>URI 078M 1</t>
        </is>
      </c>
      <c r="C107" s="2" t="n">
        <v>6</v>
      </c>
      <c r="D107" s="2" t="n">
        <v>5</v>
      </c>
    </row>
    <row r="108" ht="15" customHeight="1">
      <c r="A108" s="2" t="n">
        <v>71204</v>
      </c>
      <c r="B108" s="2" t="inlineStr">
        <is>
          <t>URI 3655   1 שרוול מסיליקון</t>
        </is>
      </c>
      <c r="C108" s="2" t="n">
        <v>99</v>
      </c>
      <c r="D108" s="2" t="n">
        <v>82</v>
      </c>
    </row>
    <row r="109" ht="15" customHeight="1">
      <c r="A109" s="2" t="n">
        <v>60476</v>
      </c>
      <c r="B109" s="2" t="inlineStr">
        <is>
          <t>URI PD344       1 אבן טבעית</t>
        </is>
      </c>
      <c r="C109" s="2" t="n">
        <v>23</v>
      </c>
      <c r="D109" s="2" t="n">
        <v>19</v>
      </c>
    </row>
    <row r="110" ht="15" customHeight="1">
      <c r="A110" s="2" t="n">
        <v>80182</v>
      </c>
      <c r="B110" s="2" t="inlineStr">
        <is>
          <t>URI 3667        1 מגן בונין</t>
        </is>
      </c>
      <c r="C110" s="2" t="n">
        <v>17</v>
      </c>
      <c r="D110" s="2" t="n">
        <v>14</v>
      </c>
    </row>
    <row r="111" ht="15" customHeight="1">
      <c r="A111" s="2" t="n">
        <v>16239</v>
      </c>
      <c r="B111" s="2" t="inlineStr">
        <is>
          <t>394W-35-381 גרבי קיץ לסוכרת</t>
        </is>
      </c>
      <c r="C111" s="2" t="n">
        <v>5</v>
      </c>
      <c r="D111" s="2" t="n">
        <v>4</v>
      </c>
    </row>
    <row r="112" ht="15" customHeight="1">
      <c r="A112" s="2" t="n">
        <v>60478</v>
      </c>
      <c r="B112" s="2" t="inlineStr">
        <is>
          <t>URI PD3461 10 סכינים למקצוע</t>
        </is>
      </c>
      <c r="C112" s="2" t="n">
        <v>5</v>
      </c>
      <c r="D112" s="2" t="n">
        <v>4</v>
      </c>
    </row>
    <row r="113" ht="15" customHeight="1">
      <c r="A113" s="2" t="n">
        <v>63421</v>
      </c>
      <c r="B113" s="2" t="inlineStr">
        <is>
          <t>URI 95 L         1 מגן מרפק</t>
        </is>
      </c>
      <c r="C113" s="2" t="n">
        <v>24</v>
      </c>
      <c r="D113" s="2" t="n">
        <v>19</v>
      </c>
    </row>
    <row r="114" ht="15" customHeight="1">
      <c r="A114" s="2" t="n">
        <v>60473</v>
      </c>
      <c r="B114" s="2" t="inlineStr">
        <is>
          <t>URI PD341 1 מקצוע להסרת עור</t>
        </is>
      </c>
      <c r="C114" s="2" t="n">
        <v>9</v>
      </c>
      <c r="D114" s="2" t="n">
        <v>7</v>
      </c>
    </row>
    <row r="115" ht="15" customHeight="1">
      <c r="A115" s="2" t="n">
        <v>75762</v>
      </c>
      <c r="B115" s="2" t="inlineStr">
        <is>
          <t>URI 16 L-XL   1 חגורת הריון</t>
        </is>
      </c>
      <c r="C115" s="2" t="n">
        <v>9</v>
      </c>
      <c r="D115" s="2" t="n">
        <v>7</v>
      </c>
    </row>
    <row r="116" ht="15" customHeight="1">
      <c r="A116" s="2" t="n">
        <v>63368</v>
      </c>
      <c r="B116" s="2" t="inlineStr">
        <is>
          <t>URI 34 XL1 מגן קרסול ס.בעקב</t>
        </is>
      </c>
      <c r="C116" s="2" t="n">
        <v>22</v>
      </c>
      <c r="D116" s="2" t="n">
        <v>17</v>
      </c>
    </row>
    <row r="117" ht="15" customHeight="1">
      <c r="A117" s="2" t="n">
        <v>47877</v>
      </c>
      <c r="B117" s="2" t="inlineStr">
        <is>
          <t>URI 21        1 חבק יד ארוך</t>
        </is>
      </c>
      <c r="C117" s="2" t="n">
        <v>17</v>
      </c>
      <c r="D117" s="2" t="n">
        <v>13</v>
      </c>
    </row>
    <row r="118" ht="15" customHeight="1">
      <c r="A118" s="2" t="n">
        <v>63360</v>
      </c>
      <c r="B118" s="2" t="inlineStr">
        <is>
          <t>URI 45 L          1 מגן ברךBOX</t>
        </is>
      </c>
      <c r="C118" s="2" t="n">
        <v>57</v>
      </c>
      <c r="D118" s="2" t="n">
        <v>43</v>
      </c>
    </row>
    <row r="119" ht="15" customHeight="1">
      <c r="A119" s="2" t="n">
        <v>76452</v>
      </c>
      <c r="B119" s="2" t="inlineStr">
        <is>
          <t xml:space="preserve">                             1 מ.בוניון+מפריד אצבע</t>
        </is>
      </c>
      <c r="C119" s="2" t="n">
        <v>18</v>
      </c>
      <c r="D119" s="2" t="n">
        <v>13</v>
      </c>
    </row>
    <row r="120" ht="15" customHeight="1">
      <c r="A120" s="2" t="n">
        <v>67925</v>
      </c>
      <c r="B120" s="2" t="inlineStr">
        <is>
          <t>URI 35  S   1 מגן קרסול לבן</t>
        </is>
      </c>
      <c r="C120" s="2" t="n">
        <v>10</v>
      </c>
      <c r="D120" s="2" t="n">
        <v>7</v>
      </c>
    </row>
    <row r="121" ht="15" customHeight="1">
      <c r="A121" s="2" t="n">
        <v>59679</v>
      </c>
      <c r="B121" s="2" t="inlineStr">
        <is>
          <t>URI 364 S M 1</t>
        </is>
      </c>
      <c r="C121" s="2" t="n">
        <v>78</v>
      </c>
      <c r="D121" s="2" t="n">
        <v>54</v>
      </c>
    </row>
    <row r="122" ht="15" customHeight="1">
      <c r="A122" s="2" t="n">
        <v>60471</v>
      </c>
      <c r="B122" s="2" t="inlineStr">
        <is>
          <t>URI 365 XL    1 טבעת אלסטית</t>
        </is>
      </c>
      <c r="C122" s="2" t="n">
        <v>16</v>
      </c>
      <c r="D122" s="2" t="n">
        <v>11</v>
      </c>
    </row>
    <row r="123" ht="15" customHeight="1">
      <c r="A123" s="2" t="n">
        <v>61961</v>
      </c>
      <c r="B123" s="2" t="inlineStr">
        <is>
          <t>URI 366S 1 מדבקה לשחרור לחץ</t>
        </is>
      </c>
      <c r="C123" s="2" t="n">
        <v>16</v>
      </c>
      <c r="D123" s="2" t="n">
        <v>11</v>
      </c>
    </row>
    <row r="124" ht="15" customHeight="1">
      <c r="A124" s="2" t="n">
        <v>74801</v>
      </c>
      <c r="B124" s="2" t="inlineStr">
        <is>
          <t>URI 45E XL   1 מגן ברך ארוך</t>
        </is>
      </c>
      <c r="C124" s="2" t="n">
        <v>25</v>
      </c>
      <c r="D124" s="2" t="n">
        <v>17</v>
      </c>
    </row>
    <row r="125" ht="15" customHeight="1">
      <c r="A125" s="2" t="n">
        <v>52324</v>
      </c>
      <c r="B125" s="2" t="inlineStr">
        <is>
          <t>URI 078G M 1 חגורת גב אפורה</t>
        </is>
      </c>
      <c r="C125" s="2" t="n">
        <v>9</v>
      </c>
      <c r="D125" s="2" t="n">
        <v>6</v>
      </c>
    </row>
    <row r="126" ht="15" customHeight="1">
      <c r="A126" s="2" t="n">
        <v>67385</v>
      </c>
      <c r="B126" s="2" t="inlineStr">
        <is>
          <t>URI 302M 0  1 מדרס ג'ל לגבר</t>
        </is>
      </c>
      <c r="C126" s="2" t="n">
        <v>38</v>
      </c>
      <c r="D126" s="2" t="n">
        <v>23</v>
      </c>
    </row>
    <row r="127" ht="15" customHeight="1">
      <c r="A127" s="2" t="n">
        <v>88474</v>
      </c>
      <c r="B127" s="2" t="inlineStr">
        <is>
          <t>URI LF370 0 1 ריפוד סיליקון</t>
        </is>
      </c>
      <c r="C127" s="2" t="n">
        <v>5</v>
      </c>
      <c r="D127" s="2" t="n">
        <v>3</v>
      </c>
    </row>
    <row r="128" ht="15" customHeight="1">
      <c r="A128" s="2" t="n">
        <v>65242</v>
      </c>
      <c r="B128" s="2" t="inlineStr">
        <is>
          <t>URI L35     1 מגן קרסול לבן</t>
        </is>
      </c>
      <c r="C128" s="2" t="n">
        <v>27</v>
      </c>
      <c r="D128" s="2" t="n">
        <v>16</v>
      </c>
    </row>
    <row r="129" ht="15" customHeight="1">
      <c r="A129" s="2" t="n">
        <v>9771</v>
      </c>
      <c r="B129" s="2" t="inlineStr">
        <is>
          <t>URI 307 M 1 זוג עקב סיל+נ כ</t>
        </is>
      </c>
      <c r="C129" s="2" t="n">
        <v>22</v>
      </c>
      <c r="D129" s="2" t="n">
        <v>13</v>
      </c>
    </row>
    <row r="130" ht="15" customHeight="1">
      <c r="A130" s="2" t="n">
        <v>24612</v>
      </c>
      <c r="B130" s="2" t="inlineStr">
        <is>
          <t>URI AC28        1 סד לאגודל</t>
        </is>
      </c>
      <c r="C130" s="2" t="n">
        <v>45</v>
      </c>
      <c r="D130" s="2" t="n">
        <v>26</v>
      </c>
    </row>
    <row r="131" ht="15" customHeight="1">
      <c r="A131" s="2" t="n">
        <v>59657</v>
      </c>
      <c r="B131" s="2" t="inlineStr">
        <is>
          <t>URI 363 L R 1</t>
        </is>
      </c>
      <c r="C131" s="2" t="n">
        <v>16</v>
      </c>
      <c r="D131" s="2" t="n">
        <v>9</v>
      </c>
    </row>
    <row r="132" ht="15" customHeight="1">
      <c r="A132" s="2" t="n">
        <v>61344</v>
      </c>
      <c r="B132" s="2" t="inlineStr">
        <is>
          <t>URI 312 9*5   1 מדבקה גדולה</t>
        </is>
      </c>
      <c r="C132" s="2" t="n">
        <v>13</v>
      </c>
      <c r="D132" s="2" t="n">
        <v>7</v>
      </c>
    </row>
    <row r="133" ht="15" customHeight="1">
      <c r="A133" s="2" t="n">
        <v>66485</v>
      </c>
      <c r="B133" s="2" t="inlineStr">
        <is>
          <t>URI 801 ICE GO  1 תחבושת אל</t>
        </is>
      </c>
      <c r="C133" s="2" t="n">
        <v>23</v>
      </c>
      <c r="D133" s="2" t="n">
        <v>12</v>
      </c>
    </row>
    <row r="134" ht="15" customHeight="1">
      <c r="A134" s="2" t="n">
        <v>31183</v>
      </c>
      <c r="B134" s="2" t="inlineStr">
        <is>
          <t>URI 370       1 רפידת נוחות</t>
        </is>
      </c>
      <c r="C134" s="2" t="n">
        <v>41</v>
      </c>
      <c r="D134" s="2" t="n">
        <v>21</v>
      </c>
    </row>
    <row r="135" ht="15" customHeight="1">
      <c r="A135" s="2" t="n">
        <v>29981</v>
      </c>
      <c r="B135" s="2" t="inlineStr">
        <is>
          <t>URI 35 XXL  1 מגן קרסול לבן</t>
        </is>
      </c>
      <c r="C135" s="2" t="n">
        <v>4</v>
      </c>
      <c r="D135" s="2" t="n">
        <v>2</v>
      </c>
    </row>
    <row r="136" ht="15" customHeight="1">
      <c r="A136" s="2" t="n">
        <v>49772</v>
      </c>
      <c r="B136" s="2" t="inlineStr">
        <is>
          <t>THERMOFLEX 90  1 רצועת טניס</t>
        </is>
      </c>
      <c r="C136" s="2" t="n">
        <v>8</v>
      </c>
      <c r="D136" s="2" t="n">
        <v>4</v>
      </c>
    </row>
    <row r="137" ht="15" customHeight="1">
      <c r="A137" s="2" t="n">
        <v>60484</v>
      </c>
      <c r="B137" s="2" t="inlineStr">
        <is>
          <t>URI 3641 1</t>
        </is>
      </c>
      <c r="C137" s="2" t="n">
        <v>18</v>
      </c>
      <c r="D137" s="2" t="n">
        <v>9</v>
      </c>
    </row>
    <row r="138" ht="15" customHeight="1">
      <c r="A138" s="2" t="n">
        <v>74989</v>
      </c>
      <c r="B138" s="2" t="inlineStr">
        <is>
          <t>URI T78 XL           1 תומך</t>
        </is>
      </c>
      <c r="C138" s="2" t="n">
        <v>2</v>
      </c>
      <c r="D138" s="2" t="n">
        <v>1</v>
      </c>
    </row>
    <row r="139" ht="15" customHeight="1">
      <c r="A139" s="2" t="n">
        <v>83668</v>
      </c>
      <c r="B139" s="2" t="inlineStr">
        <is>
          <t>URI FC335    1 טלק לכף הרגל</t>
        </is>
      </c>
      <c r="C139" s="2" t="n">
        <v>148</v>
      </c>
      <c r="D139" s="2" t="n">
        <v>68</v>
      </c>
    </row>
    <row r="140" ht="15" customHeight="1">
      <c r="A140" s="2" t="n">
        <v>74682</v>
      </c>
      <c r="B140" s="2" t="inlineStr">
        <is>
          <t>URI 11 L    1 ח.בטן אורירית</t>
        </is>
      </c>
      <c r="C140" s="2" t="n">
        <v>7</v>
      </c>
      <c r="D140" s="2" t="n">
        <v>3</v>
      </c>
    </row>
    <row r="141" ht="15" customHeight="1">
      <c r="A141" s="2" t="n">
        <v>25386</v>
      </c>
      <c r="B141" s="2" t="inlineStr">
        <is>
          <t>URI 3666  1 מפריד הלקס+כרית</t>
        </is>
      </c>
      <c r="C141" s="2" t="n">
        <v>5</v>
      </c>
      <c r="D141" s="2" t="n">
        <v>2</v>
      </c>
    </row>
    <row r="142" ht="15" customHeight="1">
      <c r="A142" s="2" t="n">
        <v>31190</v>
      </c>
      <c r="B142" s="2" t="inlineStr">
        <is>
          <t>URI 374 1 רפידה בולמת זעזוע</t>
        </is>
      </c>
      <c r="C142" s="2" t="n">
        <v>19</v>
      </c>
      <c r="D142" s="2" t="n">
        <v>7</v>
      </c>
    </row>
    <row r="143" ht="15" customHeight="1">
      <c r="A143" s="2" t="n">
        <v>63418</v>
      </c>
      <c r="B143" s="2" t="inlineStr">
        <is>
          <t>URI 87 L1 חגו.לקיבוע תמ.אמה</t>
        </is>
      </c>
      <c r="C143" s="2" t="n">
        <v>6</v>
      </c>
      <c r="D143" s="2" t="n">
        <v>2</v>
      </c>
    </row>
    <row r="144" ht="15" customHeight="1">
      <c r="A144" s="2" t="n">
        <v>18559</v>
      </c>
      <c r="B144" s="2" t="inlineStr">
        <is>
          <t>URI 8200    1 כרית חום וקור</t>
        </is>
      </c>
      <c r="C144" s="2" t="n">
        <v>10</v>
      </c>
      <c r="D144" s="2" t="n">
        <v>3</v>
      </c>
    </row>
    <row r="145" ht="15" customHeight="1">
      <c r="A145" s="2" t="n">
        <v>16244</v>
      </c>
      <c r="B145" s="2" t="inlineStr">
        <is>
          <t>394W-39-421 גרבי קיץ לסוכרת</t>
        </is>
      </c>
      <c r="C145" s="2" t="n">
        <v>4</v>
      </c>
      <c r="D145" s="2" t="n">
        <v>1</v>
      </c>
    </row>
    <row r="146" ht="15" customHeight="1">
      <c r="A146" s="2" t="n">
        <v>67895</v>
      </c>
      <c r="B146" s="2" t="inlineStr">
        <is>
          <t>URI 11      1 ח בטן אורירית</t>
        </is>
      </c>
      <c r="C146" s="2" t="n">
        <v>5</v>
      </c>
      <c r="D146" s="2" t="n">
        <v>1</v>
      </c>
    </row>
    <row r="147" ht="15" customHeight="1">
      <c r="A147" s="2" t="n">
        <v>20996</v>
      </c>
      <c r="B147" s="2" t="inlineStr">
        <is>
          <t>URI 07AU XXL 1</t>
        </is>
      </c>
      <c r="C147" s="2" t="n">
        <v>6</v>
      </c>
      <c r="D147" s="2" t="n">
        <v>1</v>
      </c>
    </row>
    <row r="148" ht="15" customHeight="1">
      <c r="A148" s="2" t="n">
        <v>16237</v>
      </c>
      <c r="B148" s="2" t="inlineStr">
        <is>
          <t>394G-43-461 גרבי קיץ לסוכרת</t>
        </is>
      </c>
      <c r="C148" s="2" t="n">
        <v>8</v>
      </c>
      <c r="D148" s="2" t="n">
        <v>0</v>
      </c>
    </row>
    <row r="149" ht="15" customHeight="1">
      <c r="A149" s="2" t="n">
        <v>28297</v>
      </c>
      <c r="B149" s="2" t="inlineStr">
        <is>
          <t>URI 13 XL1 חגורה ללשבר טבור</t>
        </is>
      </c>
      <c r="C149" s="2" t="n">
        <v>2</v>
      </c>
      <c r="D149" s="2" t="n">
        <v>0</v>
      </c>
    </row>
    <row r="150" ht="15" customHeight="1">
      <c r="A150" s="2" t="n">
        <v>29793</v>
      </c>
      <c r="B150" s="2" t="inlineStr">
        <is>
          <t>URI 11STO XL1 חגורה אחר נית</t>
        </is>
      </c>
      <c r="C150" s="2" t="n">
        <v>1</v>
      </c>
      <c r="D150" s="2" t="n">
        <v>0</v>
      </c>
    </row>
    <row r="151" ht="15" customHeight="1">
      <c r="A151" s="2" t="n">
        <v>34874</v>
      </c>
      <c r="B151" s="2" t="inlineStr">
        <is>
          <t>URI 333         1 סד לקרסול</t>
        </is>
      </c>
      <c r="C151" s="2" t="n">
        <v>1</v>
      </c>
      <c r="D151" s="2" t="n">
        <v>0</v>
      </c>
    </row>
    <row r="152" ht="15" customHeight="1">
      <c r="A152" s="2" t="n">
        <v>44007</v>
      </c>
      <c r="B152" s="2" t="inlineStr">
        <is>
          <t>URI 07AU  1 חגור.גב איטלקית</t>
        </is>
      </c>
      <c r="C152" s="2" t="n">
        <v>1</v>
      </c>
      <c r="D152" s="2" t="n">
        <v>0</v>
      </c>
    </row>
    <row r="153" ht="15" customHeight="1">
      <c r="A153" s="2" t="n">
        <v>49718</v>
      </c>
      <c r="B153" s="2" t="inlineStr">
        <is>
          <t>THERMOFLEX 33   1 סד לקרסול</t>
        </is>
      </c>
      <c r="C153" s="2" t="n">
        <v>1</v>
      </c>
      <c r="D153" s="2" t="n">
        <v>0</v>
      </c>
    </row>
    <row r="154" ht="15" customHeight="1">
      <c r="A154" s="2" t="n">
        <v>50022</v>
      </c>
      <c r="B154" s="2" t="inlineStr">
        <is>
          <t>URI 38  1 חבישת הלוקס ולגוס</t>
        </is>
      </c>
      <c r="C154" s="2" t="n">
        <v>1</v>
      </c>
      <c r="D154" s="2" t="n">
        <v>0</v>
      </c>
    </row>
    <row r="155" ht="15" customHeight="1">
      <c r="A155" s="2" t="n">
        <v>50061</v>
      </c>
      <c r="B155" s="2" t="inlineStr">
        <is>
          <t>URI 87 S 1 חגו.קיבוע תמ.אמה</t>
        </is>
      </c>
      <c r="C155" s="2" t="n">
        <v>1</v>
      </c>
      <c r="D155" s="2" t="n">
        <v>0</v>
      </c>
    </row>
    <row r="156" ht="15" customHeight="1">
      <c r="A156" s="2" t="n">
        <v>64632</v>
      </c>
      <c r="B156" s="2" t="inlineStr">
        <is>
          <t>URI 390W 43-46   1 גרבי כסף</t>
        </is>
      </c>
      <c r="C156" s="2" t="n">
        <v>1</v>
      </c>
      <c r="D156" s="2" t="n">
        <v>0</v>
      </c>
    </row>
    <row r="157" ht="15" customHeight="1">
      <c r="A157" s="2" t="n">
        <v>64633</v>
      </c>
      <c r="B157" s="2" t="inlineStr">
        <is>
          <t>URI 390B 35-38   1 גרבי כסף</t>
        </is>
      </c>
      <c r="C157" s="2" t="n">
        <v>3</v>
      </c>
      <c r="D157" s="2" t="n">
        <v>0</v>
      </c>
    </row>
    <row r="158" ht="15" customHeight="1">
      <c r="A158" s="2" t="n">
        <v>68751</v>
      </c>
      <c r="B158" s="2" t="inlineStr">
        <is>
          <t>388B R 1 סד לילה שחור לבוהן</t>
        </is>
      </c>
      <c r="C158" s="2" t="n">
        <v>1</v>
      </c>
      <c r="D158" s="2" t="n">
        <v>0</v>
      </c>
    </row>
    <row r="159" ht="15" customHeight="1">
      <c r="A159" s="2" t="n">
        <v>74670</v>
      </c>
      <c r="B159" s="2" t="inlineStr">
        <is>
          <t>URI 07AU L   1 ח.גב איטלקית</t>
        </is>
      </c>
      <c r="C159" s="2" t="n">
        <v>3</v>
      </c>
      <c r="D159" s="2" t="n">
        <v>0</v>
      </c>
    </row>
    <row r="160" ht="15" customHeight="1">
      <c r="A160" s="2" t="n">
        <v>74824</v>
      </c>
      <c r="B160" s="2" t="inlineStr">
        <is>
          <t>URI 59 L M 1 חגורת שבר צד ש</t>
        </is>
      </c>
      <c r="C160" s="2" t="n">
        <v>1</v>
      </c>
      <c r="D160" s="2" t="n">
        <v>0</v>
      </c>
    </row>
    <row r="161" ht="15" customHeight="1">
      <c r="A161" s="2" t="n">
        <v>74932</v>
      </c>
      <c r="B161" s="2" t="inlineStr">
        <is>
          <t>URI T39 XL        1 מגן שוק</t>
        </is>
      </c>
      <c r="C161" s="2" t="n">
        <v>1</v>
      </c>
      <c r="D161" s="2" t="n">
        <v>0</v>
      </c>
    </row>
    <row r="162" ht="15" customHeight="1">
      <c r="A162" s="2" t="n">
        <v>74988</v>
      </c>
      <c r="B162" s="2" t="inlineStr">
        <is>
          <t>URI T78 M            1 תומך</t>
        </is>
      </c>
      <c r="C162" s="2" t="n">
        <v>1</v>
      </c>
      <c r="D162" s="2" t="n">
        <v>0</v>
      </c>
    </row>
    <row r="163" ht="15" customHeight="1">
      <c r="A163" s="2" t="n">
        <v>16245</v>
      </c>
      <c r="B163" s="2" t="inlineStr">
        <is>
          <t>394W-43-461 גרבי קיץ לסוכרת</t>
        </is>
      </c>
      <c r="C163" s="2" t="n">
        <v>0</v>
      </c>
      <c r="D163" s="2" t="n">
        <v>5</v>
      </c>
    </row>
    <row r="164" ht="15" customHeight="1">
      <c r="A164" s="2" t="n">
        <v>20948</v>
      </c>
      <c r="B164" s="2" t="inlineStr">
        <is>
          <t>URI 35 XST 1 מגן קרסול פתוח</t>
        </is>
      </c>
      <c r="C164" s="2" t="n">
        <v>0</v>
      </c>
      <c r="D164" s="2" t="n">
        <v>3</v>
      </c>
    </row>
    <row r="165" ht="15" customHeight="1">
      <c r="A165" s="2" t="n">
        <v>28302</v>
      </c>
      <c r="B165" s="2" t="inlineStr">
        <is>
          <t>URI 34+XXL1 מ קרסול+עכב סגו</t>
        </is>
      </c>
      <c r="C165" s="2" t="n">
        <v>0</v>
      </c>
      <c r="D165" s="2" t="n">
        <v>1</v>
      </c>
    </row>
    <row r="166" ht="15" customHeight="1">
      <c r="A166" s="2" t="n">
        <v>28331</v>
      </c>
      <c r="B166" s="2" t="inlineStr">
        <is>
          <t>URI T78 XXL 1 תומך זרוע כתף</t>
        </is>
      </c>
      <c r="C166" s="2" t="n">
        <v>0</v>
      </c>
      <c r="D166" s="2" t="n">
        <v>1</v>
      </c>
    </row>
    <row r="167" ht="15" customHeight="1">
      <c r="A167" s="2" t="n">
        <v>29792</v>
      </c>
      <c r="B167" s="2" t="inlineStr">
        <is>
          <t>URI 11STO S1 חגורה אחר ניתו</t>
        </is>
      </c>
      <c r="C167" s="2" t="n">
        <v>0</v>
      </c>
      <c r="D167" s="2" t="n">
        <v>1</v>
      </c>
    </row>
    <row r="168" ht="15" customHeight="1">
      <c r="A168" s="2" t="n">
        <v>29977</v>
      </c>
      <c r="B168" s="2" t="inlineStr">
        <is>
          <t>URI 11TO XXL    1 חגורת בטן</t>
        </is>
      </c>
      <c r="C168" s="2" t="n">
        <v>0</v>
      </c>
      <c r="D168" s="2" t="n">
        <v>5</v>
      </c>
    </row>
    <row r="169" ht="15" customHeight="1">
      <c r="A169" s="2" t="n">
        <v>43277</v>
      </c>
      <c r="B169" s="2" t="inlineStr">
        <is>
          <t>397A-39-42      1 גרבי טיסה</t>
        </is>
      </c>
      <c r="C169" s="2" t="n">
        <v>0</v>
      </c>
      <c r="D169" s="2" t="n">
        <v>1</v>
      </c>
    </row>
    <row r="170" ht="15" customHeight="1">
      <c r="A170" s="2" t="n">
        <v>43283</v>
      </c>
      <c r="B170" s="2" t="inlineStr">
        <is>
          <t>397A-43-46      1 גרבי טיסה</t>
        </is>
      </c>
      <c r="C170" s="2" t="n">
        <v>0</v>
      </c>
      <c r="D170" s="2" t="n">
        <v>5</v>
      </c>
    </row>
    <row r="171" ht="15" customHeight="1">
      <c r="A171" s="2" t="n">
        <v>46310</v>
      </c>
      <c r="B171" s="2" t="inlineStr">
        <is>
          <t>STRAP4U 239TR L-XL 1</t>
        </is>
      </c>
      <c r="C171" s="2" t="n">
        <v>0</v>
      </c>
      <c r="D171" s="2" t="n">
        <v>0</v>
      </c>
    </row>
    <row r="172" ht="15" customHeight="1">
      <c r="A172" s="2" t="n">
        <v>50057</v>
      </c>
      <c r="B172" s="2" t="inlineStr">
        <is>
          <t>URI 76          1 מיישר כתף</t>
        </is>
      </c>
      <c r="C172" s="2" t="n">
        <v>0</v>
      </c>
      <c r="D172" s="2" t="n">
        <v>1</v>
      </c>
    </row>
    <row r="173" ht="15" customHeight="1">
      <c r="A173" s="2" t="n">
        <v>57690</v>
      </c>
      <c r="B173" s="2" t="inlineStr">
        <is>
          <t>808KT-C   1 טייפ קינזיולוגי</t>
        </is>
      </c>
      <c r="C173" s="2" t="n">
        <v>0</v>
      </c>
      <c r="D173" s="2" t="n">
        <v>12</v>
      </c>
    </row>
    <row r="174" ht="15" customHeight="1">
      <c r="A174" s="2" t="n">
        <v>63405</v>
      </c>
      <c r="B174" s="2" t="inlineStr">
        <is>
          <t>URI 11U M 1 ח בטן אחר ניתוח</t>
        </is>
      </c>
      <c r="C174" s="2" t="n">
        <v>0</v>
      </c>
      <c r="D174" s="2" t="n">
        <v>1</v>
      </c>
    </row>
    <row r="175" ht="15" customHeight="1">
      <c r="A175" s="2" t="n">
        <v>64636</v>
      </c>
      <c r="B175" s="2" t="inlineStr">
        <is>
          <t>URI 390G 35-38   1 גרבי כסף</t>
        </is>
      </c>
      <c r="C175" s="2" t="n">
        <v>0</v>
      </c>
      <c r="D175" s="2" t="n">
        <v>1</v>
      </c>
    </row>
    <row r="176" ht="15" customHeight="1">
      <c r="A176" s="2" t="n">
        <v>64637</v>
      </c>
      <c r="B176" s="2" t="inlineStr">
        <is>
          <t>URI 390G 39-42   1 גרבי כסף</t>
        </is>
      </c>
      <c r="C176" s="2" t="n">
        <v>0</v>
      </c>
      <c r="D176" s="2" t="n">
        <v>1</v>
      </c>
    </row>
    <row r="177" ht="15" customHeight="1">
      <c r="A177" s="2" t="n">
        <v>64638</v>
      </c>
      <c r="B177" s="2" t="inlineStr">
        <is>
          <t>URI 390G 43-46   1 גרבי כסף</t>
        </is>
      </c>
      <c r="C177" s="2" t="n">
        <v>0</v>
      </c>
      <c r="D177" s="2" t="n">
        <v>2</v>
      </c>
    </row>
    <row r="178" ht="15" customHeight="1">
      <c r="A178" s="2" t="n">
        <v>67056</v>
      </c>
      <c r="B178" s="2" t="inlineStr">
        <is>
          <t>URI 95 XXL       1 מגן מרפק</t>
        </is>
      </c>
      <c r="C178" s="2" t="n">
        <v>0</v>
      </c>
      <c r="D178" s="2" t="n">
        <v>1</v>
      </c>
    </row>
    <row r="179" ht="15" customHeight="1">
      <c r="A179" s="2" t="n">
        <v>67939</v>
      </c>
      <c r="B179" s="2" t="inlineStr">
        <is>
          <t>URI 49            1 מגן ירך</t>
        </is>
      </c>
      <c r="C179" s="2" t="n">
        <v>0</v>
      </c>
      <c r="D179" s="2" t="n">
        <v>2</v>
      </c>
    </row>
    <row r="180" ht="15" customHeight="1">
      <c r="A180" s="2" t="n">
        <v>71085</v>
      </c>
      <c r="B180" s="2" t="inlineStr">
        <is>
          <t>URI 078S 1</t>
        </is>
      </c>
      <c r="C180" s="2" t="n">
        <v>0</v>
      </c>
      <c r="D180" s="2" t="n">
        <v>1</v>
      </c>
    </row>
    <row r="181" ht="15" customHeight="1">
      <c r="A181" s="2" t="n">
        <v>74687</v>
      </c>
      <c r="B181" s="2" t="inlineStr">
        <is>
          <t>URI 11 TO L         1 ח בטן</t>
        </is>
      </c>
      <c r="C181" s="2" t="n">
        <v>0</v>
      </c>
      <c r="D181" s="2" t="n">
        <v>2</v>
      </c>
    </row>
    <row r="182" ht="15" customHeight="1">
      <c r="A182" s="2" t="n">
        <v>74806</v>
      </c>
      <c r="B182" s="2" t="inlineStr">
        <is>
          <t>URI 49 M          1 מגן ירך</t>
        </is>
      </c>
      <c r="C182" s="2" t="n">
        <v>0</v>
      </c>
      <c r="D182" s="2" t="n">
        <v>2</v>
      </c>
    </row>
    <row r="183" ht="15" customHeight="1">
      <c r="A183" s="2" t="n">
        <v>74821</v>
      </c>
      <c r="B183" s="2" t="inlineStr">
        <is>
          <t>URI 59R  M.1 חגורת שבר צד י</t>
        </is>
      </c>
      <c r="C183" s="2" t="n">
        <v>0</v>
      </c>
      <c r="D183" s="2" t="n">
        <v>1</v>
      </c>
    </row>
    <row r="184" ht="15" customHeight="1">
      <c r="A184" s="2" t="n">
        <v>74823</v>
      </c>
      <c r="B184" s="2" t="inlineStr">
        <is>
          <t>URI 59L L 1 חגורת שבר לשמאל</t>
        </is>
      </c>
      <c r="C184" s="2" t="n">
        <v>0</v>
      </c>
      <c r="D184" s="2" t="n">
        <v>1</v>
      </c>
    </row>
    <row r="185" ht="15" customHeight="1">
      <c r="A185" s="2" t="n">
        <v>74825</v>
      </c>
      <c r="B185" s="2" t="inlineStr">
        <is>
          <t>URI 59L XL 1 חגורת שבר צד ש</t>
        </is>
      </c>
      <c r="C185" s="2" t="n">
        <v>0</v>
      </c>
      <c r="D185" s="2" t="n">
        <v>1</v>
      </c>
    </row>
    <row r="186" ht="15" customHeight="1">
      <c r="A186" s="2" t="n">
        <v>74828</v>
      </c>
      <c r="B186" s="2" t="inlineStr">
        <is>
          <t>URI 59D XL1 חגורת שבר דו צד</t>
        </is>
      </c>
      <c r="C186" s="2" t="n">
        <v>0</v>
      </c>
      <c r="D186" s="2" t="n">
        <v>2</v>
      </c>
    </row>
    <row r="187" ht="15" customHeight="1">
      <c r="A187" s="2" t="n">
        <v>74842</v>
      </c>
      <c r="B187" s="2" t="inlineStr">
        <is>
          <t>URI 74-L-XL    1 רצועה לשבר</t>
        </is>
      </c>
      <c r="C187" s="2" t="n">
        <v>0</v>
      </c>
      <c r="D187" s="2" t="n">
        <v>1</v>
      </c>
    </row>
    <row r="188" ht="15" customHeight="1">
      <c r="A188" s="2" t="n">
        <v>74848</v>
      </c>
      <c r="B188" s="2" t="inlineStr">
        <is>
          <t>URI 76 XL       1 מיישר כתף</t>
        </is>
      </c>
      <c r="C188" s="2" t="n">
        <v>0</v>
      </c>
      <c r="D188" s="2" t="n">
        <v>4</v>
      </c>
    </row>
    <row r="189" ht="15" customHeight="1">
      <c r="A189" s="2" t="n">
        <v>74919</v>
      </c>
      <c r="B189" s="2" t="inlineStr">
        <is>
          <t>URI T33 M       1 סד לקרסול</t>
        </is>
      </c>
      <c r="C189" s="2" t="n">
        <v>0</v>
      </c>
      <c r="D189" s="2" t="n">
        <v>0</v>
      </c>
    </row>
    <row r="190" ht="15" customHeight="1">
      <c r="A190" s="2" t="n">
        <v>74987</v>
      </c>
      <c r="B190" s="2" t="inlineStr">
        <is>
          <t>URI T78 L            1 תומך</t>
        </is>
      </c>
      <c r="C190" s="2" t="n">
        <v>0</v>
      </c>
      <c r="D190" s="2" t="n">
        <v>2</v>
      </c>
    </row>
    <row r="191" ht="15" customHeight="1">
      <c r="A191" s="2" t="n">
        <v>76244</v>
      </c>
      <c r="B191" s="2" t="inlineStr">
        <is>
          <t>URI 078C L   '1 חגורת גב בז</t>
        </is>
      </c>
      <c r="C191" s="2" t="n">
        <v>0</v>
      </c>
      <c r="D191" s="2" t="n">
        <v>0</v>
      </c>
    </row>
    <row r="192" ht="15" customHeight="1">
      <c r="A192" s="2" t="n">
        <v>88479</v>
      </c>
      <c r="B192" s="2" t="inlineStr">
        <is>
          <t>URI LF377 M  1 מדרס סיליקון</t>
        </is>
      </c>
      <c r="C192" s="2" t="n">
        <v>0</v>
      </c>
      <c r="D192" s="2" t="n">
        <v>1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5"/>
  <sheetViews>
    <sheetView rightToLeft="1" zoomScaleNormal="100" workbookViewId="0">
      <pane ySplit="2" topLeftCell="A3" activePane="bottomLeft" state="frozen"/>
      <selection pane="bottomLeft" activeCell="A1" sqref="A1"/>
    </sheetView>
  </sheetViews>
  <sheetFormatPr baseColWidth="8" defaultColWidth="8.5703125" defaultRowHeight="15"/>
  <cols>
    <col width="12" customWidth="1" min="1" max="1"/>
    <col width="32" customWidth="1" min="2" max="2"/>
    <col width="14" customWidth="1" min="3" max="4"/>
  </cols>
  <sheetData>
    <row r="1" ht="16.5" customHeight="1">
      <c r="A1" s="1" t="inlineStr">
        <is>
          <t>נתוני מקור - יוני (2025 מול 2026) - מקור: month-06.xlsx</t>
        </is>
      </c>
    </row>
    <row r="2" ht="15" customHeight="1">
      <c r="A2" s="22" t="inlineStr">
        <is>
          <t>קוד SKU</t>
        </is>
      </c>
      <c r="B2" s="22" t="inlineStr">
        <is>
          <t>שם מוצר</t>
        </is>
      </c>
      <c r="C2" s="22" t="inlineStr">
        <is>
          <t>יחידות יוני 2025</t>
        </is>
      </c>
      <c r="D2" s="22" t="inlineStr">
        <is>
          <t>יחידות יוני 2026</t>
        </is>
      </c>
    </row>
    <row r="3" ht="15" customHeight="1">
      <c r="A3" s="2" t="n">
        <v>19083</v>
      </c>
      <c r="B3" s="2" t="inlineStr">
        <is>
          <t>URI 40    1 רצועת פיקה לברך</t>
        </is>
      </c>
      <c r="C3" s="2" t="n">
        <v>1</v>
      </c>
      <c r="D3" s="2" t="n">
        <v>7</v>
      </c>
    </row>
    <row r="4" ht="15" customHeight="1">
      <c r="A4" s="2" t="n">
        <v>57662</v>
      </c>
      <c r="B4" s="2" t="inlineStr">
        <is>
          <t>808KT-P   1 טייפ קינזיולוגי</t>
        </is>
      </c>
      <c r="C4" s="2" t="n">
        <v>1</v>
      </c>
      <c r="D4" s="2" t="n">
        <v>7</v>
      </c>
    </row>
    <row r="5" ht="15" customHeight="1">
      <c r="A5" s="2" t="n">
        <v>35339</v>
      </c>
      <c r="B5" s="2" t="inlineStr">
        <is>
          <t>URI 307 S 1 זוג עקב סיל+נ כ</t>
        </is>
      </c>
      <c r="C5" s="2" t="n">
        <v>1</v>
      </c>
      <c r="D5" s="2" t="n">
        <v>6</v>
      </c>
    </row>
    <row r="6" ht="15" customHeight="1">
      <c r="A6" s="2" t="n">
        <v>80182</v>
      </c>
      <c r="B6" s="2" t="inlineStr">
        <is>
          <t>URI 3667        1 מגן בונין</t>
        </is>
      </c>
      <c r="C6" s="2" t="n">
        <v>4</v>
      </c>
      <c r="D6" s="2" t="n">
        <v>22</v>
      </c>
    </row>
    <row r="7" ht="15" customHeight="1">
      <c r="A7" s="2" t="n">
        <v>76453</v>
      </c>
      <c r="B7" s="2" t="inlineStr">
        <is>
          <t>URI 3675 1 מגן זרת מסיליקון</t>
        </is>
      </c>
      <c r="C7" s="2" t="n">
        <v>2</v>
      </c>
      <c r="D7" s="2" t="n">
        <v>8</v>
      </c>
    </row>
    <row r="8" ht="15" customHeight="1">
      <c r="A8" s="2" t="n">
        <v>60471</v>
      </c>
      <c r="B8" s="2" t="inlineStr">
        <is>
          <t>URI 365 XL    1 טבעת אלסטית</t>
        </is>
      </c>
      <c r="C8" s="2" t="n">
        <v>4</v>
      </c>
      <c r="D8" s="2" t="n">
        <v>14</v>
      </c>
    </row>
    <row r="9" ht="15" customHeight="1">
      <c r="A9" s="2" t="n">
        <v>63449</v>
      </c>
      <c r="B9" s="2" t="inlineStr">
        <is>
          <t>URI 40221 רצועה לפיקה +כרית</t>
        </is>
      </c>
      <c r="C9" s="2" t="n">
        <v>2</v>
      </c>
      <c r="D9" s="2" t="n">
        <v>7</v>
      </c>
    </row>
    <row r="10" ht="15" customHeight="1">
      <c r="A10" s="2" t="n">
        <v>52147</v>
      </c>
      <c r="B10" s="2" t="inlineStr">
        <is>
          <t>URI FC321  1 מלח אמבט לכף ר</t>
        </is>
      </c>
      <c r="C10" s="2" t="n">
        <v>12</v>
      </c>
      <c r="D10" s="2" t="n">
        <v>36</v>
      </c>
    </row>
    <row r="11" ht="15" customHeight="1">
      <c r="A11" s="2" t="n">
        <v>74684</v>
      </c>
      <c r="B11" s="2" t="inlineStr">
        <is>
          <t>URI 11 XL   1 ח.בטן אורירית</t>
        </is>
      </c>
      <c r="C11" s="2" t="n">
        <v>5</v>
      </c>
      <c r="D11" s="2" t="n">
        <v>15</v>
      </c>
    </row>
    <row r="12" ht="15" customHeight="1">
      <c r="A12" s="2" t="n">
        <v>71086</v>
      </c>
      <c r="B12" s="2" t="inlineStr">
        <is>
          <t>URI 078M 1</t>
        </is>
      </c>
      <c r="C12" s="2" t="n">
        <v>2</v>
      </c>
      <c r="D12" s="2" t="n">
        <v>6</v>
      </c>
    </row>
    <row r="13" ht="15" customHeight="1">
      <c r="A13" s="2" t="n">
        <v>68750</v>
      </c>
      <c r="B13" s="2" t="inlineStr">
        <is>
          <t>388B L 1 סד לילה שחור לבוהן</t>
        </is>
      </c>
      <c r="C13" s="2" t="n">
        <v>1</v>
      </c>
      <c r="D13" s="2" t="n">
        <v>3</v>
      </c>
    </row>
    <row r="14" ht="15" customHeight="1">
      <c r="A14" s="2" t="n">
        <v>82207</v>
      </c>
      <c r="B14" s="2" t="inlineStr">
        <is>
          <t>ST20               1 חבק יד</t>
        </is>
      </c>
      <c r="C14" s="2" t="n">
        <v>6</v>
      </c>
      <c r="D14" s="2" t="n">
        <v>16</v>
      </c>
    </row>
    <row r="15" ht="15" customHeight="1">
      <c r="A15" s="2" t="n">
        <v>79327</v>
      </c>
      <c r="B15" s="2" t="inlineStr">
        <is>
          <t>URI 3611       '1 כרית בנדג</t>
        </is>
      </c>
      <c r="C15" s="2" t="n">
        <v>4</v>
      </c>
      <c r="D15" s="2" t="n">
        <v>10</v>
      </c>
    </row>
    <row r="16" ht="15" customHeight="1">
      <c r="A16" s="2" t="n">
        <v>76452</v>
      </c>
      <c r="B16" s="2" t="inlineStr">
        <is>
          <t xml:space="preserve">                             1 מ.בוניון+מפריד אצבע</t>
        </is>
      </c>
      <c r="C16" s="2" t="n">
        <v>9</v>
      </c>
      <c r="D16" s="2" t="n">
        <v>22</v>
      </c>
    </row>
    <row r="17" ht="15" customHeight="1">
      <c r="A17" s="2" t="n">
        <v>82208</v>
      </c>
      <c r="B17" s="2" t="inlineStr">
        <is>
          <t>URI ST37      1 חבק לקרסול</t>
        </is>
      </c>
      <c r="C17" s="2" t="n">
        <v>9</v>
      </c>
      <c r="D17" s="2" t="n">
        <v>22</v>
      </c>
    </row>
    <row r="18" ht="15" customHeight="1">
      <c r="A18" s="2" t="n">
        <v>83420</v>
      </c>
      <c r="B18" s="2" t="inlineStr">
        <is>
          <t>URI ST4221 מגן ברך +כ סיליק</t>
        </is>
      </c>
      <c r="C18" s="2" t="n">
        <v>7</v>
      </c>
      <c r="D18" s="2" t="n">
        <v>17</v>
      </c>
    </row>
    <row r="19" ht="15" customHeight="1">
      <c r="A19" s="2" t="n">
        <v>71088</v>
      </c>
      <c r="B19" s="2" t="inlineStr">
        <is>
          <t>URI 078XL 1</t>
        </is>
      </c>
      <c r="C19" s="2" t="n">
        <v>6</v>
      </c>
      <c r="D19" s="2" t="n">
        <v>14</v>
      </c>
    </row>
    <row r="20" ht="15" customHeight="1">
      <c r="A20" s="2" t="n">
        <v>63366</v>
      </c>
      <c r="B20" s="2" t="inlineStr">
        <is>
          <t>URI 34 M 1 מגן קרסול ס.בעקב</t>
        </is>
      </c>
      <c r="C20" s="2" t="n">
        <v>17</v>
      </c>
      <c r="D20" s="2" t="n">
        <v>39</v>
      </c>
    </row>
    <row r="21" ht="15" customHeight="1">
      <c r="A21" s="2" t="n">
        <v>57690</v>
      </c>
      <c r="B21" s="2" t="inlineStr">
        <is>
          <t>808KT-C   1 טייפ קינזיולוגי</t>
        </is>
      </c>
      <c r="C21" s="2" t="n">
        <v>8</v>
      </c>
      <c r="D21" s="2" t="n">
        <v>18</v>
      </c>
    </row>
    <row r="22" ht="15" customHeight="1">
      <c r="A22" s="2" t="n">
        <v>61344</v>
      </c>
      <c r="B22" s="2" t="inlineStr">
        <is>
          <t>URI 312 9*5   1 מדבקה גדולה</t>
        </is>
      </c>
      <c r="C22" s="2" t="n">
        <v>4</v>
      </c>
      <c r="D22" s="2" t="n">
        <v>9</v>
      </c>
    </row>
    <row r="23" ht="15" customHeight="1">
      <c r="A23" s="2" t="n">
        <v>61962</v>
      </c>
      <c r="B23" s="2" t="inlineStr">
        <is>
          <t>URI 3677 1 מדבקה לשחרור לחץ</t>
        </is>
      </c>
      <c r="C23" s="2" t="n">
        <v>4</v>
      </c>
      <c r="D23" s="2" t="n">
        <v>9</v>
      </c>
    </row>
    <row r="24" ht="15" customHeight="1">
      <c r="A24" s="2" t="n">
        <v>82206</v>
      </c>
      <c r="B24" s="2" t="inlineStr">
        <is>
          <t>ST25     1 חבק לשורש כף היד</t>
        </is>
      </c>
      <c r="C24" s="2" t="n">
        <v>37</v>
      </c>
      <c r="D24" s="2" t="n">
        <v>81</v>
      </c>
    </row>
    <row r="25" ht="15" customHeight="1">
      <c r="A25" s="2" t="n">
        <v>9771</v>
      </c>
      <c r="B25" s="2" t="inlineStr">
        <is>
          <t>URI 307 M 1 זוג עקב סיל+נ כ</t>
        </is>
      </c>
      <c r="C25" s="2" t="n">
        <v>11</v>
      </c>
      <c r="D25" s="2" t="n">
        <v>24</v>
      </c>
    </row>
    <row r="26" ht="15" customHeight="1">
      <c r="A26" s="2" t="n">
        <v>59657</v>
      </c>
      <c r="B26" s="2" t="inlineStr">
        <is>
          <t>URI 363 L R 1</t>
        </is>
      </c>
      <c r="C26" s="2" t="n">
        <v>6</v>
      </c>
      <c r="D26" s="2" t="n">
        <v>13</v>
      </c>
    </row>
    <row r="27" ht="15" customHeight="1">
      <c r="A27" s="2" t="n">
        <v>31188</v>
      </c>
      <c r="B27" s="2" t="inlineStr">
        <is>
          <t>URI 372    1 רפידת אנטי ריח</t>
        </is>
      </c>
      <c r="C27" s="2" t="n">
        <v>26</v>
      </c>
      <c r="D27" s="2" t="n">
        <v>52</v>
      </c>
    </row>
    <row r="28" ht="15" customHeight="1">
      <c r="A28" s="2" t="n">
        <v>75763</v>
      </c>
      <c r="B28" s="2" t="inlineStr">
        <is>
          <t>URI 16 S-M    1 חגורת הריון</t>
        </is>
      </c>
      <c r="C28" s="2" t="n">
        <v>3</v>
      </c>
      <c r="D28" s="2" t="n">
        <v>6</v>
      </c>
    </row>
    <row r="29" ht="15" customHeight="1">
      <c r="A29" s="2" t="n">
        <v>71683</v>
      </c>
      <c r="B29" s="2" t="inlineStr">
        <is>
          <t>URI S 3622 1 מדבקה לשחרור ל</t>
        </is>
      </c>
      <c r="C29" s="2" t="n">
        <v>2</v>
      </c>
      <c r="D29" s="2" t="n">
        <v>4</v>
      </c>
    </row>
    <row r="30" ht="15" customHeight="1">
      <c r="A30" s="2" t="n">
        <v>74821</v>
      </c>
      <c r="B30" s="2" t="inlineStr">
        <is>
          <t>URI 59R  M.1 חגורת שבר צד י</t>
        </is>
      </c>
      <c r="C30" s="2" t="n">
        <v>1</v>
      </c>
      <c r="D30" s="2" t="n">
        <v>2</v>
      </c>
    </row>
    <row r="31" ht="15" customHeight="1">
      <c r="A31" s="2" t="n">
        <v>63359</v>
      </c>
      <c r="B31" s="2" t="inlineStr">
        <is>
          <t>URI 45 M          1 מגן ברך</t>
        </is>
      </c>
      <c r="C31" s="2" t="n">
        <v>29</v>
      </c>
      <c r="D31" s="2" t="n">
        <v>57</v>
      </c>
    </row>
    <row r="32" ht="15" customHeight="1">
      <c r="A32" s="2" t="n">
        <v>65243</v>
      </c>
      <c r="B32" s="2" t="inlineStr">
        <is>
          <t>URI XL35    1 מגן קרסול לבן</t>
        </is>
      </c>
      <c r="C32" s="2" t="n">
        <v>10</v>
      </c>
      <c r="D32" s="2" t="n">
        <v>19</v>
      </c>
    </row>
    <row r="33" ht="15" customHeight="1">
      <c r="A33" s="2" t="n">
        <v>60472</v>
      </c>
      <c r="B33" s="2" t="inlineStr">
        <is>
          <t>URI PD340  1 קוצץ ציפורניים</t>
        </is>
      </c>
      <c r="C33" s="2" t="n">
        <v>24</v>
      </c>
      <c r="D33" s="2" t="n">
        <v>45</v>
      </c>
    </row>
    <row r="34" ht="15" customHeight="1">
      <c r="A34" s="2" t="n">
        <v>20998</v>
      </c>
      <c r="B34" s="2" t="inlineStr">
        <is>
          <t>URI 11 XXL  1 ח.בטן אורירית</t>
        </is>
      </c>
      <c r="C34" s="2" t="n">
        <v>4</v>
      </c>
      <c r="D34" s="2" t="n">
        <v>7</v>
      </c>
    </row>
    <row r="35" ht="15" customHeight="1">
      <c r="A35" s="2" t="n">
        <v>59694</v>
      </c>
      <c r="B35" s="2" t="inlineStr">
        <is>
          <t>URI 365 S-L   1 טבעת אלסטית</t>
        </is>
      </c>
      <c r="C35" s="2" t="n">
        <v>21</v>
      </c>
      <c r="D35" s="2" t="n">
        <v>35</v>
      </c>
    </row>
    <row r="36" ht="15" customHeight="1">
      <c r="A36" s="2" t="n">
        <v>60485</v>
      </c>
      <c r="B36" s="2" t="inlineStr">
        <is>
          <t>URI 369 XL 1</t>
        </is>
      </c>
      <c r="C36" s="2" t="n">
        <v>14</v>
      </c>
      <c r="D36" s="2" t="n">
        <v>23</v>
      </c>
    </row>
    <row r="37" ht="15" customHeight="1">
      <c r="A37" s="2" t="n">
        <v>82202</v>
      </c>
      <c r="B37" s="2" t="inlineStr">
        <is>
          <t>ST91       1 מגן מרפק לטניס</t>
        </is>
      </c>
      <c r="C37" s="2" t="n">
        <v>18</v>
      </c>
      <c r="D37" s="2" t="n">
        <v>29</v>
      </c>
    </row>
    <row r="38" ht="15" customHeight="1">
      <c r="A38" s="2" t="n">
        <v>74800</v>
      </c>
      <c r="B38" s="2" t="inlineStr">
        <is>
          <t>URI 45E M    1 מגן ברך ארוך</t>
        </is>
      </c>
      <c r="C38" s="2" t="n">
        <v>21</v>
      </c>
      <c r="D38" s="2" t="n">
        <v>32</v>
      </c>
    </row>
    <row r="39" ht="15" customHeight="1">
      <c r="A39" s="2" t="n">
        <v>60473</v>
      </c>
      <c r="B39" s="2" t="inlineStr">
        <is>
          <t>URI PD341 1 מקצוע להסרת עור</t>
        </is>
      </c>
      <c r="C39" s="2" t="n">
        <v>6</v>
      </c>
      <c r="D39" s="2" t="n">
        <v>9</v>
      </c>
    </row>
    <row r="40" ht="15" customHeight="1">
      <c r="A40" s="2" t="n">
        <v>63419</v>
      </c>
      <c r="B40" s="2" t="inlineStr">
        <is>
          <t>URI 87 XL1 חגו.קיבוע תמ.אמה</t>
        </is>
      </c>
      <c r="C40" s="2" t="n">
        <v>4</v>
      </c>
      <c r="D40" s="2" t="n">
        <v>6</v>
      </c>
    </row>
    <row r="41" ht="15" customHeight="1">
      <c r="A41" s="2" t="n">
        <v>45264</v>
      </c>
      <c r="B41" s="2" t="inlineStr">
        <is>
          <t>URI 34+        1 מגן לקרסול</t>
        </is>
      </c>
      <c r="C41" s="2" t="n">
        <v>2</v>
      </c>
      <c r="D41" s="2" t="n">
        <v>3</v>
      </c>
    </row>
    <row r="42" ht="15" customHeight="1">
      <c r="A42" s="2" t="n">
        <v>64634</v>
      </c>
      <c r="B42" s="2" t="inlineStr">
        <is>
          <t>URI 390B 39-42   1 גרבי כסף</t>
        </is>
      </c>
      <c r="C42" s="2" t="n">
        <v>2</v>
      </c>
      <c r="D42" s="2" t="n">
        <v>3</v>
      </c>
    </row>
    <row r="43" ht="15" customHeight="1">
      <c r="A43" s="2" t="n">
        <v>59656</v>
      </c>
      <c r="B43" s="2" t="inlineStr">
        <is>
          <t>URI 362 L R 1</t>
        </is>
      </c>
      <c r="C43" s="2" t="n">
        <v>15</v>
      </c>
      <c r="D43" s="2" t="n">
        <v>22</v>
      </c>
    </row>
    <row r="44" ht="15" customHeight="1">
      <c r="A44" s="2" t="n">
        <v>63361</v>
      </c>
      <c r="B44" s="2" t="inlineStr">
        <is>
          <t>URI 45 XL         1 מגן ברך</t>
        </is>
      </c>
      <c r="C44" s="2" t="n">
        <v>24</v>
      </c>
      <c r="D44" s="2" t="n">
        <v>35</v>
      </c>
    </row>
    <row r="45" ht="15" customHeight="1">
      <c r="A45" s="2" t="n">
        <v>74801</v>
      </c>
      <c r="B45" s="2" t="inlineStr">
        <is>
          <t>URI 45E XL   1 מגן ברך ארוך</t>
        </is>
      </c>
      <c r="C45" s="2" t="n">
        <v>22</v>
      </c>
      <c r="D45" s="2" t="n">
        <v>32</v>
      </c>
    </row>
    <row r="46" ht="15" customHeight="1">
      <c r="A46" s="2" t="n">
        <v>74709</v>
      </c>
      <c r="B46" s="2" t="inlineStr">
        <is>
          <t>URI 21 M      1 חבק יד ארוך</t>
        </is>
      </c>
      <c r="C46" s="2" t="n">
        <v>23</v>
      </c>
      <c r="D46" s="2" t="n">
        <v>33</v>
      </c>
    </row>
    <row r="47" ht="15" customHeight="1">
      <c r="A47" s="2" t="n">
        <v>57664</v>
      </c>
      <c r="B47" s="2" t="inlineStr">
        <is>
          <t>808KT-BL  1 טייפ קינזיולוגי</t>
        </is>
      </c>
      <c r="C47" s="2" t="n">
        <v>7</v>
      </c>
      <c r="D47" s="2" t="n">
        <v>10</v>
      </c>
    </row>
    <row r="48" ht="15" customHeight="1">
      <c r="A48" s="2" t="n">
        <v>57696</v>
      </c>
      <c r="B48" s="2" t="inlineStr">
        <is>
          <t>808KT-B   1 טייפ קינזיולוגי</t>
        </is>
      </c>
      <c r="C48" s="2" t="n">
        <v>7</v>
      </c>
      <c r="D48" s="2" t="n">
        <v>10</v>
      </c>
    </row>
    <row r="49" ht="15" customHeight="1">
      <c r="A49" s="2" t="n">
        <v>63360</v>
      </c>
      <c r="B49" s="2" t="inlineStr">
        <is>
          <t>URI 45 L          1 מגן ברךBOX</t>
        </is>
      </c>
      <c r="C49" s="2" t="n">
        <v>40</v>
      </c>
      <c r="D49" s="2" t="n">
        <v>57</v>
      </c>
    </row>
    <row r="50" ht="15" customHeight="1">
      <c r="A50" s="2" t="n">
        <v>85338</v>
      </c>
      <c r="B50" s="2" t="inlineStr">
        <is>
          <t>URI 302W 0     1 מדרס לאישה</t>
        </is>
      </c>
      <c r="C50" s="2" t="n">
        <v>12</v>
      </c>
      <c r="D50" s="2" t="n">
        <v>17</v>
      </c>
    </row>
    <row r="51" ht="15" customHeight="1">
      <c r="A51" s="2" t="n">
        <v>65241</v>
      </c>
      <c r="B51" s="2" t="inlineStr">
        <is>
          <t>URI M35     1 מגן קרסול לבן</t>
        </is>
      </c>
      <c r="C51" s="2" t="n">
        <v>17</v>
      </c>
      <c r="D51" s="2" t="n">
        <v>24</v>
      </c>
    </row>
    <row r="52" ht="15" customHeight="1">
      <c r="A52" s="2" t="n">
        <v>63420</v>
      </c>
      <c r="B52" s="2" t="inlineStr">
        <is>
          <t>URI 95 M         1 מגן מרפק</t>
        </is>
      </c>
      <c r="C52" s="2" t="n">
        <v>16</v>
      </c>
      <c r="D52" s="2" t="n">
        <v>22</v>
      </c>
    </row>
    <row r="53" ht="15" customHeight="1">
      <c r="A53" s="2" t="n">
        <v>71087</v>
      </c>
      <c r="B53" s="2" t="inlineStr">
        <is>
          <t>URI 078L 1</t>
        </is>
      </c>
      <c r="C53" s="2" t="n">
        <v>11</v>
      </c>
      <c r="D53" s="2" t="n">
        <v>15</v>
      </c>
    </row>
    <row r="54" ht="15" customHeight="1">
      <c r="A54" s="2" t="n">
        <v>60476</v>
      </c>
      <c r="B54" s="2" t="inlineStr">
        <is>
          <t>URI PD344       1 אבן טבעית</t>
        </is>
      </c>
      <c r="C54" s="2" t="n">
        <v>27</v>
      </c>
      <c r="D54" s="2" t="n">
        <v>36</v>
      </c>
    </row>
    <row r="55" ht="15" customHeight="1">
      <c r="A55" s="2" t="n">
        <v>74762</v>
      </c>
      <c r="B55" s="2" t="inlineStr">
        <is>
          <t>URI 34+ L      1 מגן לקרסול</t>
        </is>
      </c>
      <c r="C55" s="2" t="n">
        <v>12</v>
      </c>
      <c r="D55" s="2" t="n">
        <v>16</v>
      </c>
    </row>
    <row r="56" ht="15" customHeight="1">
      <c r="A56" s="2" t="n">
        <v>67935</v>
      </c>
      <c r="B56" s="2" t="inlineStr">
        <is>
          <t>URI 45 S          1 מגן ברך</t>
        </is>
      </c>
      <c r="C56" s="2" t="n">
        <v>9</v>
      </c>
      <c r="D56" s="2" t="n">
        <v>12</v>
      </c>
    </row>
    <row r="57" ht="15" customHeight="1">
      <c r="A57" s="2" t="n">
        <v>19082</v>
      </c>
      <c r="B57" s="2" t="inlineStr">
        <is>
          <t>URI 34 S 1 מגן קרסול ס בעקב</t>
        </is>
      </c>
      <c r="C57" s="2" t="n">
        <v>6</v>
      </c>
      <c r="D57" s="2" t="n">
        <v>8</v>
      </c>
    </row>
    <row r="58" ht="15" customHeight="1">
      <c r="A58" s="2" t="n">
        <v>18559</v>
      </c>
      <c r="B58" s="2" t="inlineStr">
        <is>
          <t>URI 8200    1 כרית חום וקור</t>
        </is>
      </c>
      <c r="C58" s="2" t="n">
        <v>3</v>
      </c>
      <c r="D58" s="2" t="n">
        <v>4</v>
      </c>
    </row>
    <row r="59" ht="15" customHeight="1">
      <c r="A59" s="2" t="n">
        <v>67960</v>
      </c>
      <c r="B59" s="2" t="inlineStr">
        <is>
          <t>URI 85 S        1 מיתלה ליד</t>
        </is>
      </c>
      <c r="C59" s="2" t="n">
        <v>10</v>
      </c>
      <c r="D59" s="2" t="n">
        <v>13</v>
      </c>
    </row>
    <row r="60" ht="15" customHeight="1">
      <c r="A60" s="2" t="n">
        <v>52323</v>
      </c>
      <c r="B60" s="2" t="inlineStr">
        <is>
          <t>URI 078G L 1 חגורת גב אפורה</t>
        </is>
      </c>
      <c r="C60" s="2" t="n">
        <v>22</v>
      </c>
      <c r="D60" s="2" t="n">
        <v>28</v>
      </c>
    </row>
    <row r="61" ht="15" customHeight="1">
      <c r="A61" s="2" t="n">
        <v>8618</v>
      </c>
      <c r="B61" s="2" t="inlineStr">
        <is>
          <t>URI 311         1 מדבקת ג'ל</t>
        </is>
      </c>
      <c r="C61" s="2" t="n">
        <v>11</v>
      </c>
      <c r="D61" s="2" t="n">
        <v>14</v>
      </c>
    </row>
    <row r="62" ht="15" customHeight="1">
      <c r="A62" s="2" t="n">
        <v>67957</v>
      </c>
      <c r="B62" s="2" t="inlineStr">
        <is>
          <t>URI 95 S         1 מגן מרפק</t>
        </is>
      </c>
      <c r="C62" s="2" t="n">
        <v>15</v>
      </c>
      <c r="D62" s="2" t="n">
        <v>19</v>
      </c>
    </row>
    <row r="63" ht="15" customHeight="1">
      <c r="A63" s="2" t="n">
        <v>31183</v>
      </c>
      <c r="B63" s="2" t="inlineStr">
        <is>
          <t>URI 370       1 רפידת נוחות</t>
        </is>
      </c>
      <c r="C63" s="2" t="n">
        <v>24</v>
      </c>
      <c r="D63" s="2" t="n">
        <v>30</v>
      </c>
    </row>
    <row r="64" ht="15" customHeight="1">
      <c r="A64" s="2" t="n">
        <v>29881</v>
      </c>
      <c r="B64" s="2" t="inlineStr">
        <is>
          <t>URI 34 XXL 1 מגן קרסול סגור</t>
        </is>
      </c>
      <c r="C64" s="2" t="n">
        <v>4</v>
      </c>
      <c r="D64" s="2" t="n">
        <v>5</v>
      </c>
    </row>
    <row r="65" ht="15" customHeight="1">
      <c r="A65" s="2" t="n">
        <v>23008</v>
      </c>
      <c r="B65" s="2" t="inlineStr">
        <is>
          <t>URI 364 XL 1</t>
        </is>
      </c>
      <c r="C65" s="2" t="n">
        <v>22</v>
      </c>
      <c r="D65" s="2" t="n">
        <v>27</v>
      </c>
    </row>
    <row r="66" ht="15" customHeight="1">
      <c r="A66" s="2" t="n">
        <v>80668</v>
      </c>
      <c r="B66" s="2" t="inlineStr">
        <is>
          <t>URI 320 BLISTER PLASTER 1</t>
        </is>
      </c>
      <c r="C66" s="2" t="n">
        <v>9</v>
      </c>
      <c r="D66" s="2" t="n">
        <v>11</v>
      </c>
    </row>
    <row r="67" ht="15" customHeight="1">
      <c r="A67" s="2" t="n">
        <v>55868</v>
      </c>
      <c r="B67" s="2" t="inlineStr">
        <is>
          <t>URI 078G XXL1 חגורת גב אפור</t>
        </is>
      </c>
      <c r="C67" s="2" t="n">
        <v>10</v>
      </c>
      <c r="D67" s="2" t="n">
        <v>12</v>
      </c>
    </row>
    <row r="68" ht="15" customHeight="1">
      <c r="A68" s="2" t="n">
        <v>8616</v>
      </c>
      <c r="B68" s="2" t="inlineStr">
        <is>
          <t>URI 3623 1 כרית ליישור אצבע</t>
        </is>
      </c>
      <c r="C68" s="2" t="n">
        <v>5</v>
      </c>
      <c r="D68" s="2" t="n">
        <v>6</v>
      </c>
    </row>
    <row r="69" ht="15" customHeight="1">
      <c r="A69" s="2" t="n">
        <v>65242</v>
      </c>
      <c r="B69" s="2" t="inlineStr">
        <is>
          <t>URI L35     1 מגן קרסול לבן</t>
        </is>
      </c>
      <c r="C69" s="2" t="n">
        <v>21</v>
      </c>
      <c r="D69" s="2" t="n">
        <v>25</v>
      </c>
    </row>
    <row r="70" ht="15" customHeight="1">
      <c r="A70" s="2" t="n">
        <v>51568</v>
      </c>
      <c r="B70" s="2" t="inlineStr">
        <is>
          <t xml:space="preserve">                                       1 סד לאגודל</t>
        </is>
      </c>
      <c r="C70" s="2" t="n">
        <v>50</v>
      </c>
      <c r="D70" s="2" t="n">
        <v>59</v>
      </c>
    </row>
    <row r="71" ht="15" customHeight="1">
      <c r="A71" s="2" t="n">
        <v>59679</v>
      </c>
      <c r="B71" s="2" t="inlineStr">
        <is>
          <t>URI 364 S M 1</t>
        </is>
      </c>
      <c r="C71" s="2" t="n">
        <v>35</v>
      </c>
      <c r="D71" s="2" t="n">
        <v>41</v>
      </c>
    </row>
    <row r="72" ht="15" customHeight="1">
      <c r="A72" s="2" t="n">
        <v>9772</v>
      </c>
      <c r="B72" s="2" t="inlineStr">
        <is>
          <t>URI 307 L 1 זוג עקב סיל+נ כ</t>
        </is>
      </c>
      <c r="C72" s="2" t="n">
        <v>19</v>
      </c>
      <c r="D72" s="2" t="n">
        <v>22</v>
      </c>
    </row>
    <row r="73" ht="15" customHeight="1">
      <c r="A73" s="2" t="n">
        <v>51567</v>
      </c>
      <c r="B73" s="2" t="inlineStr">
        <is>
          <t xml:space="preserve">                                   1 סד יד דו צדדי</t>
        </is>
      </c>
      <c r="C73" s="2" t="n">
        <v>125</v>
      </c>
      <c r="D73" s="2" t="n">
        <v>144</v>
      </c>
    </row>
    <row r="74" ht="15" customHeight="1">
      <c r="A74" s="2" t="n">
        <v>74708</v>
      </c>
      <c r="B74" s="2" t="inlineStr">
        <is>
          <t>URI 21 L      1 חבק יד ארוך</t>
        </is>
      </c>
      <c r="C74" s="2" t="n">
        <v>27</v>
      </c>
      <c r="D74" s="2" t="n">
        <v>31</v>
      </c>
    </row>
    <row r="75" ht="15" customHeight="1">
      <c r="A75" s="2" t="n">
        <v>63367</v>
      </c>
      <c r="B75" s="2" t="inlineStr">
        <is>
          <t>URI 34 L 1 מגן קרסול ס.בעקב</t>
        </is>
      </c>
      <c r="C75" s="2" t="n">
        <v>27</v>
      </c>
      <c r="D75" s="2" t="n">
        <v>30</v>
      </c>
    </row>
    <row r="76" ht="15" customHeight="1">
      <c r="A76" s="2" t="n">
        <v>21004</v>
      </c>
      <c r="B76" s="2" t="inlineStr">
        <is>
          <t>URI 45E XXL  1 מגן ברך ארוך</t>
        </is>
      </c>
      <c r="C76" s="2" t="n">
        <v>12</v>
      </c>
      <c r="D76" s="2" t="n">
        <v>13</v>
      </c>
    </row>
    <row r="77" ht="15" customHeight="1">
      <c r="A77" s="2" t="n">
        <v>63414</v>
      </c>
      <c r="B77" s="2" t="inlineStr">
        <is>
          <t>URI 85 M         1 מתלה ליד</t>
        </is>
      </c>
      <c r="C77" s="2" t="n">
        <v>20</v>
      </c>
      <c r="D77" s="2" t="n">
        <v>21</v>
      </c>
    </row>
    <row r="78" ht="15" customHeight="1">
      <c r="A78" s="2" t="n">
        <v>82213</v>
      </c>
      <c r="B78" s="2" t="inlineStr">
        <is>
          <t>ST28  1 סט אגודלי+מוט תמיכה</t>
        </is>
      </c>
      <c r="C78" s="2" t="n">
        <v>22</v>
      </c>
      <c r="D78" s="2" t="n">
        <v>23</v>
      </c>
    </row>
    <row r="79" ht="15" customHeight="1">
      <c r="A79" s="2" t="n">
        <v>63415</v>
      </c>
      <c r="B79" s="2" t="inlineStr">
        <is>
          <t>URI 85 L         1 מתלה ליד</t>
        </is>
      </c>
      <c r="C79" s="2" t="n">
        <v>27</v>
      </c>
      <c r="D79" s="2" t="n">
        <v>28</v>
      </c>
    </row>
    <row r="80" ht="15" customHeight="1">
      <c r="A80" s="2" t="n">
        <v>71204</v>
      </c>
      <c r="B80" s="2" t="inlineStr">
        <is>
          <t>URI 3655   1 שרוול מסיליקון</t>
        </is>
      </c>
      <c r="C80" s="2" t="n">
        <v>78</v>
      </c>
      <c r="D80" s="2" t="n">
        <v>80</v>
      </c>
    </row>
    <row r="81" ht="15" customHeight="1">
      <c r="A81" s="2" t="n">
        <v>24612</v>
      </c>
      <c r="B81" s="2" t="inlineStr">
        <is>
          <t>URI AC28        1 סד לאגודל</t>
        </is>
      </c>
      <c r="C81" s="2" t="n">
        <v>43</v>
      </c>
      <c r="D81" s="2" t="n">
        <v>44</v>
      </c>
    </row>
    <row r="82" ht="15" customHeight="1">
      <c r="A82" s="2" t="n">
        <v>60474</v>
      </c>
      <c r="B82" s="2" t="inlineStr">
        <is>
          <t>URI PD3421 פומפיה להסרת עור</t>
        </is>
      </c>
      <c r="C82" s="2" t="n">
        <v>19</v>
      </c>
      <c r="D82" s="2" t="n">
        <v>19</v>
      </c>
    </row>
    <row r="83" ht="15" customHeight="1">
      <c r="A83" s="2" t="n">
        <v>63421</v>
      </c>
      <c r="B83" s="2" t="inlineStr">
        <is>
          <t>URI 95 L         1 מגן מרפק</t>
        </is>
      </c>
      <c r="C83" s="2" t="n">
        <v>16</v>
      </c>
      <c r="D83" s="2" t="n">
        <v>16</v>
      </c>
    </row>
    <row r="84" ht="15" customHeight="1">
      <c r="A84" s="2" t="n">
        <v>52324</v>
      </c>
      <c r="B84" s="2" t="inlineStr">
        <is>
          <t>URI 078G M 1 חגורת גב אפורה</t>
        </is>
      </c>
      <c r="C84" s="2" t="n">
        <v>12</v>
      </c>
      <c r="D84" s="2" t="n">
        <v>12</v>
      </c>
    </row>
    <row r="85" ht="15" customHeight="1">
      <c r="A85" s="2" t="n">
        <v>21003</v>
      </c>
      <c r="B85" s="2" t="inlineStr">
        <is>
          <t>URI 45 XXL        1 מגן ברך</t>
        </is>
      </c>
      <c r="C85" s="2" t="n">
        <v>9</v>
      </c>
      <c r="D85" s="2" t="n">
        <v>9</v>
      </c>
    </row>
    <row r="86" ht="15" customHeight="1">
      <c r="A86" s="2" t="n">
        <v>25386</v>
      </c>
      <c r="B86" s="2" t="inlineStr">
        <is>
          <t>URI 3666  1 מפריד הלקס+כרית</t>
        </is>
      </c>
      <c r="C86" s="2" t="n">
        <v>6</v>
      </c>
      <c r="D86" s="2" t="n">
        <v>6</v>
      </c>
    </row>
    <row r="87" ht="15" customHeight="1">
      <c r="A87" s="2" t="n">
        <v>60478</v>
      </c>
      <c r="B87" s="2" t="inlineStr">
        <is>
          <t>URI PD3461 10 סכינים למקצוע</t>
        </is>
      </c>
      <c r="C87" s="2" t="n">
        <v>6</v>
      </c>
      <c r="D87" s="2" t="n">
        <v>6</v>
      </c>
    </row>
    <row r="88" ht="15" customHeight="1">
      <c r="A88" s="2" t="n">
        <v>63422</v>
      </c>
      <c r="B88" s="2" t="inlineStr">
        <is>
          <t>URI 95 XL        1 מגן מרפק</t>
        </is>
      </c>
      <c r="C88" s="2" t="n">
        <v>6</v>
      </c>
      <c r="D88" s="2" t="n">
        <v>6</v>
      </c>
    </row>
    <row r="89" ht="15" customHeight="1">
      <c r="A89" s="2" t="n">
        <v>74682</v>
      </c>
      <c r="B89" s="2" t="inlineStr">
        <is>
          <t>URI 11 L    1 ח.בטן אורירית</t>
        </is>
      </c>
      <c r="C89" s="2" t="n">
        <v>6</v>
      </c>
      <c r="D89" s="2" t="n">
        <v>6</v>
      </c>
    </row>
    <row r="90" ht="15" customHeight="1">
      <c r="A90" s="2" t="n">
        <v>74670</v>
      </c>
      <c r="B90" s="2" t="inlineStr">
        <is>
          <t>URI 07AU L   1 ח.גב איטלקית</t>
        </is>
      </c>
      <c r="C90" s="2" t="n">
        <v>4</v>
      </c>
      <c r="D90" s="2" t="n">
        <v>4</v>
      </c>
    </row>
    <row r="91" ht="15" customHeight="1">
      <c r="A91" s="2" t="n">
        <v>74672</v>
      </c>
      <c r="B91" s="2" t="inlineStr">
        <is>
          <t>URI 07AU XL  1 ח.גב איטלקית</t>
        </is>
      </c>
      <c r="C91" s="2" t="n">
        <v>3</v>
      </c>
      <c r="D91" s="2" t="n">
        <v>3</v>
      </c>
    </row>
    <row r="92" ht="15" customHeight="1">
      <c r="A92" s="2" t="n">
        <v>75764</v>
      </c>
      <c r="B92" s="2" t="inlineStr">
        <is>
          <t>URI 16 XXL    1 חגורת הריון</t>
        </is>
      </c>
      <c r="C92" s="2" t="n">
        <v>3</v>
      </c>
      <c r="D92" s="2" t="n">
        <v>3</v>
      </c>
    </row>
    <row r="93" ht="15" customHeight="1">
      <c r="A93" s="2" t="n">
        <v>74847</v>
      </c>
      <c r="B93" s="2" t="inlineStr">
        <is>
          <t>URI 76 M        1 מיישר כתף</t>
        </is>
      </c>
      <c r="C93" s="2" t="n">
        <v>2</v>
      </c>
      <c r="D93" s="2" t="n">
        <v>2</v>
      </c>
    </row>
    <row r="94" ht="15" customHeight="1">
      <c r="A94" s="2" t="n">
        <v>64636</v>
      </c>
      <c r="B94" s="2" t="inlineStr">
        <is>
          <t>URI 390G 35-38   1 גרבי כסף</t>
        </is>
      </c>
      <c r="C94" s="2" t="n">
        <v>1</v>
      </c>
      <c r="D94" s="2" t="n">
        <v>1</v>
      </c>
    </row>
    <row r="95" ht="15" customHeight="1">
      <c r="A95" s="2" t="n">
        <v>64638</v>
      </c>
      <c r="B95" s="2" t="inlineStr">
        <is>
          <t>URI 390G 43-46   1 גרבי כסף</t>
        </is>
      </c>
      <c r="C95" s="2" t="n">
        <v>1</v>
      </c>
      <c r="D95" s="2" t="n">
        <v>1</v>
      </c>
    </row>
    <row r="96" ht="15" customHeight="1">
      <c r="A96" s="2" t="n">
        <v>74688</v>
      </c>
      <c r="B96" s="2" t="inlineStr">
        <is>
          <t>URI 11 TO XL        1 ח בטן</t>
        </is>
      </c>
      <c r="C96" s="2" t="n">
        <v>1</v>
      </c>
      <c r="D96" s="2" t="n">
        <v>1</v>
      </c>
    </row>
    <row r="97" ht="15" customHeight="1">
      <c r="A97" s="2" t="n">
        <v>74820</v>
      </c>
      <c r="B97" s="2" t="inlineStr">
        <is>
          <t>URI 59R L.1 חגורת שבר לצד י</t>
        </is>
      </c>
      <c r="C97" s="2" t="n">
        <v>1</v>
      </c>
      <c r="D97" s="2" t="n">
        <v>1</v>
      </c>
    </row>
    <row r="98" ht="15" customHeight="1">
      <c r="A98" s="2" t="n">
        <v>66485</v>
      </c>
      <c r="B98" s="2" t="inlineStr">
        <is>
          <t>URI 801 ICE GO  1 תחבושת אל</t>
        </is>
      </c>
      <c r="C98" s="2" t="n">
        <v>21</v>
      </c>
      <c r="D98" s="2" t="n">
        <v>20</v>
      </c>
    </row>
    <row r="99" ht="15" customHeight="1">
      <c r="A99" s="2" t="n">
        <v>59659</v>
      </c>
      <c r="B99" s="2" t="inlineStr">
        <is>
          <t>URI 369 S-L 1</t>
        </is>
      </c>
      <c r="C99" s="2" t="n">
        <v>15</v>
      </c>
      <c r="D99" s="2" t="n">
        <v>14</v>
      </c>
    </row>
    <row r="100" ht="15" customHeight="1">
      <c r="A100" s="2" t="n">
        <v>16213</v>
      </c>
      <c r="B100" s="2" t="inlineStr">
        <is>
          <t>394B-43-461 גרבי קיץ לסוכרת</t>
        </is>
      </c>
      <c r="C100" s="2" t="n">
        <v>16</v>
      </c>
      <c r="D100" s="2" t="n">
        <v>14</v>
      </c>
    </row>
    <row r="101" ht="15" customHeight="1">
      <c r="A101" s="2" t="n">
        <v>63368</v>
      </c>
      <c r="B101" s="2" t="inlineStr">
        <is>
          <t>URI 34 XL1 מגן קרסול ס.בעקב</t>
        </is>
      </c>
      <c r="C101" s="2" t="n">
        <v>14</v>
      </c>
      <c r="D101" s="2" t="n">
        <v>12</v>
      </c>
    </row>
    <row r="102" ht="15" customHeight="1">
      <c r="A102" s="2" t="n">
        <v>74799</v>
      </c>
      <c r="B102" s="2" t="inlineStr">
        <is>
          <t>URI 45E L1 מגן ברך ארוך לבן</t>
        </is>
      </c>
      <c r="C102" s="2" t="n">
        <v>31</v>
      </c>
      <c r="D102" s="2" t="n">
        <v>26</v>
      </c>
    </row>
    <row r="103" ht="15" customHeight="1">
      <c r="A103" s="2" t="n">
        <v>42964</v>
      </c>
      <c r="B103" s="2" t="inlineStr">
        <is>
          <t>URI 45E  1 מגן ברך ארוך לבן</t>
        </is>
      </c>
      <c r="C103" s="2" t="n">
        <v>6</v>
      </c>
      <c r="D103" s="2" t="n">
        <v>5</v>
      </c>
    </row>
    <row r="104" ht="15" customHeight="1">
      <c r="A104" s="2" t="n">
        <v>88476</v>
      </c>
      <c r="B104" s="2" t="inlineStr">
        <is>
          <t>URI LF373 0 1 ריפוד סיליקון</t>
        </is>
      </c>
      <c r="C104" s="2" t="n">
        <v>6</v>
      </c>
      <c r="D104" s="2" t="n">
        <v>5</v>
      </c>
    </row>
    <row r="105" ht="15" customHeight="1">
      <c r="A105" s="2" t="n">
        <v>83668</v>
      </c>
      <c r="B105" s="2" t="inlineStr">
        <is>
          <t>URI FC335    1 טלק לכף הרגל</t>
        </is>
      </c>
      <c r="C105" s="2" t="n">
        <v>92</v>
      </c>
      <c r="D105" s="2" t="n">
        <v>71</v>
      </c>
    </row>
    <row r="106" ht="15" customHeight="1">
      <c r="A106" s="2" t="n">
        <v>61961</v>
      </c>
      <c r="B106" s="2" t="inlineStr">
        <is>
          <t>URI 366S 1 מדבקה לשחרור לחץ</t>
        </is>
      </c>
      <c r="C106" s="2" t="n">
        <v>12</v>
      </c>
      <c r="D106" s="2" t="n">
        <v>9</v>
      </c>
    </row>
    <row r="107" ht="15" customHeight="1">
      <c r="A107" s="2" t="n">
        <v>65743</v>
      </c>
      <c r="B107" s="2" t="inlineStr">
        <is>
          <t>URI LF 360   1 מדרס מטטרזלי</t>
        </is>
      </c>
      <c r="C107" s="2" t="n">
        <v>4</v>
      </c>
      <c r="D107" s="2" t="n">
        <v>3</v>
      </c>
    </row>
    <row r="108" ht="15" customHeight="1">
      <c r="A108" s="2" t="n">
        <v>63418</v>
      </c>
      <c r="B108" s="2" t="inlineStr">
        <is>
          <t>URI 87 L1 חגו.לקיבוע תמ.אמה</t>
        </is>
      </c>
      <c r="C108" s="2" t="n">
        <v>7</v>
      </c>
      <c r="D108" s="2" t="n">
        <v>5</v>
      </c>
    </row>
    <row r="109" ht="15" customHeight="1">
      <c r="A109" s="2" t="n">
        <v>75762</v>
      </c>
      <c r="B109" s="2" t="inlineStr">
        <is>
          <t>URI 16 L-XL   1 חגורת הריון</t>
        </is>
      </c>
      <c r="C109" s="2" t="n">
        <v>7</v>
      </c>
      <c r="D109" s="2" t="n">
        <v>5</v>
      </c>
    </row>
    <row r="110" ht="15" customHeight="1">
      <c r="A110" s="2" t="n">
        <v>74763</v>
      </c>
      <c r="B110" s="2" t="inlineStr">
        <is>
          <t>URI 34+ M       1 מגן קרסול</t>
        </is>
      </c>
      <c r="C110" s="2" t="n">
        <v>10</v>
      </c>
      <c r="D110" s="2" t="n">
        <v>7</v>
      </c>
    </row>
    <row r="111" ht="15" customHeight="1">
      <c r="A111" s="2" t="n">
        <v>66745</v>
      </c>
      <c r="B111" s="2" t="inlineStr">
        <is>
          <t xml:space="preserve">                       1 תרסיס דיאו.אנטי בקטר.לנעל</t>
        </is>
      </c>
      <c r="C111" s="2" t="n">
        <v>76</v>
      </c>
      <c r="D111" s="2" t="n">
        <v>53</v>
      </c>
    </row>
    <row r="112" ht="15" customHeight="1">
      <c r="A112" s="2" t="n">
        <v>47877</v>
      </c>
      <c r="B112" s="2" t="inlineStr">
        <is>
          <t>URI 21        1 חבק יד ארוך</t>
        </is>
      </c>
      <c r="C112" s="2" t="n">
        <v>15</v>
      </c>
      <c r="D112" s="2" t="n">
        <v>10</v>
      </c>
    </row>
    <row r="113" ht="15" customHeight="1">
      <c r="A113" s="2" t="n">
        <v>63416</v>
      </c>
      <c r="B113" s="2" t="inlineStr">
        <is>
          <t>URI 85 XL        1 מתלה ליד</t>
        </is>
      </c>
      <c r="C113" s="2" t="n">
        <v>12</v>
      </c>
      <c r="D113" s="2" t="n">
        <v>8</v>
      </c>
    </row>
    <row r="114" ht="15" customHeight="1">
      <c r="A114" s="2" t="n">
        <v>16244</v>
      </c>
      <c r="B114" s="2" t="inlineStr">
        <is>
          <t>394W-39-421 גרבי קיץ לסוכרת</t>
        </is>
      </c>
      <c r="C114" s="2" t="n">
        <v>3</v>
      </c>
      <c r="D114" s="2" t="n">
        <v>2</v>
      </c>
    </row>
    <row r="115" ht="15" customHeight="1">
      <c r="A115" s="2" t="n">
        <v>31190</v>
      </c>
      <c r="B115" s="2" t="inlineStr">
        <is>
          <t>URI 374 1 רפידה בולמת זעזוע</t>
        </is>
      </c>
      <c r="C115" s="2" t="n">
        <v>20</v>
      </c>
      <c r="D115" s="2" t="n">
        <v>12</v>
      </c>
    </row>
    <row r="116" ht="15" customHeight="1">
      <c r="A116" s="2" t="n">
        <v>60484</v>
      </c>
      <c r="B116" s="2" t="inlineStr">
        <is>
          <t>URI 3641 1</t>
        </is>
      </c>
      <c r="C116" s="2" t="n">
        <v>10</v>
      </c>
      <c r="D116" s="2" t="n">
        <v>6</v>
      </c>
    </row>
    <row r="117" ht="15" customHeight="1">
      <c r="A117" s="2" t="n">
        <v>67925</v>
      </c>
      <c r="B117" s="2" t="inlineStr">
        <is>
          <t>URI 35  S   1 מגן קרסול לבן</t>
        </is>
      </c>
      <c r="C117" s="2" t="n">
        <v>10</v>
      </c>
      <c r="D117" s="2" t="n">
        <v>6</v>
      </c>
    </row>
    <row r="118" ht="15" customHeight="1">
      <c r="A118" s="2" t="n">
        <v>85165</v>
      </c>
      <c r="B118" s="2" t="inlineStr">
        <is>
          <t>URI 307 XL  1 כרית סיל.לעקב</t>
        </is>
      </c>
      <c r="C118" s="2" t="n">
        <v>9</v>
      </c>
      <c r="D118" s="2" t="n">
        <v>5</v>
      </c>
    </row>
    <row r="119" ht="15" customHeight="1">
      <c r="A119" s="2" t="n">
        <v>67385</v>
      </c>
      <c r="B119" s="2" t="inlineStr">
        <is>
          <t>URI 302M 0  1 מדרס ג'ל לגבר</t>
        </is>
      </c>
      <c r="C119" s="2" t="n">
        <v>32</v>
      </c>
      <c r="D119" s="2" t="n">
        <v>17</v>
      </c>
    </row>
    <row r="120" ht="15" customHeight="1">
      <c r="A120" s="2" t="n">
        <v>63417</v>
      </c>
      <c r="B120" s="2" t="inlineStr">
        <is>
          <t>URI 87 M1 חגו.לקיבוע תמ.אמה</t>
        </is>
      </c>
      <c r="C120" s="2" t="n">
        <v>8</v>
      </c>
      <c r="D120" s="2" t="n">
        <v>4</v>
      </c>
    </row>
    <row r="121" ht="15" customHeight="1">
      <c r="A121" s="2" t="n">
        <v>74683</v>
      </c>
      <c r="B121" s="2" t="inlineStr">
        <is>
          <t>URI 11 M    1 ח.בטן אורירית</t>
        </is>
      </c>
      <c r="C121" s="2" t="n">
        <v>4</v>
      </c>
      <c r="D121" s="2" t="n">
        <v>2</v>
      </c>
    </row>
    <row r="122" ht="15" customHeight="1">
      <c r="A122" s="2" t="n">
        <v>87819</v>
      </c>
      <c r="B122" s="2" t="inlineStr">
        <is>
          <t>ST433    H 1 מגן ברך עם ציר</t>
        </is>
      </c>
      <c r="C122" s="2" t="n">
        <v>4</v>
      </c>
      <c r="D122" s="2" t="n">
        <v>2</v>
      </c>
    </row>
    <row r="123" ht="15" customHeight="1">
      <c r="A123" s="2" t="n">
        <v>52326</v>
      </c>
      <c r="B123" s="2" t="inlineStr">
        <is>
          <t>URI 078G S 1 חגורת גב אפורה</t>
        </is>
      </c>
      <c r="C123" s="2" t="n">
        <v>2</v>
      </c>
      <c r="D123" s="2" t="n">
        <v>1</v>
      </c>
    </row>
    <row r="124" ht="15" customHeight="1">
      <c r="A124" s="2" t="n">
        <v>64637</v>
      </c>
      <c r="B124" s="2" t="inlineStr">
        <is>
          <t>URI 390G 39-42   1 גרבי כסף</t>
        </is>
      </c>
      <c r="C124" s="2" t="n">
        <v>2</v>
      </c>
      <c r="D124" s="2" t="n">
        <v>1</v>
      </c>
    </row>
    <row r="125" ht="15" customHeight="1">
      <c r="A125" s="2" t="n">
        <v>74805</v>
      </c>
      <c r="B125" s="2" t="inlineStr">
        <is>
          <t>URI 49 L          1 מגן ירך</t>
        </is>
      </c>
      <c r="C125" s="2" t="n">
        <v>2</v>
      </c>
      <c r="D125" s="2" t="n">
        <v>1</v>
      </c>
    </row>
    <row r="126" ht="15" customHeight="1">
      <c r="A126" s="2" t="n">
        <v>82551</v>
      </c>
      <c r="B126" s="2" t="inlineStr">
        <is>
          <t>URI ST11        1 חגורת בטן</t>
        </is>
      </c>
      <c r="C126" s="2" t="n">
        <v>2</v>
      </c>
      <c r="D126" s="2" t="n">
        <v>1</v>
      </c>
    </row>
    <row r="127" ht="15" customHeight="1">
      <c r="A127" s="2" t="n">
        <v>52328</v>
      </c>
      <c r="B127" s="2" t="inlineStr">
        <is>
          <t>URI 078G XL 1 חגורת גב אפור</t>
        </is>
      </c>
      <c r="C127" s="2" t="n">
        <v>17</v>
      </c>
      <c r="D127" s="2" t="n">
        <v>8</v>
      </c>
    </row>
    <row r="128" ht="15" customHeight="1">
      <c r="A128" s="2" t="n">
        <v>74710</v>
      </c>
      <c r="B128" s="2" t="inlineStr">
        <is>
          <t>URI 21 XL     1 חבק יד ארוך</t>
        </is>
      </c>
      <c r="C128" s="2" t="n">
        <v>9</v>
      </c>
      <c r="D128" s="2" t="n">
        <v>4</v>
      </c>
    </row>
    <row r="129" ht="15" customHeight="1">
      <c r="A129" s="2" t="n">
        <v>88477</v>
      </c>
      <c r="B129" s="2" t="inlineStr">
        <is>
          <t>URI LF374 0 1 ריפוד סיליקון</t>
        </is>
      </c>
      <c r="C129" s="2" t="n">
        <v>7</v>
      </c>
      <c r="D129" s="2" t="n">
        <v>3</v>
      </c>
    </row>
    <row r="130" ht="15" customHeight="1">
      <c r="A130" s="2" t="n">
        <v>74764</v>
      </c>
      <c r="B130" s="2" t="inlineStr">
        <is>
          <t>URI 34+ XL      1 מגן קרסול</t>
        </is>
      </c>
      <c r="C130" s="2" t="n">
        <v>10</v>
      </c>
      <c r="D130" s="2" t="n">
        <v>4</v>
      </c>
    </row>
    <row r="131" ht="15" customHeight="1">
      <c r="A131" s="2" t="n">
        <v>49772</v>
      </c>
      <c r="B131" s="2" t="inlineStr">
        <is>
          <t>THERMOFLEX 90  1 רצועת טניס</t>
        </is>
      </c>
      <c r="C131" s="2" t="n">
        <v>5</v>
      </c>
      <c r="D131" s="2" t="n">
        <v>2</v>
      </c>
    </row>
    <row r="132" ht="15" customHeight="1">
      <c r="A132" s="2" t="n">
        <v>88474</v>
      </c>
      <c r="B132" s="2" t="inlineStr">
        <is>
          <t>URI LF370 0 1 ריפוד סיליקון</t>
        </is>
      </c>
      <c r="C132" s="2" t="n">
        <v>6</v>
      </c>
      <c r="D132" s="2" t="n">
        <v>2</v>
      </c>
    </row>
    <row r="133" ht="15" customHeight="1">
      <c r="A133" s="2" t="n">
        <v>16217</v>
      </c>
      <c r="B133" s="2" t="inlineStr">
        <is>
          <t>394G-39-421 גרבי קיץ לסוכרת</t>
        </is>
      </c>
      <c r="C133" s="2" t="n">
        <v>3</v>
      </c>
      <c r="D133" s="2" t="n">
        <v>1</v>
      </c>
    </row>
    <row r="134" ht="15" customHeight="1">
      <c r="A134" s="2" t="n">
        <v>29984</v>
      </c>
      <c r="B134" s="2" t="inlineStr">
        <is>
          <t>URI 95 XS        1 מגן מרפק</t>
        </is>
      </c>
      <c r="C134" s="2" t="n">
        <v>3</v>
      </c>
      <c r="D134" s="2" t="n">
        <v>1</v>
      </c>
    </row>
    <row r="135" ht="15" customHeight="1">
      <c r="A135" s="2" t="n">
        <v>16245</v>
      </c>
      <c r="B135" s="2" t="inlineStr">
        <is>
          <t>394W-43-461 גרבי קיץ לסוכרת</t>
        </is>
      </c>
      <c r="C135" s="2" t="n">
        <v>7</v>
      </c>
      <c r="D135" s="2" t="n">
        <v>2</v>
      </c>
    </row>
    <row r="136" ht="15" customHeight="1">
      <c r="A136" s="2" t="n">
        <v>16237</v>
      </c>
      <c r="B136" s="2" t="inlineStr">
        <is>
          <t>394G-43-461 גרבי קיץ לסוכרת</t>
        </is>
      </c>
      <c r="C136" s="2" t="n">
        <v>4</v>
      </c>
      <c r="D136" s="2" t="n">
        <v>1</v>
      </c>
    </row>
    <row r="137" ht="15" customHeight="1">
      <c r="A137" s="2" t="n">
        <v>29981</v>
      </c>
      <c r="B137" s="2" t="inlineStr">
        <is>
          <t>URI 35 XXL  1 מגן קרסול לבן</t>
        </is>
      </c>
      <c r="C137" s="2" t="n">
        <v>9</v>
      </c>
      <c r="D137" s="2" t="n">
        <v>2</v>
      </c>
    </row>
    <row r="138" ht="15" customHeight="1">
      <c r="A138" s="2" t="n">
        <v>16212</v>
      </c>
      <c r="B138" s="2" t="inlineStr">
        <is>
          <t>394B-39-421 גרבי קיץ לסוכרת</t>
        </is>
      </c>
      <c r="C138" s="2" t="n">
        <v>15</v>
      </c>
      <c r="D138" s="2" t="n">
        <v>3</v>
      </c>
    </row>
    <row r="139" ht="15" customHeight="1">
      <c r="A139" s="2" t="n">
        <v>16211</v>
      </c>
      <c r="B139" s="2" t="inlineStr">
        <is>
          <t>394B-35-381 גרבי קיץ לסוכרת</t>
        </is>
      </c>
      <c r="C139" s="2" t="n">
        <v>10</v>
      </c>
      <c r="D139" s="2" t="n">
        <v>2</v>
      </c>
    </row>
    <row r="140" ht="15" customHeight="1">
      <c r="A140" s="2" t="n">
        <v>16239</v>
      </c>
      <c r="B140" s="2" t="inlineStr">
        <is>
          <t>394W-35-381 גרבי קיץ לסוכרת</t>
        </is>
      </c>
      <c r="C140" s="2" t="n">
        <v>5</v>
      </c>
      <c r="D140" s="2" t="n">
        <v>1</v>
      </c>
    </row>
    <row r="141" ht="15" customHeight="1">
      <c r="A141" s="2" t="n">
        <v>86583</v>
      </c>
      <c r="B141" s="2" t="inlineStr">
        <is>
          <t>URI 87 XXL   1 מקבע כתף ויד</t>
        </is>
      </c>
      <c r="C141" s="2" t="n">
        <v>1</v>
      </c>
      <c r="D141" s="2" t="n">
        <v>0</v>
      </c>
    </row>
    <row r="142" ht="15" customHeight="1">
      <c r="A142" s="2" t="n">
        <v>16214</v>
      </c>
      <c r="B142" s="2" t="inlineStr">
        <is>
          <t>394-G-35-31 גרבי קיץ לסוכרת</t>
        </is>
      </c>
      <c r="C142" s="2" t="n">
        <v>2</v>
      </c>
      <c r="D142" s="2" t="n"/>
    </row>
    <row r="143" ht="15" customHeight="1">
      <c r="A143" s="2" t="n">
        <v>28302</v>
      </c>
      <c r="B143" s="2" t="inlineStr">
        <is>
          <t>URI 34+XXL1 מ קרסול+עכב סגו</t>
        </is>
      </c>
      <c r="C143" s="2" t="n">
        <v>1</v>
      </c>
      <c r="D143" s="2" t="n"/>
    </row>
    <row r="144" ht="15" customHeight="1">
      <c r="A144" s="2" t="n">
        <v>28323</v>
      </c>
      <c r="B144" s="2" t="inlineStr">
        <is>
          <t>URI T33 XXL     1 סד לקרסול</t>
        </is>
      </c>
      <c r="C144" s="2" t="n">
        <v>1</v>
      </c>
      <c r="D144" s="2" t="n"/>
    </row>
    <row r="145" ht="15" customHeight="1">
      <c r="A145" s="2" t="n">
        <v>34874</v>
      </c>
      <c r="B145" s="2" t="inlineStr">
        <is>
          <t>URI 333         1 סד לקרסול</t>
        </is>
      </c>
      <c r="C145" s="2" t="n">
        <v>3</v>
      </c>
      <c r="D145" s="2" t="n"/>
    </row>
    <row r="146" ht="15" customHeight="1">
      <c r="A146" s="2" t="n">
        <v>44007</v>
      </c>
      <c r="B146" s="2" t="inlineStr">
        <is>
          <t>URI 07AU  1 חגור.גב איטלקית</t>
        </is>
      </c>
      <c r="C146" s="2" t="n">
        <v>2</v>
      </c>
      <c r="D146" s="2" t="n"/>
    </row>
    <row r="147" ht="15" customHeight="1">
      <c r="A147" s="2" t="n">
        <v>46309</v>
      </c>
      <c r="B147" s="2" t="inlineStr">
        <is>
          <t>STRAP4U 239B L-XL 1</t>
        </is>
      </c>
      <c r="C147" s="2" t="n">
        <v>1</v>
      </c>
      <c r="D147" s="2" t="n"/>
    </row>
    <row r="148" ht="15" customHeight="1">
      <c r="A148" s="2" t="n">
        <v>50055</v>
      </c>
      <c r="B148" s="2" t="inlineStr">
        <is>
          <t>URI 74    1 רצועה לשבר בעצם</t>
        </is>
      </c>
      <c r="C148" s="2" t="n">
        <v>1</v>
      </c>
      <c r="D148" s="2" t="n"/>
    </row>
    <row r="149" ht="15" customHeight="1">
      <c r="A149" s="2" t="n">
        <v>50057</v>
      </c>
      <c r="B149" s="2" t="inlineStr">
        <is>
          <t>URI 76          1 מיישר כתף</t>
        </is>
      </c>
      <c r="C149" s="2" t="n">
        <v>2</v>
      </c>
      <c r="D149" s="2" t="n"/>
    </row>
    <row r="150" ht="15" customHeight="1">
      <c r="A150" s="2" t="n">
        <v>64631</v>
      </c>
      <c r="B150" s="2" t="inlineStr">
        <is>
          <t>URI 390W 39-42   1 גרבי כסף</t>
        </is>
      </c>
      <c r="C150" s="2" t="n">
        <v>2</v>
      </c>
      <c r="D150" s="2" t="n"/>
    </row>
    <row r="151" ht="15" customHeight="1">
      <c r="A151" s="2" t="n">
        <v>67053</v>
      </c>
      <c r="B151" s="2" t="inlineStr">
        <is>
          <t>URI 34 XS  1 מגן קרסול סגור</t>
        </is>
      </c>
      <c r="C151" s="2" t="n">
        <v>3</v>
      </c>
      <c r="D151" s="2" t="n"/>
    </row>
    <row r="152" ht="15" customHeight="1">
      <c r="A152" s="2" t="n">
        <v>74806</v>
      </c>
      <c r="B152" s="2" t="inlineStr">
        <is>
          <t>URI 49 M          1 מגן ירך</t>
        </is>
      </c>
      <c r="C152" s="2" t="n">
        <v>1</v>
      </c>
      <c r="D152" s="2" t="n"/>
    </row>
    <row r="153" ht="15" customHeight="1">
      <c r="A153" s="2" t="n">
        <v>74822</v>
      </c>
      <c r="B153" s="2" t="inlineStr">
        <is>
          <t>URI 59R  XL1 חגורת שבר צד י</t>
        </is>
      </c>
      <c r="C153" s="2" t="n">
        <v>1</v>
      </c>
      <c r="D153" s="2" t="n"/>
    </row>
    <row r="154" ht="15" customHeight="1">
      <c r="A154" s="2" t="n">
        <v>74826</v>
      </c>
      <c r="B154" s="2" t="inlineStr">
        <is>
          <t>URI 59D L1 חגורת שבר דו צדד</t>
        </is>
      </c>
      <c r="C154" s="2" t="n">
        <v>2</v>
      </c>
      <c r="D154" s="2" t="n"/>
    </row>
    <row r="155" ht="15" customHeight="1">
      <c r="A155" s="2" t="n">
        <v>74842</v>
      </c>
      <c r="B155" s="2" t="inlineStr">
        <is>
          <t>URI 74-L-XL    1 רצועה לשבר</t>
        </is>
      </c>
      <c r="C155" s="2" t="n">
        <v>1</v>
      </c>
      <c r="D155" s="2" t="n"/>
    </row>
    <row r="156" ht="15" customHeight="1">
      <c r="A156" s="2" t="n">
        <v>74920</v>
      </c>
      <c r="B156" s="2" t="inlineStr">
        <is>
          <t>URI T33 XL      1 סד לקרסול</t>
        </is>
      </c>
      <c r="C156" s="2" t="n">
        <v>1</v>
      </c>
      <c r="D156" s="2" t="n"/>
    </row>
    <row r="157" ht="15" customHeight="1">
      <c r="A157" s="2" t="n">
        <v>88478</v>
      </c>
      <c r="B157" s="2" t="inlineStr">
        <is>
          <t>URI LF377 L  1 מדרס סיליקון</t>
        </is>
      </c>
      <c r="C157" s="2" t="n">
        <v>1</v>
      </c>
      <c r="D157" s="2" t="n"/>
    </row>
    <row r="158" ht="15" customHeight="1">
      <c r="A158" s="2" t="n">
        <v>88480</v>
      </c>
      <c r="B158" s="2" t="inlineStr">
        <is>
          <t>URI LF377 S  1 מדרס סיליקון</t>
        </is>
      </c>
      <c r="C158" s="2" t="n">
        <v>1</v>
      </c>
      <c r="D158" s="2" t="n"/>
    </row>
    <row r="159" ht="15" customHeight="1">
      <c r="A159" s="2" t="n">
        <v>43277</v>
      </c>
      <c r="B159" s="2" t="inlineStr">
        <is>
          <t>397A-39-42      1 גרבי טיסה</t>
        </is>
      </c>
      <c r="C159" s="2" t="n"/>
      <c r="D159" s="2" t="n">
        <v>20</v>
      </c>
    </row>
    <row r="160" ht="15" customHeight="1">
      <c r="A160" s="2" t="n">
        <v>43283</v>
      </c>
      <c r="B160" s="2" t="inlineStr">
        <is>
          <t>397A-43-46      1 גרבי טיסה</t>
        </is>
      </c>
      <c r="C160" s="2" t="n"/>
      <c r="D160" s="2" t="n">
        <v>10</v>
      </c>
    </row>
    <row r="161" ht="15" customHeight="1">
      <c r="A161" s="2" t="n">
        <v>43248</v>
      </c>
      <c r="B161" s="2" t="inlineStr">
        <is>
          <t>397A-35-38      1 גרבי טיסה</t>
        </is>
      </c>
      <c r="C161" s="2" t="n"/>
      <c r="D161" s="2" t="n">
        <v>7</v>
      </c>
    </row>
    <row r="162" ht="15" customHeight="1">
      <c r="A162" s="2" t="n">
        <v>64635</v>
      </c>
      <c r="B162" s="2" t="inlineStr">
        <is>
          <t>URI 390B 43-46   1 גרבי כסף</t>
        </is>
      </c>
      <c r="C162" s="2" t="n"/>
      <c r="D162" s="2" t="n">
        <v>7</v>
      </c>
    </row>
    <row r="163" ht="15" customHeight="1">
      <c r="A163" s="2" t="n">
        <v>68751</v>
      </c>
      <c r="B163" s="2" t="inlineStr">
        <is>
          <t>388B R 1 סד לילה שחור לבוהן</t>
        </is>
      </c>
      <c r="C163" s="2" t="n"/>
      <c r="D163" s="2" t="n">
        <v>6</v>
      </c>
    </row>
    <row r="164" ht="15" customHeight="1">
      <c r="A164" s="2" t="n">
        <v>74687</v>
      </c>
      <c r="B164" s="2" t="inlineStr">
        <is>
          <t>URI 11 TO L         1 ח בטן</t>
        </is>
      </c>
      <c r="C164" s="2" t="n"/>
      <c r="D164" s="2" t="n">
        <v>4</v>
      </c>
    </row>
    <row r="165" ht="15" customHeight="1">
      <c r="A165" s="2" t="n">
        <v>74827</v>
      </c>
      <c r="B165" s="2" t="inlineStr">
        <is>
          <t>URI 59D M 1 חגורת שבר דו צד</t>
        </is>
      </c>
      <c r="C165" s="2" t="n"/>
      <c r="D165" s="2" t="n">
        <v>3</v>
      </c>
    </row>
    <row r="166" ht="15" customHeight="1">
      <c r="A166" s="2" t="n">
        <v>74807</v>
      </c>
      <c r="B166" s="2" t="inlineStr">
        <is>
          <t>URI 49 XL         1 מגן ירך</t>
        </is>
      </c>
      <c r="C166" s="2" t="n"/>
      <c r="D166" s="2" t="n">
        <v>2</v>
      </c>
    </row>
    <row r="167" ht="15" customHeight="1">
      <c r="A167" s="2" t="n">
        <v>74846</v>
      </c>
      <c r="B167" s="2" t="inlineStr">
        <is>
          <t>URI 76 L        1 מיישר כתף</t>
        </is>
      </c>
      <c r="C167" s="2" t="n"/>
      <c r="D167" s="2" t="n">
        <v>2</v>
      </c>
    </row>
    <row r="168" ht="15" customHeight="1">
      <c r="A168" s="2" t="n">
        <v>74848</v>
      </c>
      <c r="B168" s="2" t="inlineStr">
        <is>
          <t>URI 76 XL       1 מיישר כתף</t>
        </is>
      </c>
      <c r="C168" s="2" t="n"/>
      <c r="D168" s="2" t="n">
        <v>2</v>
      </c>
    </row>
    <row r="169" ht="15" customHeight="1">
      <c r="A169" s="2" t="n">
        <v>87828</v>
      </c>
      <c r="B169" s="2" t="inlineStr">
        <is>
          <t>ST49              1 מגן ירך</t>
        </is>
      </c>
      <c r="C169" s="2" t="n"/>
      <c r="D169" s="2" t="n">
        <v>2</v>
      </c>
    </row>
    <row r="170" ht="15" customHeight="1">
      <c r="A170" s="2" t="n">
        <v>20996</v>
      </c>
      <c r="B170" s="2" t="inlineStr">
        <is>
          <t>URI 07AU XXL 1</t>
        </is>
      </c>
      <c r="C170" s="2" t="n"/>
      <c r="D170" s="2" t="n">
        <v>1</v>
      </c>
    </row>
    <row r="171" ht="15" customHeight="1">
      <c r="A171" s="2" t="n">
        <v>33829</v>
      </c>
      <c r="B171" s="2" t="inlineStr">
        <is>
          <t>URI 59 L  1 חגורת שבר לשמאל</t>
        </is>
      </c>
      <c r="C171" s="2" t="n"/>
      <c r="D171" s="2" t="n">
        <v>1</v>
      </c>
    </row>
    <row r="172" ht="15" customHeight="1">
      <c r="A172" s="2" t="n">
        <v>46306</v>
      </c>
      <c r="B172" s="2" t="inlineStr">
        <is>
          <t>STRAP4U 239B S-M 1</t>
        </is>
      </c>
      <c r="C172" s="2" t="n"/>
      <c r="D172" s="2" t="n">
        <v>1</v>
      </c>
    </row>
    <row r="173" ht="15" customHeight="1">
      <c r="A173" s="2" t="n">
        <v>64630</v>
      </c>
      <c r="B173" s="2" t="inlineStr">
        <is>
          <t>URI 390W 35-38   1 גרבי כסף</t>
        </is>
      </c>
      <c r="C173" s="2" t="n"/>
      <c r="D173" s="2" t="n">
        <v>1</v>
      </c>
    </row>
    <row r="174" ht="15" customHeight="1">
      <c r="A174" s="2" t="n">
        <v>64632</v>
      </c>
      <c r="B174" s="2" t="inlineStr">
        <is>
          <t>URI 390W 43-46   1 גרבי כסף</t>
        </is>
      </c>
      <c r="C174" s="2" t="n"/>
      <c r="D174" s="2" t="n">
        <v>1</v>
      </c>
    </row>
    <row r="175" ht="15" customHeight="1">
      <c r="A175" s="2" t="n">
        <v>67056</v>
      </c>
      <c r="B175" s="2" t="inlineStr">
        <is>
          <t>URI 95 XXL       1 מגן מרפק</t>
        </is>
      </c>
      <c r="C175" s="2" t="n"/>
      <c r="D175" s="2" t="n">
        <v>1</v>
      </c>
    </row>
    <row r="176" ht="15" customHeight="1">
      <c r="A176" s="2" t="n">
        <v>67927</v>
      </c>
      <c r="B176" s="2" t="inlineStr">
        <is>
          <t>URI 41            1 מגן ברך</t>
        </is>
      </c>
      <c r="C176" s="2" t="n"/>
      <c r="D176" s="2" t="n">
        <v>1</v>
      </c>
    </row>
    <row r="177" ht="15" customHeight="1">
      <c r="A177" s="2" t="n">
        <v>67949</v>
      </c>
      <c r="B177" s="2" t="inlineStr">
        <is>
          <t>URI 59D S1 חגורת שבר דו צדד</t>
        </is>
      </c>
      <c r="C177" s="2" t="n"/>
      <c r="D177" s="2" t="n">
        <v>1</v>
      </c>
    </row>
    <row r="178" ht="15" customHeight="1">
      <c r="A178" s="2" t="n">
        <v>71085</v>
      </c>
      <c r="B178" s="2" t="inlineStr">
        <is>
          <t>URI 078S 1</t>
        </is>
      </c>
      <c r="C178" s="2" t="n"/>
      <c r="D178" s="2" t="n">
        <v>1</v>
      </c>
    </row>
    <row r="179" ht="15" customHeight="1">
      <c r="A179" s="2" t="n">
        <v>74671</v>
      </c>
      <c r="B179" s="2" t="inlineStr">
        <is>
          <t>URI 07AU M   1 ח גב איטלקית</t>
        </is>
      </c>
      <c r="C179" s="2" t="n"/>
      <c r="D179" s="2" t="n">
        <v>1</v>
      </c>
    </row>
    <row r="180" ht="15" customHeight="1">
      <c r="A180" s="2" t="n">
        <v>74823</v>
      </c>
      <c r="B180" s="2" t="inlineStr">
        <is>
          <t>URI 59L L 1 חגורת שבר לשמאל</t>
        </is>
      </c>
      <c r="C180" s="2" t="n"/>
      <c r="D180" s="2" t="n">
        <v>1</v>
      </c>
    </row>
    <row r="181" ht="15" customHeight="1">
      <c r="A181" s="2" t="n">
        <v>74930</v>
      </c>
      <c r="B181" s="2" t="inlineStr">
        <is>
          <t>URI T39 L         1 מגן שוק</t>
        </is>
      </c>
      <c r="C181" s="2" t="n"/>
      <c r="D181" s="2" t="n">
        <v>1</v>
      </c>
    </row>
    <row r="182" ht="15" customHeight="1">
      <c r="A182" s="2" t="n">
        <v>74987</v>
      </c>
      <c r="B182" s="2" t="inlineStr">
        <is>
          <t>URI T78 L            1 תומך</t>
        </is>
      </c>
      <c r="C182" s="2" t="n"/>
      <c r="D182" s="2" t="n">
        <v>1</v>
      </c>
    </row>
    <row r="183" ht="15" customHeight="1">
      <c r="A183" s="2" t="n">
        <v>74988</v>
      </c>
      <c r="B183" s="2" t="inlineStr">
        <is>
          <t>URI T78 M            1 תומך</t>
        </is>
      </c>
      <c r="C183" s="2" t="n"/>
      <c r="D183" s="2" t="n">
        <v>1</v>
      </c>
    </row>
    <row r="184" ht="15" customHeight="1">
      <c r="A184" s="2" t="n">
        <v>74989</v>
      </c>
      <c r="B184" s="2" t="inlineStr">
        <is>
          <t>URI T78 XL           1 תומך</t>
        </is>
      </c>
      <c r="C184" s="2" t="n"/>
      <c r="D184" s="2" t="n">
        <v>1</v>
      </c>
    </row>
    <row r="185" ht="15" customHeight="1">
      <c r="A185" s="2" t="n">
        <v>63406</v>
      </c>
      <c r="B185" s="2" t="inlineStr">
        <is>
          <t>URI 11U L 1 ח בטן אחר ניתוח</t>
        </is>
      </c>
      <c r="C185" s="2" t="n"/>
      <c r="D185" s="2" t="n">
        <v>-1</v>
      </c>
    </row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0"/>
  <sheetViews>
    <sheetView rightToLeft="1" zoomScaleNormal="100" workbookViewId="0">
      <pane ySplit="2" topLeftCell="A3" activePane="bottomLeft" state="frozen"/>
      <selection pane="bottomLeft" activeCell="A1" sqref="A1"/>
    </sheetView>
  </sheetViews>
  <sheetFormatPr baseColWidth="8" defaultColWidth="8.5703125" defaultRowHeight="15"/>
  <cols>
    <col width="12" customWidth="1" min="1" max="1"/>
    <col width="32" customWidth="1" min="2" max="2"/>
    <col width="14" customWidth="1" min="3" max="4"/>
  </cols>
  <sheetData>
    <row r="1" ht="16.5" customHeight="1">
      <c r="A1" s="1" t="inlineStr">
        <is>
          <t>נתוני מקור - יולי (2025 מול 2026) - מקור: month-07.xlsx</t>
        </is>
      </c>
    </row>
    <row r="2" ht="15" customHeight="1">
      <c r="A2" s="22" t="inlineStr">
        <is>
          <t>קוד SKU</t>
        </is>
      </c>
      <c r="B2" s="22" t="inlineStr">
        <is>
          <t>שם מוצר</t>
        </is>
      </c>
      <c r="C2" s="22" t="inlineStr">
        <is>
          <t>יחידות יולי 2025</t>
        </is>
      </c>
      <c r="D2" s="22" t="inlineStr">
        <is>
          <t>יחידות יולי 2026</t>
        </is>
      </c>
    </row>
    <row r="3" ht="15" customHeight="1">
      <c r="A3" s="2" t="n">
        <v>18559</v>
      </c>
      <c r="B3" s="2" t="inlineStr">
        <is>
          <t>URI 8200    1 כרית חום וקור</t>
        </is>
      </c>
      <c r="C3" s="2" t="n">
        <v>1</v>
      </c>
      <c r="D3" s="2" t="n">
        <v>12</v>
      </c>
    </row>
    <row r="4" ht="15" customHeight="1">
      <c r="A4" s="2" t="n">
        <v>74683</v>
      </c>
      <c r="B4" s="2" t="inlineStr">
        <is>
          <t>URI 11 M    1 ח.בטן אורירית</t>
        </is>
      </c>
      <c r="C4" s="2" t="n">
        <v>1</v>
      </c>
      <c r="D4" s="2" t="n">
        <v>7</v>
      </c>
    </row>
    <row r="5" ht="15" customHeight="1">
      <c r="A5" s="2" t="n">
        <v>64635</v>
      </c>
      <c r="B5" s="2" t="inlineStr">
        <is>
          <t>URI 390B 43-46   1 גרבי כסף</t>
        </is>
      </c>
      <c r="C5" s="2" t="n">
        <v>1</v>
      </c>
      <c r="D5" s="2" t="n">
        <v>5</v>
      </c>
    </row>
    <row r="6" ht="15" customHeight="1">
      <c r="A6" s="2" t="n">
        <v>75762</v>
      </c>
      <c r="B6" s="2" t="inlineStr">
        <is>
          <t>URI 16 L-XL   1 חגורת הריון</t>
        </is>
      </c>
      <c r="C6" s="2" t="n">
        <v>2</v>
      </c>
      <c r="D6" s="2" t="n">
        <v>8</v>
      </c>
    </row>
    <row r="7" ht="15" customHeight="1">
      <c r="A7" s="2" t="n">
        <v>65743</v>
      </c>
      <c r="B7" s="2" t="inlineStr">
        <is>
          <t>URI LF 360   1 מדרס מטטרזלי</t>
        </is>
      </c>
      <c r="C7" s="2" t="n">
        <v>2</v>
      </c>
      <c r="D7" s="2" t="n">
        <v>7</v>
      </c>
    </row>
    <row r="8" ht="15" customHeight="1">
      <c r="A8" s="2" t="n">
        <v>75763</v>
      </c>
      <c r="B8" s="2" t="inlineStr">
        <is>
          <t>URI 16 S-M    1 חגורת הריון</t>
        </is>
      </c>
      <c r="C8" s="2" t="n">
        <v>2</v>
      </c>
      <c r="D8" s="2" t="n">
        <v>7</v>
      </c>
    </row>
    <row r="9" ht="15" customHeight="1">
      <c r="A9" s="2" t="n">
        <v>16244</v>
      </c>
      <c r="B9" s="2" t="inlineStr">
        <is>
          <t>394W-39-421 גרבי קיץ לסוכרת</t>
        </is>
      </c>
      <c r="C9" s="2" t="n">
        <v>2</v>
      </c>
      <c r="D9" s="2" t="n">
        <v>6</v>
      </c>
    </row>
    <row r="10" ht="15" customHeight="1">
      <c r="A10" s="2" t="n">
        <v>74821</v>
      </c>
      <c r="B10" s="2" t="inlineStr">
        <is>
          <t>URI 59R  M.1 חגורת שבר צד י</t>
        </is>
      </c>
      <c r="C10" s="2" t="n">
        <v>1</v>
      </c>
      <c r="D10" s="2" t="n">
        <v>3</v>
      </c>
    </row>
    <row r="11" ht="15" customHeight="1">
      <c r="A11" s="2" t="n">
        <v>71087</v>
      </c>
      <c r="B11" s="2" t="inlineStr">
        <is>
          <t>URI 078L 1</t>
        </is>
      </c>
      <c r="C11" s="2" t="n">
        <v>6</v>
      </c>
      <c r="D11" s="2" t="n">
        <v>15</v>
      </c>
    </row>
    <row r="12" ht="15" customHeight="1">
      <c r="A12" s="2" t="n">
        <v>16214</v>
      </c>
      <c r="B12" s="2" t="inlineStr">
        <is>
          <t>394-G-35-31 גרבי קיץ לסוכרת</t>
        </is>
      </c>
      <c r="C12" s="2" t="n">
        <v>2</v>
      </c>
      <c r="D12" s="2" t="n">
        <v>5</v>
      </c>
    </row>
    <row r="13" ht="15" customHeight="1">
      <c r="A13" s="2" t="n">
        <v>74846</v>
      </c>
      <c r="B13" s="2" t="inlineStr">
        <is>
          <t>URI 76 L        1 מיישר כתף</t>
        </is>
      </c>
      <c r="C13" s="2" t="n">
        <v>2</v>
      </c>
      <c r="D13" s="2" t="n">
        <v>5</v>
      </c>
    </row>
    <row r="14" ht="15" customHeight="1">
      <c r="A14" s="2" t="n">
        <v>74710</v>
      </c>
      <c r="B14" s="2" t="inlineStr">
        <is>
          <t>URI 21 XL     1 חבק יד ארוך</t>
        </is>
      </c>
      <c r="C14" s="2" t="n">
        <v>7</v>
      </c>
      <c r="D14" s="2" t="n">
        <v>17</v>
      </c>
    </row>
    <row r="15" ht="15" customHeight="1">
      <c r="A15" s="2" t="n">
        <v>82207</v>
      </c>
      <c r="B15" s="2" t="inlineStr">
        <is>
          <t>ST20               1 חבק יד</t>
        </is>
      </c>
      <c r="C15" s="2" t="n">
        <v>7</v>
      </c>
      <c r="D15" s="2" t="n">
        <v>16</v>
      </c>
    </row>
    <row r="16" ht="15" customHeight="1">
      <c r="A16" s="2" t="n">
        <v>42964</v>
      </c>
      <c r="B16" s="2" t="inlineStr">
        <is>
          <t>URI 45E  1 מגן ברך ארוך לבן</t>
        </is>
      </c>
      <c r="C16" s="2" t="n">
        <v>4</v>
      </c>
      <c r="D16" s="2" t="n">
        <v>9</v>
      </c>
    </row>
    <row r="17" ht="15" customHeight="1">
      <c r="A17" s="2" t="n">
        <v>63366</v>
      </c>
      <c r="B17" s="2" t="inlineStr">
        <is>
          <t>URI 34 M 1 מגן קרסול ס.בעקב</t>
        </is>
      </c>
      <c r="C17" s="2" t="n">
        <v>18</v>
      </c>
      <c r="D17" s="2" t="n">
        <v>37</v>
      </c>
    </row>
    <row r="18" ht="15" customHeight="1">
      <c r="A18" s="2" t="n">
        <v>76452</v>
      </c>
      <c r="B18" s="2" t="inlineStr">
        <is>
          <t xml:space="preserve">                             1 מ.בוניון+מפריד אצבע</t>
        </is>
      </c>
      <c r="C18" s="2" t="n">
        <v>12</v>
      </c>
      <c r="D18" s="2" t="n">
        <v>24</v>
      </c>
    </row>
    <row r="19" ht="15" customHeight="1">
      <c r="A19" s="2" t="n">
        <v>57696</v>
      </c>
      <c r="B19" s="2" t="inlineStr">
        <is>
          <t>808KT-B   1 טייפ קינזיולוגי</t>
        </is>
      </c>
      <c r="C19" s="2" t="n">
        <v>4</v>
      </c>
      <c r="D19" s="2" t="n">
        <v>8</v>
      </c>
    </row>
    <row r="20" ht="15" customHeight="1">
      <c r="A20" s="2" t="n">
        <v>71086</v>
      </c>
      <c r="B20" s="2" t="inlineStr">
        <is>
          <t>URI 078M 1</t>
        </is>
      </c>
      <c r="C20" s="2" t="n">
        <v>4</v>
      </c>
      <c r="D20" s="2" t="n">
        <v>8</v>
      </c>
    </row>
    <row r="21" ht="15" customHeight="1">
      <c r="A21" s="2" t="n">
        <v>87819</v>
      </c>
      <c r="B21" s="2" t="inlineStr">
        <is>
          <t>ST433    H 1 מגן ברך עם ציר</t>
        </is>
      </c>
      <c r="C21" s="2" t="n">
        <v>3</v>
      </c>
      <c r="D21" s="2" t="n">
        <v>6</v>
      </c>
    </row>
    <row r="22" ht="15" customHeight="1">
      <c r="A22" s="2" t="n">
        <v>52326</v>
      </c>
      <c r="B22" s="2" t="inlineStr">
        <is>
          <t>URI 078G S 1 חגורת גב אפורה</t>
        </is>
      </c>
      <c r="C22" s="2" t="n">
        <v>2</v>
      </c>
      <c r="D22" s="2" t="n">
        <v>4</v>
      </c>
    </row>
    <row r="23" ht="15" customHeight="1">
      <c r="A23" s="2" t="n">
        <v>68751</v>
      </c>
      <c r="B23" s="2" t="inlineStr">
        <is>
          <t>388B R 1 סד לילה שחור לבוהן</t>
        </is>
      </c>
      <c r="C23" s="2" t="n">
        <v>2</v>
      </c>
      <c r="D23" s="2" t="n">
        <v>4</v>
      </c>
    </row>
    <row r="24" ht="15" customHeight="1">
      <c r="A24" s="2" t="n">
        <v>19083</v>
      </c>
      <c r="B24" s="2" t="inlineStr">
        <is>
          <t>URI 40    1 רצועת פיקה לברך</t>
        </is>
      </c>
      <c r="C24" s="2" t="n">
        <v>1</v>
      </c>
      <c r="D24" s="2" t="n">
        <v>2</v>
      </c>
    </row>
    <row r="25" ht="15" customHeight="1">
      <c r="A25" s="2" t="n">
        <v>45264</v>
      </c>
      <c r="B25" s="2" t="inlineStr">
        <is>
          <t>URI 34+        1 מגן לקרסול</t>
        </is>
      </c>
      <c r="C25" s="2" t="n">
        <v>1</v>
      </c>
      <c r="D25" s="2" t="n">
        <v>2</v>
      </c>
    </row>
    <row r="26" ht="15" customHeight="1">
      <c r="A26" s="2" t="n">
        <v>46308</v>
      </c>
      <c r="B26" s="2" t="inlineStr">
        <is>
          <t>STRAP4U 239P S-M 1</t>
        </is>
      </c>
      <c r="C26" s="2" t="n">
        <v>1</v>
      </c>
      <c r="D26" s="2" t="n">
        <v>2</v>
      </c>
    </row>
    <row r="27" ht="15" customHeight="1">
      <c r="A27" s="2" t="n">
        <v>74688</v>
      </c>
      <c r="B27" s="2" t="inlineStr">
        <is>
          <t>URI 11 TO XL        1 ח בטן</t>
        </is>
      </c>
      <c r="C27" s="2" t="n">
        <v>1</v>
      </c>
      <c r="D27" s="2" t="n">
        <v>2</v>
      </c>
    </row>
    <row r="28" ht="15" customHeight="1">
      <c r="A28" s="2" t="n">
        <v>23008</v>
      </c>
      <c r="B28" s="2" t="inlineStr">
        <is>
          <t>URI 364 XL 1</t>
        </is>
      </c>
      <c r="C28" s="2" t="n">
        <v>19</v>
      </c>
      <c r="D28" s="2" t="n">
        <v>36</v>
      </c>
    </row>
    <row r="29" ht="15" customHeight="1">
      <c r="A29" s="2" t="n">
        <v>82206</v>
      </c>
      <c r="B29" s="2" t="inlineStr">
        <is>
          <t>ST25     1 חבק לשורש כף היד</t>
        </is>
      </c>
      <c r="C29" s="2" t="n">
        <v>46</v>
      </c>
      <c r="D29" s="2" t="n">
        <v>81</v>
      </c>
    </row>
    <row r="30" ht="15" customHeight="1">
      <c r="A30" s="2" t="n">
        <v>16245</v>
      </c>
      <c r="B30" s="2" t="inlineStr">
        <is>
          <t>394W-43-461 גרבי קיץ לסוכרת</t>
        </is>
      </c>
      <c r="C30" s="2" t="n">
        <v>4</v>
      </c>
      <c r="D30" s="2" t="n">
        <v>7</v>
      </c>
    </row>
    <row r="31" ht="15" customHeight="1">
      <c r="A31" s="2" t="n">
        <v>85165</v>
      </c>
      <c r="B31" s="2" t="inlineStr">
        <is>
          <t>URI 307 XL  1 כרית סיל.לעקב</t>
        </is>
      </c>
      <c r="C31" s="2" t="n">
        <v>7</v>
      </c>
      <c r="D31" s="2" t="n">
        <v>12</v>
      </c>
    </row>
    <row r="32" ht="15" customHeight="1">
      <c r="A32" s="2" t="n">
        <v>60472</v>
      </c>
      <c r="B32" s="2" t="inlineStr">
        <is>
          <t>URI PD340  1 קוצץ ציפורניים</t>
        </is>
      </c>
      <c r="C32" s="2" t="n">
        <v>30</v>
      </c>
      <c r="D32" s="2" t="n">
        <v>50</v>
      </c>
    </row>
    <row r="33" ht="15" customHeight="1">
      <c r="A33" s="2" t="n">
        <v>52324</v>
      </c>
      <c r="B33" s="2" t="inlineStr">
        <is>
          <t>URI 078G M 1 חגורת גב אפורה</t>
        </is>
      </c>
      <c r="C33" s="2" t="n">
        <v>6</v>
      </c>
      <c r="D33" s="2" t="n">
        <v>10</v>
      </c>
    </row>
    <row r="34" ht="15" customHeight="1">
      <c r="A34" s="2" t="n">
        <v>61962</v>
      </c>
      <c r="B34" s="2" t="inlineStr">
        <is>
          <t>URI 3677 1 מדבקה לשחרור לחץ</t>
        </is>
      </c>
      <c r="C34" s="2" t="n">
        <v>5</v>
      </c>
      <c r="D34" s="2" t="n">
        <v>8</v>
      </c>
    </row>
    <row r="35" ht="15" customHeight="1">
      <c r="A35" s="2" t="n">
        <v>74682</v>
      </c>
      <c r="B35" s="2" t="inlineStr">
        <is>
          <t>URI 11 L    1 ח.בטן אורירית</t>
        </is>
      </c>
      <c r="C35" s="2" t="n">
        <v>5</v>
      </c>
      <c r="D35" s="2" t="n">
        <v>8</v>
      </c>
    </row>
    <row r="36" ht="15" customHeight="1">
      <c r="A36" s="2" t="n">
        <v>74708</v>
      </c>
      <c r="B36" s="2" t="inlineStr">
        <is>
          <t>URI 21 L      1 חבק יד ארוך</t>
        </is>
      </c>
      <c r="C36" s="2" t="n">
        <v>19</v>
      </c>
      <c r="D36" s="2" t="n">
        <v>30</v>
      </c>
    </row>
    <row r="37" ht="15" customHeight="1">
      <c r="A37" s="2" t="n">
        <v>67935</v>
      </c>
      <c r="B37" s="2" t="inlineStr">
        <is>
          <t>URI 45 S          1 מגן ברך</t>
        </is>
      </c>
      <c r="C37" s="2" t="n">
        <v>6</v>
      </c>
      <c r="D37" s="2" t="n">
        <v>9</v>
      </c>
    </row>
    <row r="38" ht="15" customHeight="1">
      <c r="A38" s="2" t="n">
        <v>20998</v>
      </c>
      <c r="B38" s="2" t="inlineStr">
        <is>
          <t>URI 11 XXL  1 ח.בטן אורירית</t>
        </is>
      </c>
      <c r="C38" s="2" t="n">
        <v>4</v>
      </c>
      <c r="D38" s="2" t="n">
        <v>6</v>
      </c>
    </row>
    <row r="39" ht="15" customHeight="1">
      <c r="A39" s="2" t="n">
        <v>74764</v>
      </c>
      <c r="B39" s="2" t="inlineStr">
        <is>
          <t>URI 34+ XL      1 מגן קרסול</t>
        </is>
      </c>
      <c r="C39" s="2" t="n">
        <v>4</v>
      </c>
      <c r="D39" s="2" t="n">
        <v>6</v>
      </c>
    </row>
    <row r="40" ht="15" customHeight="1">
      <c r="A40" s="2" t="n">
        <v>74799</v>
      </c>
      <c r="B40" s="2" t="inlineStr">
        <is>
          <t>URI 45E L1 מגן ברך ארוך לבן</t>
        </is>
      </c>
      <c r="C40" s="2" t="n">
        <v>28</v>
      </c>
      <c r="D40" s="2" t="n">
        <v>41</v>
      </c>
    </row>
    <row r="41" ht="15" customHeight="1">
      <c r="A41" s="2" t="n">
        <v>60476</v>
      </c>
      <c r="B41" s="2" t="inlineStr">
        <is>
          <t>URI PD344       1 אבן טבעית</t>
        </is>
      </c>
      <c r="C41" s="2" t="n">
        <v>26</v>
      </c>
      <c r="D41" s="2" t="n">
        <v>38</v>
      </c>
    </row>
    <row r="42" ht="15" customHeight="1">
      <c r="A42" s="2" t="n">
        <v>85338</v>
      </c>
      <c r="B42" s="2" t="inlineStr">
        <is>
          <t>URI 302W 0     1 מדרס לאישה</t>
        </is>
      </c>
      <c r="C42" s="2" t="n">
        <v>11</v>
      </c>
      <c r="D42" s="2" t="n">
        <v>16</v>
      </c>
    </row>
    <row r="43" ht="15" customHeight="1">
      <c r="A43" s="2" t="n">
        <v>74801</v>
      </c>
      <c r="B43" s="2" t="inlineStr">
        <is>
          <t>URI 45E XL   1 מגן ברך ארוך</t>
        </is>
      </c>
      <c r="C43" s="2" t="n">
        <v>25</v>
      </c>
      <c r="D43" s="2" t="n">
        <v>36</v>
      </c>
    </row>
    <row r="44" ht="15" customHeight="1">
      <c r="A44" s="2" t="n">
        <v>76453</v>
      </c>
      <c r="B44" s="2" t="inlineStr">
        <is>
          <t>URI 3675 1 מגן זרת מסיליקון</t>
        </is>
      </c>
      <c r="C44" s="2" t="n">
        <v>8</v>
      </c>
      <c r="D44" s="2" t="n">
        <v>11</v>
      </c>
    </row>
    <row r="45" ht="15" customHeight="1">
      <c r="A45" s="2" t="n">
        <v>31183</v>
      </c>
      <c r="B45" s="2" t="inlineStr">
        <is>
          <t>URI 370       1 רפידת נוחות</t>
        </is>
      </c>
      <c r="C45" s="2" t="n">
        <v>20</v>
      </c>
      <c r="D45" s="2" t="n">
        <v>27</v>
      </c>
    </row>
    <row r="46" ht="15" customHeight="1">
      <c r="A46" s="2" t="n">
        <v>63368</v>
      </c>
      <c r="B46" s="2" t="inlineStr">
        <is>
          <t>URI 34 XL1 מגן קרסול ס.בעקב</t>
        </is>
      </c>
      <c r="C46" s="2" t="n">
        <v>18</v>
      </c>
      <c r="D46" s="2" t="n">
        <v>24</v>
      </c>
    </row>
    <row r="47" ht="15" customHeight="1">
      <c r="A47" s="2" t="n">
        <v>74684</v>
      </c>
      <c r="B47" s="2" t="inlineStr">
        <is>
          <t>URI 11 XL   1 ח.בטן אורירית</t>
        </is>
      </c>
      <c r="C47" s="2" t="n">
        <v>9</v>
      </c>
      <c r="D47" s="2" t="n">
        <v>12</v>
      </c>
    </row>
    <row r="48" ht="15" customHeight="1">
      <c r="A48" s="2" t="n">
        <v>20996</v>
      </c>
      <c r="B48" s="2" t="inlineStr">
        <is>
          <t>URI 07AU XXL 1</t>
        </is>
      </c>
      <c r="C48" s="2" t="n">
        <v>3</v>
      </c>
      <c r="D48" s="2" t="n">
        <v>4</v>
      </c>
    </row>
    <row r="49" ht="15" customHeight="1">
      <c r="A49" s="2" t="n">
        <v>63419</v>
      </c>
      <c r="B49" s="2" t="inlineStr">
        <is>
          <t>URI 87 XL1 חגו.קיבוע תמ.אמה</t>
        </is>
      </c>
      <c r="C49" s="2" t="n">
        <v>3</v>
      </c>
      <c r="D49" s="2" t="n">
        <v>4</v>
      </c>
    </row>
    <row r="50" ht="15" customHeight="1">
      <c r="A50" s="2" t="n">
        <v>57662</v>
      </c>
      <c r="B50" s="2" t="inlineStr">
        <is>
          <t>808KT-P   1 טייפ קינזיולוגי</t>
        </is>
      </c>
      <c r="C50" s="2" t="n">
        <v>7</v>
      </c>
      <c r="D50" s="2" t="n">
        <v>9</v>
      </c>
    </row>
    <row r="51" ht="15" customHeight="1">
      <c r="A51" s="2" t="n">
        <v>8616</v>
      </c>
      <c r="B51" s="2" t="inlineStr">
        <is>
          <t>URI 3623 1 כרית ליישור אצבע</t>
        </is>
      </c>
      <c r="C51" s="2" t="n">
        <v>15</v>
      </c>
      <c r="D51" s="2" t="n">
        <v>19</v>
      </c>
    </row>
    <row r="52" ht="15" customHeight="1">
      <c r="A52" s="2" t="n">
        <v>51568</v>
      </c>
      <c r="B52" s="2" t="inlineStr">
        <is>
          <t xml:space="preserve">                                       1 סד לאגודל</t>
        </is>
      </c>
      <c r="C52" s="2" t="n">
        <v>51</v>
      </c>
      <c r="D52" s="2" t="n">
        <v>64</v>
      </c>
    </row>
    <row r="53" ht="15" customHeight="1">
      <c r="A53" s="2" t="n">
        <v>9772</v>
      </c>
      <c r="B53" s="2" t="inlineStr">
        <is>
          <t>URI 307 L 1 זוג עקב סיל+נ כ</t>
        </is>
      </c>
      <c r="C53" s="2" t="n">
        <v>20</v>
      </c>
      <c r="D53" s="2" t="n">
        <v>25</v>
      </c>
    </row>
    <row r="54" ht="15" customHeight="1">
      <c r="A54" s="2" t="n">
        <v>63422</v>
      </c>
      <c r="B54" s="2" t="inlineStr">
        <is>
          <t>URI 95 XL        1 מגן מרפק</t>
        </is>
      </c>
      <c r="C54" s="2" t="n">
        <v>8</v>
      </c>
      <c r="D54" s="2" t="n">
        <v>10</v>
      </c>
    </row>
    <row r="55" ht="15" customHeight="1">
      <c r="A55" s="2" t="n">
        <v>71088</v>
      </c>
      <c r="B55" s="2" t="inlineStr">
        <is>
          <t>URI 078XL 1</t>
        </is>
      </c>
      <c r="C55" s="2" t="n">
        <v>8</v>
      </c>
      <c r="D55" s="2" t="n">
        <v>10</v>
      </c>
    </row>
    <row r="56" ht="15" customHeight="1">
      <c r="A56" s="2" t="n">
        <v>74800</v>
      </c>
      <c r="B56" s="2" t="inlineStr">
        <is>
          <t>URI 45E M    1 מגן ברך ארוך</t>
        </is>
      </c>
      <c r="C56" s="2" t="n">
        <v>26</v>
      </c>
      <c r="D56" s="2" t="n">
        <v>32</v>
      </c>
    </row>
    <row r="57" ht="15" customHeight="1">
      <c r="A57" s="2" t="n">
        <v>65243</v>
      </c>
      <c r="B57" s="2" t="inlineStr">
        <is>
          <t>URI XL35    1 מגן קרסול לבן</t>
        </is>
      </c>
      <c r="C57" s="2" t="n">
        <v>22</v>
      </c>
      <c r="D57" s="2" t="n">
        <v>27</v>
      </c>
    </row>
    <row r="58" ht="15" customHeight="1">
      <c r="A58" s="2" t="n">
        <v>82202</v>
      </c>
      <c r="B58" s="2" t="inlineStr">
        <is>
          <t>ST91       1 מגן מרפק לטניס</t>
        </is>
      </c>
      <c r="C58" s="2" t="n">
        <v>18</v>
      </c>
      <c r="D58" s="2" t="n">
        <v>22</v>
      </c>
    </row>
    <row r="59" ht="15" customHeight="1">
      <c r="A59" s="2" t="n">
        <v>83420</v>
      </c>
      <c r="B59" s="2" t="inlineStr">
        <is>
          <t>URI ST4221 מגן ברך +כ סיליק</t>
        </is>
      </c>
      <c r="C59" s="2" t="n">
        <v>9</v>
      </c>
      <c r="D59" s="2" t="n">
        <v>11</v>
      </c>
    </row>
    <row r="60" ht="15" customHeight="1">
      <c r="A60" s="2" t="n">
        <v>8618</v>
      </c>
      <c r="B60" s="2" t="inlineStr">
        <is>
          <t>URI 311         1 מדבקת ג'ל</t>
        </is>
      </c>
      <c r="C60" s="2" t="n">
        <v>14</v>
      </c>
      <c r="D60" s="2" t="n">
        <v>17</v>
      </c>
    </row>
    <row r="61" ht="15" customHeight="1">
      <c r="A61" s="2" t="n">
        <v>63417</v>
      </c>
      <c r="B61" s="2" t="inlineStr">
        <is>
          <t>URI 87 M1 חגו.לקיבוע תמ.אמה</t>
        </is>
      </c>
      <c r="C61" s="2" t="n">
        <v>5</v>
      </c>
      <c r="D61" s="2" t="n">
        <v>6</v>
      </c>
    </row>
    <row r="62" ht="15" customHeight="1">
      <c r="A62" s="2" t="n">
        <v>57664</v>
      </c>
      <c r="B62" s="2" t="inlineStr">
        <is>
          <t>808KT-BL  1 טייפ קינזיולוגי</t>
        </is>
      </c>
      <c r="C62" s="2" t="n">
        <v>11</v>
      </c>
      <c r="D62" s="2" t="n">
        <v>13</v>
      </c>
    </row>
    <row r="63" ht="15" customHeight="1">
      <c r="A63" s="2" t="n">
        <v>21004</v>
      </c>
      <c r="B63" s="2" t="inlineStr">
        <is>
          <t>URI 45E XXL  1 מגן ברך ארוך</t>
        </is>
      </c>
      <c r="C63" s="2" t="n">
        <v>10</v>
      </c>
      <c r="D63" s="2" t="n">
        <v>11</v>
      </c>
    </row>
    <row r="64" ht="15" customHeight="1">
      <c r="A64" s="2" t="n">
        <v>31190</v>
      </c>
      <c r="B64" s="2" t="inlineStr">
        <is>
          <t>URI 374 1 רפידה בולמת זעזוע</t>
        </is>
      </c>
      <c r="C64" s="2" t="n">
        <v>10</v>
      </c>
      <c r="D64" s="2" t="n">
        <v>11</v>
      </c>
    </row>
    <row r="65" ht="15" customHeight="1">
      <c r="A65" s="2" t="n">
        <v>59657</v>
      </c>
      <c r="B65" s="2" t="inlineStr">
        <is>
          <t>URI 363 L R 1</t>
        </is>
      </c>
      <c r="C65" s="2" t="n">
        <v>12</v>
      </c>
      <c r="D65" s="2" t="n">
        <v>13</v>
      </c>
    </row>
    <row r="66" ht="15" customHeight="1">
      <c r="A66" s="2" t="n">
        <v>63415</v>
      </c>
      <c r="B66" s="2" t="inlineStr">
        <is>
          <t>URI 85 L         1 מתלה ליד</t>
        </is>
      </c>
      <c r="C66" s="2" t="n">
        <v>31</v>
      </c>
      <c r="D66" s="2" t="n">
        <v>33</v>
      </c>
    </row>
    <row r="67" ht="15" customHeight="1">
      <c r="A67" s="2" t="n">
        <v>59656</v>
      </c>
      <c r="B67" s="2" t="inlineStr">
        <is>
          <t>URI 362 L R 1</t>
        </is>
      </c>
      <c r="C67" s="2" t="n">
        <v>16</v>
      </c>
      <c r="D67" s="2" t="n">
        <v>17</v>
      </c>
    </row>
    <row r="68" ht="15" customHeight="1">
      <c r="A68" s="2" t="n">
        <v>67957</v>
      </c>
      <c r="B68" s="2" t="inlineStr">
        <is>
          <t>URI 95 S         1 מגן מרפק</t>
        </is>
      </c>
      <c r="C68" s="2" t="n">
        <v>18</v>
      </c>
      <c r="D68" s="2" t="n">
        <v>19</v>
      </c>
    </row>
    <row r="69" ht="15" customHeight="1">
      <c r="A69" s="2" t="n">
        <v>63421</v>
      </c>
      <c r="B69" s="2" t="inlineStr">
        <is>
          <t>URI 95 L         1 מגן מרפק</t>
        </is>
      </c>
      <c r="C69" s="2" t="n">
        <v>19</v>
      </c>
      <c r="D69" s="2" t="n">
        <v>20</v>
      </c>
    </row>
    <row r="70" ht="15" customHeight="1">
      <c r="A70" s="2" t="n">
        <v>63414</v>
      </c>
      <c r="B70" s="2" t="inlineStr">
        <is>
          <t>URI 85 M         1 מתלה ליד</t>
        </is>
      </c>
      <c r="C70" s="2" t="n">
        <v>22</v>
      </c>
      <c r="D70" s="2" t="n">
        <v>23</v>
      </c>
    </row>
    <row r="71" ht="15" customHeight="1">
      <c r="A71" s="2" t="n">
        <v>82208</v>
      </c>
      <c r="B71" s="2" t="inlineStr">
        <is>
          <t>URI ST37      1 חבק לקרסול</t>
        </is>
      </c>
      <c r="C71" s="2" t="n">
        <v>24</v>
      </c>
      <c r="D71" s="2" t="n">
        <v>25</v>
      </c>
    </row>
    <row r="72" ht="15" customHeight="1">
      <c r="A72" s="2" t="n">
        <v>52323</v>
      </c>
      <c r="B72" s="2" t="inlineStr">
        <is>
          <t>URI 078G L 1 חגורת גב אפורה</t>
        </is>
      </c>
      <c r="C72" s="2" t="n">
        <v>29</v>
      </c>
      <c r="D72" s="2" t="n">
        <v>30</v>
      </c>
    </row>
    <row r="73" ht="15" customHeight="1">
      <c r="A73" s="2" t="n">
        <v>63360</v>
      </c>
      <c r="B73" s="2" t="inlineStr">
        <is>
          <t>URI 45 L          1 מגן ברךBOX</t>
        </is>
      </c>
      <c r="C73" s="2" t="n">
        <v>52</v>
      </c>
      <c r="D73" s="2" t="n">
        <v>53</v>
      </c>
    </row>
    <row r="74" ht="15" customHeight="1">
      <c r="A74" s="2" t="n">
        <v>74709</v>
      </c>
      <c r="B74" s="2" t="inlineStr">
        <is>
          <t>URI 21 M      1 חבק יד ארוך</t>
        </is>
      </c>
      <c r="C74" s="2" t="n">
        <v>26</v>
      </c>
      <c r="D74" s="2" t="n">
        <v>26</v>
      </c>
    </row>
    <row r="75" ht="15" customHeight="1">
      <c r="A75" s="2" t="n">
        <v>16212</v>
      </c>
      <c r="B75" s="2" t="inlineStr">
        <is>
          <t>394B-39-421 גרבי קיץ לסוכרת</t>
        </is>
      </c>
      <c r="C75" s="2" t="n">
        <v>14</v>
      </c>
      <c r="D75" s="2" t="n">
        <v>14</v>
      </c>
    </row>
    <row r="76" ht="15" customHeight="1">
      <c r="A76" s="2" t="n">
        <v>52147</v>
      </c>
      <c r="B76" s="2" t="inlineStr">
        <is>
          <t>URI FC321  1 מלח אמבט לכף ר</t>
        </is>
      </c>
      <c r="C76" s="2" t="n">
        <v>13</v>
      </c>
      <c r="D76" s="2" t="n">
        <v>13</v>
      </c>
    </row>
    <row r="77" ht="15" customHeight="1">
      <c r="A77" s="2" t="n">
        <v>57690</v>
      </c>
      <c r="B77" s="2" t="inlineStr">
        <is>
          <t>808KT-C   1 טייפ קינזיולוגי</t>
        </is>
      </c>
      <c r="C77" s="2" t="n">
        <v>10</v>
      </c>
      <c r="D77" s="2" t="n">
        <v>10</v>
      </c>
    </row>
    <row r="78" ht="15" customHeight="1">
      <c r="A78" s="2" t="n">
        <v>61961</v>
      </c>
      <c r="B78" s="2" t="inlineStr">
        <is>
          <t>URI 366S 1 מדבקה לשחרור לחץ</t>
        </is>
      </c>
      <c r="C78" s="2" t="n">
        <v>8</v>
      </c>
      <c r="D78" s="2" t="n">
        <v>8</v>
      </c>
    </row>
    <row r="79" ht="15" customHeight="1">
      <c r="A79" s="2" t="n">
        <v>61344</v>
      </c>
      <c r="B79" s="2" t="inlineStr">
        <is>
          <t>URI 312 9*5   1 מדבקה גדולה</t>
        </is>
      </c>
      <c r="C79" s="2" t="n">
        <v>6</v>
      </c>
      <c r="D79" s="2" t="n">
        <v>6</v>
      </c>
    </row>
    <row r="80" ht="15" customHeight="1">
      <c r="A80" s="2" t="n">
        <v>29981</v>
      </c>
      <c r="B80" s="2" t="inlineStr">
        <is>
          <t>URI 35 XXL  1 מגן קרסול לבן</t>
        </is>
      </c>
      <c r="C80" s="2" t="n">
        <v>5</v>
      </c>
      <c r="D80" s="2" t="n">
        <v>5</v>
      </c>
    </row>
    <row r="81" ht="15" customHeight="1">
      <c r="A81" s="2" t="n">
        <v>35339</v>
      </c>
      <c r="B81" s="2" t="inlineStr">
        <is>
          <t>URI 307 S 1 זוג עקב סיל+נ כ</t>
        </is>
      </c>
      <c r="C81" s="2" t="n">
        <v>4</v>
      </c>
      <c r="D81" s="2" t="n">
        <v>4</v>
      </c>
    </row>
    <row r="82" ht="15" customHeight="1">
      <c r="A82" s="2" t="n">
        <v>88474</v>
      </c>
      <c r="B82" s="2" t="inlineStr">
        <is>
          <t>URI LF370 0 1 ריפוד סיליקון</t>
        </is>
      </c>
      <c r="C82" s="2" t="n">
        <v>3</v>
      </c>
      <c r="D82" s="2" t="n">
        <v>3</v>
      </c>
    </row>
    <row r="83" ht="15" customHeight="1">
      <c r="A83" s="2" t="n">
        <v>34874</v>
      </c>
      <c r="B83" s="2" t="inlineStr">
        <is>
          <t>URI 333         1 סד לקרסול</t>
        </is>
      </c>
      <c r="C83" s="2" t="n">
        <v>2</v>
      </c>
      <c r="D83" s="2" t="n">
        <v>2</v>
      </c>
    </row>
    <row r="84" ht="15" customHeight="1">
      <c r="A84" s="2" t="n">
        <v>64634</v>
      </c>
      <c r="B84" s="2" t="inlineStr">
        <is>
          <t>URI 390B 39-42   1 גרבי כסף</t>
        </is>
      </c>
      <c r="C84" s="2" t="n">
        <v>2</v>
      </c>
      <c r="D84" s="2" t="n">
        <v>2</v>
      </c>
    </row>
    <row r="85" ht="15" customHeight="1">
      <c r="A85" s="2" t="n">
        <v>74823</v>
      </c>
      <c r="B85" s="2" t="inlineStr">
        <is>
          <t>URI 59L L 1 חגורת שבר לשמאל</t>
        </is>
      </c>
      <c r="C85" s="2" t="n">
        <v>2</v>
      </c>
      <c r="D85" s="2" t="n">
        <v>2</v>
      </c>
    </row>
    <row r="86" ht="15" customHeight="1">
      <c r="A86" s="2" t="n">
        <v>50061</v>
      </c>
      <c r="B86" s="2" t="inlineStr">
        <is>
          <t>URI 87 S 1 חגו.קיבוע תמ.אמה</t>
        </is>
      </c>
      <c r="C86" s="2" t="n">
        <v>1</v>
      </c>
      <c r="D86" s="2" t="n">
        <v>1</v>
      </c>
    </row>
    <row r="87" ht="15" customHeight="1">
      <c r="A87" s="2" t="n">
        <v>67053</v>
      </c>
      <c r="B87" s="2" t="inlineStr">
        <is>
          <t>URI 34 XS  1 מגן קרסול סגור</t>
        </is>
      </c>
      <c r="C87" s="2" t="n">
        <v>1</v>
      </c>
      <c r="D87" s="2" t="n">
        <v>1</v>
      </c>
    </row>
    <row r="88" ht="15" customHeight="1">
      <c r="A88" s="2" t="n">
        <v>67056</v>
      </c>
      <c r="B88" s="2" t="inlineStr">
        <is>
          <t>URI 95 XXL       1 מגן מרפק</t>
        </is>
      </c>
      <c r="C88" s="2" t="n">
        <v>1</v>
      </c>
      <c r="D88" s="2" t="n">
        <v>1</v>
      </c>
    </row>
    <row r="89" ht="15" customHeight="1">
      <c r="A89" s="2" t="n">
        <v>74670</v>
      </c>
      <c r="B89" s="2" t="inlineStr">
        <is>
          <t>URI 07AU L   1 ח.גב איטלקית</t>
        </is>
      </c>
      <c r="C89" s="2" t="n">
        <v>1</v>
      </c>
      <c r="D89" s="2" t="n">
        <v>1</v>
      </c>
    </row>
    <row r="90" ht="15" customHeight="1">
      <c r="A90" s="2" t="n">
        <v>74805</v>
      </c>
      <c r="B90" s="2" t="inlineStr">
        <is>
          <t>URI 49 L          1 מגן ירך</t>
        </is>
      </c>
      <c r="C90" s="2" t="n">
        <v>1</v>
      </c>
      <c r="D90" s="2" t="n">
        <v>1</v>
      </c>
    </row>
    <row r="91" ht="15" customHeight="1">
      <c r="A91" s="2" t="n">
        <v>74806</v>
      </c>
      <c r="B91" s="2" t="inlineStr">
        <is>
          <t>URI 49 M          1 מגן ירך</t>
        </is>
      </c>
      <c r="C91" s="2" t="n">
        <v>1</v>
      </c>
      <c r="D91" s="2" t="n">
        <v>1</v>
      </c>
    </row>
    <row r="92" ht="15" customHeight="1">
      <c r="A92" s="2" t="n">
        <v>74807</v>
      </c>
      <c r="B92" s="2" t="inlineStr">
        <is>
          <t>URI 49 XL         1 מגן ירך</t>
        </is>
      </c>
      <c r="C92" s="2" t="n">
        <v>1</v>
      </c>
      <c r="D92" s="2" t="n">
        <v>1</v>
      </c>
    </row>
    <row r="93" ht="15" customHeight="1">
      <c r="A93" s="2" t="n">
        <v>74848</v>
      </c>
      <c r="B93" s="2" t="inlineStr">
        <is>
          <t>URI 76 XL       1 מיישר כתף</t>
        </is>
      </c>
      <c r="C93" s="2" t="n">
        <v>1</v>
      </c>
      <c r="D93" s="2" t="n">
        <v>1</v>
      </c>
    </row>
    <row r="94" ht="15" customHeight="1">
      <c r="A94" s="2" t="n">
        <v>31188</v>
      </c>
      <c r="B94" s="2" t="inlineStr">
        <is>
          <t>URI 372    1 רפידת אנטי ריח</t>
        </is>
      </c>
      <c r="C94" s="2" t="n">
        <v>43</v>
      </c>
      <c r="D94" s="2" t="n">
        <v>42</v>
      </c>
    </row>
    <row r="95" ht="15" customHeight="1">
      <c r="A95" s="2" t="n">
        <v>60485</v>
      </c>
      <c r="B95" s="2" t="inlineStr">
        <is>
          <t>URI 369 XL 1</t>
        </is>
      </c>
      <c r="C95" s="2" t="n">
        <v>26</v>
      </c>
      <c r="D95" s="2" t="n">
        <v>25</v>
      </c>
    </row>
    <row r="96" ht="15" customHeight="1">
      <c r="A96" s="2" t="n">
        <v>51567</v>
      </c>
      <c r="B96" s="2" t="inlineStr">
        <is>
          <t xml:space="preserve">                                   1 סד יד דו צדדי</t>
        </is>
      </c>
      <c r="C96" s="2" t="n">
        <v>136</v>
      </c>
      <c r="D96" s="2" t="n">
        <v>130</v>
      </c>
    </row>
    <row r="97" ht="15" customHeight="1">
      <c r="A97" s="2" t="n">
        <v>80668</v>
      </c>
      <c r="B97" s="2" t="inlineStr">
        <is>
          <t>URI 320 BLISTER PLASTER 1</t>
        </is>
      </c>
      <c r="C97" s="2" t="n">
        <v>18</v>
      </c>
      <c r="D97" s="2" t="n">
        <v>17</v>
      </c>
    </row>
    <row r="98" ht="15" customHeight="1">
      <c r="A98" s="2" t="n">
        <v>9771</v>
      </c>
      <c r="B98" s="2" t="inlineStr">
        <is>
          <t>URI 307 M 1 זוג עקב סיל+נ כ</t>
        </is>
      </c>
      <c r="C98" s="2" t="n">
        <v>28</v>
      </c>
      <c r="D98" s="2" t="n">
        <v>26</v>
      </c>
    </row>
    <row r="99" ht="15" customHeight="1">
      <c r="A99" s="2" t="n">
        <v>59694</v>
      </c>
      <c r="B99" s="2" t="inlineStr">
        <is>
          <t>URI 365 S-L   1 טבעת אלסטית</t>
        </is>
      </c>
      <c r="C99" s="2" t="n">
        <v>26</v>
      </c>
      <c r="D99" s="2" t="n">
        <v>24</v>
      </c>
    </row>
    <row r="100" ht="15" customHeight="1">
      <c r="A100" s="2" t="n">
        <v>19082</v>
      </c>
      <c r="B100" s="2" t="inlineStr">
        <is>
          <t>URI 34 S 1 מגן קרסול ס בעקב</t>
        </is>
      </c>
      <c r="C100" s="2" t="n">
        <v>11</v>
      </c>
      <c r="D100" s="2" t="n">
        <v>10</v>
      </c>
    </row>
    <row r="101" ht="15" customHeight="1">
      <c r="A101" s="2" t="n">
        <v>74763</v>
      </c>
      <c r="B101" s="2" t="inlineStr">
        <is>
          <t>URI 34+ M       1 מגן קרסול</t>
        </is>
      </c>
      <c r="C101" s="2" t="n">
        <v>9</v>
      </c>
      <c r="D101" s="2" t="n">
        <v>8</v>
      </c>
    </row>
    <row r="102" ht="15" customHeight="1">
      <c r="A102" s="2" t="n">
        <v>65241</v>
      </c>
      <c r="B102" s="2" t="inlineStr">
        <is>
          <t>URI M35     1 מגן קרסול לבן</t>
        </is>
      </c>
      <c r="C102" s="2" t="n">
        <v>23</v>
      </c>
      <c r="D102" s="2" t="n">
        <v>20</v>
      </c>
    </row>
    <row r="103" ht="15" customHeight="1">
      <c r="A103" s="2" t="n">
        <v>63361</v>
      </c>
      <c r="B103" s="2" t="inlineStr">
        <is>
          <t>URI 45 XL         1 מגן ברך</t>
        </is>
      </c>
      <c r="C103" s="2" t="n">
        <v>30</v>
      </c>
      <c r="D103" s="2" t="n">
        <v>26</v>
      </c>
    </row>
    <row r="104" ht="15" customHeight="1">
      <c r="A104" s="2" t="n">
        <v>65242</v>
      </c>
      <c r="B104" s="2" t="inlineStr">
        <is>
          <t>URI L35     1 מגן קרסול לבן</t>
        </is>
      </c>
      <c r="C104" s="2" t="n">
        <v>27</v>
      </c>
      <c r="D104" s="2" t="n">
        <v>23</v>
      </c>
    </row>
    <row r="105" ht="15" customHeight="1">
      <c r="A105" s="2" t="n">
        <v>66485</v>
      </c>
      <c r="B105" s="2" t="inlineStr">
        <is>
          <t>URI 801 ICE GO  1 תחבושת אל</t>
        </is>
      </c>
      <c r="C105" s="2" t="n">
        <v>20</v>
      </c>
      <c r="D105" s="2" t="n">
        <v>17</v>
      </c>
    </row>
    <row r="106" ht="15" customHeight="1">
      <c r="A106" s="2" t="n">
        <v>55868</v>
      </c>
      <c r="B106" s="2" t="inlineStr">
        <is>
          <t>URI 078G XXL1 חגורת גב אפור</t>
        </is>
      </c>
      <c r="C106" s="2" t="n">
        <v>13</v>
      </c>
      <c r="D106" s="2" t="n">
        <v>11</v>
      </c>
    </row>
    <row r="107" ht="15" customHeight="1">
      <c r="A107" s="2" t="n">
        <v>67960</v>
      </c>
      <c r="B107" s="2" t="inlineStr">
        <is>
          <t>URI 85 S        1 מיתלה ליד</t>
        </is>
      </c>
      <c r="C107" s="2" t="n">
        <v>13</v>
      </c>
      <c r="D107" s="2" t="n">
        <v>11</v>
      </c>
    </row>
    <row r="108" ht="15" customHeight="1">
      <c r="A108" s="2" t="n">
        <v>83668</v>
      </c>
      <c r="B108" s="2" t="inlineStr">
        <is>
          <t>URI FC335    1 טלק לכף הרגל</t>
        </is>
      </c>
      <c r="C108" s="2" t="n">
        <v>97</v>
      </c>
      <c r="D108" s="2" t="n">
        <v>81</v>
      </c>
    </row>
    <row r="109" ht="15" customHeight="1">
      <c r="A109" s="2" t="n">
        <v>63359</v>
      </c>
      <c r="B109" s="2" t="inlineStr">
        <is>
          <t>URI 45 M          1 מגן ברך</t>
        </is>
      </c>
      <c r="C109" s="2" t="n">
        <v>41</v>
      </c>
      <c r="D109" s="2" t="n">
        <v>34</v>
      </c>
    </row>
    <row r="110" ht="15" customHeight="1">
      <c r="A110" s="2" t="n">
        <v>63420</v>
      </c>
      <c r="B110" s="2" t="inlineStr">
        <is>
          <t>URI 95 M         1 מגן מרפק</t>
        </is>
      </c>
      <c r="C110" s="2" t="n">
        <v>29</v>
      </c>
      <c r="D110" s="2" t="n">
        <v>24</v>
      </c>
    </row>
    <row r="111" ht="15" customHeight="1">
      <c r="A111" s="2" t="n">
        <v>82213</v>
      </c>
      <c r="B111" s="2" t="inlineStr">
        <is>
          <t>ST28  1 סט אגודלי+מוט תמיכה</t>
        </is>
      </c>
      <c r="C111" s="2" t="n">
        <v>21</v>
      </c>
      <c r="D111" s="2" t="n">
        <v>17</v>
      </c>
    </row>
    <row r="112" ht="15" customHeight="1">
      <c r="A112" s="2" t="n">
        <v>24612</v>
      </c>
      <c r="B112" s="2" t="inlineStr">
        <is>
          <t>URI AC28        1 סד לאגודל</t>
        </is>
      </c>
      <c r="C112" s="2" t="n">
        <v>45</v>
      </c>
      <c r="D112" s="2" t="n">
        <v>36</v>
      </c>
    </row>
    <row r="113" ht="15" customHeight="1">
      <c r="A113" s="2" t="n">
        <v>16213</v>
      </c>
      <c r="B113" s="2" t="inlineStr">
        <is>
          <t>394B-43-461 גרבי קיץ לסוכרת</t>
        </is>
      </c>
      <c r="C113" s="2" t="n">
        <v>26</v>
      </c>
      <c r="D113" s="2" t="n">
        <v>20</v>
      </c>
    </row>
    <row r="114" ht="15" customHeight="1">
      <c r="A114" s="2" t="n">
        <v>63367</v>
      </c>
      <c r="B114" s="2" t="inlineStr">
        <is>
          <t>URI 34 L 1 מגן קרסול ס.בעקב</t>
        </is>
      </c>
      <c r="C114" s="2" t="n">
        <v>26</v>
      </c>
      <c r="D114" s="2" t="n">
        <v>19</v>
      </c>
    </row>
    <row r="115" ht="15" customHeight="1">
      <c r="A115" s="2" t="n">
        <v>63418</v>
      </c>
      <c r="B115" s="2" t="inlineStr">
        <is>
          <t>URI 87 L1 חגו.לקיבוע תמ.אמה</t>
        </is>
      </c>
      <c r="C115" s="2" t="n">
        <v>7</v>
      </c>
      <c r="D115" s="2" t="n">
        <v>5</v>
      </c>
    </row>
    <row r="116" ht="15" customHeight="1">
      <c r="A116" s="2" t="n">
        <v>67925</v>
      </c>
      <c r="B116" s="2" t="inlineStr">
        <is>
          <t>URI 35  S   1 מגן קרסול לבן</t>
        </is>
      </c>
      <c r="C116" s="2" t="n">
        <v>10</v>
      </c>
      <c r="D116" s="2" t="n">
        <v>7</v>
      </c>
    </row>
    <row r="117" ht="15" customHeight="1">
      <c r="A117" s="2" t="n">
        <v>71204</v>
      </c>
      <c r="B117" s="2" t="inlineStr">
        <is>
          <t>URI 3655   1 שרוול מסיליקון</t>
        </is>
      </c>
      <c r="C117" s="2" t="n">
        <v>94</v>
      </c>
      <c r="D117" s="2" t="n">
        <v>65</v>
      </c>
    </row>
    <row r="118" ht="15" customHeight="1">
      <c r="A118" s="2" t="n">
        <v>29881</v>
      </c>
      <c r="B118" s="2" t="inlineStr">
        <is>
          <t>URI 34 XXL 1 מגן קרסול סגור</t>
        </is>
      </c>
      <c r="C118" s="2" t="n">
        <v>9</v>
      </c>
      <c r="D118" s="2" t="n">
        <v>6</v>
      </c>
    </row>
    <row r="119" ht="15" customHeight="1">
      <c r="A119" s="2" t="n">
        <v>16211</v>
      </c>
      <c r="B119" s="2" t="inlineStr">
        <is>
          <t>394B-35-381 גרבי קיץ לסוכרת</t>
        </is>
      </c>
      <c r="C119" s="2" t="n">
        <v>3</v>
      </c>
      <c r="D119" s="2" t="n">
        <v>2</v>
      </c>
    </row>
    <row r="120" ht="15" customHeight="1">
      <c r="A120" s="2" t="n">
        <v>71683</v>
      </c>
      <c r="B120" s="2" t="inlineStr">
        <is>
          <t>URI S 3622 1 מדבקה לשחרור ל</t>
        </is>
      </c>
      <c r="C120" s="2" t="n">
        <v>3</v>
      </c>
      <c r="D120" s="2" t="n">
        <v>2</v>
      </c>
    </row>
    <row r="121" ht="15" customHeight="1">
      <c r="A121" s="2" t="n">
        <v>47877</v>
      </c>
      <c r="B121" s="2" t="inlineStr">
        <is>
          <t>URI 21        1 חבק יד ארוך</t>
        </is>
      </c>
      <c r="C121" s="2" t="n">
        <v>11</v>
      </c>
      <c r="D121" s="2" t="n">
        <v>7</v>
      </c>
    </row>
    <row r="122" ht="15" customHeight="1">
      <c r="A122" s="2" t="n">
        <v>60471</v>
      </c>
      <c r="B122" s="2" t="inlineStr">
        <is>
          <t>URI 365 XL    1 טבעת אלסטית</t>
        </is>
      </c>
      <c r="C122" s="2" t="n">
        <v>11</v>
      </c>
      <c r="D122" s="2" t="n">
        <v>7</v>
      </c>
    </row>
    <row r="123" ht="15" customHeight="1">
      <c r="A123" s="2" t="n">
        <v>16217</v>
      </c>
      <c r="B123" s="2" t="inlineStr">
        <is>
          <t>394G-39-421 גרבי קיץ לסוכרת</t>
        </is>
      </c>
      <c r="C123" s="2" t="n">
        <v>5</v>
      </c>
      <c r="D123" s="2" t="n">
        <v>3</v>
      </c>
    </row>
    <row r="124" ht="15" customHeight="1">
      <c r="A124" s="2" t="n">
        <v>60478</v>
      </c>
      <c r="B124" s="2" t="inlineStr">
        <is>
          <t>URI PD3461 10 סכינים למקצוע</t>
        </is>
      </c>
      <c r="C124" s="2" t="n">
        <v>5</v>
      </c>
      <c r="D124" s="2" t="n">
        <v>3</v>
      </c>
    </row>
    <row r="125" ht="15" customHeight="1">
      <c r="A125" s="2" t="n">
        <v>82551</v>
      </c>
      <c r="B125" s="2" t="inlineStr">
        <is>
          <t>URI ST11        1 חגורת בטן</t>
        </is>
      </c>
      <c r="C125" s="2" t="n">
        <v>5</v>
      </c>
      <c r="D125" s="2" t="n">
        <v>3</v>
      </c>
    </row>
    <row r="126" ht="15" customHeight="1">
      <c r="A126" s="2" t="n">
        <v>59679</v>
      </c>
      <c r="B126" s="2" t="inlineStr">
        <is>
          <t>URI 364 S M 1</t>
        </is>
      </c>
      <c r="C126" s="2" t="n">
        <v>48</v>
      </c>
      <c r="D126" s="2" t="n">
        <v>28</v>
      </c>
    </row>
    <row r="127" ht="15" customHeight="1">
      <c r="A127" s="2" t="n">
        <v>63416</v>
      </c>
      <c r="B127" s="2" t="inlineStr">
        <is>
          <t>URI 85 XL        1 מתלה ליד</t>
        </is>
      </c>
      <c r="C127" s="2" t="n">
        <v>14</v>
      </c>
      <c r="D127" s="2" t="n">
        <v>8</v>
      </c>
    </row>
    <row r="128" ht="15" customHeight="1">
      <c r="A128" s="2" t="n">
        <v>67385</v>
      </c>
      <c r="B128" s="2" t="inlineStr">
        <is>
          <t>URI 302M 0  1 מדרס ג'ל לגבר</t>
        </is>
      </c>
      <c r="C128" s="2" t="n">
        <v>39</v>
      </c>
      <c r="D128" s="2" t="n">
        <v>22</v>
      </c>
    </row>
    <row r="129" ht="15" customHeight="1">
      <c r="A129" s="2" t="n">
        <v>74762</v>
      </c>
      <c r="B129" s="2" t="inlineStr">
        <is>
          <t>URI 34+ L      1 מגן לקרסול</t>
        </is>
      </c>
      <c r="C129" s="2" t="n">
        <v>16</v>
      </c>
      <c r="D129" s="2" t="n">
        <v>9</v>
      </c>
    </row>
    <row r="130" ht="15" customHeight="1">
      <c r="A130" s="2" t="n">
        <v>21003</v>
      </c>
      <c r="B130" s="2" t="inlineStr">
        <is>
          <t>URI 45 XXL        1 מגן ברך</t>
        </is>
      </c>
      <c r="C130" s="2" t="n">
        <v>18</v>
      </c>
      <c r="D130" s="2" t="n">
        <v>10</v>
      </c>
    </row>
    <row r="131" ht="15" customHeight="1">
      <c r="A131" s="2" t="n">
        <v>74687</v>
      </c>
      <c r="B131" s="2" t="inlineStr">
        <is>
          <t>URI 11 TO L         1 ח בטן</t>
        </is>
      </c>
      <c r="C131" s="2" t="n">
        <v>4</v>
      </c>
      <c r="D131" s="2" t="n">
        <v>2</v>
      </c>
    </row>
    <row r="132" ht="15" customHeight="1">
      <c r="A132" s="2" t="n">
        <v>28302</v>
      </c>
      <c r="B132" s="2" t="inlineStr">
        <is>
          <t>URI 34+XXL1 מ קרסול+עכב סגו</t>
        </is>
      </c>
      <c r="C132" s="2" t="n">
        <v>2</v>
      </c>
      <c r="D132" s="2" t="n">
        <v>1</v>
      </c>
    </row>
    <row r="133" ht="15" customHeight="1">
      <c r="A133" s="2" t="n">
        <v>74847</v>
      </c>
      <c r="B133" s="2" t="inlineStr">
        <is>
          <t>URI 76 M        1 מיישר כתף</t>
        </is>
      </c>
      <c r="C133" s="2" t="n">
        <v>2</v>
      </c>
      <c r="D133" s="2" t="n">
        <v>1</v>
      </c>
    </row>
    <row r="134" ht="15" customHeight="1">
      <c r="A134" s="2" t="n">
        <v>80182</v>
      </c>
      <c r="B134" s="2" t="inlineStr">
        <is>
          <t>URI 3667        1 מגן בונין</t>
        </is>
      </c>
      <c r="C134" s="2" t="n">
        <v>18</v>
      </c>
      <c r="D134" s="2" t="n">
        <v>8</v>
      </c>
    </row>
    <row r="135" ht="15" customHeight="1">
      <c r="A135" s="2" t="n">
        <v>25386</v>
      </c>
      <c r="B135" s="2" t="inlineStr">
        <is>
          <t>URI 3666  1 מפריד הלקס+כרית</t>
        </is>
      </c>
      <c r="C135" s="2" t="n">
        <v>9</v>
      </c>
      <c r="D135" s="2" t="n">
        <v>4</v>
      </c>
    </row>
    <row r="136" ht="15" customHeight="1">
      <c r="A136" s="2" t="n">
        <v>60484</v>
      </c>
      <c r="B136" s="2" t="inlineStr">
        <is>
          <t>URI 3641 1</t>
        </is>
      </c>
      <c r="C136" s="2" t="n">
        <v>14</v>
      </c>
      <c r="D136" s="2" t="n">
        <v>6</v>
      </c>
    </row>
    <row r="137" ht="15" customHeight="1">
      <c r="A137" s="2" t="n">
        <v>66745</v>
      </c>
      <c r="B137" s="2" t="inlineStr">
        <is>
          <t xml:space="preserve">                       1 תרסיס דיאו.אנטי בקטר.לנעל</t>
        </is>
      </c>
      <c r="C137" s="2" t="n">
        <v>74</v>
      </c>
      <c r="D137" s="2" t="n">
        <v>31</v>
      </c>
    </row>
    <row r="138" ht="15" customHeight="1">
      <c r="A138" s="2" t="n">
        <v>60473</v>
      </c>
      <c r="B138" s="2" t="inlineStr">
        <is>
          <t>URI PD341 1 מקצוע להסרת עור</t>
        </is>
      </c>
      <c r="C138" s="2" t="n">
        <v>25</v>
      </c>
      <c r="D138" s="2" t="n">
        <v>10</v>
      </c>
    </row>
    <row r="139" ht="15" customHeight="1">
      <c r="A139" s="2" t="n">
        <v>59659</v>
      </c>
      <c r="B139" s="2" t="inlineStr">
        <is>
          <t>URI 369 S-L 1</t>
        </is>
      </c>
      <c r="C139" s="2" t="n">
        <v>13</v>
      </c>
      <c r="D139" s="2" t="n">
        <v>5</v>
      </c>
    </row>
    <row r="140" ht="15" customHeight="1">
      <c r="A140" s="2" t="n">
        <v>60474</v>
      </c>
      <c r="B140" s="2" t="inlineStr">
        <is>
          <t>URI PD3421 פומפיה להסרת עור</t>
        </is>
      </c>
      <c r="C140" s="2" t="n">
        <v>21</v>
      </c>
      <c r="D140" s="2" t="n">
        <v>7</v>
      </c>
    </row>
    <row r="141" ht="15" customHeight="1">
      <c r="A141" s="2" t="n">
        <v>49772</v>
      </c>
      <c r="B141" s="2" t="inlineStr">
        <is>
          <t>THERMOFLEX 90  1 רצועת טניס</t>
        </is>
      </c>
      <c r="C141" s="2" t="n">
        <v>9</v>
      </c>
      <c r="D141" s="2" t="n">
        <v>3</v>
      </c>
    </row>
    <row r="142" ht="15" customHeight="1">
      <c r="A142" s="2" t="n">
        <v>88476</v>
      </c>
      <c r="B142" s="2" t="inlineStr">
        <is>
          <t>URI LF373 0 1 ריפוד סיליקון</t>
        </is>
      </c>
      <c r="C142" s="2" t="n">
        <v>6</v>
      </c>
      <c r="D142" s="2" t="n">
        <v>2</v>
      </c>
    </row>
    <row r="143" ht="15" customHeight="1">
      <c r="A143" s="2" t="n">
        <v>16239</v>
      </c>
      <c r="B143" s="2" t="inlineStr">
        <is>
          <t>394W-35-381 גרבי קיץ לסוכרת</t>
        </is>
      </c>
      <c r="C143" s="2" t="n">
        <v>3</v>
      </c>
      <c r="D143" s="2" t="n">
        <v>1</v>
      </c>
    </row>
    <row r="144" ht="15" customHeight="1">
      <c r="A144" s="2" t="n">
        <v>50057</v>
      </c>
      <c r="B144" s="2" t="inlineStr">
        <is>
          <t>URI 76          1 מיישר כתף</t>
        </is>
      </c>
      <c r="C144" s="2" t="n">
        <v>3</v>
      </c>
      <c r="D144" s="2" t="n">
        <v>1</v>
      </c>
    </row>
    <row r="145" ht="15" customHeight="1">
      <c r="A145" s="2" t="n">
        <v>63449</v>
      </c>
      <c r="B145" s="2" t="inlineStr">
        <is>
          <t>URI 40221 רצועה לפיקה +כרית</t>
        </is>
      </c>
      <c r="C145" s="2" t="n">
        <v>3</v>
      </c>
      <c r="D145" s="2" t="n">
        <v>1</v>
      </c>
    </row>
    <row r="146" ht="15" customHeight="1">
      <c r="A146" s="2" t="n">
        <v>86583</v>
      </c>
      <c r="B146" s="2" t="inlineStr">
        <is>
          <t>URI 87 XXL   1 מקבע כתף ויד</t>
        </is>
      </c>
      <c r="C146" s="2" t="n">
        <v>3</v>
      </c>
      <c r="D146" s="2" t="n">
        <v>1</v>
      </c>
    </row>
    <row r="147" ht="15" customHeight="1">
      <c r="A147" s="2" t="n">
        <v>52328</v>
      </c>
      <c r="B147" s="2" t="inlineStr">
        <is>
          <t>URI 078G XL 1 חגורת גב אפור</t>
        </is>
      </c>
      <c r="C147" s="2" t="n">
        <v>24</v>
      </c>
      <c r="D147" s="2" t="n">
        <v>7</v>
      </c>
    </row>
    <row r="148" ht="15" customHeight="1">
      <c r="A148" s="2" t="n">
        <v>67895</v>
      </c>
      <c r="B148" s="2" t="inlineStr">
        <is>
          <t>URI 11      1 ח בטן אורירית</t>
        </is>
      </c>
      <c r="C148" s="2" t="n">
        <v>4</v>
      </c>
      <c r="D148" s="2" t="n">
        <v>1</v>
      </c>
    </row>
    <row r="149" ht="15" customHeight="1">
      <c r="A149" s="2" t="n">
        <v>16237</v>
      </c>
      <c r="B149" s="2" t="inlineStr">
        <is>
          <t>394G-43-461 גרבי קיץ לסוכרת</t>
        </is>
      </c>
      <c r="C149" s="2" t="n">
        <v>5</v>
      </c>
      <c r="D149" s="2" t="n">
        <v>1</v>
      </c>
    </row>
    <row r="150" ht="15" customHeight="1">
      <c r="A150" s="2" t="n">
        <v>79327</v>
      </c>
      <c r="B150" s="2" t="inlineStr">
        <is>
          <t>URI 3611       '1 כרית בנדג</t>
        </is>
      </c>
      <c r="C150" s="2" t="n">
        <v>11</v>
      </c>
      <c r="D150" s="2" t="n">
        <v>2</v>
      </c>
    </row>
    <row r="151" ht="15" customHeight="1">
      <c r="A151" s="2" t="n">
        <v>29984</v>
      </c>
      <c r="B151" s="2" t="inlineStr">
        <is>
          <t>URI 95 XS        1 מגן מרפק</t>
        </is>
      </c>
      <c r="C151" s="2" t="n">
        <v>8</v>
      </c>
      <c r="D151" s="2" t="n">
        <v>1</v>
      </c>
    </row>
    <row r="152" ht="15" customHeight="1">
      <c r="A152" s="2" t="n">
        <v>28297</v>
      </c>
      <c r="B152" s="2" t="inlineStr">
        <is>
          <t>URI 13 XL1 חגורה ללשבר טבור</t>
        </is>
      </c>
      <c r="C152" s="2" t="n">
        <v>1</v>
      </c>
      <c r="D152" s="2" t="n"/>
    </row>
    <row r="153" ht="15" customHeight="1">
      <c r="A153" s="2" t="n">
        <v>28331</v>
      </c>
      <c r="B153" s="2" t="inlineStr">
        <is>
          <t>URI T78 XXL 1 תומך זרוע כתף</t>
        </is>
      </c>
      <c r="C153" s="2" t="n">
        <v>1</v>
      </c>
      <c r="D153" s="2" t="n"/>
    </row>
    <row r="154" ht="15" customHeight="1">
      <c r="A154" s="2" t="n">
        <v>29794</v>
      </c>
      <c r="B154" s="2" t="inlineStr">
        <is>
          <t>URI 11STO XXL1 חגורה א ניתו</t>
        </is>
      </c>
      <c r="C154" s="2" t="n">
        <v>1</v>
      </c>
      <c r="D154" s="2" t="n"/>
    </row>
    <row r="155" ht="15" customHeight="1">
      <c r="A155" s="2" t="n">
        <v>29977</v>
      </c>
      <c r="B155" s="2" t="inlineStr">
        <is>
          <t>URI 11TO XXL    1 חגורת בטן</t>
        </is>
      </c>
      <c r="C155" s="2" t="n">
        <v>2</v>
      </c>
      <c r="D155" s="2" t="n"/>
    </row>
    <row r="156" ht="15" customHeight="1">
      <c r="A156" s="2" t="n">
        <v>37229</v>
      </c>
      <c r="B156" s="2" t="inlineStr">
        <is>
          <t>URI  59R  1 חגורת שבר לצד י</t>
        </is>
      </c>
      <c r="C156" s="2" t="n">
        <v>1</v>
      </c>
      <c r="D156" s="2" t="n"/>
    </row>
    <row r="157" ht="15" customHeight="1">
      <c r="A157" s="2" t="n">
        <v>44007</v>
      </c>
      <c r="B157" s="2" t="inlineStr">
        <is>
          <t>URI 07AU  1 חגור.גב איטלקית</t>
        </is>
      </c>
      <c r="C157" s="2" t="n">
        <v>1</v>
      </c>
      <c r="D157" s="2" t="n"/>
    </row>
    <row r="158" ht="15" customHeight="1">
      <c r="A158" s="2" t="n">
        <v>46306</v>
      </c>
      <c r="B158" s="2" t="inlineStr">
        <is>
          <t>STRAP4U 239B S-M 1</t>
        </is>
      </c>
      <c r="C158" s="2" t="n">
        <v>2</v>
      </c>
      <c r="D158" s="2" t="n"/>
    </row>
    <row r="159" ht="15" customHeight="1">
      <c r="A159" s="2" t="n">
        <v>50022</v>
      </c>
      <c r="B159" s="2" t="inlineStr">
        <is>
          <t>URI 38  1 חבישת הלוקס ולגוס</t>
        </is>
      </c>
      <c r="C159" s="2" t="n">
        <v>1</v>
      </c>
      <c r="D159" s="2" t="n"/>
    </row>
    <row r="160" ht="15" customHeight="1">
      <c r="A160" s="2" t="n">
        <v>64637</v>
      </c>
      <c r="B160" s="2" t="inlineStr">
        <is>
          <t>URI 390G 39-42   1 גרבי כסף</t>
        </is>
      </c>
      <c r="C160" s="2" t="n">
        <v>1</v>
      </c>
      <c r="D160" s="2" t="n"/>
    </row>
    <row r="161" ht="15" customHeight="1">
      <c r="A161" s="2" t="n">
        <v>74671</v>
      </c>
      <c r="B161" s="2" t="inlineStr">
        <is>
          <t>URI 07AU M   1 ח גב איטלקית</t>
        </is>
      </c>
      <c r="C161" s="2" t="n">
        <v>1</v>
      </c>
      <c r="D161" s="2" t="n"/>
    </row>
    <row r="162" ht="15" customHeight="1">
      <c r="A162" s="2" t="n">
        <v>74672</v>
      </c>
      <c r="B162" s="2" t="inlineStr">
        <is>
          <t>URI 07AU XL  1 ח.גב איטלקית</t>
        </is>
      </c>
      <c r="C162" s="2" t="n">
        <v>6</v>
      </c>
      <c r="D162" s="2" t="n"/>
    </row>
    <row r="163" ht="15" customHeight="1">
      <c r="A163" s="2" t="n">
        <v>74824</v>
      </c>
      <c r="B163" s="2" t="inlineStr">
        <is>
          <t>URI 59 L M 1 חגורת שבר צד ש</t>
        </is>
      </c>
      <c r="C163" s="2" t="n">
        <v>3</v>
      </c>
      <c r="D163" s="2" t="n"/>
    </row>
    <row r="164" ht="15" customHeight="1">
      <c r="A164" s="2" t="n">
        <v>74827</v>
      </c>
      <c r="B164" s="2" t="inlineStr">
        <is>
          <t>URI 59D M 1 חגורת שבר דו צד</t>
        </is>
      </c>
      <c r="C164" s="2" t="n">
        <v>1</v>
      </c>
      <c r="D164" s="2" t="n"/>
    </row>
    <row r="165" ht="15" customHeight="1">
      <c r="A165" s="2" t="n">
        <v>74842</v>
      </c>
      <c r="B165" s="2" t="inlineStr">
        <is>
          <t>URI 74-L-XL    1 רצועה לשבר</t>
        </is>
      </c>
      <c r="C165" s="2" t="n">
        <v>1</v>
      </c>
      <c r="D165" s="2" t="n"/>
    </row>
    <row r="166" ht="15" customHeight="1">
      <c r="A166" s="2" t="n">
        <v>74919</v>
      </c>
      <c r="B166" s="2" t="inlineStr">
        <is>
          <t>URI T33 M       1 סד לקרסול</t>
        </is>
      </c>
      <c r="C166" s="2" t="n">
        <v>1</v>
      </c>
      <c r="D166" s="2" t="n"/>
    </row>
    <row r="167" ht="15" customHeight="1">
      <c r="A167" s="2" t="n">
        <v>74920</v>
      </c>
      <c r="B167" s="2" t="inlineStr">
        <is>
          <t>URI T33 XL      1 סד לקרסול</t>
        </is>
      </c>
      <c r="C167" s="2" t="n">
        <v>1</v>
      </c>
      <c r="D167" s="2" t="n"/>
    </row>
    <row r="168" ht="15" customHeight="1">
      <c r="A168" s="2" t="n">
        <v>74987</v>
      </c>
      <c r="B168" s="2" t="inlineStr">
        <is>
          <t>URI T78 L            1 תומך</t>
        </is>
      </c>
      <c r="C168" s="2" t="n">
        <v>3</v>
      </c>
      <c r="D168" s="2" t="n"/>
    </row>
    <row r="169" ht="15" customHeight="1">
      <c r="A169" s="2" t="n">
        <v>74989</v>
      </c>
      <c r="B169" s="2" t="inlineStr">
        <is>
          <t>URI T78 XL           1 תומך</t>
        </is>
      </c>
      <c r="C169" s="2" t="n">
        <v>1</v>
      </c>
      <c r="D169" s="2" t="n"/>
    </row>
    <row r="170" ht="15" customHeight="1">
      <c r="A170" s="2" t="n">
        <v>76247</v>
      </c>
      <c r="B170" s="2" t="inlineStr">
        <is>
          <t>URI 078C XL  '1 חגורת גב בז</t>
        </is>
      </c>
      <c r="C170" s="2" t="n">
        <v>1</v>
      </c>
      <c r="D170" s="2" t="n"/>
    </row>
    <row r="171" ht="15" customHeight="1">
      <c r="A171" s="2" t="n">
        <v>87828</v>
      </c>
      <c r="B171" s="2" t="inlineStr">
        <is>
          <t>ST49              1 מגן ירך</t>
        </is>
      </c>
      <c r="C171" s="2" t="n">
        <v>2</v>
      </c>
      <c r="D171" s="2" t="n"/>
    </row>
    <row r="172" ht="15" customHeight="1">
      <c r="A172" s="2" t="n">
        <v>88477</v>
      </c>
      <c r="B172" s="2" t="inlineStr">
        <is>
          <t>URI LF374 0 1 ריפוד סיליקון</t>
        </is>
      </c>
      <c r="C172" s="2" t="n">
        <v>5</v>
      </c>
      <c r="D172" s="2" t="n"/>
    </row>
    <row r="173" ht="15" customHeight="1">
      <c r="A173" s="2" t="n">
        <v>88478</v>
      </c>
      <c r="B173" s="2" t="inlineStr">
        <is>
          <t>URI LF377 L  1 מדרס סיליקון</t>
        </is>
      </c>
      <c r="C173" s="2" t="n">
        <v>1</v>
      </c>
      <c r="D173" s="2" t="n"/>
    </row>
    <row r="174" ht="15" customHeight="1">
      <c r="A174" s="2" t="n">
        <v>88479</v>
      </c>
      <c r="B174" s="2" t="inlineStr">
        <is>
          <t>URI LF377 M  1 מדרס סיליקון</t>
        </is>
      </c>
      <c r="C174" s="2" t="n">
        <v>1</v>
      </c>
      <c r="D174" s="2" t="n"/>
    </row>
    <row r="175" ht="15" customHeight="1">
      <c r="A175" s="2" t="n">
        <v>43277</v>
      </c>
      <c r="B175" s="2" t="inlineStr">
        <is>
          <t>397A-39-42      1 גרבי טיסה</t>
        </is>
      </c>
      <c r="C175" s="2" t="n"/>
      <c r="D175" s="2" t="n">
        <v>29</v>
      </c>
    </row>
    <row r="176" ht="15" customHeight="1">
      <c r="A176" s="2" t="n">
        <v>43283</v>
      </c>
      <c r="B176" s="2" t="inlineStr">
        <is>
          <t>397A-43-46      1 גרבי טיסה</t>
        </is>
      </c>
      <c r="C176" s="2" t="n"/>
      <c r="D176" s="2" t="n">
        <v>25</v>
      </c>
    </row>
    <row r="177" ht="15" customHeight="1">
      <c r="A177" s="2" t="n">
        <v>43248</v>
      </c>
      <c r="B177" s="2" t="inlineStr">
        <is>
          <t>397A-35-38      1 גרבי טיסה</t>
        </is>
      </c>
      <c r="C177" s="2" t="n"/>
      <c r="D177" s="2" t="n">
        <v>12</v>
      </c>
    </row>
    <row r="178" ht="15" customHeight="1">
      <c r="A178" s="2" t="n">
        <v>64638</v>
      </c>
      <c r="B178" s="2" t="inlineStr">
        <is>
          <t>URI 390G 43-46   1 גרבי כסף</t>
        </is>
      </c>
      <c r="C178" s="2" t="n"/>
      <c r="D178" s="2" t="n">
        <v>4</v>
      </c>
    </row>
    <row r="179" ht="15" customHeight="1">
      <c r="A179" s="2" t="n">
        <v>68750</v>
      </c>
      <c r="B179" s="2" t="inlineStr">
        <is>
          <t>388B L 1 סד לילה שחור לבוהן</t>
        </is>
      </c>
      <c r="C179" s="2" t="n">
        <v>0</v>
      </c>
      <c r="D179" s="2" t="n">
        <v>2</v>
      </c>
    </row>
    <row r="180" ht="15" customHeight="1">
      <c r="A180" s="2" t="n">
        <v>75764</v>
      </c>
      <c r="B180" s="2" t="inlineStr">
        <is>
          <t>URI 16 XXL    1 חגורת הריון</t>
        </is>
      </c>
      <c r="C180" s="2" t="n"/>
      <c r="D180" s="2" t="n">
        <v>2</v>
      </c>
    </row>
    <row r="181" ht="15" customHeight="1">
      <c r="A181" s="2" t="n">
        <v>88480</v>
      </c>
      <c r="B181" s="2" t="inlineStr">
        <is>
          <t>URI LF377 S  1 מדרס סיליקון</t>
        </is>
      </c>
      <c r="C181" s="2" t="n"/>
      <c r="D181" s="2" t="n">
        <v>2</v>
      </c>
    </row>
    <row r="182" ht="15" customHeight="1">
      <c r="A182" s="2" t="n">
        <v>28937</v>
      </c>
      <c r="B182" s="2" t="inlineStr">
        <is>
          <t>URI 70N XS   1 חגורת פאבליק</t>
        </is>
      </c>
      <c r="C182" s="2" t="n"/>
      <c r="D182" s="2" t="n">
        <v>1</v>
      </c>
    </row>
    <row r="183" ht="15" customHeight="1">
      <c r="A183" s="2" t="n">
        <v>37498</v>
      </c>
      <c r="B183" s="2" t="inlineStr">
        <is>
          <t>URI SH333      1 מקבע קרסול</t>
        </is>
      </c>
      <c r="C183" s="2" t="n"/>
      <c r="D183" s="2" t="n">
        <v>1</v>
      </c>
    </row>
    <row r="184" ht="15" customHeight="1">
      <c r="A184" s="2" t="n">
        <v>43454</v>
      </c>
      <c r="B184" s="2" t="inlineStr">
        <is>
          <t>SH422 5  1 תומך ברך גנושילד</t>
        </is>
      </c>
      <c r="C184" s="2" t="n"/>
      <c r="D184" s="2" t="n">
        <v>1</v>
      </c>
    </row>
    <row r="185" ht="15" customHeight="1">
      <c r="A185" s="2" t="n">
        <v>50055</v>
      </c>
      <c r="B185" s="2" t="inlineStr">
        <is>
          <t>URI 74    1 רצועה לשבר בעצם</t>
        </is>
      </c>
      <c r="C185" s="2" t="n"/>
      <c r="D185" s="2" t="n">
        <v>1</v>
      </c>
    </row>
    <row r="186" ht="15" customHeight="1">
      <c r="A186" s="2" t="n">
        <v>63404</v>
      </c>
      <c r="B186" s="2" t="inlineStr">
        <is>
          <t>URI 11U S 1 ח בטן אחר ניתוח</t>
        </is>
      </c>
      <c r="C186" s="2" t="n"/>
      <c r="D186" s="2" t="n">
        <v>1</v>
      </c>
    </row>
    <row r="187" ht="15" customHeight="1">
      <c r="A187" s="2" t="n">
        <v>63405</v>
      </c>
      <c r="B187" s="2" t="inlineStr">
        <is>
          <t>URI 11U M 1 ח בטן אחר ניתוח</t>
        </is>
      </c>
      <c r="C187" s="2" t="n"/>
      <c r="D187" s="2" t="n">
        <v>1</v>
      </c>
    </row>
    <row r="188" ht="15" customHeight="1">
      <c r="A188" s="2" t="n">
        <v>64631</v>
      </c>
      <c r="B188" s="2" t="inlineStr">
        <is>
          <t>URI 390W 39-42   1 גרבי כסף</t>
        </is>
      </c>
      <c r="C188" s="2" t="n"/>
      <c r="D188" s="2" t="n">
        <v>1</v>
      </c>
    </row>
    <row r="189" ht="15" customHeight="1">
      <c r="A189" s="2" t="n">
        <v>64632</v>
      </c>
      <c r="B189" s="2" t="inlineStr">
        <is>
          <t>URI 390W 43-46   1 גרבי כסף</t>
        </is>
      </c>
      <c r="C189" s="2" t="n"/>
      <c r="D189" s="2" t="n">
        <v>1</v>
      </c>
    </row>
    <row r="190" ht="15" customHeight="1">
      <c r="A190" s="2" t="n">
        <v>64633</v>
      </c>
      <c r="B190" s="2" t="inlineStr">
        <is>
          <t>URI 390B 35-38   1 גרבי כסף</t>
        </is>
      </c>
      <c r="C190" s="2" t="n"/>
      <c r="D190" s="2" t="n">
        <v>1</v>
      </c>
    </row>
    <row r="191" ht="15" customHeight="1">
      <c r="A191" s="2" t="n">
        <v>64636</v>
      </c>
      <c r="B191" s="2" t="inlineStr">
        <is>
          <t>URI 390G 35-38   1 גרבי כסף</t>
        </is>
      </c>
      <c r="C191" s="2" t="n"/>
      <c r="D191" s="2" t="n">
        <v>1</v>
      </c>
    </row>
    <row r="192" ht="15" customHeight="1">
      <c r="A192" s="2" t="n">
        <v>74686</v>
      </c>
      <c r="B192" s="2" t="inlineStr">
        <is>
          <t>URI 11 TO M         1 ח בטן</t>
        </is>
      </c>
      <c r="C192" s="2" t="n">
        <v>0</v>
      </c>
      <c r="D192" s="2" t="n">
        <v>1</v>
      </c>
    </row>
    <row r="193" ht="15" customHeight="1">
      <c r="A193" s="2" t="n">
        <v>74828</v>
      </c>
      <c r="B193" s="2" t="inlineStr">
        <is>
          <t>URI 59D XL1 חגורת שבר דו צד</t>
        </is>
      </c>
      <c r="C193" s="2" t="n"/>
      <c r="D193" s="2" t="n">
        <v>1</v>
      </c>
    </row>
    <row r="194" ht="15" customHeight="1">
      <c r="A194" s="2" t="n">
        <v>74918</v>
      </c>
      <c r="B194" s="2" t="inlineStr">
        <is>
          <t>URI T33 L       1 סד לקרסול</t>
        </is>
      </c>
      <c r="C194" s="2" t="n"/>
      <c r="D194" s="2" t="n">
        <v>1</v>
      </c>
    </row>
    <row r="195" ht="15" customHeight="1">
      <c r="A195" s="2" t="n">
        <v>74932</v>
      </c>
      <c r="B195" s="2" t="inlineStr">
        <is>
          <t>URI T39 XL        1 מגן שוק</t>
        </is>
      </c>
      <c r="C195" s="2" t="n"/>
      <c r="D195" s="2" t="n">
        <v>1</v>
      </c>
    </row>
    <row r="196" ht="15" customHeight="1">
      <c r="A196" s="2" t="n">
        <v>74988</v>
      </c>
      <c r="B196" s="2" t="inlineStr">
        <is>
          <t>URI T78 M            1 תומך</t>
        </is>
      </c>
      <c r="C196" s="2" t="n"/>
      <c r="D196" s="2" t="n">
        <v>1</v>
      </c>
    </row>
    <row r="197" ht="15" customHeight="1">
      <c r="A197" s="2" t="n">
        <v>74820</v>
      </c>
      <c r="B197" s="2" t="inlineStr">
        <is>
          <t>URI 59R L.1 חגורת שבר לצד י</t>
        </is>
      </c>
      <c r="C197" s="2" t="n"/>
      <c r="D197" s="2" t="n">
        <v>0</v>
      </c>
    </row>
    <row r="198" ht="15" customHeight="1">
      <c r="A198" s="2" t="n">
        <v>74822</v>
      </c>
      <c r="B198" s="2" t="inlineStr">
        <is>
          <t>URI 59R  XL1 חגורת שבר צד י</t>
        </is>
      </c>
      <c r="C198" s="2" t="n"/>
      <c r="D198" s="2" t="n">
        <v>0</v>
      </c>
    </row>
    <row r="199" ht="15" customHeight="1">
      <c r="A199" s="2" t="n">
        <v>63406</v>
      </c>
      <c r="B199" s="2" t="inlineStr">
        <is>
          <t>URI 11U L 1 ח בטן אחר ניתוח</t>
        </is>
      </c>
      <c r="C199" s="2" t="n">
        <v>0</v>
      </c>
      <c r="D199" s="2" t="n"/>
    </row>
    <row r="200" ht="15" customHeight="1">
      <c r="A200" s="2" t="n">
        <v>74825</v>
      </c>
      <c r="B200" s="2" t="inlineStr">
        <is>
          <t>URI 59L XL 1 חגורת שבר צד ש</t>
        </is>
      </c>
      <c r="C200" s="2" t="n">
        <v>0</v>
      </c>
      <c r="D200" s="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</cols>
  <sheetData>
    <row r="1">
      <c r="A1" s="1" t="inlineStr">
        <is>
          <t>נתוני מקור - אוגוסט (2025 מול 2026) - מקור: month-08.xlsx</t>
        </is>
      </c>
    </row>
    <row r="2">
      <c r="A2" s="22" t="inlineStr">
        <is>
          <t>קוד SKU</t>
        </is>
      </c>
      <c r="B2" s="22" t="inlineStr">
        <is>
          <t>שם מוצר</t>
        </is>
      </c>
      <c r="C2" s="22" t="inlineStr">
        <is>
          <t>יחידות אוגוסט 2025</t>
        </is>
      </c>
      <c r="D2" s="22" t="inlineStr">
        <is>
          <t>יחידות אוגוסט 2026</t>
        </is>
      </c>
    </row>
    <row r="3">
      <c r="A3" s="2" t="n">
        <v>60478</v>
      </c>
      <c r="B3" s="2" t="inlineStr">
        <is>
          <t>URI PD3461 10 סכינים למקצוע</t>
        </is>
      </c>
      <c r="C3" s="2" t="n">
        <v>1</v>
      </c>
      <c r="D3" s="2" t="n">
        <v>8</v>
      </c>
    </row>
    <row r="4">
      <c r="A4" s="2" t="n">
        <v>68750</v>
      </c>
      <c r="B4" s="2" t="inlineStr">
        <is>
          <t>388B L 1 סד לילה שחור לבוהן</t>
        </is>
      </c>
      <c r="C4" s="2" t="n">
        <v>1</v>
      </c>
      <c r="D4" s="2" t="n">
        <v>5</v>
      </c>
    </row>
    <row r="5">
      <c r="A5" s="2" t="n">
        <v>64638</v>
      </c>
      <c r="B5" s="2" t="inlineStr">
        <is>
          <t>URI 390G 43-46   1 גרבי כסף</t>
        </is>
      </c>
      <c r="C5" s="2" t="n">
        <v>1</v>
      </c>
      <c r="D5" s="2" t="n">
        <v>4</v>
      </c>
    </row>
    <row r="6">
      <c r="A6" s="2" t="n">
        <v>75762</v>
      </c>
      <c r="B6" s="2" t="inlineStr">
        <is>
          <t>URI 16 L-XL   1 חגורת הריון</t>
        </is>
      </c>
      <c r="C6" s="2" t="n">
        <v>2</v>
      </c>
      <c r="D6" s="2" t="n">
        <v>7</v>
      </c>
    </row>
    <row r="7">
      <c r="A7" s="2" t="n">
        <v>71086</v>
      </c>
      <c r="B7" s="2" t="inlineStr">
        <is>
          <t>URI 078M 1</t>
        </is>
      </c>
      <c r="C7" s="2" t="n">
        <v>3</v>
      </c>
      <c r="D7" s="2" t="n">
        <v>9</v>
      </c>
    </row>
    <row r="8">
      <c r="A8" s="2" t="n">
        <v>45264</v>
      </c>
      <c r="B8" s="2" t="inlineStr">
        <is>
          <t>URI 34+        1 מגן לקרסול</t>
        </is>
      </c>
      <c r="C8" s="2" t="n">
        <v>2</v>
      </c>
      <c r="D8" s="2" t="n">
        <v>6</v>
      </c>
    </row>
    <row r="9">
      <c r="A9" s="2" t="n">
        <v>66485</v>
      </c>
      <c r="B9" s="2" t="inlineStr">
        <is>
          <t>URI 801 ICE GO  1 תחבושת אל</t>
        </is>
      </c>
      <c r="C9" s="2" t="n">
        <v>6</v>
      </c>
      <c r="D9" s="2" t="n">
        <v>17</v>
      </c>
    </row>
    <row r="10">
      <c r="A10" s="2" t="n">
        <v>57664</v>
      </c>
      <c r="B10" s="2" t="inlineStr">
        <is>
          <t>808KT-BL  1 טייפ קינזיולוגי</t>
        </is>
      </c>
      <c r="C10" s="2" t="n">
        <v>4</v>
      </c>
      <c r="D10" s="2" t="n">
        <v>11</v>
      </c>
    </row>
    <row r="11">
      <c r="A11" s="2" t="n">
        <v>35339</v>
      </c>
      <c r="B11" s="2" t="inlineStr">
        <is>
          <t>URI 307 S 1 זוג עקב סיל+נ כ</t>
        </is>
      </c>
      <c r="C11" s="2" t="n">
        <v>3</v>
      </c>
      <c r="D11" s="2" t="n">
        <v>8</v>
      </c>
    </row>
    <row r="12">
      <c r="A12" s="2" t="n">
        <v>60472</v>
      </c>
      <c r="B12" s="2" t="inlineStr">
        <is>
          <t>URI PD340  1 קוצץ ציפורניים</t>
        </is>
      </c>
      <c r="C12" s="2" t="n">
        <v>29</v>
      </c>
      <c r="D12" s="2" t="n">
        <v>75</v>
      </c>
    </row>
    <row r="13">
      <c r="A13" s="2" t="n">
        <v>9771</v>
      </c>
      <c r="B13" s="2" t="inlineStr">
        <is>
          <t>URI 307 M 1 זוג עקב סיל+נ כ</t>
        </is>
      </c>
      <c r="C13" s="2" t="n">
        <v>14</v>
      </c>
      <c r="D13" s="2" t="n">
        <v>33</v>
      </c>
    </row>
    <row r="14">
      <c r="A14" s="2" t="n">
        <v>16245</v>
      </c>
      <c r="B14" s="2" t="inlineStr">
        <is>
          <t>394W-43-461 גרבי קיץ לסוכרת</t>
        </is>
      </c>
      <c r="C14" s="2" t="n">
        <v>3</v>
      </c>
      <c r="D14" s="2" t="n">
        <v>7</v>
      </c>
    </row>
    <row r="15">
      <c r="A15" s="2" t="n">
        <v>65743</v>
      </c>
      <c r="B15" s="2" t="inlineStr">
        <is>
          <t>URI LF 360   1 מדרס מטטרזלי</t>
        </is>
      </c>
      <c r="C15" s="2" t="n">
        <v>3</v>
      </c>
      <c r="D15" s="2" t="n">
        <v>7</v>
      </c>
    </row>
    <row r="16">
      <c r="A16" s="2" t="n">
        <v>74762</v>
      </c>
      <c r="B16" s="2" t="inlineStr">
        <is>
          <t>URI 34+ L      1 מגן לקרסול</t>
        </is>
      </c>
      <c r="C16" s="2" t="n">
        <v>3</v>
      </c>
      <c r="D16" s="2" t="n">
        <v>7</v>
      </c>
    </row>
    <row r="17">
      <c r="A17" s="2" t="n">
        <v>74801</v>
      </c>
      <c r="B17" s="2" t="inlineStr">
        <is>
          <t>URI 45E XL   1 מגן ברך ארוך</t>
        </is>
      </c>
      <c r="C17" s="2" t="n">
        <v>14</v>
      </c>
      <c r="D17" s="2" t="n">
        <v>31</v>
      </c>
    </row>
    <row r="18">
      <c r="A18" s="2" t="n">
        <v>75763</v>
      </c>
      <c r="B18" s="2" t="inlineStr">
        <is>
          <t>URI 16 S-M    1 חגורת הריון</t>
        </is>
      </c>
      <c r="C18" s="2" t="n">
        <v>3</v>
      </c>
      <c r="D18" s="2" t="n">
        <v>6</v>
      </c>
    </row>
    <row r="19">
      <c r="A19" s="2" t="n">
        <v>88474</v>
      </c>
      <c r="B19" s="2" t="inlineStr">
        <is>
          <t>URI LF370 0 1 ריפוד סיליקון</t>
        </is>
      </c>
      <c r="C19" s="2" t="n">
        <v>3</v>
      </c>
      <c r="D19" s="2" t="n">
        <v>6</v>
      </c>
    </row>
    <row r="20">
      <c r="A20" s="2" t="n">
        <v>19083</v>
      </c>
      <c r="B20" s="2" t="inlineStr">
        <is>
          <t>URI 40    1 רצועת פיקה לברך</t>
        </is>
      </c>
      <c r="C20" s="2" t="n">
        <v>2</v>
      </c>
      <c r="D20" s="2" t="n">
        <v>4</v>
      </c>
    </row>
    <row r="21">
      <c r="A21" s="2" t="n">
        <v>74920</v>
      </c>
      <c r="B21" s="2" t="inlineStr">
        <is>
          <t>URI T33 XL      1 סד לקרסול</t>
        </is>
      </c>
      <c r="C21" s="2" t="n">
        <v>1</v>
      </c>
      <c r="D21" s="2" t="n">
        <v>2</v>
      </c>
    </row>
    <row r="22">
      <c r="A22" s="2" t="n">
        <v>63416</v>
      </c>
      <c r="B22" s="2" t="inlineStr">
        <is>
          <t>URI 85 XL        1 מתלה ליד</t>
        </is>
      </c>
      <c r="C22" s="2" t="n">
        <v>9</v>
      </c>
      <c r="D22" s="2" t="n">
        <v>17</v>
      </c>
    </row>
    <row r="23">
      <c r="A23" s="2" t="n">
        <v>61962</v>
      </c>
      <c r="B23" s="2" t="inlineStr">
        <is>
          <t>URI 3677 1 מדבקה לשחרור לחץ</t>
        </is>
      </c>
      <c r="C23" s="2" t="n">
        <v>7</v>
      </c>
      <c r="D23" s="2" t="n">
        <v>13</v>
      </c>
    </row>
    <row r="24">
      <c r="A24" s="2" t="n">
        <v>51568</v>
      </c>
      <c r="B24" s="2" t="inlineStr">
        <is>
          <t xml:space="preserve">                                       1 סד לאגודל</t>
        </is>
      </c>
      <c r="C24" s="2" t="n">
        <v>31</v>
      </c>
      <c r="D24" s="2" t="n">
        <v>57</v>
      </c>
    </row>
    <row r="25">
      <c r="A25" s="2" t="n">
        <v>82202</v>
      </c>
      <c r="B25" s="2" t="inlineStr">
        <is>
          <t>ST91       1 מגן מרפק לטניס</t>
        </is>
      </c>
      <c r="C25" s="2" t="n">
        <v>16</v>
      </c>
      <c r="D25" s="2" t="n">
        <v>29</v>
      </c>
    </row>
    <row r="26">
      <c r="A26" s="2" t="n">
        <v>57690</v>
      </c>
      <c r="B26" s="2" t="inlineStr">
        <is>
          <t>808KT-C   1 טייפ קינזיולוגי</t>
        </is>
      </c>
      <c r="C26" s="2" t="n">
        <v>9</v>
      </c>
      <c r="D26" s="2" t="n">
        <v>15</v>
      </c>
    </row>
    <row r="27">
      <c r="A27" s="2" t="n">
        <v>52323</v>
      </c>
      <c r="B27" s="2" t="inlineStr">
        <is>
          <t>URI 078G L 1 חגורת גב אפורה</t>
        </is>
      </c>
      <c r="C27" s="2" t="n">
        <v>11</v>
      </c>
      <c r="D27" s="2" t="n">
        <v>18</v>
      </c>
    </row>
    <row r="28">
      <c r="A28" s="2" t="n">
        <v>71087</v>
      </c>
      <c r="B28" s="2" t="inlineStr">
        <is>
          <t>URI 078L 1</t>
        </is>
      </c>
      <c r="C28" s="2" t="n">
        <v>8</v>
      </c>
      <c r="D28" s="2" t="n">
        <v>13</v>
      </c>
    </row>
    <row r="29">
      <c r="A29" s="2" t="n">
        <v>59656</v>
      </c>
      <c r="B29" s="2" t="inlineStr">
        <is>
          <t>URI 362 L R 1</t>
        </is>
      </c>
      <c r="C29" s="2" t="n">
        <v>13</v>
      </c>
      <c r="D29" s="2" t="n">
        <v>21</v>
      </c>
    </row>
    <row r="30">
      <c r="A30" s="2" t="n">
        <v>63422</v>
      </c>
      <c r="B30" s="2" t="inlineStr">
        <is>
          <t>URI 95 XL        1 מגן מרפק</t>
        </is>
      </c>
      <c r="C30" s="2" t="n">
        <v>5</v>
      </c>
      <c r="D30" s="2" t="n">
        <v>8</v>
      </c>
    </row>
    <row r="31">
      <c r="A31" s="2" t="n">
        <v>74799</v>
      </c>
      <c r="B31" s="2" t="inlineStr">
        <is>
          <t>URI 45E L1 מגן ברך ארוך לבן</t>
        </is>
      </c>
      <c r="C31" s="2" t="n">
        <v>17</v>
      </c>
      <c r="D31" s="2" t="n">
        <v>27</v>
      </c>
    </row>
    <row r="32">
      <c r="A32" s="2" t="n">
        <v>67957</v>
      </c>
      <c r="B32" s="2" t="inlineStr">
        <is>
          <t>URI 95 S         1 מגן מרפק</t>
        </is>
      </c>
      <c r="C32" s="2" t="n">
        <v>12</v>
      </c>
      <c r="D32" s="2" t="n">
        <v>19</v>
      </c>
    </row>
    <row r="33">
      <c r="A33" s="2" t="n">
        <v>8618</v>
      </c>
      <c r="B33" s="2" t="inlineStr">
        <is>
          <t>URI 311         1 מדבקת ג'ל</t>
        </is>
      </c>
      <c r="C33" s="2" t="n">
        <v>18</v>
      </c>
      <c r="D33" s="2" t="n">
        <v>28</v>
      </c>
    </row>
    <row r="34">
      <c r="A34" s="2" t="n">
        <v>21003</v>
      </c>
      <c r="B34" s="2" t="inlineStr">
        <is>
          <t>URI 45 XXL        1 מגן ברך</t>
        </is>
      </c>
      <c r="C34" s="2" t="n">
        <v>11</v>
      </c>
      <c r="D34" s="2" t="n">
        <v>17</v>
      </c>
    </row>
    <row r="35">
      <c r="A35" s="2" t="n">
        <v>63360</v>
      </c>
      <c r="B35" s="2" t="inlineStr">
        <is>
          <t>URI 45 L          1 מגן ברךBOX</t>
        </is>
      </c>
      <c r="C35" s="2" t="n">
        <v>36</v>
      </c>
      <c r="D35" s="2" t="n">
        <v>54</v>
      </c>
    </row>
    <row r="36">
      <c r="A36" s="2" t="n">
        <v>82208</v>
      </c>
      <c r="B36" s="2" t="inlineStr">
        <is>
          <t>URI ST37      1 חבק לקרסול</t>
        </is>
      </c>
      <c r="C36" s="2" t="n">
        <v>14</v>
      </c>
      <c r="D36" s="2" t="n">
        <v>21</v>
      </c>
    </row>
    <row r="37">
      <c r="A37" s="2" t="n">
        <v>63417</v>
      </c>
      <c r="B37" s="2" t="inlineStr">
        <is>
          <t>URI 87 M1 חגו.לקיבוע תמ.אמה</t>
        </is>
      </c>
      <c r="C37" s="2" t="n">
        <v>4</v>
      </c>
      <c r="D37" s="2" t="n">
        <v>6</v>
      </c>
    </row>
    <row r="38">
      <c r="A38" s="2" t="n">
        <v>29984</v>
      </c>
      <c r="B38" s="2" t="inlineStr">
        <is>
          <t>URI 95 XS        1 מגן מרפק</t>
        </is>
      </c>
      <c r="C38" s="2" t="n">
        <v>2</v>
      </c>
      <c r="D38" s="2" t="n">
        <v>3</v>
      </c>
    </row>
    <row r="39">
      <c r="A39" s="2" t="n">
        <v>86583</v>
      </c>
      <c r="B39" s="2" t="inlineStr">
        <is>
          <t>URI 87 XXL   1 מקבע כתף ויד</t>
        </is>
      </c>
      <c r="C39" s="2" t="n">
        <v>2</v>
      </c>
      <c r="D39" s="2" t="n">
        <v>3</v>
      </c>
    </row>
    <row r="40">
      <c r="A40" s="2" t="n">
        <v>19082</v>
      </c>
      <c r="B40" s="2" t="inlineStr">
        <is>
          <t>URI 34 S 1 מגן קרסול ס בעקב</t>
        </is>
      </c>
      <c r="C40" s="2" t="n">
        <v>9</v>
      </c>
      <c r="D40" s="2" t="n">
        <v>13</v>
      </c>
    </row>
    <row r="41">
      <c r="A41" s="2" t="n">
        <v>67960</v>
      </c>
      <c r="B41" s="2" t="inlineStr">
        <is>
          <t>URI 85 S        1 מיתלה ליד</t>
        </is>
      </c>
      <c r="C41" s="2" t="n">
        <v>9</v>
      </c>
      <c r="D41" s="2" t="n">
        <v>13</v>
      </c>
    </row>
    <row r="42">
      <c r="A42" s="2" t="n">
        <v>47877</v>
      </c>
      <c r="B42" s="2" t="inlineStr">
        <is>
          <t>URI 21        1 חבק יד ארוך</t>
        </is>
      </c>
      <c r="C42" s="2" t="n">
        <v>12</v>
      </c>
      <c r="D42" s="2" t="n">
        <v>17</v>
      </c>
    </row>
    <row r="43">
      <c r="A43" s="2" t="n">
        <v>63367</v>
      </c>
      <c r="B43" s="2" t="inlineStr">
        <is>
          <t>URI 34 L 1 מגן קרסול ס.בעקב</t>
        </is>
      </c>
      <c r="C43" s="2" t="n">
        <v>19</v>
      </c>
      <c r="D43" s="2" t="n">
        <v>26</v>
      </c>
    </row>
    <row r="44">
      <c r="A44" s="2" t="n">
        <v>51567</v>
      </c>
      <c r="B44" s="2" t="inlineStr">
        <is>
          <t xml:space="preserve">                                   1 סד יד דו צדדי</t>
        </is>
      </c>
      <c r="C44" s="2" t="n">
        <v>113</v>
      </c>
      <c r="D44" s="2" t="n">
        <v>151</v>
      </c>
    </row>
    <row r="45">
      <c r="A45" s="2" t="n">
        <v>82206</v>
      </c>
      <c r="B45" s="2" t="inlineStr">
        <is>
          <t>ST25     1 חבק לשורש כף היד</t>
        </is>
      </c>
      <c r="C45" s="2" t="n">
        <v>45</v>
      </c>
      <c r="D45" s="2" t="n">
        <v>60</v>
      </c>
    </row>
    <row r="46">
      <c r="A46" s="2" t="n">
        <v>76452</v>
      </c>
      <c r="B46" s="2" t="inlineStr">
        <is>
          <t xml:space="preserve">                             1 מ.בוניון+מפריד אצבע</t>
        </is>
      </c>
      <c r="C46" s="2" t="n">
        <v>12</v>
      </c>
      <c r="D46" s="2" t="n">
        <v>16</v>
      </c>
    </row>
    <row r="47">
      <c r="A47" s="2" t="n">
        <v>60471</v>
      </c>
      <c r="B47" s="2" t="inlineStr">
        <is>
          <t>URI 365 XL    1 טבעת אלסטית</t>
        </is>
      </c>
      <c r="C47" s="2" t="n">
        <v>9</v>
      </c>
      <c r="D47" s="2" t="n">
        <v>12</v>
      </c>
    </row>
    <row r="48">
      <c r="A48" s="2" t="n">
        <v>74683</v>
      </c>
      <c r="B48" s="2" t="inlineStr">
        <is>
          <t>URI 11 M    1 ח.בטן אורירית</t>
        </is>
      </c>
      <c r="C48" s="2" t="n">
        <v>3</v>
      </c>
      <c r="D48" s="2" t="n">
        <v>4</v>
      </c>
    </row>
    <row r="49">
      <c r="A49" s="2" t="n">
        <v>87819</v>
      </c>
      <c r="B49" s="2" t="inlineStr">
        <is>
          <t>ST433    H 1 מגן ברך עם ציר</t>
        </is>
      </c>
      <c r="C49" s="2" t="n">
        <v>3</v>
      </c>
      <c r="D49" s="2" t="n">
        <v>4</v>
      </c>
    </row>
    <row r="50">
      <c r="A50" s="2" t="n">
        <v>88477</v>
      </c>
      <c r="B50" s="2" t="inlineStr">
        <is>
          <t>URI LF374 0 1 ריפוד סיליקון</t>
        </is>
      </c>
      <c r="C50" s="2" t="n">
        <v>3</v>
      </c>
      <c r="D50" s="2" t="n">
        <v>4</v>
      </c>
    </row>
    <row r="51">
      <c r="A51" s="2" t="n">
        <v>71088</v>
      </c>
      <c r="B51" s="2" t="inlineStr">
        <is>
          <t>URI 078XL 1</t>
        </is>
      </c>
      <c r="C51" s="2" t="n">
        <v>7</v>
      </c>
      <c r="D51" s="2" t="n">
        <v>9</v>
      </c>
    </row>
    <row r="52">
      <c r="A52" s="2" t="n">
        <v>83668</v>
      </c>
      <c r="B52" s="2" t="inlineStr">
        <is>
          <t>URI FC335    1 טלק לכף הרגל</t>
        </is>
      </c>
      <c r="C52" s="2" t="n">
        <v>68</v>
      </c>
      <c r="D52" s="2" t="n">
        <v>87</v>
      </c>
    </row>
    <row r="53">
      <c r="A53" s="2" t="n">
        <v>60476</v>
      </c>
      <c r="B53" s="2" t="inlineStr">
        <is>
          <t>URI PD344       1 אבן טבעית</t>
        </is>
      </c>
      <c r="C53" s="2" t="n">
        <v>23</v>
      </c>
      <c r="D53" s="2" t="n">
        <v>29</v>
      </c>
    </row>
    <row r="54">
      <c r="A54" s="2" t="n">
        <v>21004</v>
      </c>
      <c r="B54" s="2" t="inlineStr">
        <is>
          <t>URI 45E XXL  1 מגן ברך ארוך</t>
        </is>
      </c>
      <c r="C54" s="2" t="n">
        <v>8</v>
      </c>
      <c r="D54" s="2" t="n">
        <v>10</v>
      </c>
    </row>
    <row r="55">
      <c r="A55" s="2" t="n">
        <v>31188</v>
      </c>
      <c r="B55" s="2" t="inlineStr">
        <is>
          <t>URI 372    1 רפידת אנטי ריח</t>
        </is>
      </c>
      <c r="C55" s="2" t="n">
        <v>33</v>
      </c>
      <c r="D55" s="2" t="n">
        <v>41</v>
      </c>
    </row>
    <row r="56">
      <c r="A56" s="2" t="n">
        <v>65241</v>
      </c>
      <c r="B56" s="2" t="inlineStr">
        <is>
          <t>URI M35     1 מגן קרסול לבן</t>
        </is>
      </c>
      <c r="C56" s="2" t="n">
        <v>18</v>
      </c>
      <c r="D56" s="2" t="n">
        <v>22</v>
      </c>
    </row>
    <row r="57">
      <c r="A57" s="2" t="n">
        <v>67935</v>
      </c>
      <c r="B57" s="2" t="inlineStr">
        <is>
          <t>URI 45 S          1 מגן ברך</t>
        </is>
      </c>
      <c r="C57" s="2" t="n">
        <v>9</v>
      </c>
      <c r="D57" s="2" t="n">
        <v>11</v>
      </c>
    </row>
    <row r="58">
      <c r="A58" s="2" t="n">
        <v>76453</v>
      </c>
      <c r="B58" s="2" t="inlineStr">
        <is>
          <t>URI 3675 1 מגן זרת מסיליקון</t>
        </is>
      </c>
      <c r="C58" s="2" t="n">
        <v>5</v>
      </c>
      <c r="D58" s="2" t="n">
        <v>6</v>
      </c>
    </row>
    <row r="59">
      <c r="A59" s="2" t="n">
        <v>63415</v>
      </c>
      <c r="B59" s="2" t="inlineStr">
        <is>
          <t>URI 85 L         1 מתלה ליד</t>
        </is>
      </c>
      <c r="C59" s="2" t="n">
        <v>27</v>
      </c>
      <c r="D59" s="2" t="n">
        <v>32</v>
      </c>
    </row>
    <row r="60">
      <c r="A60" s="2" t="n">
        <v>74800</v>
      </c>
      <c r="B60" s="2" t="inlineStr">
        <is>
          <t>URI 45E M    1 מגן ברך ארוך</t>
        </is>
      </c>
      <c r="C60" s="2" t="n">
        <v>22</v>
      </c>
      <c r="D60" s="2" t="n">
        <v>26</v>
      </c>
    </row>
    <row r="61">
      <c r="A61" s="2" t="n">
        <v>60473</v>
      </c>
      <c r="B61" s="2" t="inlineStr">
        <is>
          <t>URI PD341 1 מקצוע להסרת עור</t>
        </is>
      </c>
      <c r="C61" s="2" t="n">
        <v>6</v>
      </c>
      <c r="D61" s="2" t="n">
        <v>7</v>
      </c>
    </row>
    <row r="62">
      <c r="A62" s="2" t="n">
        <v>63414</v>
      </c>
      <c r="B62" s="2" t="inlineStr">
        <is>
          <t>URI 85 M         1 מתלה ליד</t>
        </is>
      </c>
      <c r="C62" s="2" t="n">
        <v>25</v>
      </c>
      <c r="D62" s="2" t="n">
        <v>29</v>
      </c>
    </row>
    <row r="63">
      <c r="A63" s="2" t="n">
        <v>67925</v>
      </c>
      <c r="B63" s="2" t="inlineStr">
        <is>
          <t>URI 35  S   1 מגן קרסול לבן</t>
        </is>
      </c>
      <c r="C63" s="2" t="n">
        <v>7</v>
      </c>
      <c r="D63" s="2" t="n">
        <v>8</v>
      </c>
    </row>
    <row r="64">
      <c r="A64" s="2" t="n">
        <v>63361</v>
      </c>
      <c r="B64" s="2" t="inlineStr">
        <is>
          <t>URI 45 XL         1 מגן ברך</t>
        </is>
      </c>
      <c r="C64" s="2" t="n">
        <v>24</v>
      </c>
      <c r="D64" s="2" t="n">
        <v>26</v>
      </c>
    </row>
    <row r="65">
      <c r="A65" s="2" t="n">
        <v>65243</v>
      </c>
      <c r="B65" s="2" t="inlineStr">
        <is>
          <t>URI XL35    1 מגן קרסול לבן</t>
        </is>
      </c>
      <c r="C65" s="2" t="n">
        <v>15</v>
      </c>
      <c r="D65" s="2" t="n">
        <v>16</v>
      </c>
    </row>
    <row r="66">
      <c r="A66" s="2" t="n">
        <v>59694</v>
      </c>
      <c r="B66" s="2" t="inlineStr">
        <is>
          <t>URI 365 S-L   1 טבעת אלסטית</t>
        </is>
      </c>
      <c r="C66" s="2" t="n">
        <v>30</v>
      </c>
      <c r="D66" s="2" t="n">
        <v>31</v>
      </c>
    </row>
    <row r="67">
      <c r="A67" s="2" t="n">
        <v>63359</v>
      </c>
      <c r="B67" s="2" t="inlineStr">
        <is>
          <t>URI 45 M          1 מגן ברך</t>
        </is>
      </c>
      <c r="C67" s="2" t="n">
        <v>35</v>
      </c>
      <c r="D67" s="2" t="n">
        <v>35</v>
      </c>
    </row>
    <row r="68">
      <c r="A68" s="2" t="n">
        <v>60474</v>
      </c>
      <c r="B68" s="2" t="inlineStr">
        <is>
          <t>URI PD3421 פומפיה להסרת עור</t>
        </is>
      </c>
      <c r="C68" s="2" t="n">
        <v>18</v>
      </c>
      <c r="D68" s="2" t="n">
        <v>18</v>
      </c>
    </row>
    <row r="69">
      <c r="A69" s="2" t="n">
        <v>8616</v>
      </c>
      <c r="B69" s="2" t="inlineStr">
        <is>
          <t>URI 3623 1 כרית ליישור אצבע</t>
        </is>
      </c>
      <c r="C69" s="2" t="n">
        <v>12</v>
      </c>
      <c r="D69" s="2" t="n">
        <v>12</v>
      </c>
    </row>
    <row r="70">
      <c r="A70" s="2" t="n">
        <v>18559</v>
      </c>
      <c r="B70" s="2" t="inlineStr">
        <is>
          <t>URI 8200    1 כרית חום וקור</t>
        </is>
      </c>
      <c r="C70" s="2" t="n">
        <v>8</v>
      </c>
      <c r="D70" s="2" t="n">
        <v>8</v>
      </c>
    </row>
    <row r="71">
      <c r="A71" s="2" t="n">
        <v>57662</v>
      </c>
      <c r="B71" s="2" t="inlineStr">
        <is>
          <t>808KT-P   1 טייפ קינזיולוגי</t>
        </is>
      </c>
      <c r="C71" s="2" t="n">
        <v>6</v>
      </c>
      <c r="D71" s="2" t="n">
        <v>6</v>
      </c>
    </row>
    <row r="72">
      <c r="A72" s="2" t="n">
        <v>25386</v>
      </c>
      <c r="B72" s="2" t="inlineStr">
        <is>
          <t>URI 3666  1 מפריד הלקס+כרית</t>
        </is>
      </c>
      <c r="C72" s="2" t="n">
        <v>5</v>
      </c>
      <c r="D72" s="2" t="n">
        <v>5</v>
      </c>
    </row>
    <row r="73">
      <c r="A73" s="2" t="n">
        <v>61344</v>
      </c>
      <c r="B73" s="2" t="inlineStr">
        <is>
          <t>URI 312 9*5   1 מדבקה גדולה</t>
        </is>
      </c>
      <c r="C73" s="2" t="n">
        <v>5</v>
      </c>
      <c r="D73" s="2" t="n">
        <v>5</v>
      </c>
    </row>
    <row r="74">
      <c r="A74" s="2" t="n">
        <v>20996</v>
      </c>
      <c r="B74" s="2" t="inlineStr">
        <is>
          <t>URI 07AU XXL 1</t>
        </is>
      </c>
      <c r="C74" s="2" t="n">
        <v>2</v>
      </c>
      <c r="D74" s="2" t="n">
        <v>2</v>
      </c>
    </row>
    <row r="75">
      <c r="A75" s="2" t="n">
        <v>74821</v>
      </c>
      <c r="B75" s="2" t="inlineStr">
        <is>
          <t>URI 59R  M.1 חגורת שבר צד י</t>
        </is>
      </c>
      <c r="C75" s="2" t="n">
        <v>2</v>
      </c>
      <c r="D75" s="2" t="n">
        <v>2</v>
      </c>
    </row>
    <row r="76">
      <c r="A76" s="2" t="n">
        <v>29977</v>
      </c>
      <c r="B76" s="2" t="inlineStr">
        <is>
          <t>URI 11TO XXL    1 חגורת בטן</t>
        </is>
      </c>
      <c r="C76" s="2" t="n">
        <v>1</v>
      </c>
      <c r="D76" s="2" t="n">
        <v>1</v>
      </c>
    </row>
    <row r="77">
      <c r="A77" s="2" t="n">
        <v>46309</v>
      </c>
      <c r="B77" s="2" t="inlineStr">
        <is>
          <t>STRAP4U 239B L-XL 1</t>
        </is>
      </c>
      <c r="C77" s="2" t="n">
        <v>1</v>
      </c>
      <c r="D77" s="2" t="n">
        <v>1</v>
      </c>
    </row>
    <row r="78">
      <c r="A78" s="2" t="n">
        <v>63406</v>
      </c>
      <c r="B78" s="2" t="inlineStr">
        <is>
          <t>URI 11U L 1 ח בטן אחר ניתוח</t>
        </is>
      </c>
      <c r="C78" s="2" t="n">
        <v>1</v>
      </c>
      <c r="D78" s="2" t="n">
        <v>1</v>
      </c>
    </row>
    <row r="79">
      <c r="A79" s="2" t="n">
        <v>64634</v>
      </c>
      <c r="B79" s="2" t="inlineStr">
        <is>
          <t>URI 390B 39-42   1 גרבי כסף</t>
        </is>
      </c>
      <c r="C79" s="2" t="n">
        <v>1</v>
      </c>
      <c r="D79" s="2" t="n">
        <v>1</v>
      </c>
    </row>
    <row r="80">
      <c r="A80" s="2" t="n">
        <v>74671</v>
      </c>
      <c r="B80" s="2" t="inlineStr">
        <is>
          <t>URI 07AU M   1 ח גב איטלקית</t>
        </is>
      </c>
      <c r="C80" s="2" t="n">
        <v>1</v>
      </c>
      <c r="D80" s="2" t="n">
        <v>1</v>
      </c>
    </row>
    <row r="81">
      <c r="A81" s="2" t="n">
        <v>74987</v>
      </c>
      <c r="B81" s="2" t="inlineStr">
        <is>
          <t>URI T78 L            1 תומך</t>
        </is>
      </c>
      <c r="C81" s="2" t="n">
        <v>1</v>
      </c>
      <c r="D81" s="2" t="n">
        <v>1</v>
      </c>
    </row>
    <row r="82">
      <c r="A82" s="2" t="n">
        <v>23008</v>
      </c>
      <c r="B82" s="2" t="inlineStr">
        <is>
          <t>URI 364 XL 1</t>
        </is>
      </c>
      <c r="C82" s="2" t="n">
        <v>29</v>
      </c>
      <c r="D82" s="2" t="n">
        <v>28</v>
      </c>
    </row>
    <row r="83">
      <c r="A83" s="2" t="n">
        <v>59659</v>
      </c>
      <c r="B83" s="2" t="inlineStr">
        <is>
          <t>URI 369 S-L 1</t>
        </is>
      </c>
      <c r="C83" s="2" t="n">
        <v>18</v>
      </c>
      <c r="D83" s="2" t="n">
        <v>17</v>
      </c>
    </row>
    <row r="84">
      <c r="A84" s="2" t="n">
        <v>80668</v>
      </c>
      <c r="B84" s="2" t="inlineStr">
        <is>
          <t>URI 320 BLISTER PLASTER 1</t>
        </is>
      </c>
      <c r="C84" s="2" t="n">
        <v>14</v>
      </c>
      <c r="D84" s="2" t="n">
        <v>13</v>
      </c>
    </row>
    <row r="85">
      <c r="A85" s="2" t="n">
        <v>80182</v>
      </c>
      <c r="B85" s="2" t="inlineStr">
        <is>
          <t>URI 3667        1 מגן בונין</t>
        </is>
      </c>
      <c r="C85" s="2" t="n">
        <v>13</v>
      </c>
      <c r="D85" s="2" t="n">
        <v>12</v>
      </c>
    </row>
    <row r="86">
      <c r="A86" s="2" t="n">
        <v>61961</v>
      </c>
      <c r="B86" s="2" t="inlineStr">
        <is>
          <t>URI 366S 1 מדבקה לשחרור לחץ</t>
        </is>
      </c>
      <c r="C86" s="2" t="n">
        <v>12</v>
      </c>
      <c r="D86" s="2" t="n">
        <v>11</v>
      </c>
    </row>
    <row r="87">
      <c r="A87" s="2" t="n">
        <v>31183</v>
      </c>
      <c r="B87" s="2" t="inlineStr">
        <is>
          <t>URI 370       1 רפידת נוחות</t>
        </is>
      </c>
      <c r="C87" s="2" t="n">
        <v>22</v>
      </c>
      <c r="D87" s="2" t="n">
        <v>20</v>
      </c>
    </row>
    <row r="88">
      <c r="A88" s="2" t="n">
        <v>74710</v>
      </c>
      <c r="B88" s="2" t="inlineStr">
        <is>
          <t>URI 21 XL     1 חבק יד ארוך</t>
        </is>
      </c>
      <c r="C88" s="2" t="n">
        <v>11</v>
      </c>
      <c r="D88" s="2" t="n">
        <v>10</v>
      </c>
    </row>
    <row r="89">
      <c r="A89" s="2" t="n">
        <v>85338</v>
      </c>
      <c r="B89" s="2" t="inlineStr">
        <is>
          <t>URI 302W 0     1 מדרס לאישה</t>
        </is>
      </c>
      <c r="C89" s="2" t="n">
        <v>11</v>
      </c>
      <c r="D89" s="2" t="n">
        <v>10</v>
      </c>
    </row>
    <row r="90">
      <c r="A90" s="2" t="n">
        <v>42964</v>
      </c>
      <c r="B90" s="2" t="inlineStr">
        <is>
          <t>URI 45E  1 מגן ברך ארוך לבן</t>
        </is>
      </c>
      <c r="C90" s="2" t="n">
        <v>9</v>
      </c>
      <c r="D90" s="2" t="n">
        <v>8</v>
      </c>
    </row>
    <row r="91">
      <c r="A91" s="2" t="n">
        <v>74684</v>
      </c>
      <c r="B91" s="2" t="inlineStr">
        <is>
          <t>URI 11 XL   1 ח.בטן אורירית</t>
        </is>
      </c>
      <c r="C91" s="2" t="n">
        <v>9</v>
      </c>
      <c r="D91" s="2" t="n">
        <v>8</v>
      </c>
    </row>
    <row r="92">
      <c r="A92" s="2" t="n">
        <v>71204</v>
      </c>
      <c r="B92" s="2" t="inlineStr">
        <is>
          <t>URI 3655   1 שרוול מסיליקון</t>
        </is>
      </c>
      <c r="C92" s="2" t="n">
        <v>79</v>
      </c>
      <c r="D92" s="2" t="n">
        <v>70</v>
      </c>
    </row>
    <row r="93">
      <c r="A93" s="2" t="n">
        <v>24612</v>
      </c>
      <c r="B93" s="2" t="inlineStr">
        <is>
          <t>URI AC28        1 סד לאגודל</t>
        </is>
      </c>
      <c r="C93" s="2" t="n">
        <v>35</v>
      </c>
      <c r="D93" s="2" t="n">
        <v>31</v>
      </c>
    </row>
    <row r="94">
      <c r="A94" s="2" t="n">
        <v>63420</v>
      </c>
      <c r="B94" s="2" t="inlineStr">
        <is>
          <t>URI 95 M         1 מגן מרפק</t>
        </is>
      </c>
      <c r="C94" s="2" t="n">
        <v>17</v>
      </c>
      <c r="D94" s="2" t="n">
        <v>15</v>
      </c>
    </row>
    <row r="95">
      <c r="A95" s="2" t="n">
        <v>74682</v>
      </c>
      <c r="B95" s="2" t="inlineStr">
        <is>
          <t>URI 11 L    1 ח.בטן אורירית</t>
        </is>
      </c>
      <c r="C95" s="2" t="n">
        <v>8</v>
      </c>
      <c r="D95" s="2" t="n">
        <v>7</v>
      </c>
    </row>
    <row r="96">
      <c r="A96" s="2" t="n">
        <v>83420</v>
      </c>
      <c r="B96" s="2" t="inlineStr">
        <is>
          <t>URI ST4221 מגן ברך +כ סיליק</t>
        </is>
      </c>
      <c r="C96" s="2" t="n">
        <v>15</v>
      </c>
      <c r="D96" s="2" t="n">
        <v>13</v>
      </c>
    </row>
    <row r="97">
      <c r="A97" s="2" t="n">
        <v>85165</v>
      </c>
      <c r="B97" s="2" t="inlineStr">
        <is>
          <t>URI 307 XL  1 כרית סיל.לעקב</t>
        </is>
      </c>
      <c r="C97" s="2" t="n">
        <v>12</v>
      </c>
      <c r="D97" s="2" t="n">
        <v>10</v>
      </c>
    </row>
    <row r="98">
      <c r="A98" s="2" t="n">
        <v>74763</v>
      </c>
      <c r="B98" s="2" t="inlineStr">
        <is>
          <t>URI 34+ M       1 מגן קרסול</t>
        </is>
      </c>
      <c r="C98" s="2" t="n">
        <v>11</v>
      </c>
      <c r="D98" s="2" t="n">
        <v>9</v>
      </c>
    </row>
    <row r="99">
      <c r="A99" s="2" t="n">
        <v>60485</v>
      </c>
      <c r="B99" s="2" t="inlineStr">
        <is>
          <t>URI 369 XL 1</t>
        </is>
      </c>
      <c r="C99" s="2" t="n">
        <v>20</v>
      </c>
      <c r="D99" s="2" t="n">
        <v>16</v>
      </c>
    </row>
    <row r="100">
      <c r="A100" s="2" t="n">
        <v>74708</v>
      </c>
      <c r="B100" s="2" t="inlineStr">
        <is>
          <t>URI 21 L      1 חבק יד ארוך</t>
        </is>
      </c>
      <c r="C100" s="2" t="n">
        <v>20</v>
      </c>
      <c r="D100" s="2" t="n">
        <v>16</v>
      </c>
    </row>
    <row r="101">
      <c r="A101" s="2" t="n">
        <v>71683</v>
      </c>
      <c r="B101" s="2" t="inlineStr">
        <is>
          <t>URI S 3622 1 מדבקה לשחרור ל</t>
        </is>
      </c>
      <c r="C101" s="2" t="n">
        <v>5</v>
      </c>
      <c r="D101" s="2" t="n">
        <v>4</v>
      </c>
    </row>
    <row r="102">
      <c r="A102" s="2" t="n">
        <v>74709</v>
      </c>
      <c r="B102" s="2" t="inlineStr">
        <is>
          <t>URI 21 M      1 חבק יד ארוך</t>
        </is>
      </c>
      <c r="C102" s="2" t="n">
        <v>24</v>
      </c>
      <c r="D102" s="2" t="n">
        <v>19</v>
      </c>
    </row>
    <row r="103">
      <c r="A103" s="2" t="n">
        <v>82551</v>
      </c>
      <c r="B103" s="2" t="inlineStr">
        <is>
          <t>URI ST11        1 חגורת בטן</t>
        </is>
      </c>
      <c r="C103" s="2" t="n">
        <v>4</v>
      </c>
      <c r="D103" s="2" t="n">
        <v>3</v>
      </c>
    </row>
    <row r="104">
      <c r="A104" s="2" t="n">
        <v>55868</v>
      </c>
      <c r="B104" s="2" t="inlineStr">
        <is>
          <t>URI 078G XXL1 חגורת גב אפור</t>
        </is>
      </c>
      <c r="C104" s="2" t="n">
        <v>14</v>
      </c>
      <c r="D104" s="2" t="n">
        <v>10</v>
      </c>
    </row>
    <row r="105">
      <c r="A105" s="2" t="n">
        <v>57696</v>
      </c>
      <c r="B105" s="2" t="inlineStr">
        <is>
          <t>808KT-B   1 טייפ קינזיולוגי</t>
        </is>
      </c>
      <c r="C105" s="2" t="n">
        <v>7</v>
      </c>
      <c r="D105" s="2" t="n">
        <v>5</v>
      </c>
    </row>
    <row r="106">
      <c r="A106" s="2" t="n">
        <v>63449</v>
      </c>
      <c r="B106" s="2" t="inlineStr">
        <is>
          <t>URI 40221 רצועה לפיקה +כרית</t>
        </is>
      </c>
      <c r="C106" s="2" t="n">
        <v>7</v>
      </c>
      <c r="D106" s="2" t="n">
        <v>5</v>
      </c>
    </row>
    <row r="107">
      <c r="A107" s="2" t="n">
        <v>65242</v>
      </c>
      <c r="B107" s="2" t="inlineStr">
        <is>
          <t>URI L35     1 מגן קרסול לבן</t>
        </is>
      </c>
      <c r="C107" s="2" t="n">
        <v>23</v>
      </c>
      <c r="D107" s="2" t="n">
        <v>16</v>
      </c>
    </row>
    <row r="108">
      <c r="A108" s="2" t="n">
        <v>82207</v>
      </c>
      <c r="B108" s="2" t="inlineStr">
        <is>
          <t>ST20               1 חבק יד</t>
        </is>
      </c>
      <c r="C108" s="2" t="n">
        <v>22</v>
      </c>
      <c r="D108" s="2" t="n">
        <v>15</v>
      </c>
    </row>
    <row r="109">
      <c r="A109" s="2" t="n">
        <v>59679</v>
      </c>
      <c r="B109" s="2" t="inlineStr">
        <is>
          <t>URI 364 S M 1</t>
        </is>
      </c>
      <c r="C109" s="2" t="n">
        <v>45</v>
      </c>
      <c r="D109" s="2" t="n">
        <v>30</v>
      </c>
    </row>
    <row r="110">
      <c r="A110" s="2" t="n">
        <v>82213</v>
      </c>
      <c r="B110" s="2" t="inlineStr">
        <is>
          <t>ST28  1 סט אגודלי+מוט תמיכה</t>
        </is>
      </c>
      <c r="C110" s="2" t="n">
        <v>30</v>
      </c>
      <c r="D110" s="2" t="n">
        <v>20</v>
      </c>
    </row>
    <row r="111">
      <c r="A111" s="2" t="n">
        <v>74687</v>
      </c>
      <c r="B111" s="2" t="inlineStr">
        <is>
          <t>URI 11 TO L         1 ח בטן</t>
        </is>
      </c>
      <c r="C111" s="2" t="n">
        <v>3</v>
      </c>
      <c r="D111" s="2" t="n">
        <v>2</v>
      </c>
    </row>
    <row r="112">
      <c r="A112" s="2" t="n">
        <v>9772</v>
      </c>
      <c r="B112" s="2" t="inlineStr">
        <is>
          <t>URI 307 L 1 זוג עקב סיל+נ כ</t>
        </is>
      </c>
      <c r="C112" s="2" t="n">
        <v>23</v>
      </c>
      <c r="D112" s="2" t="n">
        <v>15</v>
      </c>
    </row>
    <row r="113">
      <c r="A113" s="2" t="n">
        <v>63368</v>
      </c>
      <c r="B113" s="2" t="inlineStr">
        <is>
          <t>URI 34 XL1 מגן קרסול ס.בעקב</t>
        </is>
      </c>
      <c r="C113" s="2" t="n">
        <v>17</v>
      </c>
      <c r="D113" s="2" t="n">
        <v>11</v>
      </c>
    </row>
    <row r="114">
      <c r="A114" s="2" t="n">
        <v>66745</v>
      </c>
      <c r="B114" s="2" t="inlineStr">
        <is>
          <t xml:space="preserve">                       1 תרסיס דיאו.אנטי בקטר.לנעל</t>
        </is>
      </c>
      <c r="C114" s="2" t="n">
        <v>70</v>
      </c>
      <c r="D114" s="2" t="n">
        <v>45</v>
      </c>
    </row>
    <row r="115">
      <c r="A115" s="2" t="n">
        <v>63421</v>
      </c>
      <c r="B115" s="2" t="inlineStr">
        <is>
          <t>URI 95 L         1 מגן מרפק</t>
        </is>
      </c>
      <c r="C115" s="2" t="n">
        <v>19</v>
      </c>
      <c r="D115" s="2" t="n">
        <v>12</v>
      </c>
    </row>
    <row r="116">
      <c r="A116" s="2" t="n">
        <v>63366</v>
      </c>
      <c r="B116" s="2" t="inlineStr">
        <is>
          <t>URI 34 M 1 מגן קרסול ס.בעקב</t>
        </is>
      </c>
      <c r="C116" s="2" t="n">
        <v>31</v>
      </c>
      <c r="D116" s="2" t="n">
        <v>19</v>
      </c>
    </row>
    <row r="117">
      <c r="A117" s="2" t="n">
        <v>31190</v>
      </c>
      <c r="B117" s="2" t="inlineStr">
        <is>
          <t>URI 374 1 רפידה בולמת זעזוע</t>
        </is>
      </c>
      <c r="C117" s="2" t="n">
        <v>18</v>
      </c>
      <c r="D117" s="2" t="n">
        <v>11</v>
      </c>
    </row>
    <row r="118">
      <c r="A118" s="2" t="n">
        <v>74805</v>
      </c>
      <c r="B118" s="2" t="inlineStr">
        <is>
          <t>URI 49 L          1 מגן ירך</t>
        </is>
      </c>
      <c r="C118" s="2" t="n">
        <v>5</v>
      </c>
      <c r="D118" s="2" t="n">
        <v>3</v>
      </c>
    </row>
    <row r="119">
      <c r="A119" s="2" t="n">
        <v>59657</v>
      </c>
      <c r="B119" s="2" t="inlineStr">
        <is>
          <t>URI 363 L R 1</t>
        </is>
      </c>
      <c r="C119" s="2" t="n">
        <v>12</v>
      </c>
      <c r="D119" s="2" t="n">
        <v>7</v>
      </c>
    </row>
    <row r="120">
      <c r="A120" s="2" t="n">
        <v>67385</v>
      </c>
      <c r="B120" s="2" t="inlineStr">
        <is>
          <t>URI 302M 0  1 מדרס ג'ל לגבר</t>
        </is>
      </c>
      <c r="C120" s="2" t="n">
        <v>25</v>
      </c>
      <c r="D120" s="2" t="n">
        <v>14</v>
      </c>
    </row>
    <row r="121">
      <c r="A121" s="2" t="n">
        <v>52328</v>
      </c>
      <c r="B121" s="2" t="inlineStr">
        <is>
          <t>URI 078G XL 1 חגורת גב אפור</t>
        </is>
      </c>
      <c r="C121" s="2" t="n">
        <v>22</v>
      </c>
      <c r="D121" s="2" t="n">
        <v>11</v>
      </c>
    </row>
    <row r="122">
      <c r="A122" s="2" t="n">
        <v>52147</v>
      </c>
      <c r="B122" s="2" t="inlineStr">
        <is>
          <t>URI FC321  1 מלח אמבט לכף ר</t>
        </is>
      </c>
      <c r="C122" s="2" t="n">
        <v>10</v>
      </c>
      <c r="D122" s="2" t="n">
        <v>5</v>
      </c>
    </row>
    <row r="123">
      <c r="A123" s="2" t="n">
        <v>29981</v>
      </c>
      <c r="B123" s="2" t="inlineStr">
        <is>
          <t>URI 35 XXL  1 מגן קרסול לבן</t>
        </is>
      </c>
      <c r="C123" s="2" t="n">
        <v>8</v>
      </c>
      <c r="D123" s="2" t="n">
        <v>4</v>
      </c>
    </row>
    <row r="124">
      <c r="A124" s="2" t="n">
        <v>74764</v>
      </c>
      <c r="B124" s="2" t="inlineStr">
        <is>
          <t>URI 34+ XL      1 מגן קרסול</t>
        </is>
      </c>
      <c r="C124" s="2" t="n">
        <v>6</v>
      </c>
      <c r="D124" s="2" t="n">
        <v>3</v>
      </c>
    </row>
    <row r="125">
      <c r="A125" s="2" t="n">
        <v>16244</v>
      </c>
      <c r="B125" s="2" t="inlineStr">
        <is>
          <t>394W-39-421 גרבי קיץ לסוכרת</t>
        </is>
      </c>
      <c r="C125" s="2" t="n">
        <v>4</v>
      </c>
      <c r="D125" s="2" t="n">
        <v>2</v>
      </c>
    </row>
    <row r="126">
      <c r="A126" s="2" t="n">
        <v>50022</v>
      </c>
      <c r="B126" s="2" t="inlineStr">
        <is>
          <t>URI 38  1 חבישת הלוקס ולגוס</t>
        </is>
      </c>
      <c r="C126" s="2" t="n">
        <v>2</v>
      </c>
      <c r="D126" s="2" t="n">
        <v>1</v>
      </c>
    </row>
    <row r="127">
      <c r="A127" s="2" t="n">
        <v>74846</v>
      </c>
      <c r="B127" s="2" t="inlineStr">
        <is>
          <t>URI 76 L        1 מיישר כתף</t>
        </is>
      </c>
      <c r="C127" s="2" t="n">
        <v>2</v>
      </c>
      <c r="D127" s="2" t="n">
        <v>1</v>
      </c>
    </row>
    <row r="128">
      <c r="A128" s="2" t="n">
        <v>52324</v>
      </c>
      <c r="B128" s="2" t="inlineStr">
        <is>
          <t>URI 078G M 1 חגורת גב אפורה</t>
        </is>
      </c>
      <c r="C128" s="2" t="n">
        <v>13</v>
      </c>
      <c r="D128" s="2" t="n">
        <v>6</v>
      </c>
    </row>
    <row r="129">
      <c r="A129" s="2" t="n">
        <v>79327</v>
      </c>
      <c r="B129" s="2" t="inlineStr">
        <is>
          <t>URI 3611       '1 כרית בנדג</t>
        </is>
      </c>
      <c r="C129" s="2" t="n">
        <v>14</v>
      </c>
      <c r="D129" s="2" t="n">
        <v>6</v>
      </c>
    </row>
    <row r="130">
      <c r="A130" s="2" t="n">
        <v>29881</v>
      </c>
      <c r="B130" s="2" t="inlineStr">
        <is>
          <t>URI 34 XXL 1 מגן קרסול סגור</t>
        </is>
      </c>
      <c r="C130" s="2" t="n">
        <v>7</v>
      </c>
      <c r="D130" s="2" t="n">
        <v>3</v>
      </c>
    </row>
    <row r="131">
      <c r="A131" s="2" t="n">
        <v>63419</v>
      </c>
      <c r="B131" s="2" t="inlineStr">
        <is>
          <t>URI 87 XL1 חגו.קיבוע תמ.אמה</t>
        </is>
      </c>
      <c r="C131" s="2" t="n">
        <v>7</v>
      </c>
      <c r="D131" s="2" t="n">
        <v>3</v>
      </c>
    </row>
    <row r="132">
      <c r="A132" s="2" t="n">
        <v>74672</v>
      </c>
      <c r="B132" s="2" t="inlineStr">
        <is>
          <t>URI 07AU XL  1 ח.גב איטלקית</t>
        </is>
      </c>
      <c r="C132" s="2" t="n">
        <v>7</v>
      </c>
      <c r="D132" s="2" t="n">
        <v>3</v>
      </c>
    </row>
    <row r="133">
      <c r="A133" s="2" t="n">
        <v>60484</v>
      </c>
      <c r="B133" s="2" t="inlineStr">
        <is>
          <t>URI 3641 1</t>
        </is>
      </c>
      <c r="C133" s="2" t="n">
        <v>18</v>
      </c>
      <c r="D133" s="2" t="n">
        <v>6</v>
      </c>
    </row>
    <row r="134">
      <c r="A134" s="2" t="n">
        <v>34874</v>
      </c>
      <c r="B134" s="2" t="inlineStr">
        <is>
          <t>URI 333         1 סד לקרסול</t>
        </is>
      </c>
      <c r="C134" s="2" t="n">
        <v>6</v>
      </c>
      <c r="D134" s="2" t="n">
        <v>2</v>
      </c>
    </row>
    <row r="135">
      <c r="A135" s="2" t="n">
        <v>16239</v>
      </c>
      <c r="B135" s="2" t="inlineStr">
        <is>
          <t>394W-35-381 גרבי קיץ לסוכרת</t>
        </is>
      </c>
      <c r="C135" s="2" t="n">
        <v>3</v>
      </c>
      <c r="D135" s="2" t="n">
        <v>1</v>
      </c>
    </row>
    <row r="136">
      <c r="A136" s="2" t="n">
        <v>74918</v>
      </c>
      <c r="B136" s="2" t="inlineStr">
        <is>
          <t>URI T33 L       1 סד לקרסול</t>
        </is>
      </c>
      <c r="C136" s="2" t="n">
        <v>3</v>
      </c>
      <c r="D136" s="2" t="n">
        <v>1</v>
      </c>
    </row>
    <row r="137">
      <c r="A137" s="2" t="n">
        <v>74670</v>
      </c>
      <c r="B137" s="2" t="inlineStr">
        <is>
          <t>URI 07AU L   1 ח.גב איטלקית</t>
        </is>
      </c>
      <c r="C137" s="2" t="n">
        <v>5</v>
      </c>
      <c r="D137" s="2" t="n">
        <v>1</v>
      </c>
    </row>
    <row r="138">
      <c r="A138" s="2" t="n">
        <v>63418</v>
      </c>
      <c r="B138" s="2" t="inlineStr">
        <is>
          <t>URI 87 L1 חגו.לקיבוע תמ.אמה</t>
        </is>
      </c>
      <c r="C138" s="2" t="n">
        <v>8</v>
      </c>
      <c r="D138" s="2" t="n">
        <v>1</v>
      </c>
    </row>
    <row r="139">
      <c r="A139" s="2" t="n">
        <v>20998</v>
      </c>
      <c r="B139" s="2" t="inlineStr">
        <is>
          <t>URI 11 XXL  1 ח.בטן אורירית</t>
        </is>
      </c>
      <c r="C139" s="2" t="n">
        <v>12</v>
      </c>
      <c r="D139" s="2" t="n">
        <v>1</v>
      </c>
    </row>
    <row r="140">
      <c r="A140" s="2" t="n">
        <v>74820</v>
      </c>
      <c r="B140" s="2" t="inlineStr">
        <is>
          <t>URI 59R L.1 חגורת שבר לצד י</t>
        </is>
      </c>
      <c r="C140" s="2" t="n">
        <v>2</v>
      </c>
      <c r="D140" s="2" t="n">
        <v>0</v>
      </c>
    </row>
    <row r="141">
      <c r="A141" s="2" t="n">
        <v>28302</v>
      </c>
      <c r="B141" s="2" t="inlineStr">
        <is>
          <t>URI 34+XXL1 מ קרסול+עכב סגו</t>
        </is>
      </c>
      <c r="C141" s="2" t="n">
        <v>1</v>
      </c>
      <c r="D141" s="2" t="n">
        <v>0</v>
      </c>
    </row>
    <row r="142">
      <c r="A142" s="2" t="n">
        <v>29790</v>
      </c>
      <c r="B142" s="2" t="inlineStr">
        <is>
          <t>URI 11STO L1 חגורה אחר ניתו</t>
        </is>
      </c>
      <c r="C142" s="2" t="n">
        <v>1</v>
      </c>
      <c r="D142" s="2" t="n">
        <v>0</v>
      </c>
    </row>
    <row r="143">
      <c r="A143" s="2" t="n">
        <v>46306</v>
      </c>
      <c r="B143" s="2" t="inlineStr">
        <is>
          <t>STRAP4U 239B S-M 1</t>
        </is>
      </c>
      <c r="C143" s="2" t="n">
        <v>1</v>
      </c>
      <c r="D143" s="2" t="n">
        <v>0</v>
      </c>
    </row>
    <row r="144">
      <c r="A144" s="2" t="n">
        <v>50055</v>
      </c>
      <c r="B144" s="2" t="inlineStr">
        <is>
          <t>URI 74    1 רצועה לשבר בעצם</t>
        </is>
      </c>
      <c r="C144" s="2" t="n">
        <v>1</v>
      </c>
      <c r="D144" s="2" t="n">
        <v>0</v>
      </c>
    </row>
    <row r="145">
      <c r="A145" s="2" t="n">
        <v>64632</v>
      </c>
      <c r="B145" s="2" t="inlineStr">
        <is>
          <t>URI 390W 43-46   1 גרבי כסף</t>
        </is>
      </c>
      <c r="C145" s="2" t="n">
        <v>1</v>
      </c>
      <c r="D145" s="2" t="n">
        <v>0</v>
      </c>
    </row>
    <row r="146">
      <c r="A146" s="2" t="n">
        <v>67053</v>
      </c>
      <c r="B146" s="2" t="inlineStr">
        <is>
          <t>URI 34 XS  1 מגן קרסול סגור</t>
        </is>
      </c>
      <c r="C146" s="2" t="n">
        <v>1</v>
      </c>
      <c r="D146" s="2" t="n">
        <v>0</v>
      </c>
    </row>
    <row r="147">
      <c r="A147" s="2" t="n">
        <v>67056</v>
      </c>
      <c r="B147" s="2" t="inlineStr">
        <is>
          <t>URI 95 XXL       1 מגן מרפק</t>
        </is>
      </c>
      <c r="C147" s="2" t="n">
        <v>1</v>
      </c>
      <c r="D147" s="2" t="n">
        <v>0</v>
      </c>
    </row>
    <row r="148">
      <c r="A148" s="2" t="n">
        <v>71085</v>
      </c>
      <c r="B148" s="2" t="inlineStr">
        <is>
          <t>URI 078S 1</t>
        </is>
      </c>
      <c r="C148" s="2" t="n">
        <v>2</v>
      </c>
      <c r="D148" s="2" t="n">
        <v>0</v>
      </c>
    </row>
    <row r="149">
      <c r="A149" s="2" t="n">
        <v>74686</v>
      </c>
      <c r="B149" s="2" t="inlineStr">
        <is>
          <t>URI 11 TO M         1 ח בטן</t>
        </is>
      </c>
      <c r="C149" s="2" t="n">
        <v>3</v>
      </c>
      <c r="D149" s="2" t="n">
        <v>0</v>
      </c>
    </row>
    <row r="150">
      <c r="A150" s="2" t="n">
        <v>74822</v>
      </c>
      <c r="B150" s="2" t="inlineStr">
        <is>
          <t>URI 59R  XL1 חגורת שבר צד י</t>
        </is>
      </c>
      <c r="C150" s="2" t="n">
        <v>1</v>
      </c>
      <c r="D150" s="2" t="n">
        <v>0</v>
      </c>
    </row>
    <row r="151">
      <c r="A151" s="2" t="n">
        <v>74824</v>
      </c>
      <c r="B151" s="2" t="inlineStr">
        <is>
          <t>URI 59 L M 1 חגורת שבר צד ש</t>
        </is>
      </c>
      <c r="C151" s="2" t="n">
        <v>1</v>
      </c>
      <c r="D151" s="2" t="n">
        <v>0</v>
      </c>
    </row>
    <row r="152">
      <c r="A152" s="2" t="n">
        <v>74825</v>
      </c>
      <c r="B152" s="2" t="inlineStr">
        <is>
          <t>URI 59L XL 1 חגורת שבר צד ש</t>
        </is>
      </c>
      <c r="C152" s="2" t="n">
        <v>1</v>
      </c>
      <c r="D152" s="2" t="n">
        <v>0</v>
      </c>
    </row>
    <row r="153">
      <c r="A153" s="2" t="n">
        <v>74842</v>
      </c>
      <c r="B153" s="2" t="inlineStr">
        <is>
          <t>URI 74-L-XL    1 רצועה לשבר</t>
        </is>
      </c>
      <c r="C153" s="2" t="n">
        <v>1</v>
      </c>
      <c r="D153" s="2" t="n">
        <v>0</v>
      </c>
    </row>
    <row r="154">
      <c r="A154" s="2" t="n">
        <v>75764</v>
      </c>
      <c r="B154" s="2" t="inlineStr">
        <is>
          <t>URI 16 XXL    1 חגורת הריון</t>
        </is>
      </c>
      <c r="C154" s="2" t="n">
        <v>2</v>
      </c>
      <c r="D154" s="2" t="n">
        <v>0</v>
      </c>
    </row>
    <row r="155">
      <c r="A155" s="2" t="n">
        <v>76244</v>
      </c>
      <c r="B155" s="2" t="inlineStr">
        <is>
          <t>URI 078C L   '1 חגורת גב בז</t>
        </is>
      </c>
      <c r="C155" s="2" t="n">
        <v>1</v>
      </c>
      <c r="D155" s="2" t="n">
        <v>0</v>
      </c>
    </row>
    <row r="156">
      <c r="A156" s="2" t="n">
        <v>88476</v>
      </c>
      <c r="B156" s="2" t="inlineStr">
        <is>
          <t>URI LF373 0 1 ריפוד סיליקון</t>
        </is>
      </c>
      <c r="C156" s="2" t="n">
        <v>5</v>
      </c>
      <c r="D156" s="2" t="n">
        <v>0</v>
      </c>
    </row>
    <row r="157">
      <c r="A157" s="2" t="n">
        <v>88478</v>
      </c>
      <c r="B157" s="2" t="inlineStr">
        <is>
          <t>URI LF377 L  1 מדרס סיליקון</t>
        </is>
      </c>
      <c r="C157" s="2" t="n">
        <v>1</v>
      </c>
      <c r="D157" s="2" t="n">
        <v>0</v>
      </c>
    </row>
    <row r="158">
      <c r="A158" s="2" t="n">
        <v>88479</v>
      </c>
      <c r="B158" s="2" t="inlineStr">
        <is>
          <t>URI LF377 M  1 מדרס סיליקון</t>
        </is>
      </c>
      <c r="C158" s="2" t="n">
        <v>1</v>
      </c>
      <c r="D158" s="2" t="n">
        <v>0</v>
      </c>
    </row>
    <row r="159">
      <c r="A159" s="2" t="n">
        <v>67895</v>
      </c>
      <c r="B159" s="2" t="inlineStr">
        <is>
          <t>URI 11      1 ח בטן אורירית</t>
        </is>
      </c>
      <c r="C159" s="2" t="n">
        <v>2</v>
      </c>
      <c r="D159" s="2" t="n">
        <v>-1</v>
      </c>
    </row>
    <row r="160">
      <c r="A160" s="2" t="n">
        <v>74847</v>
      </c>
      <c r="B160" s="2" t="inlineStr">
        <is>
          <t>URI 76 M        1 מיישר כתף</t>
        </is>
      </c>
      <c r="C160" s="2" t="n">
        <v>-1</v>
      </c>
      <c r="D160" s="2" t="n">
        <v>1</v>
      </c>
    </row>
    <row r="161">
      <c r="A161" s="2" t="n">
        <v>43283</v>
      </c>
      <c r="B161" s="2" t="inlineStr">
        <is>
          <t>397A-43-46      1 גרבי טיסה</t>
        </is>
      </c>
      <c r="C161" s="2" t="n">
        <v>0</v>
      </c>
      <c r="D161" s="2" t="n">
        <v>29</v>
      </c>
    </row>
    <row r="162">
      <c r="A162" s="2" t="n">
        <v>43277</v>
      </c>
      <c r="B162" s="2" t="inlineStr">
        <is>
          <t>397A-39-42      1 גרבי טיסה</t>
        </is>
      </c>
      <c r="C162" s="2" t="n">
        <v>0</v>
      </c>
      <c r="D162" s="2" t="n">
        <v>27</v>
      </c>
    </row>
    <row r="163">
      <c r="A163" s="2" t="n">
        <v>43248</v>
      </c>
      <c r="B163" s="2" t="inlineStr">
        <is>
          <t>397A-35-38      1 גרבי טיסה</t>
        </is>
      </c>
      <c r="C163" s="2" t="n">
        <v>0</v>
      </c>
      <c r="D163" s="2" t="n">
        <v>13</v>
      </c>
    </row>
    <row r="164">
      <c r="A164" s="2" t="n">
        <v>68751</v>
      </c>
      <c r="B164" s="2" t="inlineStr">
        <is>
          <t>388B R 1 סד לילה שחור לבוהן</t>
        </is>
      </c>
      <c r="C164" s="2" t="n">
        <v>0</v>
      </c>
      <c r="D164" s="2" t="n">
        <v>6</v>
      </c>
    </row>
    <row r="165">
      <c r="A165" s="2" t="n">
        <v>16211</v>
      </c>
      <c r="B165" s="2" t="inlineStr">
        <is>
          <t>394B-35-381 גרבי קיץ לסוכרת</t>
        </is>
      </c>
      <c r="C165" s="2" t="n">
        <v>0</v>
      </c>
      <c r="D165" s="2" t="n">
        <v>5</v>
      </c>
    </row>
    <row r="166">
      <c r="A166" s="2" t="n">
        <v>43423</v>
      </c>
      <c r="B166" s="2" t="inlineStr">
        <is>
          <t>SH422 3  1 תומך ברך גנושילד</t>
        </is>
      </c>
      <c r="C166" s="2" t="n">
        <v>0</v>
      </c>
      <c r="D166" s="2" t="n">
        <v>3</v>
      </c>
    </row>
    <row r="167">
      <c r="A167" s="2" t="n">
        <v>43447</v>
      </c>
      <c r="B167" s="2" t="inlineStr">
        <is>
          <t>SH422 4  1 תומך ברך גנושילד</t>
        </is>
      </c>
      <c r="C167" s="2" t="n">
        <v>0</v>
      </c>
      <c r="D167" s="2" t="n">
        <v>3</v>
      </c>
    </row>
    <row r="168">
      <c r="A168" s="2" t="n">
        <v>74848</v>
      </c>
      <c r="B168" s="2" t="inlineStr">
        <is>
          <t>URI 76 XL       1 מיישר כתף</t>
        </is>
      </c>
      <c r="C168" s="2" t="n">
        <v>0</v>
      </c>
      <c r="D168" s="2" t="n">
        <v>3</v>
      </c>
    </row>
    <row r="169">
      <c r="A169" s="2" t="n">
        <v>29793</v>
      </c>
      <c r="B169" s="2" t="inlineStr">
        <is>
          <t>URI 11STO XL1 חגורה אחר נית</t>
        </is>
      </c>
      <c r="C169" s="2" t="n">
        <v>0</v>
      </c>
      <c r="D169" s="2" t="n">
        <v>2</v>
      </c>
    </row>
    <row r="170">
      <c r="A170" s="2" t="n">
        <v>50061</v>
      </c>
      <c r="B170" s="2" t="inlineStr">
        <is>
          <t>URI 87 S 1 חגו.קיבוע תמ.אמה</t>
        </is>
      </c>
      <c r="C170" s="2" t="n">
        <v>0</v>
      </c>
      <c r="D170" s="2" t="n">
        <v>2</v>
      </c>
    </row>
    <row r="171">
      <c r="A171" s="2" t="n">
        <v>64636</v>
      </c>
      <c r="B171" s="2" t="inlineStr">
        <is>
          <t>URI 390G 35-38   1 גרבי כסף</t>
        </is>
      </c>
      <c r="C171" s="2" t="n">
        <v>0</v>
      </c>
      <c r="D171" s="2" t="n">
        <v>2</v>
      </c>
    </row>
    <row r="172">
      <c r="A172" s="2" t="n">
        <v>67898</v>
      </c>
      <c r="B172" s="2" t="inlineStr">
        <is>
          <t>חגורה למנותחי בית חזה</t>
        </is>
      </c>
      <c r="C172" s="2" t="n">
        <v>0</v>
      </c>
      <c r="D172" s="2" t="n">
        <v>2</v>
      </c>
    </row>
    <row r="173">
      <c r="A173" s="2" t="n">
        <v>74807</v>
      </c>
      <c r="B173" s="2" t="inlineStr">
        <is>
          <t>URI 49 XL         1 מגן ירך</t>
        </is>
      </c>
      <c r="C173" s="2" t="n">
        <v>0</v>
      </c>
      <c r="D173" s="2" t="n">
        <v>2</v>
      </c>
    </row>
    <row r="174">
      <c r="A174" s="2" t="n">
        <v>74932</v>
      </c>
      <c r="B174" s="2" t="inlineStr">
        <is>
          <t>URI T39 XL        1 מגן שוק</t>
        </is>
      </c>
      <c r="C174" s="2" t="n">
        <v>0</v>
      </c>
      <c r="D174" s="2" t="n">
        <v>2</v>
      </c>
    </row>
    <row r="175">
      <c r="A175" s="2" t="n">
        <v>74988</v>
      </c>
      <c r="B175" s="2" t="inlineStr">
        <is>
          <t>URI T78 M            1 תומך</t>
        </is>
      </c>
      <c r="C175" s="2" t="n">
        <v>0</v>
      </c>
      <c r="D175" s="2" t="n">
        <v>2</v>
      </c>
    </row>
    <row r="176">
      <c r="A176" s="2" t="n">
        <v>20948</v>
      </c>
      <c r="B176" s="2" t="inlineStr">
        <is>
          <t>URI 35 XST 1 מגן קרסול פתוח</t>
        </is>
      </c>
      <c r="C176" s="2" t="n">
        <v>0</v>
      </c>
      <c r="D176" s="2" t="n">
        <v>1</v>
      </c>
    </row>
    <row r="177">
      <c r="A177" s="2" t="n">
        <v>28296</v>
      </c>
      <c r="B177" s="2" t="inlineStr">
        <is>
          <t>URI 13 L  1 חגורה לשבר טבור</t>
        </is>
      </c>
      <c r="C177" s="2" t="n">
        <v>0</v>
      </c>
      <c r="D177" s="2" t="n">
        <v>1</v>
      </c>
    </row>
    <row r="178">
      <c r="A178" s="2" t="n">
        <v>28938</v>
      </c>
      <c r="B178" s="2" t="inlineStr">
        <is>
          <t>URI 70N S    1 חגורת פאבליק</t>
        </is>
      </c>
      <c r="C178" s="2" t="n">
        <v>0</v>
      </c>
      <c r="D178" s="2" t="n">
        <v>1</v>
      </c>
    </row>
    <row r="179">
      <c r="A179" s="2" t="n">
        <v>29794</v>
      </c>
      <c r="B179" s="2" t="inlineStr">
        <is>
          <t>URI 11STO XXL1 חגורה א ניתו</t>
        </is>
      </c>
      <c r="C179" s="2" t="n">
        <v>0</v>
      </c>
      <c r="D179" s="2" t="n">
        <v>1</v>
      </c>
    </row>
    <row r="180">
      <c r="A180" s="2" t="n">
        <v>37498</v>
      </c>
      <c r="B180" s="2" t="inlineStr">
        <is>
          <t>URI SH333      1 מקבע קרסול</t>
        </is>
      </c>
      <c r="C180" s="2" t="n">
        <v>0</v>
      </c>
      <c r="D180" s="2" t="n">
        <v>1</v>
      </c>
    </row>
    <row r="181">
      <c r="A181" s="2" t="n">
        <v>43399</v>
      </c>
      <c r="B181" s="2" t="inlineStr">
        <is>
          <t>SH422 1  1 תומך ברך גנושילד</t>
        </is>
      </c>
      <c r="C181" s="2" t="n">
        <v>0</v>
      </c>
      <c r="D181" s="2" t="n">
        <v>1</v>
      </c>
    </row>
    <row r="182">
      <c r="A182" s="2" t="n">
        <v>43454</v>
      </c>
      <c r="B182" s="2" t="inlineStr">
        <is>
          <t>SH422 5  1 תומך ברך גנושילד</t>
        </is>
      </c>
      <c r="C182" s="2" t="n">
        <v>0</v>
      </c>
      <c r="D182" s="2" t="n">
        <v>1</v>
      </c>
    </row>
    <row r="183">
      <c r="A183" s="2" t="n">
        <v>43469</v>
      </c>
      <c r="B183" s="2" t="inlineStr">
        <is>
          <t>SH422 6  1 תומך ברך גנושילד</t>
        </is>
      </c>
      <c r="C183" s="2" t="n">
        <v>0</v>
      </c>
      <c r="D183" s="2" t="n">
        <v>1</v>
      </c>
    </row>
    <row r="184">
      <c r="A184" s="2" t="n">
        <v>50057</v>
      </c>
      <c r="B184" s="2" t="inlineStr">
        <is>
          <t>URI 76          1 מיישר כתף</t>
        </is>
      </c>
      <c r="C184" s="2" t="n">
        <v>0</v>
      </c>
      <c r="D184" s="2" t="n">
        <v>1</v>
      </c>
    </row>
    <row r="185">
      <c r="A185" s="2" t="n">
        <v>52326</v>
      </c>
      <c r="B185" s="2" t="inlineStr">
        <is>
          <t>URI 078G S 1 חגורת גב אפורה</t>
        </is>
      </c>
      <c r="C185" s="2" t="n">
        <v>0</v>
      </c>
      <c r="D185" s="2" t="n">
        <v>1</v>
      </c>
    </row>
    <row r="186">
      <c r="A186" s="2" t="n">
        <v>64635</v>
      </c>
      <c r="B186" s="2" t="inlineStr">
        <is>
          <t>URI 390B 43-46   1 גרבי כסף</t>
        </is>
      </c>
      <c r="C186" s="2" t="n">
        <v>0</v>
      </c>
      <c r="D186" s="2" t="n">
        <v>1</v>
      </c>
    </row>
    <row r="187">
      <c r="A187" s="2" t="n">
        <v>74823</v>
      </c>
      <c r="B187" s="2" t="inlineStr">
        <is>
          <t>URI 59L L 1 חגורת שבר לשמאל</t>
        </is>
      </c>
      <c r="C187" s="2" t="n">
        <v>0</v>
      </c>
      <c r="D187" s="2" t="n">
        <v>1</v>
      </c>
    </row>
    <row r="188">
      <c r="A188" s="2" t="n">
        <v>74828</v>
      </c>
      <c r="B188" s="2" t="inlineStr">
        <is>
          <t>URI 59D XL1 חגורת שבר דו צד</t>
        </is>
      </c>
      <c r="C188" s="2" t="n">
        <v>0</v>
      </c>
      <c r="D188" s="2" t="n">
        <v>1</v>
      </c>
    </row>
    <row r="189">
      <c r="A189" s="2" t="n">
        <v>87828</v>
      </c>
      <c r="B189" s="2" t="inlineStr">
        <is>
          <t>ST49              1 מגן ירך</t>
        </is>
      </c>
      <c r="C189" s="2" t="n">
        <v>0</v>
      </c>
      <c r="D189" s="2" t="n">
        <v>1</v>
      </c>
    </row>
    <row r="190">
      <c r="A190" s="2" t="n">
        <v>64633</v>
      </c>
      <c r="B190" s="2" t="inlineStr">
        <is>
          <t>URI 390B 35-38   1 גרבי כסף</t>
        </is>
      </c>
      <c r="C190" s="2" t="n">
        <v>0</v>
      </c>
      <c r="D190" s="2" t="n">
        <v>0</v>
      </c>
    </row>
    <row r="191">
      <c r="A191" s="2" t="n">
        <v>67927</v>
      </c>
      <c r="B191" s="2" t="inlineStr">
        <is>
          <t>URI 41            1 מגן ברך</t>
        </is>
      </c>
      <c r="C191" s="2" t="n">
        <v>0</v>
      </c>
      <c r="D191" s="2" t="n">
        <v>0</v>
      </c>
    </row>
    <row r="192">
      <c r="A192" s="2" t="n">
        <v>74688</v>
      </c>
      <c r="B192" s="2" t="inlineStr">
        <is>
          <t>URI 11 TO XL        1 ח בטן</t>
        </is>
      </c>
      <c r="C192" s="2" t="n">
        <v>0</v>
      </c>
      <c r="D192" s="2" t="n">
        <v>0</v>
      </c>
    </row>
    <row r="193">
      <c r="A193" s="2" t="n">
        <v>88475</v>
      </c>
      <c r="B193" s="2" t="inlineStr">
        <is>
          <t>URI LF371 0 1 ריפוד סיליקון</t>
        </is>
      </c>
      <c r="C193" s="2" t="n">
        <v>0</v>
      </c>
      <c r="D193" s="2" t="n">
        <v>0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9" t="inlineStr">
        <is>
          <t>השוואת כמויות (יחידות, 2026 בלבד) לפי קוד SKU — יוני, יולי, אוגוסט</t>
        </is>
      </c>
    </row>
    <row r="2" ht="45" customHeight="1">
      <c r="A2" s="30" t="inlineStr">
        <is>
          <t>שים לב: זו השוואת מגמה בתוך 2026 בלבד (יוני מול יולי מול אוגוסט), ללא השוואה ל-2025 - שונה מיתר הגיליונות בקובץ הזה. המקור: מקור-06 (יוני), מקור-07 (יולי), מקור-08 (אוגוסט), עמודה D (יחידות 2026) בכל אחד. 219 קודי SKU ייחודיים על פני שלושת החודשים.</t>
        </is>
      </c>
    </row>
    <row r="4">
      <c r="A4" s="31" t="inlineStr">
        <is>
          <t>קוד SKU</t>
        </is>
      </c>
      <c r="B4" s="31" t="inlineStr">
        <is>
          <t>שם מוצר</t>
        </is>
      </c>
      <c r="C4" s="31" t="inlineStr">
        <is>
          <t>יוני 2026</t>
        </is>
      </c>
      <c r="D4" s="31" t="inlineStr">
        <is>
          <t>יולי 2026</t>
        </is>
      </c>
      <c r="E4" s="31" t="inlineStr">
        <is>
          <t>אוגוסט 2026</t>
        </is>
      </c>
      <c r="F4" s="31" t="inlineStr">
        <is>
          <t>סה"כ 3 חודשים</t>
        </is>
      </c>
    </row>
    <row r="5">
      <c r="A5" s="32" t="n">
        <v>51567</v>
      </c>
      <c r="B5" s="32" t="inlineStr">
        <is>
          <t xml:space="preserve">                                   1 סד יד דו צדדי</t>
        </is>
      </c>
      <c r="C5" s="33">
        <f>SUMIF('מקור-06'!$A:$A,$A5,'מקור-06'!$D:$D)</f>
        <v>144</v>
      </c>
      <c r="D5" s="33">
        <f>SUMIF('מקור-07'!$A:$A,$A5,'מקור-07'!$D:$D)</f>
        <v>130</v>
      </c>
      <c r="E5" s="33">
        <f>SUMIF('מקור-08'!$A:$A,$A5,'מקור-08'!$D:$D)</f>
        <v>151</v>
      </c>
      <c r="F5" s="34">
        <f>C5+D5+E5</f>
        <v>425</v>
      </c>
    </row>
    <row r="6">
      <c r="A6" s="32" t="n">
        <v>83668</v>
      </c>
      <c r="B6" s="32" t="inlineStr">
        <is>
          <t>URI FC335    1 טלק לכף הרגל</t>
        </is>
      </c>
      <c r="C6" s="33">
        <f>SUMIF('מקור-06'!$A:$A,$A6,'מקור-06'!$D:$D)</f>
        <v>71</v>
      </c>
      <c r="D6" s="33">
        <f>SUMIF('מקור-07'!$A:$A,$A6,'מקור-07'!$D:$D)</f>
        <v>81</v>
      </c>
      <c r="E6" s="33">
        <f>SUMIF('מקור-08'!$A:$A,$A6,'מקור-08'!$D:$D)</f>
        <v>87</v>
      </c>
      <c r="F6" s="34">
        <f>C6+D6+E6</f>
        <v>239</v>
      </c>
    </row>
    <row r="7">
      <c r="A7" s="32" t="n">
        <v>82206</v>
      </c>
      <c r="B7" s="32" t="inlineStr">
        <is>
          <t>ST25     1 חבק לשורש כף היד</t>
        </is>
      </c>
      <c r="C7" s="33">
        <f>SUMIF('מקור-06'!$A:$A,$A7,'מקור-06'!$D:$D)</f>
        <v>81</v>
      </c>
      <c r="D7" s="33">
        <f>SUMIF('מקור-07'!$A:$A,$A7,'מקור-07'!$D:$D)</f>
        <v>81</v>
      </c>
      <c r="E7" s="33">
        <f>SUMIF('מקור-08'!$A:$A,$A7,'מקור-08'!$D:$D)</f>
        <v>60</v>
      </c>
      <c r="F7" s="34">
        <f>C7+D7+E7</f>
        <v>222</v>
      </c>
    </row>
    <row r="8">
      <c r="A8" s="32" t="n">
        <v>71204</v>
      </c>
      <c r="B8" s="32" t="inlineStr">
        <is>
          <t>URI 3655   1 שרוול מסיליקון</t>
        </is>
      </c>
      <c r="C8" s="33">
        <f>SUMIF('מקור-06'!$A:$A,$A8,'מקור-06'!$D:$D)</f>
        <v>80</v>
      </c>
      <c r="D8" s="33">
        <f>SUMIF('מקור-07'!$A:$A,$A8,'מקור-07'!$D:$D)</f>
        <v>65</v>
      </c>
      <c r="E8" s="33">
        <f>SUMIF('מקור-08'!$A:$A,$A8,'מקור-08'!$D:$D)</f>
        <v>70</v>
      </c>
      <c r="F8" s="34">
        <f>C8+D8+E8</f>
        <v>215</v>
      </c>
    </row>
    <row r="9">
      <c r="A9" s="32" t="n">
        <v>51568</v>
      </c>
      <c r="B9" s="32" t="inlineStr">
        <is>
          <t xml:space="preserve">                                       1 סד לאגודל</t>
        </is>
      </c>
      <c r="C9" s="33">
        <f>SUMIF('מקור-06'!$A:$A,$A9,'מקור-06'!$D:$D)</f>
        <v>59</v>
      </c>
      <c r="D9" s="33">
        <f>SUMIF('מקור-07'!$A:$A,$A9,'מקור-07'!$D:$D)</f>
        <v>64</v>
      </c>
      <c r="E9" s="33">
        <f>SUMIF('מקור-08'!$A:$A,$A9,'מקור-08'!$D:$D)</f>
        <v>57</v>
      </c>
      <c r="F9" s="34">
        <f>C9+D9+E9</f>
        <v>180</v>
      </c>
    </row>
    <row r="10">
      <c r="A10" s="32" t="n">
        <v>60472</v>
      </c>
      <c r="B10" s="32" t="inlineStr">
        <is>
          <t>URI PD340  1 קוצץ ציפורניים</t>
        </is>
      </c>
      <c r="C10" s="33">
        <f>SUMIF('מקור-06'!$A:$A,$A10,'מקור-06'!$D:$D)</f>
        <v>45</v>
      </c>
      <c r="D10" s="33">
        <f>SUMIF('מקור-07'!$A:$A,$A10,'מקור-07'!$D:$D)</f>
        <v>50</v>
      </c>
      <c r="E10" s="33">
        <f>SUMIF('מקור-08'!$A:$A,$A10,'מקור-08'!$D:$D)</f>
        <v>75</v>
      </c>
      <c r="F10" s="34">
        <f>C10+D10+E10</f>
        <v>170</v>
      </c>
    </row>
    <row r="11">
      <c r="A11" s="32" t="n">
        <v>63360</v>
      </c>
      <c r="B11" s="32" t="inlineStr">
        <is>
          <t>URI 45 L          1 מגן ברךBOX</t>
        </is>
      </c>
      <c r="C11" s="33">
        <f>SUMIF('מקור-06'!$A:$A,$A11,'מקור-06'!$D:$D)</f>
        <v>57</v>
      </c>
      <c r="D11" s="33">
        <f>SUMIF('מקור-07'!$A:$A,$A11,'מקור-07'!$D:$D)</f>
        <v>53</v>
      </c>
      <c r="E11" s="33">
        <f>SUMIF('מקור-08'!$A:$A,$A11,'מקור-08'!$D:$D)</f>
        <v>54</v>
      </c>
      <c r="F11" s="34">
        <f>C11+D11+E11</f>
        <v>164</v>
      </c>
    </row>
    <row r="12">
      <c r="A12" s="32" t="n">
        <v>31188</v>
      </c>
      <c r="B12" s="32" t="inlineStr">
        <is>
          <t>URI 372    1 רפידת אנטי ריח</t>
        </is>
      </c>
      <c r="C12" s="33">
        <f>SUMIF('מקור-06'!$A:$A,$A12,'מקור-06'!$D:$D)</f>
        <v>52</v>
      </c>
      <c r="D12" s="33">
        <f>SUMIF('מקור-07'!$A:$A,$A12,'מקור-07'!$D:$D)</f>
        <v>42</v>
      </c>
      <c r="E12" s="33">
        <f>SUMIF('מקור-08'!$A:$A,$A12,'מקור-08'!$D:$D)</f>
        <v>41</v>
      </c>
      <c r="F12" s="34">
        <f>C12+D12+E12</f>
        <v>135</v>
      </c>
    </row>
    <row r="13">
      <c r="A13" s="32" t="n">
        <v>66745</v>
      </c>
      <c r="B13" s="32" t="inlineStr">
        <is>
          <t xml:space="preserve">                       1 תרסיס דיאו.אנטי בקטר.לנעל</t>
        </is>
      </c>
      <c r="C13" s="33">
        <f>SUMIF('מקור-06'!$A:$A,$A13,'מקור-06'!$D:$D)</f>
        <v>53</v>
      </c>
      <c r="D13" s="33">
        <f>SUMIF('מקור-07'!$A:$A,$A13,'מקור-07'!$D:$D)</f>
        <v>31</v>
      </c>
      <c r="E13" s="33">
        <f>SUMIF('מקור-08'!$A:$A,$A13,'מקור-08'!$D:$D)</f>
        <v>45</v>
      </c>
      <c r="F13" s="34">
        <f>C13+D13+E13</f>
        <v>129</v>
      </c>
    </row>
    <row r="14">
      <c r="A14" s="32" t="n">
        <v>63359</v>
      </c>
      <c r="B14" s="32" t="inlineStr">
        <is>
          <t>URI 45 M          1 מגן ברך</t>
        </is>
      </c>
      <c r="C14" s="33">
        <f>SUMIF('מקור-06'!$A:$A,$A14,'מקור-06'!$D:$D)</f>
        <v>57</v>
      </c>
      <c r="D14" s="33">
        <f>SUMIF('מקור-07'!$A:$A,$A14,'מקור-07'!$D:$D)</f>
        <v>34</v>
      </c>
      <c r="E14" s="33">
        <f>SUMIF('מקור-08'!$A:$A,$A14,'מקור-08'!$D:$D)</f>
        <v>35</v>
      </c>
      <c r="F14" s="34">
        <f>C14+D14+E14</f>
        <v>126</v>
      </c>
    </row>
    <row r="15">
      <c r="A15" s="32" t="n">
        <v>24612</v>
      </c>
      <c r="B15" s="32" t="inlineStr">
        <is>
          <t>URI AC28        1 סד לאגודל</t>
        </is>
      </c>
      <c r="C15" s="33">
        <f>SUMIF('מקור-06'!$A:$A,$A15,'מקור-06'!$D:$D)</f>
        <v>44</v>
      </c>
      <c r="D15" s="33">
        <f>SUMIF('מקור-07'!$A:$A,$A15,'מקור-07'!$D:$D)</f>
        <v>36</v>
      </c>
      <c r="E15" s="33">
        <f>SUMIF('מקור-08'!$A:$A,$A15,'מקור-08'!$D:$D)</f>
        <v>31</v>
      </c>
      <c r="F15" s="34">
        <f>C15+D15+E15</f>
        <v>111</v>
      </c>
    </row>
    <row r="16">
      <c r="A16" s="32" t="n">
        <v>60476</v>
      </c>
      <c r="B16" s="32" t="inlineStr">
        <is>
          <t>URI PD344       1 אבן טבעית</t>
        </is>
      </c>
      <c r="C16" s="33">
        <f>SUMIF('מקור-06'!$A:$A,$A16,'מקור-06'!$D:$D)</f>
        <v>36</v>
      </c>
      <c r="D16" s="33">
        <f>SUMIF('מקור-07'!$A:$A,$A16,'מקור-07'!$D:$D)</f>
        <v>38</v>
      </c>
      <c r="E16" s="33">
        <f>SUMIF('מקור-08'!$A:$A,$A16,'מקור-08'!$D:$D)</f>
        <v>29</v>
      </c>
      <c r="F16" s="34">
        <f>C16+D16+E16</f>
        <v>103</v>
      </c>
    </row>
    <row r="17">
      <c r="A17" s="32" t="n">
        <v>74801</v>
      </c>
      <c r="B17" s="32" t="inlineStr">
        <is>
          <t>URI 45E XL   1 מגן ברך ארוך</t>
        </is>
      </c>
      <c r="C17" s="33">
        <f>SUMIF('מקור-06'!$A:$A,$A17,'מקור-06'!$D:$D)</f>
        <v>32</v>
      </c>
      <c r="D17" s="33">
        <f>SUMIF('מקור-07'!$A:$A,$A17,'מקור-07'!$D:$D)</f>
        <v>36</v>
      </c>
      <c r="E17" s="33">
        <f>SUMIF('מקור-08'!$A:$A,$A17,'מקור-08'!$D:$D)</f>
        <v>31</v>
      </c>
      <c r="F17" s="34">
        <f>C17+D17+E17</f>
        <v>99</v>
      </c>
    </row>
    <row r="18">
      <c r="A18" s="32" t="n">
        <v>59679</v>
      </c>
      <c r="B18" s="32" t="inlineStr">
        <is>
          <t>URI 364 S M 1</t>
        </is>
      </c>
      <c r="C18" s="33">
        <f>SUMIF('מקור-06'!$A:$A,$A18,'מקור-06'!$D:$D)</f>
        <v>41</v>
      </c>
      <c r="D18" s="33">
        <f>SUMIF('מקור-07'!$A:$A,$A18,'מקור-07'!$D:$D)</f>
        <v>28</v>
      </c>
      <c r="E18" s="33">
        <f>SUMIF('מקור-08'!$A:$A,$A18,'מקור-08'!$D:$D)</f>
        <v>30</v>
      </c>
      <c r="F18" s="34">
        <f>C18+D18+E18</f>
        <v>99</v>
      </c>
    </row>
    <row r="19">
      <c r="A19" s="32" t="n">
        <v>63366</v>
      </c>
      <c r="B19" s="32" t="inlineStr">
        <is>
          <t>URI 34 M 1 מגן קרסול ס.בעקב</t>
        </is>
      </c>
      <c r="C19" s="33">
        <f>SUMIF('מקור-06'!$A:$A,$A19,'מקור-06'!$D:$D)</f>
        <v>39</v>
      </c>
      <c r="D19" s="33">
        <f>SUMIF('מקור-07'!$A:$A,$A19,'מקור-07'!$D:$D)</f>
        <v>37</v>
      </c>
      <c r="E19" s="33">
        <f>SUMIF('מקור-08'!$A:$A,$A19,'מקור-08'!$D:$D)</f>
        <v>19</v>
      </c>
      <c r="F19" s="34">
        <f>C19+D19+E19</f>
        <v>95</v>
      </c>
    </row>
    <row r="20">
      <c r="A20" s="32" t="n">
        <v>74799</v>
      </c>
      <c r="B20" s="32" t="inlineStr">
        <is>
          <t>URI 45E L1 מגן ברך ארוך לבן</t>
        </is>
      </c>
      <c r="C20" s="33">
        <f>SUMIF('מקור-06'!$A:$A,$A20,'מקור-06'!$D:$D)</f>
        <v>26</v>
      </c>
      <c r="D20" s="33">
        <f>SUMIF('מקור-07'!$A:$A,$A20,'מקור-07'!$D:$D)</f>
        <v>41</v>
      </c>
      <c r="E20" s="33">
        <f>SUMIF('מקור-08'!$A:$A,$A20,'מקור-08'!$D:$D)</f>
        <v>27</v>
      </c>
      <c r="F20" s="34">
        <f>C20+D20+E20</f>
        <v>94</v>
      </c>
    </row>
    <row r="21">
      <c r="A21" s="32" t="n">
        <v>63415</v>
      </c>
      <c r="B21" s="32" t="inlineStr">
        <is>
          <t>URI 85 L         1 מתלה ליד</t>
        </is>
      </c>
      <c r="C21" s="33">
        <f>SUMIF('מקור-06'!$A:$A,$A21,'מקור-06'!$D:$D)</f>
        <v>28</v>
      </c>
      <c r="D21" s="33">
        <f>SUMIF('מקור-07'!$A:$A,$A21,'מקור-07'!$D:$D)</f>
        <v>33</v>
      </c>
      <c r="E21" s="33">
        <f>SUMIF('מקור-08'!$A:$A,$A21,'מקור-08'!$D:$D)</f>
        <v>32</v>
      </c>
      <c r="F21" s="34">
        <f>C21+D21+E21</f>
        <v>93</v>
      </c>
    </row>
    <row r="22">
      <c r="A22" s="32" t="n">
        <v>23008</v>
      </c>
      <c r="B22" s="32" t="inlineStr">
        <is>
          <t>URI 364 XL 1</t>
        </is>
      </c>
      <c r="C22" s="33">
        <f>SUMIF('מקור-06'!$A:$A,$A22,'מקור-06'!$D:$D)</f>
        <v>27</v>
      </c>
      <c r="D22" s="33">
        <f>SUMIF('מקור-07'!$A:$A,$A22,'מקור-07'!$D:$D)</f>
        <v>36</v>
      </c>
      <c r="E22" s="33">
        <f>SUMIF('מקור-08'!$A:$A,$A22,'מקור-08'!$D:$D)</f>
        <v>28</v>
      </c>
      <c r="F22" s="34">
        <f>C22+D22+E22</f>
        <v>91</v>
      </c>
    </row>
    <row r="23">
      <c r="A23" s="32" t="n">
        <v>74800</v>
      </c>
      <c r="B23" s="32" t="inlineStr">
        <is>
          <t>URI 45E M    1 מגן ברך ארוך</t>
        </is>
      </c>
      <c r="C23" s="33">
        <f>SUMIF('מקור-06'!$A:$A,$A23,'מקור-06'!$D:$D)</f>
        <v>32</v>
      </c>
      <c r="D23" s="33">
        <f>SUMIF('מקור-07'!$A:$A,$A23,'מקור-07'!$D:$D)</f>
        <v>32</v>
      </c>
      <c r="E23" s="33">
        <f>SUMIF('מקור-08'!$A:$A,$A23,'מקור-08'!$D:$D)</f>
        <v>26</v>
      </c>
      <c r="F23" s="34">
        <f>C23+D23+E23</f>
        <v>90</v>
      </c>
    </row>
    <row r="24">
      <c r="A24" s="32" t="n">
        <v>59694</v>
      </c>
      <c r="B24" s="32" t="inlineStr">
        <is>
          <t>URI 365 S-L   1 טבעת אלסטית</t>
        </is>
      </c>
      <c r="C24" s="33">
        <f>SUMIF('מקור-06'!$A:$A,$A24,'מקור-06'!$D:$D)</f>
        <v>35</v>
      </c>
      <c r="D24" s="33">
        <f>SUMIF('מקור-07'!$A:$A,$A24,'מקור-07'!$D:$D)</f>
        <v>24</v>
      </c>
      <c r="E24" s="33">
        <f>SUMIF('מקור-08'!$A:$A,$A24,'מקור-08'!$D:$D)</f>
        <v>31</v>
      </c>
      <c r="F24" s="34">
        <f>C24+D24+E24</f>
        <v>90</v>
      </c>
    </row>
    <row r="25">
      <c r="A25" s="32" t="n">
        <v>63361</v>
      </c>
      <c r="B25" s="32" t="inlineStr">
        <is>
          <t>URI 45 XL         1 מגן ברך</t>
        </is>
      </c>
      <c r="C25" s="33">
        <f>SUMIF('מקור-06'!$A:$A,$A25,'מקור-06'!$D:$D)</f>
        <v>35</v>
      </c>
      <c r="D25" s="33">
        <f>SUMIF('מקור-07'!$A:$A,$A25,'מקור-07'!$D:$D)</f>
        <v>26</v>
      </c>
      <c r="E25" s="33">
        <f>SUMIF('מקור-08'!$A:$A,$A25,'מקור-08'!$D:$D)</f>
        <v>26</v>
      </c>
      <c r="F25" s="34">
        <f>C25+D25+E25</f>
        <v>87</v>
      </c>
    </row>
    <row r="26">
      <c r="A26" s="32" t="n">
        <v>9771</v>
      </c>
      <c r="B26" s="32" t="inlineStr">
        <is>
          <t>URI 307 M 1 זוג עקב סיל+נ כ</t>
        </is>
      </c>
      <c r="C26" s="33">
        <f>SUMIF('מקור-06'!$A:$A,$A26,'מקור-06'!$D:$D)</f>
        <v>24</v>
      </c>
      <c r="D26" s="33">
        <f>SUMIF('מקור-07'!$A:$A,$A26,'מקור-07'!$D:$D)</f>
        <v>26</v>
      </c>
      <c r="E26" s="33">
        <f>SUMIF('מקור-08'!$A:$A,$A26,'מקור-08'!$D:$D)</f>
        <v>33</v>
      </c>
      <c r="F26" s="34">
        <f>C26+D26+E26</f>
        <v>83</v>
      </c>
    </row>
    <row r="27">
      <c r="A27" s="32" t="n">
        <v>82202</v>
      </c>
      <c r="B27" s="32" t="inlineStr">
        <is>
          <t>ST91       1 מגן מרפק לטניס</t>
        </is>
      </c>
      <c r="C27" s="33">
        <f>SUMIF('מקור-06'!$A:$A,$A27,'מקור-06'!$D:$D)</f>
        <v>29</v>
      </c>
      <c r="D27" s="33">
        <f>SUMIF('מקור-07'!$A:$A,$A27,'מקור-07'!$D:$D)</f>
        <v>22</v>
      </c>
      <c r="E27" s="33">
        <f>SUMIF('מקור-08'!$A:$A,$A27,'מקור-08'!$D:$D)</f>
        <v>29</v>
      </c>
      <c r="F27" s="34">
        <f>C27+D27+E27</f>
        <v>80</v>
      </c>
    </row>
    <row r="28">
      <c r="A28" s="32" t="n">
        <v>74709</v>
      </c>
      <c r="B28" s="32" t="inlineStr">
        <is>
          <t>URI 21 M      1 חבק יד ארוך</t>
        </is>
      </c>
      <c r="C28" s="33">
        <f>SUMIF('מקור-06'!$A:$A,$A28,'מקור-06'!$D:$D)</f>
        <v>33</v>
      </c>
      <c r="D28" s="33">
        <f>SUMIF('מקור-07'!$A:$A,$A28,'מקור-07'!$D:$D)</f>
        <v>26</v>
      </c>
      <c r="E28" s="33">
        <f>SUMIF('מקור-08'!$A:$A,$A28,'מקור-08'!$D:$D)</f>
        <v>19</v>
      </c>
      <c r="F28" s="34">
        <f>C28+D28+E28</f>
        <v>78</v>
      </c>
    </row>
    <row r="29">
      <c r="A29" s="32" t="n">
        <v>31183</v>
      </c>
      <c r="B29" s="32" t="inlineStr">
        <is>
          <t>URI 370       1 רפידת נוחות</t>
        </is>
      </c>
      <c r="C29" s="33">
        <f>SUMIF('מקור-06'!$A:$A,$A29,'מקור-06'!$D:$D)</f>
        <v>30</v>
      </c>
      <c r="D29" s="33">
        <f>SUMIF('מקור-07'!$A:$A,$A29,'מקור-07'!$D:$D)</f>
        <v>27</v>
      </c>
      <c r="E29" s="33">
        <f>SUMIF('מקור-08'!$A:$A,$A29,'מקור-08'!$D:$D)</f>
        <v>20</v>
      </c>
      <c r="F29" s="34">
        <f>C29+D29+E29</f>
        <v>77</v>
      </c>
    </row>
    <row r="30">
      <c r="A30" s="32" t="n">
        <v>74708</v>
      </c>
      <c r="B30" s="32" t="inlineStr">
        <is>
          <t>URI 21 L      1 חבק יד ארוך</t>
        </is>
      </c>
      <c r="C30" s="33">
        <f>SUMIF('מקור-06'!$A:$A,$A30,'מקור-06'!$D:$D)</f>
        <v>31</v>
      </c>
      <c r="D30" s="33">
        <f>SUMIF('מקור-07'!$A:$A,$A30,'מקור-07'!$D:$D)</f>
        <v>30</v>
      </c>
      <c r="E30" s="33">
        <f>SUMIF('מקור-08'!$A:$A,$A30,'מקור-08'!$D:$D)</f>
        <v>16</v>
      </c>
      <c r="F30" s="34">
        <f>C30+D30+E30</f>
        <v>77</v>
      </c>
    </row>
    <row r="31">
      <c r="A31" s="32" t="n">
        <v>52323</v>
      </c>
      <c r="B31" s="32" t="inlineStr">
        <is>
          <t>URI 078G L 1 חגורת גב אפורה</t>
        </is>
      </c>
      <c r="C31" s="33">
        <f>SUMIF('מקור-06'!$A:$A,$A31,'מקור-06'!$D:$D)</f>
        <v>28</v>
      </c>
      <c r="D31" s="33">
        <f>SUMIF('מקור-07'!$A:$A,$A31,'מקור-07'!$D:$D)</f>
        <v>30</v>
      </c>
      <c r="E31" s="33">
        <f>SUMIF('מקור-08'!$A:$A,$A31,'מקור-08'!$D:$D)</f>
        <v>18</v>
      </c>
      <c r="F31" s="34">
        <f>C31+D31+E31</f>
        <v>76</v>
      </c>
    </row>
    <row r="32">
      <c r="A32" s="32" t="n">
        <v>43277</v>
      </c>
      <c r="B32" s="32" t="inlineStr">
        <is>
          <t>397A-39-42      1 גרבי טיסה</t>
        </is>
      </c>
      <c r="C32" s="33">
        <f>SUMIF('מקור-06'!$A:$A,$A32,'מקור-06'!$D:$D)</f>
        <v>20</v>
      </c>
      <c r="D32" s="33">
        <f>SUMIF('מקור-07'!$A:$A,$A32,'מקור-07'!$D:$D)</f>
        <v>29</v>
      </c>
      <c r="E32" s="33">
        <f>SUMIF('מקור-08'!$A:$A,$A32,'מקור-08'!$D:$D)</f>
        <v>27</v>
      </c>
      <c r="F32" s="34">
        <f>C32+D32+E32</f>
        <v>76</v>
      </c>
    </row>
    <row r="33">
      <c r="A33" s="32" t="n">
        <v>63367</v>
      </c>
      <c r="B33" s="32" t="inlineStr">
        <is>
          <t>URI 34 L 1 מגן קרסול ס.בעקב</t>
        </is>
      </c>
      <c r="C33" s="33">
        <f>SUMIF('מקור-06'!$A:$A,$A33,'מקור-06'!$D:$D)</f>
        <v>30</v>
      </c>
      <c r="D33" s="33">
        <f>SUMIF('מקור-07'!$A:$A,$A33,'מקור-07'!$D:$D)</f>
        <v>19</v>
      </c>
      <c r="E33" s="33">
        <f>SUMIF('מקור-08'!$A:$A,$A33,'מקור-08'!$D:$D)</f>
        <v>26</v>
      </c>
      <c r="F33" s="34">
        <f>C33+D33+E33</f>
        <v>75</v>
      </c>
    </row>
    <row r="34">
      <c r="A34" s="32" t="n">
        <v>63414</v>
      </c>
      <c r="B34" s="32" t="inlineStr">
        <is>
          <t>URI 85 M         1 מתלה ליד</t>
        </is>
      </c>
      <c r="C34" s="33">
        <f>SUMIF('מקור-06'!$A:$A,$A34,'מקור-06'!$D:$D)</f>
        <v>21</v>
      </c>
      <c r="D34" s="33">
        <f>SUMIF('מקור-07'!$A:$A,$A34,'מקור-07'!$D:$D)</f>
        <v>23</v>
      </c>
      <c r="E34" s="33">
        <f>SUMIF('מקור-08'!$A:$A,$A34,'מקור-08'!$D:$D)</f>
        <v>29</v>
      </c>
      <c r="F34" s="34">
        <f>C34+D34+E34</f>
        <v>73</v>
      </c>
    </row>
    <row r="35">
      <c r="A35" s="32" t="n">
        <v>82208</v>
      </c>
      <c r="B35" s="32" t="inlineStr">
        <is>
          <t>URI ST37      1 חבק לקרסול</t>
        </is>
      </c>
      <c r="C35" s="33">
        <f>SUMIF('מקור-06'!$A:$A,$A35,'מקור-06'!$D:$D)</f>
        <v>22</v>
      </c>
      <c r="D35" s="33">
        <f>SUMIF('מקור-07'!$A:$A,$A35,'מקור-07'!$D:$D)</f>
        <v>25</v>
      </c>
      <c r="E35" s="33">
        <f>SUMIF('מקור-08'!$A:$A,$A35,'מקור-08'!$D:$D)</f>
        <v>21</v>
      </c>
      <c r="F35" s="34">
        <f>C35+D35+E35</f>
        <v>68</v>
      </c>
    </row>
    <row r="36">
      <c r="A36" s="32" t="n">
        <v>65241</v>
      </c>
      <c r="B36" s="32" t="inlineStr">
        <is>
          <t>URI M35     1 מגן קרסול לבן</t>
        </is>
      </c>
      <c r="C36" s="33">
        <f>SUMIF('מקור-06'!$A:$A,$A36,'מקור-06'!$D:$D)</f>
        <v>24</v>
      </c>
      <c r="D36" s="33">
        <f>SUMIF('מקור-07'!$A:$A,$A36,'מקור-07'!$D:$D)</f>
        <v>20</v>
      </c>
      <c r="E36" s="33">
        <f>SUMIF('מקור-08'!$A:$A,$A36,'מקור-08'!$D:$D)</f>
        <v>22</v>
      </c>
      <c r="F36" s="34">
        <f>C36+D36+E36</f>
        <v>66</v>
      </c>
    </row>
    <row r="37">
      <c r="A37" s="32" t="n">
        <v>60485</v>
      </c>
      <c r="B37" s="32" t="inlineStr">
        <is>
          <t>URI 369 XL 1</t>
        </is>
      </c>
      <c r="C37" s="33">
        <f>SUMIF('מקור-06'!$A:$A,$A37,'מקור-06'!$D:$D)</f>
        <v>23</v>
      </c>
      <c r="D37" s="33">
        <f>SUMIF('מקור-07'!$A:$A,$A37,'מקור-07'!$D:$D)</f>
        <v>25</v>
      </c>
      <c r="E37" s="33">
        <f>SUMIF('מקור-08'!$A:$A,$A37,'מקור-08'!$D:$D)</f>
        <v>16</v>
      </c>
      <c r="F37" s="34">
        <f>C37+D37+E37</f>
        <v>64</v>
      </c>
    </row>
    <row r="38">
      <c r="A38" s="32" t="n">
        <v>65242</v>
      </c>
      <c r="B38" s="32" t="inlineStr">
        <is>
          <t>URI L35     1 מגן קרסול לבן</t>
        </is>
      </c>
      <c r="C38" s="33">
        <f>SUMIF('מקור-06'!$A:$A,$A38,'מקור-06'!$D:$D)</f>
        <v>25</v>
      </c>
      <c r="D38" s="33">
        <f>SUMIF('מקור-07'!$A:$A,$A38,'מקור-07'!$D:$D)</f>
        <v>23</v>
      </c>
      <c r="E38" s="33">
        <f>SUMIF('מקור-08'!$A:$A,$A38,'מקור-08'!$D:$D)</f>
        <v>16</v>
      </c>
      <c r="F38" s="34">
        <f>C38+D38+E38</f>
        <v>64</v>
      </c>
    </row>
    <row r="39">
      <c r="A39" s="32" t="n">
        <v>43283</v>
      </c>
      <c r="B39" s="32" t="inlineStr">
        <is>
          <t>397A-43-46      1 גרבי טיסה</t>
        </is>
      </c>
      <c r="C39" s="33">
        <f>SUMIF('מקור-06'!$A:$A,$A39,'מקור-06'!$D:$D)</f>
        <v>10</v>
      </c>
      <c r="D39" s="33">
        <f>SUMIF('מקור-07'!$A:$A,$A39,'מקור-07'!$D:$D)</f>
        <v>25</v>
      </c>
      <c r="E39" s="33">
        <f>SUMIF('מקור-08'!$A:$A,$A39,'מקור-08'!$D:$D)</f>
        <v>29</v>
      </c>
      <c r="F39" s="34">
        <f>C39+D39+E39</f>
        <v>64</v>
      </c>
    </row>
    <row r="40">
      <c r="A40" s="32" t="n">
        <v>9772</v>
      </c>
      <c r="B40" s="32" t="inlineStr">
        <is>
          <t>URI 307 L 1 זוג עקב סיל+נ כ</t>
        </is>
      </c>
      <c r="C40" s="33">
        <f>SUMIF('מקור-06'!$A:$A,$A40,'מקור-06'!$D:$D)</f>
        <v>22</v>
      </c>
      <c r="D40" s="33">
        <f>SUMIF('מקור-07'!$A:$A,$A40,'מקור-07'!$D:$D)</f>
        <v>25</v>
      </c>
      <c r="E40" s="33">
        <f>SUMIF('מקור-08'!$A:$A,$A40,'מקור-08'!$D:$D)</f>
        <v>15</v>
      </c>
      <c r="F40" s="34">
        <f>C40+D40+E40</f>
        <v>62</v>
      </c>
    </row>
    <row r="41">
      <c r="A41" s="32" t="n">
        <v>76452</v>
      </c>
      <c r="B41" s="32" t="inlineStr">
        <is>
          <t xml:space="preserve">                             1 מ.בוניון+מפריד אצבע</t>
        </is>
      </c>
      <c r="C41" s="33">
        <f>SUMIF('מקור-06'!$A:$A,$A41,'מקור-06'!$D:$D)</f>
        <v>22</v>
      </c>
      <c r="D41" s="33">
        <f>SUMIF('מקור-07'!$A:$A,$A41,'מקור-07'!$D:$D)</f>
        <v>24</v>
      </c>
      <c r="E41" s="33">
        <f>SUMIF('מקור-08'!$A:$A,$A41,'מקור-08'!$D:$D)</f>
        <v>16</v>
      </c>
      <c r="F41" s="34">
        <f>C41+D41+E41</f>
        <v>62</v>
      </c>
    </row>
    <row r="42">
      <c r="A42" s="32" t="n">
        <v>65243</v>
      </c>
      <c r="B42" s="32" t="inlineStr">
        <is>
          <t>URI XL35    1 מגן קרסול לבן</t>
        </is>
      </c>
      <c r="C42" s="33">
        <f>SUMIF('מקור-06'!$A:$A,$A42,'מקור-06'!$D:$D)</f>
        <v>19</v>
      </c>
      <c r="D42" s="33">
        <f>SUMIF('מקור-07'!$A:$A,$A42,'מקור-07'!$D:$D)</f>
        <v>27</v>
      </c>
      <c r="E42" s="33">
        <f>SUMIF('מקור-08'!$A:$A,$A42,'מקור-08'!$D:$D)</f>
        <v>16</v>
      </c>
      <c r="F42" s="34">
        <f>C42+D42+E42</f>
        <v>62</v>
      </c>
    </row>
    <row r="43">
      <c r="A43" s="32" t="n">
        <v>63420</v>
      </c>
      <c r="B43" s="32" t="inlineStr">
        <is>
          <t>URI 95 M         1 מגן מרפק</t>
        </is>
      </c>
      <c r="C43" s="33">
        <f>SUMIF('מקור-06'!$A:$A,$A43,'מקור-06'!$D:$D)</f>
        <v>22</v>
      </c>
      <c r="D43" s="33">
        <f>SUMIF('מקור-07'!$A:$A,$A43,'מקור-07'!$D:$D)</f>
        <v>24</v>
      </c>
      <c r="E43" s="33">
        <f>SUMIF('מקור-08'!$A:$A,$A43,'מקור-08'!$D:$D)</f>
        <v>15</v>
      </c>
      <c r="F43" s="34">
        <f>C43+D43+E43</f>
        <v>61</v>
      </c>
    </row>
    <row r="44">
      <c r="A44" s="32" t="n">
        <v>59656</v>
      </c>
      <c r="B44" s="32" t="inlineStr">
        <is>
          <t>URI 362 L R 1</t>
        </is>
      </c>
      <c r="C44" s="33">
        <f>SUMIF('מקור-06'!$A:$A,$A44,'מקור-06'!$D:$D)</f>
        <v>22</v>
      </c>
      <c r="D44" s="33">
        <f>SUMIF('מקור-07'!$A:$A,$A44,'מקור-07'!$D:$D)</f>
        <v>17</v>
      </c>
      <c r="E44" s="33">
        <f>SUMIF('מקור-08'!$A:$A,$A44,'מקור-08'!$D:$D)</f>
        <v>21</v>
      </c>
      <c r="F44" s="34">
        <f>C44+D44+E44</f>
        <v>60</v>
      </c>
    </row>
    <row r="45">
      <c r="A45" s="32" t="n">
        <v>82213</v>
      </c>
      <c r="B45" s="32" t="inlineStr">
        <is>
          <t>ST28  1 סט אגודלי+מוט תמיכה</t>
        </is>
      </c>
      <c r="C45" s="33">
        <f>SUMIF('מקור-06'!$A:$A,$A45,'מקור-06'!$D:$D)</f>
        <v>23</v>
      </c>
      <c r="D45" s="33">
        <f>SUMIF('מקור-07'!$A:$A,$A45,'מקור-07'!$D:$D)</f>
        <v>17</v>
      </c>
      <c r="E45" s="33">
        <f>SUMIF('מקור-08'!$A:$A,$A45,'מקור-08'!$D:$D)</f>
        <v>20</v>
      </c>
      <c r="F45" s="34">
        <f>C45+D45+E45</f>
        <v>60</v>
      </c>
    </row>
    <row r="46">
      <c r="A46" s="32" t="n">
        <v>8618</v>
      </c>
      <c r="B46" s="32" t="inlineStr">
        <is>
          <t>URI 311         1 מדבקת ג'ל</t>
        </is>
      </c>
      <c r="C46" s="33">
        <f>SUMIF('מקור-06'!$A:$A,$A46,'מקור-06'!$D:$D)</f>
        <v>14</v>
      </c>
      <c r="D46" s="33">
        <f>SUMIF('מקור-07'!$A:$A,$A46,'מקור-07'!$D:$D)</f>
        <v>17</v>
      </c>
      <c r="E46" s="33">
        <f>SUMIF('מקור-08'!$A:$A,$A46,'מקור-08'!$D:$D)</f>
        <v>28</v>
      </c>
      <c r="F46" s="34">
        <f>C46+D46+E46</f>
        <v>59</v>
      </c>
    </row>
    <row r="47">
      <c r="A47" s="32" t="n">
        <v>67957</v>
      </c>
      <c r="B47" s="32" t="inlineStr">
        <is>
          <t>URI 95 S         1 מגן מרפק</t>
        </is>
      </c>
      <c r="C47" s="33">
        <f>SUMIF('מקור-06'!$A:$A,$A47,'מקור-06'!$D:$D)</f>
        <v>19</v>
      </c>
      <c r="D47" s="33">
        <f>SUMIF('מקור-07'!$A:$A,$A47,'מקור-07'!$D:$D)</f>
        <v>19</v>
      </c>
      <c r="E47" s="33">
        <f>SUMIF('מקור-08'!$A:$A,$A47,'מקור-08'!$D:$D)</f>
        <v>19</v>
      </c>
      <c r="F47" s="34">
        <f>C47+D47+E47</f>
        <v>57</v>
      </c>
    </row>
    <row r="48">
      <c r="A48" s="32" t="n">
        <v>52147</v>
      </c>
      <c r="B48" s="32" t="inlineStr">
        <is>
          <t>URI FC321  1 מלח אמבט לכף ר</t>
        </is>
      </c>
      <c r="C48" s="33">
        <f>SUMIF('מקור-06'!$A:$A,$A48,'מקור-06'!$D:$D)</f>
        <v>36</v>
      </c>
      <c r="D48" s="33">
        <f>SUMIF('מקור-07'!$A:$A,$A48,'מקור-07'!$D:$D)</f>
        <v>13</v>
      </c>
      <c r="E48" s="33">
        <f>SUMIF('מקור-08'!$A:$A,$A48,'מקור-08'!$D:$D)</f>
        <v>5</v>
      </c>
      <c r="F48" s="34">
        <f>C48+D48+E48</f>
        <v>54</v>
      </c>
    </row>
    <row r="49">
      <c r="A49" s="32" t="n">
        <v>66485</v>
      </c>
      <c r="B49" s="32" t="inlineStr">
        <is>
          <t>URI 801 ICE GO  1 תחבושת אל</t>
        </is>
      </c>
      <c r="C49" s="33">
        <f>SUMIF('מקור-06'!$A:$A,$A49,'מקור-06'!$D:$D)</f>
        <v>20</v>
      </c>
      <c r="D49" s="33">
        <f>SUMIF('מקור-07'!$A:$A,$A49,'מקור-07'!$D:$D)</f>
        <v>17</v>
      </c>
      <c r="E49" s="33">
        <f>SUMIF('מקור-08'!$A:$A,$A49,'מקור-08'!$D:$D)</f>
        <v>17</v>
      </c>
      <c r="F49" s="34">
        <f>C49+D49+E49</f>
        <v>54</v>
      </c>
    </row>
    <row r="50">
      <c r="A50" s="32" t="n">
        <v>67385</v>
      </c>
      <c r="B50" s="32" t="inlineStr">
        <is>
          <t>URI 302M 0  1 מדרס ג'ל לגבר</t>
        </is>
      </c>
      <c r="C50" s="33">
        <f>SUMIF('מקור-06'!$A:$A,$A50,'מקור-06'!$D:$D)</f>
        <v>17</v>
      </c>
      <c r="D50" s="33">
        <f>SUMIF('מקור-07'!$A:$A,$A50,'מקור-07'!$D:$D)</f>
        <v>22</v>
      </c>
      <c r="E50" s="33">
        <f>SUMIF('מקור-08'!$A:$A,$A50,'מקור-08'!$D:$D)</f>
        <v>14</v>
      </c>
      <c r="F50" s="34">
        <f>C50+D50+E50</f>
        <v>53</v>
      </c>
    </row>
    <row r="51">
      <c r="A51" s="32" t="n">
        <v>63421</v>
      </c>
      <c r="B51" s="32" t="inlineStr">
        <is>
          <t>URI 95 L         1 מגן מרפק</t>
        </is>
      </c>
      <c r="C51" s="33">
        <f>SUMIF('מקור-06'!$A:$A,$A51,'מקור-06'!$D:$D)</f>
        <v>16</v>
      </c>
      <c r="D51" s="33">
        <f>SUMIF('מקור-07'!$A:$A,$A51,'מקור-07'!$D:$D)</f>
        <v>20</v>
      </c>
      <c r="E51" s="33">
        <f>SUMIF('מקור-08'!$A:$A,$A51,'מקור-08'!$D:$D)</f>
        <v>12</v>
      </c>
      <c r="F51" s="34">
        <f>C51+D51+E51</f>
        <v>48</v>
      </c>
    </row>
    <row r="52">
      <c r="A52" s="32" t="n">
        <v>82207</v>
      </c>
      <c r="B52" s="32" t="inlineStr">
        <is>
          <t>ST20               1 חבק יד</t>
        </is>
      </c>
      <c r="C52" s="33">
        <f>SUMIF('מקור-06'!$A:$A,$A52,'מקור-06'!$D:$D)</f>
        <v>16</v>
      </c>
      <c r="D52" s="33">
        <f>SUMIF('מקור-07'!$A:$A,$A52,'מקור-07'!$D:$D)</f>
        <v>16</v>
      </c>
      <c r="E52" s="33">
        <f>SUMIF('מקור-08'!$A:$A,$A52,'מקור-08'!$D:$D)</f>
        <v>15</v>
      </c>
      <c r="F52" s="34">
        <f>C52+D52+E52</f>
        <v>47</v>
      </c>
    </row>
    <row r="53">
      <c r="A53" s="32" t="n">
        <v>63368</v>
      </c>
      <c r="B53" s="32" t="inlineStr">
        <is>
          <t>URI 34 XL1 מגן קרסול ס.בעקב</t>
        </is>
      </c>
      <c r="C53" s="33">
        <f>SUMIF('מקור-06'!$A:$A,$A53,'מקור-06'!$D:$D)</f>
        <v>12</v>
      </c>
      <c r="D53" s="33">
        <f>SUMIF('מקור-07'!$A:$A,$A53,'מקור-07'!$D:$D)</f>
        <v>24</v>
      </c>
      <c r="E53" s="33">
        <f>SUMIF('מקור-08'!$A:$A,$A53,'מקור-08'!$D:$D)</f>
        <v>11</v>
      </c>
      <c r="F53" s="34">
        <f>C53+D53+E53</f>
        <v>47</v>
      </c>
    </row>
    <row r="54">
      <c r="A54" s="32" t="n">
        <v>60474</v>
      </c>
      <c r="B54" s="32" t="inlineStr">
        <is>
          <t>URI PD3421 פומפיה להסרת עור</t>
        </is>
      </c>
      <c r="C54" s="33">
        <f>SUMIF('מקור-06'!$A:$A,$A54,'מקור-06'!$D:$D)</f>
        <v>19</v>
      </c>
      <c r="D54" s="33">
        <f>SUMIF('מקור-07'!$A:$A,$A54,'מקור-07'!$D:$D)</f>
        <v>7</v>
      </c>
      <c r="E54" s="33">
        <f>SUMIF('מקור-08'!$A:$A,$A54,'מקור-08'!$D:$D)</f>
        <v>18</v>
      </c>
      <c r="F54" s="34">
        <f>C54+D54+E54</f>
        <v>44</v>
      </c>
    </row>
    <row r="55">
      <c r="A55" s="32" t="n">
        <v>57690</v>
      </c>
      <c r="B55" s="32" t="inlineStr">
        <is>
          <t>808KT-C   1 טייפ קינזיולוגי</t>
        </is>
      </c>
      <c r="C55" s="33">
        <f>SUMIF('מקור-06'!$A:$A,$A55,'מקור-06'!$D:$D)</f>
        <v>18</v>
      </c>
      <c r="D55" s="33">
        <f>SUMIF('מקור-07'!$A:$A,$A55,'מקור-07'!$D:$D)</f>
        <v>10</v>
      </c>
      <c r="E55" s="33">
        <f>SUMIF('מקור-08'!$A:$A,$A55,'מקור-08'!$D:$D)</f>
        <v>15</v>
      </c>
      <c r="F55" s="34">
        <f>C55+D55+E55</f>
        <v>43</v>
      </c>
    </row>
    <row r="56">
      <c r="A56" s="32" t="n">
        <v>85338</v>
      </c>
      <c r="B56" s="32" t="inlineStr">
        <is>
          <t>URI 302W 0     1 מדרס לאישה</t>
        </is>
      </c>
      <c r="C56" s="33">
        <f>SUMIF('מקור-06'!$A:$A,$A56,'מקור-06'!$D:$D)</f>
        <v>17</v>
      </c>
      <c r="D56" s="33">
        <f>SUMIF('מקור-07'!$A:$A,$A56,'מקור-07'!$D:$D)</f>
        <v>16</v>
      </c>
      <c r="E56" s="33">
        <f>SUMIF('מקור-08'!$A:$A,$A56,'מקור-08'!$D:$D)</f>
        <v>10</v>
      </c>
      <c r="F56" s="34">
        <f>C56+D56+E56</f>
        <v>43</v>
      </c>
    </row>
    <row r="57">
      <c r="A57" s="32" t="n">
        <v>71087</v>
      </c>
      <c r="B57" s="32" t="inlineStr">
        <is>
          <t>URI 078L 1</t>
        </is>
      </c>
      <c r="C57" s="33">
        <f>SUMIF('מקור-06'!$A:$A,$A57,'מקור-06'!$D:$D)</f>
        <v>15</v>
      </c>
      <c r="D57" s="33">
        <f>SUMIF('מקור-07'!$A:$A,$A57,'מקור-07'!$D:$D)</f>
        <v>15</v>
      </c>
      <c r="E57" s="33">
        <f>SUMIF('מקור-08'!$A:$A,$A57,'מקור-08'!$D:$D)</f>
        <v>13</v>
      </c>
      <c r="F57" s="34">
        <f>C57+D57+E57</f>
        <v>43</v>
      </c>
    </row>
    <row r="58">
      <c r="A58" s="32" t="n">
        <v>80182</v>
      </c>
      <c r="B58" s="32" t="inlineStr">
        <is>
          <t>URI 3667        1 מגן בונין</t>
        </is>
      </c>
      <c r="C58" s="33">
        <f>SUMIF('מקור-06'!$A:$A,$A58,'מקור-06'!$D:$D)</f>
        <v>22</v>
      </c>
      <c r="D58" s="33">
        <f>SUMIF('מקור-07'!$A:$A,$A58,'מקור-07'!$D:$D)</f>
        <v>8</v>
      </c>
      <c r="E58" s="33">
        <f>SUMIF('מקור-08'!$A:$A,$A58,'מקור-08'!$D:$D)</f>
        <v>12</v>
      </c>
      <c r="F58" s="34">
        <f>C58+D58+E58</f>
        <v>42</v>
      </c>
    </row>
    <row r="59">
      <c r="A59" s="32" t="n">
        <v>80668</v>
      </c>
      <c r="B59" s="32" t="inlineStr">
        <is>
          <t>URI 320 BLISTER PLASTER 1</t>
        </is>
      </c>
      <c r="C59" s="33">
        <f>SUMIF('מקור-06'!$A:$A,$A59,'מקור-06'!$D:$D)</f>
        <v>11</v>
      </c>
      <c r="D59" s="33">
        <f>SUMIF('מקור-07'!$A:$A,$A59,'מקור-07'!$D:$D)</f>
        <v>17</v>
      </c>
      <c r="E59" s="33">
        <f>SUMIF('מקור-08'!$A:$A,$A59,'מקור-08'!$D:$D)</f>
        <v>13</v>
      </c>
      <c r="F59" s="34">
        <f>C59+D59+E59</f>
        <v>41</v>
      </c>
    </row>
    <row r="60">
      <c r="A60" s="32" t="n">
        <v>83420</v>
      </c>
      <c r="B60" s="32" t="inlineStr">
        <is>
          <t>URI ST4221 מגן ברך +כ סיליק</t>
        </is>
      </c>
      <c r="C60" s="33">
        <f>SUMIF('מקור-06'!$A:$A,$A60,'מקור-06'!$D:$D)</f>
        <v>17</v>
      </c>
      <c r="D60" s="33">
        <f>SUMIF('מקור-07'!$A:$A,$A60,'מקור-07'!$D:$D)</f>
        <v>11</v>
      </c>
      <c r="E60" s="33">
        <f>SUMIF('מקור-08'!$A:$A,$A60,'מקור-08'!$D:$D)</f>
        <v>13</v>
      </c>
      <c r="F60" s="34">
        <f>C60+D60+E60</f>
        <v>41</v>
      </c>
    </row>
    <row r="61">
      <c r="A61" s="32" t="n">
        <v>67960</v>
      </c>
      <c r="B61" s="32" t="inlineStr">
        <is>
          <t>URI 85 S        1 מיתלה ליד</t>
        </is>
      </c>
      <c r="C61" s="33">
        <f>SUMIF('מקור-06'!$A:$A,$A61,'מקור-06'!$D:$D)</f>
        <v>13</v>
      </c>
      <c r="D61" s="33">
        <f>SUMIF('מקור-07'!$A:$A,$A61,'מקור-07'!$D:$D)</f>
        <v>11</v>
      </c>
      <c r="E61" s="33">
        <f>SUMIF('מקור-08'!$A:$A,$A61,'מקור-08'!$D:$D)</f>
        <v>13</v>
      </c>
      <c r="F61" s="34">
        <f>C61+D61+E61</f>
        <v>37</v>
      </c>
    </row>
    <row r="62">
      <c r="A62" s="32" t="n">
        <v>8616</v>
      </c>
      <c r="B62" s="32" t="inlineStr">
        <is>
          <t>URI 3623 1 כרית ליישור אצבע</t>
        </is>
      </c>
      <c r="C62" s="33">
        <f>SUMIF('מקור-06'!$A:$A,$A62,'מקור-06'!$D:$D)</f>
        <v>6</v>
      </c>
      <c r="D62" s="33">
        <f>SUMIF('מקור-07'!$A:$A,$A62,'מקור-07'!$D:$D)</f>
        <v>19</v>
      </c>
      <c r="E62" s="33">
        <f>SUMIF('מקור-08'!$A:$A,$A62,'מקור-08'!$D:$D)</f>
        <v>12</v>
      </c>
      <c r="F62" s="34">
        <f>C62+D62+E62</f>
        <v>37</v>
      </c>
    </row>
    <row r="63">
      <c r="A63" s="32" t="n">
        <v>21003</v>
      </c>
      <c r="B63" s="32" t="inlineStr">
        <is>
          <t>URI 45 XXL        1 מגן ברך</t>
        </is>
      </c>
      <c r="C63" s="33">
        <f>SUMIF('מקור-06'!$A:$A,$A63,'מקור-06'!$D:$D)</f>
        <v>9</v>
      </c>
      <c r="D63" s="33">
        <f>SUMIF('מקור-07'!$A:$A,$A63,'מקור-07'!$D:$D)</f>
        <v>10</v>
      </c>
      <c r="E63" s="33">
        <f>SUMIF('מקור-08'!$A:$A,$A63,'מקור-08'!$D:$D)</f>
        <v>17</v>
      </c>
      <c r="F63" s="34">
        <f>C63+D63+E63</f>
        <v>36</v>
      </c>
    </row>
    <row r="64">
      <c r="A64" s="32" t="n">
        <v>59659</v>
      </c>
      <c r="B64" s="32" t="inlineStr">
        <is>
          <t>URI 369 S-L 1</t>
        </is>
      </c>
      <c r="C64" s="33">
        <f>SUMIF('מקור-06'!$A:$A,$A64,'מקור-06'!$D:$D)</f>
        <v>14</v>
      </c>
      <c r="D64" s="33">
        <f>SUMIF('מקור-07'!$A:$A,$A64,'מקור-07'!$D:$D)</f>
        <v>5</v>
      </c>
      <c r="E64" s="33">
        <f>SUMIF('מקור-08'!$A:$A,$A64,'מקור-08'!$D:$D)</f>
        <v>17</v>
      </c>
      <c r="F64" s="34">
        <f>C64+D64+E64</f>
        <v>36</v>
      </c>
    </row>
    <row r="65">
      <c r="A65" s="32" t="n">
        <v>74684</v>
      </c>
      <c r="B65" s="32" t="inlineStr">
        <is>
          <t>URI 11 XL   1 ח.בטן אורירית</t>
        </is>
      </c>
      <c r="C65" s="33">
        <f>SUMIF('מקור-06'!$A:$A,$A65,'מקור-06'!$D:$D)</f>
        <v>15</v>
      </c>
      <c r="D65" s="33">
        <f>SUMIF('מקור-07'!$A:$A,$A65,'מקור-07'!$D:$D)</f>
        <v>12</v>
      </c>
      <c r="E65" s="33">
        <f>SUMIF('מקור-08'!$A:$A,$A65,'מקור-08'!$D:$D)</f>
        <v>8</v>
      </c>
      <c r="F65" s="34">
        <f>C65+D65+E65</f>
        <v>35</v>
      </c>
    </row>
    <row r="66">
      <c r="A66" s="32" t="n">
        <v>21004</v>
      </c>
      <c r="B66" s="32" t="inlineStr">
        <is>
          <t>URI 45E XXL  1 מגן ברך ארוך</t>
        </is>
      </c>
      <c r="C66" s="33">
        <f>SUMIF('מקור-06'!$A:$A,$A66,'מקור-06'!$D:$D)</f>
        <v>13</v>
      </c>
      <c r="D66" s="33">
        <f>SUMIF('מקור-07'!$A:$A,$A66,'מקור-07'!$D:$D)</f>
        <v>11</v>
      </c>
      <c r="E66" s="33">
        <f>SUMIF('מקור-08'!$A:$A,$A66,'מקור-08'!$D:$D)</f>
        <v>10</v>
      </c>
      <c r="F66" s="34">
        <f>C66+D66+E66</f>
        <v>34</v>
      </c>
    </row>
    <row r="67">
      <c r="A67" s="32" t="n">
        <v>47877</v>
      </c>
      <c r="B67" s="32" t="inlineStr">
        <is>
          <t>URI 21        1 חבק יד ארוך</t>
        </is>
      </c>
      <c r="C67" s="33">
        <f>SUMIF('מקור-06'!$A:$A,$A67,'מקור-06'!$D:$D)</f>
        <v>10</v>
      </c>
      <c r="D67" s="33">
        <f>SUMIF('מקור-07'!$A:$A,$A67,'מקור-07'!$D:$D)</f>
        <v>7</v>
      </c>
      <c r="E67" s="33">
        <f>SUMIF('מקור-08'!$A:$A,$A67,'מקור-08'!$D:$D)</f>
        <v>17</v>
      </c>
      <c r="F67" s="34">
        <f>C67+D67+E67</f>
        <v>34</v>
      </c>
    </row>
    <row r="68">
      <c r="A68" s="32" t="n">
        <v>57664</v>
      </c>
      <c r="B68" s="32" t="inlineStr">
        <is>
          <t>808KT-BL  1 טייפ קינזיולוגי</t>
        </is>
      </c>
      <c r="C68" s="33">
        <f>SUMIF('מקור-06'!$A:$A,$A68,'מקור-06'!$D:$D)</f>
        <v>10</v>
      </c>
      <c r="D68" s="33">
        <f>SUMIF('מקור-07'!$A:$A,$A68,'מקור-07'!$D:$D)</f>
        <v>13</v>
      </c>
      <c r="E68" s="33">
        <f>SUMIF('מקור-08'!$A:$A,$A68,'מקור-08'!$D:$D)</f>
        <v>11</v>
      </c>
      <c r="F68" s="34">
        <f>C68+D68+E68</f>
        <v>34</v>
      </c>
    </row>
    <row r="69">
      <c r="A69" s="32" t="n">
        <v>16213</v>
      </c>
      <c r="B69" s="32" t="inlineStr">
        <is>
          <t>394B-43-461 גרבי קיץ לסוכרת</t>
        </is>
      </c>
      <c r="C69" s="33">
        <f>SUMIF('מקור-06'!$A:$A,$A69,'מקור-06'!$D:$D)</f>
        <v>14</v>
      </c>
      <c r="D69" s="33">
        <f>SUMIF('מקור-07'!$A:$A,$A69,'מקור-07'!$D:$D)</f>
        <v>20</v>
      </c>
      <c r="E69" s="33">
        <f>SUMIF('מקור-08'!$A:$A,$A69,'מקור-08'!$D:$D)</f>
        <v>0</v>
      </c>
      <c r="F69" s="34">
        <f>C69+D69+E69</f>
        <v>34</v>
      </c>
    </row>
    <row r="70">
      <c r="A70" s="32" t="n">
        <v>31190</v>
      </c>
      <c r="B70" s="32" t="inlineStr">
        <is>
          <t>URI 374 1 רפידה בולמת זעזוע</t>
        </is>
      </c>
      <c r="C70" s="33">
        <f>SUMIF('מקור-06'!$A:$A,$A70,'מקור-06'!$D:$D)</f>
        <v>12</v>
      </c>
      <c r="D70" s="33">
        <f>SUMIF('מקור-07'!$A:$A,$A70,'מקור-07'!$D:$D)</f>
        <v>11</v>
      </c>
      <c r="E70" s="33">
        <f>SUMIF('מקור-08'!$A:$A,$A70,'מקור-08'!$D:$D)</f>
        <v>11</v>
      </c>
      <c r="F70" s="34">
        <f>C70+D70+E70</f>
        <v>34</v>
      </c>
    </row>
    <row r="71">
      <c r="A71" s="32" t="n">
        <v>60471</v>
      </c>
      <c r="B71" s="32" t="inlineStr">
        <is>
          <t>URI 365 XL    1 טבעת אלסטית</t>
        </is>
      </c>
      <c r="C71" s="33">
        <f>SUMIF('מקור-06'!$A:$A,$A71,'מקור-06'!$D:$D)</f>
        <v>14</v>
      </c>
      <c r="D71" s="33">
        <f>SUMIF('מקור-07'!$A:$A,$A71,'מקור-07'!$D:$D)</f>
        <v>7</v>
      </c>
      <c r="E71" s="33">
        <f>SUMIF('מקור-08'!$A:$A,$A71,'מקור-08'!$D:$D)</f>
        <v>12</v>
      </c>
      <c r="F71" s="34">
        <f>C71+D71+E71</f>
        <v>33</v>
      </c>
    </row>
    <row r="72">
      <c r="A72" s="32" t="n">
        <v>55868</v>
      </c>
      <c r="B72" s="32" t="inlineStr">
        <is>
          <t>URI 078G XXL1 חגורת גב אפור</t>
        </is>
      </c>
      <c r="C72" s="33">
        <f>SUMIF('מקור-06'!$A:$A,$A72,'מקור-06'!$D:$D)</f>
        <v>12</v>
      </c>
      <c r="D72" s="33">
        <f>SUMIF('מקור-07'!$A:$A,$A72,'מקור-07'!$D:$D)</f>
        <v>11</v>
      </c>
      <c r="E72" s="33">
        <f>SUMIF('מקור-08'!$A:$A,$A72,'מקור-08'!$D:$D)</f>
        <v>10</v>
      </c>
      <c r="F72" s="34">
        <f>C72+D72+E72</f>
        <v>33</v>
      </c>
    </row>
    <row r="73">
      <c r="A73" s="32" t="n">
        <v>59657</v>
      </c>
      <c r="B73" s="32" t="inlineStr">
        <is>
          <t>URI 363 L R 1</t>
        </is>
      </c>
      <c r="C73" s="33">
        <f>SUMIF('מקור-06'!$A:$A,$A73,'מקור-06'!$D:$D)</f>
        <v>13</v>
      </c>
      <c r="D73" s="33">
        <f>SUMIF('מקור-07'!$A:$A,$A73,'מקור-07'!$D:$D)</f>
        <v>13</v>
      </c>
      <c r="E73" s="33">
        <f>SUMIF('מקור-08'!$A:$A,$A73,'מקור-08'!$D:$D)</f>
        <v>7</v>
      </c>
      <c r="F73" s="34">
        <f>C73+D73+E73</f>
        <v>33</v>
      </c>
    </row>
    <row r="74">
      <c r="A74" s="32" t="n">
        <v>71088</v>
      </c>
      <c r="B74" s="32" t="inlineStr">
        <is>
          <t>URI 078XL 1</t>
        </is>
      </c>
      <c r="C74" s="33">
        <f>SUMIF('מקור-06'!$A:$A,$A74,'מקור-06'!$D:$D)</f>
        <v>14</v>
      </c>
      <c r="D74" s="33">
        <f>SUMIF('מקור-07'!$A:$A,$A74,'מקור-07'!$D:$D)</f>
        <v>10</v>
      </c>
      <c r="E74" s="33">
        <f>SUMIF('מקור-08'!$A:$A,$A74,'מקור-08'!$D:$D)</f>
        <v>9</v>
      </c>
      <c r="F74" s="34">
        <f>C74+D74+E74</f>
        <v>33</v>
      </c>
    </row>
    <row r="75">
      <c r="A75" s="32" t="n">
        <v>63416</v>
      </c>
      <c r="B75" s="32" t="inlineStr">
        <is>
          <t>URI 85 XL        1 מתלה ליד</t>
        </is>
      </c>
      <c r="C75" s="33">
        <f>SUMIF('מקור-06'!$A:$A,$A75,'מקור-06'!$D:$D)</f>
        <v>8</v>
      </c>
      <c r="D75" s="33">
        <f>SUMIF('מקור-07'!$A:$A,$A75,'מקור-07'!$D:$D)</f>
        <v>8</v>
      </c>
      <c r="E75" s="33">
        <f>SUMIF('מקור-08'!$A:$A,$A75,'מקור-08'!$D:$D)</f>
        <v>17</v>
      </c>
      <c r="F75" s="34">
        <f>C75+D75+E75</f>
        <v>33</v>
      </c>
    </row>
    <row r="76">
      <c r="A76" s="32" t="n">
        <v>74762</v>
      </c>
      <c r="B76" s="32" t="inlineStr">
        <is>
          <t>URI 34+ L      1 מגן לקרסול</t>
        </is>
      </c>
      <c r="C76" s="33">
        <f>SUMIF('מקור-06'!$A:$A,$A76,'מקור-06'!$D:$D)</f>
        <v>16</v>
      </c>
      <c r="D76" s="33">
        <f>SUMIF('מקור-07'!$A:$A,$A76,'מקור-07'!$D:$D)</f>
        <v>9</v>
      </c>
      <c r="E76" s="33">
        <f>SUMIF('מקור-08'!$A:$A,$A76,'מקור-08'!$D:$D)</f>
        <v>7</v>
      </c>
      <c r="F76" s="34">
        <f>C76+D76+E76</f>
        <v>32</v>
      </c>
    </row>
    <row r="77">
      <c r="A77" s="32" t="n">
        <v>43248</v>
      </c>
      <c r="B77" s="32" t="inlineStr">
        <is>
          <t>397A-35-38      1 גרבי טיסה</t>
        </is>
      </c>
      <c r="C77" s="33">
        <f>SUMIF('מקור-06'!$A:$A,$A77,'מקור-06'!$D:$D)</f>
        <v>7</v>
      </c>
      <c r="D77" s="33">
        <f>SUMIF('מקור-07'!$A:$A,$A77,'מקור-07'!$D:$D)</f>
        <v>12</v>
      </c>
      <c r="E77" s="33">
        <f>SUMIF('מקור-08'!$A:$A,$A77,'מקור-08'!$D:$D)</f>
        <v>13</v>
      </c>
      <c r="F77" s="34">
        <f>C77+D77+E77</f>
        <v>32</v>
      </c>
    </row>
    <row r="78">
      <c r="A78" s="32" t="n">
        <v>67935</v>
      </c>
      <c r="B78" s="32" t="inlineStr">
        <is>
          <t>URI 45 S          1 מגן ברך</t>
        </is>
      </c>
      <c r="C78" s="33">
        <f>SUMIF('מקור-06'!$A:$A,$A78,'מקור-06'!$D:$D)</f>
        <v>12</v>
      </c>
      <c r="D78" s="33">
        <f>SUMIF('מקור-07'!$A:$A,$A78,'מקור-07'!$D:$D)</f>
        <v>9</v>
      </c>
      <c r="E78" s="33">
        <f>SUMIF('מקור-08'!$A:$A,$A78,'מקור-08'!$D:$D)</f>
        <v>11</v>
      </c>
      <c r="F78" s="34">
        <f>C78+D78+E78</f>
        <v>32</v>
      </c>
    </row>
    <row r="79">
      <c r="A79" s="32" t="n">
        <v>19082</v>
      </c>
      <c r="B79" s="32" t="inlineStr">
        <is>
          <t>URI 34 S 1 מגן קרסול ס בעקב</t>
        </is>
      </c>
      <c r="C79" s="33">
        <f>SUMIF('מקור-06'!$A:$A,$A79,'מקור-06'!$D:$D)</f>
        <v>8</v>
      </c>
      <c r="D79" s="33">
        <f>SUMIF('מקור-07'!$A:$A,$A79,'מקור-07'!$D:$D)</f>
        <v>10</v>
      </c>
      <c r="E79" s="33">
        <f>SUMIF('מקור-08'!$A:$A,$A79,'מקור-08'!$D:$D)</f>
        <v>13</v>
      </c>
      <c r="F79" s="34">
        <f>C79+D79+E79</f>
        <v>31</v>
      </c>
    </row>
    <row r="80">
      <c r="A80" s="32" t="n">
        <v>74710</v>
      </c>
      <c r="B80" s="32" t="inlineStr">
        <is>
          <t>URI 21 XL     1 חבק יד ארוך</t>
        </is>
      </c>
      <c r="C80" s="33">
        <f>SUMIF('מקור-06'!$A:$A,$A80,'מקור-06'!$D:$D)</f>
        <v>4</v>
      </c>
      <c r="D80" s="33">
        <f>SUMIF('מקור-07'!$A:$A,$A80,'מקור-07'!$D:$D)</f>
        <v>17</v>
      </c>
      <c r="E80" s="33">
        <f>SUMIF('מקור-08'!$A:$A,$A80,'מקור-08'!$D:$D)</f>
        <v>10</v>
      </c>
      <c r="F80" s="34">
        <f>C80+D80+E80</f>
        <v>31</v>
      </c>
    </row>
    <row r="81">
      <c r="A81" s="32" t="n">
        <v>61962</v>
      </c>
      <c r="B81" s="32" t="inlineStr">
        <is>
          <t>URI 3677 1 מדבקה לשחרור לחץ</t>
        </is>
      </c>
      <c r="C81" s="33">
        <f>SUMIF('מקור-06'!$A:$A,$A81,'מקור-06'!$D:$D)</f>
        <v>9</v>
      </c>
      <c r="D81" s="33">
        <f>SUMIF('מקור-07'!$A:$A,$A81,'מקור-07'!$D:$D)</f>
        <v>8</v>
      </c>
      <c r="E81" s="33">
        <f>SUMIF('מקור-08'!$A:$A,$A81,'מקור-08'!$D:$D)</f>
        <v>13</v>
      </c>
      <c r="F81" s="34">
        <f>C81+D81+E81</f>
        <v>30</v>
      </c>
    </row>
    <row r="82">
      <c r="A82" s="32" t="n">
        <v>61961</v>
      </c>
      <c r="B82" s="32" t="inlineStr">
        <is>
          <t>URI 366S 1 מדבקה לשחרור לחץ</t>
        </is>
      </c>
      <c r="C82" s="33">
        <f>SUMIF('מקור-06'!$A:$A,$A82,'מקור-06'!$D:$D)</f>
        <v>9</v>
      </c>
      <c r="D82" s="33">
        <f>SUMIF('מקור-07'!$A:$A,$A82,'מקור-07'!$D:$D)</f>
        <v>8</v>
      </c>
      <c r="E82" s="33">
        <f>SUMIF('מקור-08'!$A:$A,$A82,'מקור-08'!$D:$D)</f>
        <v>11</v>
      </c>
      <c r="F82" s="34">
        <f>C82+D82+E82</f>
        <v>28</v>
      </c>
    </row>
    <row r="83">
      <c r="A83" s="32" t="n">
        <v>52324</v>
      </c>
      <c r="B83" s="32" t="inlineStr">
        <is>
          <t>URI 078G M 1 חגורת גב אפורה</t>
        </is>
      </c>
      <c r="C83" s="33">
        <f>SUMIF('מקור-06'!$A:$A,$A83,'מקור-06'!$D:$D)</f>
        <v>12</v>
      </c>
      <c r="D83" s="33">
        <f>SUMIF('מקור-07'!$A:$A,$A83,'מקור-07'!$D:$D)</f>
        <v>10</v>
      </c>
      <c r="E83" s="33">
        <f>SUMIF('מקור-08'!$A:$A,$A83,'מקור-08'!$D:$D)</f>
        <v>6</v>
      </c>
      <c r="F83" s="34">
        <f>C83+D83+E83</f>
        <v>28</v>
      </c>
    </row>
    <row r="84">
      <c r="A84" s="32" t="n">
        <v>85165</v>
      </c>
      <c r="B84" s="32" t="inlineStr">
        <is>
          <t>URI 307 XL  1 כרית סיל.לעקב</t>
        </is>
      </c>
      <c r="C84" s="33">
        <f>SUMIF('מקור-06'!$A:$A,$A84,'מקור-06'!$D:$D)</f>
        <v>5</v>
      </c>
      <c r="D84" s="33">
        <f>SUMIF('מקור-07'!$A:$A,$A84,'מקור-07'!$D:$D)</f>
        <v>12</v>
      </c>
      <c r="E84" s="33">
        <f>SUMIF('מקור-08'!$A:$A,$A84,'מקור-08'!$D:$D)</f>
        <v>10</v>
      </c>
      <c r="F84" s="34">
        <f>C84+D84+E84</f>
        <v>27</v>
      </c>
    </row>
    <row r="85">
      <c r="A85" s="32" t="n">
        <v>60473</v>
      </c>
      <c r="B85" s="32" t="inlineStr">
        <is>
          <t>URI PD341 1 מקצוע להסרת עור</t>
        </is>
      </c>
      <c r="C85" s="33">
        <f>SUMIF('מקור-06'!$A:$A,$A85,'מקור-06'!$D:$D)</f>
        <v>9</v>
      </c>
      <c r="D85" s="33">
        <f>SUMIF('מקור-07'!$A:$A,$A85,'מקור-07'!$D:$D)</f>
        <v>10</v>
      </c>
      <c r="E85" s="33">
        <f>SUMIF('מקור-08'!$A:$A,$A85,'מקור-08'!$D:$D)</f>
        <v>7</v>
      </c>
      <c r="F85" s="34">
        <f>C85+D85+E85</f>
        <v>26</v>
      </c>
    </row>
    <row r="86">
      <c r="A86" s="32" t="n">
        <v>52328</v>
      </c>
      <c r="B86" s="32" t="inlineStr">
        <is>
          <t>URI 078G XL 1 חגורת גב אפור</t>
        </is>
      </c>
      <c r="C86" s="33">
        <f>SUMIF('מקור-06'!$A:$A,$A86,'מקור-06'!$D:$D)</f>
        <v>8</v>
      </c>
      <c r="D86" s="33">
        <f>SUMIF('מקור-07'!$A:$A,$A86,'מקור-07'!$D:$D)</f>
        <v>7</v>
      </c>
      <c r="E86" s="33">
        <f>SUMIF('מקור-08'!$A:$A,$A86,'מקור-08'!$D:$D)</f>
        <v>11</v>
      </c>
      <c r="F86" s="34">
        <f>C86+D86+E86</f>
        <v>26</v>
      </c>
    </row>
    <row r="87">
      <c r="A87" s="32" t="n">
        <v>76453</v>
      </c>
      <c r="B87" s="32" t="inlineStr">
        <is>
          <t>URI 3675 1 מגן זרת מסיליקון</t>
        </is>
      </c>
      <c r="C87" s="33">
        <f>SUMIF('מקור-06'!$A:$A,$A87,'מקור-06'!$D:$D)</f>
        <v>8</v>
      </c>
      <c r="D87" s="33">
        <f>SUMIF('מקור-07'!$A:$A,$A87,'מקור-07'!$D:$D)</f>
        <v>11</v>
      </c>
      <c r="E87" s="33">
        <f>SUMIF('מקור-08'!$A:$A,$A87,'מקור-08'!$D:$D)</f>
        <v>6</v>
      </c>
      <c r="F87" s="34">
        <f>C87+D87+E87</f>
        <v>25</v>
      </c>
    </row>
    <row r="88">
      <c r="A88" s="32" t="n">
        <v>74763</v>
      </c>
      <c r="B88" s="32" t="inlineStr">
        <is>
          <t>URI 34+ M       1 מגן קרסול</t>
        </is>
      </c>
      <c r="C88" s="33">
        <f>SUMIF('מקור-06'!$A:$A,$A88,'מקור-06'!$D:$D)</f>
        <v>7</v>
      </c>
      <c r="D88" s="33">
        <f>SUMIF('מקור-07'!$A:$A,$A88,'מקור-07'!$D:$D)</f>
        <v>8</v>
      </c>
      <c r="E88" s="33">
        <f>SUMIF('מקור-08'!$A:$A,$A88,'מקור-08'!$D:$D)</f>
        <v>9</v>
      </c>
      <c r="F88" s="34">
        <f>C88+D88+E88</f>
        <v>24</v>
      </c>
    </row>
    <row r="89">
      <c r="A89" s="32" t="n">
        <v>18559</v>
      </c>
      <c r="B89" s="32" t="inlineStr">
        <is>
          <t>URI 8200    1 כרית חום וקור</t>
        </is>
      </c>
      <c r="C89" s="33">
        <f>SUMIF('מקור-06'!$A:$A,$A89,'מקור-06'!$D:$D)</f>
        <v>4</v>
      </c>
      <c r="D89" s="33">
        <f>SUMIF('מקור-07'!$A:$A,$A89,'מקור-07'!$D:$D)</f>
        <v>12</v>
      </c>
      <c r="E89" s="33">
        <f>SUMIF('מקור-08'!$A:$A,$A89,'מקור-08'!$D:$D)</f>
        <v>8</v>
      </c>
      <c r="F89" s="34">
        <f>C89+D89+E89</f>
        <v>24</v>
      </c>
    </row>
    <row r="90">
      <c r="A90" s="32" t="n">
        <v>63422</v>
      </c>
      <c r="B90" s="32" t="inlineStr">
        <is>
          <t>URI 95 XL        1 מגן מרפק</t>
        </is>
      </c>
      <c r="C90" s="33">
        <f>SUMIF('מקור-06'!$A:$A,$A90,'מקור-06'!$D:$D)</f>
        <v>6</v>
      </c>
      <c r="D90" s="33">
        <f>SUMIF('מקור-07'!$A:$A,$A90,'מקור-07'!$D:$D)</f>
        <v>10</v>
      </c>
      <c r="E90" s="33">
        <f>SUMIF('מקור-08'!$A:$A,$A90,'מקור-08'!$D:$D)</f>
        <v>8</v>
      </c>
      <c r="F90" s="34">
        <f>C90+D90+E90</f>
        <v>24</v>
      </c>
    </row>
    <row r="91">
      <c r="A91" s="32" t="n">
        <v>57696</v>
      </c>
      <c r="B91" s="32" t="inlineStr">
        <is>
          <t>808KT-B   1 טייפ קינזיולוגי</t>
        </is>
      </c>
      <c r="C91" s="33">
        <f>SUMIF('מקור-06'!$A:$A,$A91,'מקור-06'!$D:$D)</f>
        <v>10</v>
      </c>
      <c r="D91" s="33">
        <f>SUMIF('מקור-07'!$A:$A,$A91,'מקור-07'!$D:$D)</f>
        <v>8</v>
      </c>
      <c r="E91" s="33">
        <f>SUMIF('מקור-08'!$A:$A,$A91,'מקור-08'!$D:$D)</f>
        <v>5</v>
      </c>
      <c r="F91" s="34">
        <f>C91+D91+E91</f>
        <v>23</v>
      </c>
    </row>
    <row r="92">
      <c r="A92" s="32" t="n">
        <v>71086</v>
      </c>
      <c r="B92" s="32" t="inlineStr">
        <is>
          <t>URI 078M 1</t>
        </is>
      </c>
      <c r="C92" s="33">
        <f>SUMIF('מקור-06'!$A:$A,$A92,'מקור-06'!$D:$D)</f>
        <v>6</v>
      </c>
      <c r="D92" s="33">
        <f>SUMIF('מקור-07'!$A:$A,$A92,'מקור-07'!$D:$D)</f>
        <v>8</v>
      </c>
      <c r="E92" s="33">
        <f>SUMIF('מקור-08'!$A:$A,$A92,'מקור-08'!$D:$D)</f>
        <v>9</v>
      </c>
      <c r="F92" s="34">
        <f>C92+D92+E92</f>
        <v>23</v>
      </c>
    </row>
    <row r="93">
      <c r="A93" s="32" t="n">
        <v>57662</v>
      </c>
      <c r="B93" s="32" t="inlineStr">
        <is>
          <t>808KT-P   1 טייפ קינזיולוגי</t>
        </is>
      </c>
      <c r="C93" s="33">
        <f>SUMIF('מקור-06'!$A:$A,$A93,'מקור-06'!$D:$D)</f>
        <v>7</v>
      </c>
      <c r="D93" s="33">
        <f>SUMIF('מקור-07'!$A:$A,$A93,'מקור-07'!$D:$D)</f>
        <v>9</v>
      </c>
      <c r="E93" s="33">
        <f>SUMIF('מקור-08'!$A:$A,$A93,'מקור-08'!$D:$D)</f>
        <v>6</v>
      </c>
      <c r="F93" s="34">
        <f>C93+D93+E93</f>
        <v>22</v>
      </c>
    </row>
    <row r="94">
      <c r="A94" s="32" t="n">
        <v>42964</v>
      </c>
      <c r="B94" s="32" t="inlineStr">
        <is>
          <t>URI 45E  1 מגן ברך ארוך לבן</t>
        </is>
      </c>
      <c r="C94" s="33">
        <f>SUMIF('מקור-06'!$A:$A,$A94,'מקור-06'!$D:$D)</f>
        <v>5</v>
      </c>
      <c r="D94" s="33">
        <f>SUMIF('מקור-07'!$A:$A,$A94,'מקור-07'!$D:$D)</f>
        <v>9</v>
      </c>
      <c r="E94" s="33">
        <f>SUMIF('מקור-08'!$A:$A,$A94,'מקור-08'!$D:$D)</f>
        <v>8</v>
      </c>
      <c r="F94" s="34">
        <f>C94+D94+E94</f>
        <v>22</v>
      </c>
    </row>
    <row r="95">
      <c r="A95" s="32" t="n">
        <v>67925</v>
      </c>
      <c r="B95" s="32" t="inlineStr">
        <is>
          <t>URI 35  S   1 מגן קרסול לבן</t>
        </is>
      </c>
      <c r="C95" s="33">
        <f>SUMIF('מקור-06'!$A:$A,$A95,'מקור-06'!$D:$D)</f>
        <v>6</v>
      </c>
      <c r="D95" s="33">
        <f>SUMIF('מקור-07'!$A:$A,$A95,'מקור-07'!$D:$D)</f>
        <v>7</v>
      </c>
      <c r="E95" s="33">
        <f>SUMIF('מקור-08'!$A:$A,$A95,'מקור-08'!$D:$D)</f>
        <v>8</v>
      </c>
      <c r="F95" s="34">
        <f>C95+D95+E95</f>
        <v>21</v>
      </c>
    </row>
    <row r="96">
      <c r="A96" s="32" t="n">
        <v>74682</v>
      </c>
      <c r="B96" s="32" t="inlineStr">
        <is>
          <t>URI 11 L    1 ח.בטן אורירית</t>
        </is>
      </c>
      <c r="C96" s="33">
        <f>SUMIF('מקור-06'!$A:$A,$A96,'מקור-06'!$D:$D)</f>
        <v>6</v>
      </c>
      <c r="D96" s="33">
        <f>SUMIF('מקור-07'!$A:$A,$A96,'מקור-07'!$D:$D)</f>
        <v>8</v>
      </c>
      <c r="E96" s="33">
        <f>SUMIF('מקור-08'!$A:$A,$A96,'מקור-08'!$D:$D)</f>
        <v>7</v>
      </c>
      <c r="F96" s="34">
        <f>C96+D96+E96</f>
        <v>21</v>
      </c>
    </row>
    <row r="97">
      <c r="A97" s="32" t="n">
        <v>61344</v>
      </c>
      <c r="B97" s="32" t="inlineStr">
        <is>
          <t>URI 312 9*5   1 מדבקה גדולה</t>
        </is>
      </c>
      <c r="C97" s="33">
        <f>SUMIF('מקור-06'!$A:$A,$A97,'מקור-06'!$D:$D)</f>
        <v>9</v>
      </c>
      <c r="D97" s="33">
        <f>SUMIF('מקור-07'!$A:$A,$A97,'מקור-07'!$D:$D)</f>
        <v>6</v>
      </c>
      <c r="E97" s="33">
        <f>SUMIF('מקור-08'!$A:$A,$A97,'מקור-08'!$D:$D)</f>
        <v>5</v>
      </c>
      <c r="F97" s="34">
        <f>C97+D97+E97</f>
        <v>20</v>
      </c>
    </row>
    <row r="98">
      <c r="A98" s="32" t="n">
        <v>75762</v>
      </c>
      <c r="B98" s="32" t="inlineStr">
        <is>
          <t>URI 16 L-XL   1 חגורת הריון</t>
        </is>
      </c>
      <c r="C98" s="33">
        <f>SUMIF('מקור-06'!$A:$A,$A98,'מקור-06'!$D:$D)</f>
        <v>5</v>
      </c>
      <c r="D98" s="33">
        <f>SUMIF('מקור-07'!$A:$A,$A98,'מקור-07'!$D:$D)</f>
        <v>8</v>
      </c>
      <c r="E98" s="33">
        <f>SUMIF('מקור-08'!$A:$A,$A98,'מקור-08'!$D:$D)</f>
        <v>7</v>
      </c>
      <c r="F98" s="34">
        <f>C98+D98+E98</f>
        <v>20</v>
      </c>
    </row>
    <row r="99">
      <c r="A99" s="32" t="n">
        <v>75763</v>
      </c>
      <c r="B99" s="32" t="inlineStr">
        <is>
          <t>URI 16 S-M    1 חגורת הריון</t>
        </is>
      </c>
      <c r="C99" s="33">
        <f>SUMIF('מקור-06'!$A:$A,$A99,'מקור-06'!$D:$D)</f>
        <v>6</v>
      </c>
      <c r="D99" s="33">
        <f>SUMIF('מקור-07'!$A:$A,$A99,'מקור-07'!$D:$D)</f>
        <v>7</v>
      </c>
      <c r="E99" s="33">
        <f>SUMIF('מקור-08'!$A:$A,$A99,'מקור-08'!$D:$D)</f>
        <v>6</v>
      </c>
      <c r="F99" s="34">
        <f>C99+D99+E99</f>
        <v>19</v>
      </c>
    </row>
    <row r="100">
      <c r="A100" s="32" t="n">
        <v>35339</v>
      </c>
      <c r="B100" s="32" t="inlineStr">
        <is>
          <t>URI 307 S 1 זוג עקב סיל+נ כ</t>
        </is>
      </c>
      <c r="C100" s="33">
        <f>SUMIF('מקור-06'!$A:$A,$A100,'מקור-06'!$D:$D)</f>
        <v>6</v>
      </c>
      <c r="D100" s="33">
        <f>SUMIF('מקור-07'!$A:$A,$A100,'מקור-07'!$D:$D)</f>
        <v>4</v>
      </c>
      <c r="E100" s="33">
        <f>SUMIF('מקור-08'!$A:$A,$A100,'מקור-08'!$D:$D)</f>
        <v>8</v>
      </c>
      <c r="F100" s="34">
        <f>C100+D100+E100</f>
        <v>18</v>
      </c>
    </row>
    <row r="101">
      <c r="A101" s="32" t="n">
        <v>60484</v>
      </c>
      <c r="B101" s="32" t="inlineStr">
        <is>
          <t>URI 3641 1</t>
        </is>
      </c>
      <c r="C101" s="33">
        <f>SUMIF('מקור-06'!$A:$A,$A101,'מקור-06'!$D:$D)</f>
        <v>6</v>
      </c>
      <c r="D101" s="33">
        <f>SUMIF('מקור-07'!$A:$A,$A101,'מקור-07'!$D:$D)</f>
        <v>6</v>
      </c>
      <c r="E101" s="33">
        <f>SUMIF('מקור-08'!$A:$A,$A101,'מקור-08'!$D:$D)</f>
        <v>6</v>
      </c>
      <c r="F101" s="34">
        <f>C101+D101+E101</f>
        <v>18</v>
      </c>
    </row>
    <row r="102">
      <c r="A102" s="32" t="n">
        <v>79327</v>
      </c>
      <c r="B102" s="32" t="inlineStr">
        <is>
          <t>URI 3611       '1 כרית בנדג</t>
        </is>
      </c>
      <c r="C102" s="33">
        <f>SUMIF('מקור-06'!$A:$A,$A102,'מקור-06'!$D:$D)</f>
        <v>10</v>
      </c>
      <c r="D102" s="33">
        <f>SUMIF('מקור-07'!$A:$A,$A102,'מקור-07'!$D:$D)</f>
        <v>2</v>
      </c>
      <c r="E102" s="33">
        <f>SUMIF('מקור-08'!$A:$A,$A102,'מקור-08'!$D:$D)</f>
        <v>6</v>
      </c>
      <c r="F102" s="34">
        <f>C102+D102+E102</f>
        <v>18</v>
      </c>
    </row>
    <row r="103">
      <c r="A103" s="32" t="n">
        <v>60478</v>
      </c>
      <c r="B103" s="32" t="inlineStr">
        <is>
          <t>URI PD3461 10 סכינים למקצוע</t>
        </is>
      </c>
      <c r="C103" s="33">
        <f>SUMIF('מקור-06'!$A:$A,$A103,'מקור-06'!$D:$D)</f>
        <v>6</v>
      </c>
      <c r="D103" s="33">
        <f>SUMIF('מקור-07'!$A:$A,$A103,'מקור-07'!$D:$D)</f>
        <v>3</v>
      </c>
      <c r="E103" s="33">
        <f>SUMIF('מקור-08'!$A:$A,$A103,'מקור-08'!$D:$D)</f>
        <v>8</v>
      </c>
      <c r="F103" s="34">
        <f>C103+D103+E103</f>
        <v>17</v>
      </c>
    </row>
    <row r="104">
      <c r="A104" s="32" t="n">
        <v>65743</v>
      </c>
      <c r="B104" s="32" t="inlineStr">
        <is>
          <t>URI LF 360   1 מדרס מטטרזלי</t>
        </is>
      </c>
      <c r="C104" s="33">
        <f>SUMIF('מקור-06'!$A:$A,$A104,'מקור-06'!$D:$D)</f>
        <v>3</v>
      </c>
      <c r="D104" s="33">
        <f>SUMIF('מקור-07'!$A:$A,$A104,'מקור-07'!$D:$D)</f>
        <v>7</v>
      </c>
      <c r="E104" s="33">
        <f>SUMIF('מקור-08'!$A:$A,$A104,'מקור-08'!$D:$D)</f>
        <v>7</v>
      </c>
      <c r="F104" s="34">
        <f>C104+D104+E104</f>
        <v>17</v>
      </c>
    </row>
    <row r="105">
      <c r="A105" s="32" t="n">
        <v>16212</v>
      </c>
      <c r="B105" s="32" t="inlineStr">
        <is>
          <t>394B-39-421 גרבי קיץ לסוכרת</t>
        </is>
      </c>
      <c r="C105" s="33">
        <f>SUMIF('מקור-06'!$A:$A,$A105,'מקור-06'!$D:$D)</f>
        <v>3</v>
      </c>
      <c r="D105" s="33">
        <f>SUMIF('מקור-07'!$A:$A,$A105,'מקור-07'!$D:$D)</f>
        <v>14</v>
      </c>
      <c r="E105" s="33">
        <f>SUMIF('מקור-08'!$A:$A,$A105,'מקור-08'!$D:$D)</f>
        <v>0</v>
      </c>
      <c r="F105" s="34">
        <f>C105+D105+E105</f>
        <v>17</v>
      </c>
    </row>
    <row r="106">
      <c r="A106" s="32" t="n">
        <v>68751</v>
      </c>
      <c r="B106" s="32" t="inlineStr">
        <is>
          <t>388B R 1 סד לילה שחור לבוהן</t>
        </is>
      </c>
      <c r="C106" s="33">
        <f>SUMIF('מקור-06'!$A:$A,$A106,'מקור-06'!$D:$D)</f>
        <v>6</v>
      </c>
      <c r="D106" s="33">
        <f>SUMIF('מקור-07'!$A:$A,$A106,'מקור-07'!$D:$D)</f>
        <v>4</v>
      </c>
      <c r="E106" s="33">
        <f>SUMIF('מקור-08'!$A:$A,$A106,'מקור-08'!$D:$D)</f>
        <v>6</v>
      </c>
      <c r="F106" s="34">
        <f>C106+D106+E106</f>
        <v>16</v>
      </c>
    </row>
    <row r="107">
      <c r="A107" s="32" t="n">
        <v>16245</v>
      </c>
      <c r="B107" s="32" t="inlineStr">
        <is>
          <t>394W-43-461 גרבי קיץ לסוכרת</t>
        </is>
      </c>
      <c r="C107" s="33">
        <f>SUMIF('מקור-06'!$A:$A,$A107,'מקור-06'!$D:$D)</f>
        <v>2</v>
      </c>
      <c r="D107" s="33">
        <f>SUMIF('מקור-07'!$A:$A,$A107,'מקור-07'!$D:$D)</f>
        <v>7</v>
      </c>
      <c r="E107" s="33">
        <f>SUMIF('מקור-08'!$A:$A,$A107,'מקור-08'!$D:$D)</f>
        <v>7</v>
      </c>
      <c r="F107" s="34">
        <f>C107+D107+E107</f>
        <v>16</v>
      </c>
    </row>
    <row r="108">
      <c r="A108" s="32" t="n">
        <v>63417</v>
      </c>
      <c r="B108" s="32" t="inlineStr">
        <is>
          <t>URI 87 M1 חגו.לקיבוע תמ.אמה</t>
        </is>
      </c>
      <c r="C108" s="33">
        <f>SUMIF('מקור-06'!$A:$A,$A108,'מקור-06'!$D:$D)</f>
        <v>4</v>
      </c>
      <c r="D108" s="33">
        <f>SUMIF('מקור-07'!$A:$A,$A108,'מקור-07'!$D:$D)</f>
        <v>6</v>
      </c>
      <c r="E108" s="33">
        <f>SUMIF('מקור-08'!$A:$A,$A108,'מקור-08'!$D:$D)</f>
        <v>6</v>
      </c>
      <c r="F108" s="34">
        <f>C108+D108+E108</f>
        <v>16</v>
      </c>
    </row>
    <row r="109">
      <c r="A109" s="32" t="n">
        <v>25386</v>
      </c>
      <c r="B109" s="32" t="inlineStr">
        <is>
          <t>URI 3666  1 מפריד הלקס+כרית</t>
        </is>
      </c>
      <c r="C109" s="33">
        <f>SUMIF('מקור-06'!$A:$A,$A109,'מקור-06'!$D:$D)</f>
        <v>6</v>
      </c>
      <c r="D109" s="33">
        <f>SUMIF('מקור-07'!$A:$A,$A109,'מקור-07'!$D:$D)</f>
        <v>4</v>
      </c>
      <c r="E109" s="33">
        <f>SUMIF('מקור-08'!$A:$A,$A109,'מקור-08'!$D:$D)</f>
        <v>5</v>
      </c>
      <c r="F109" s="34">
        <f>C109+D109+E109</f>
        <v>15</v>
      </c>
    </row>
    <row r="110">
      <c r="A110" s="32" t="n">
        <v>20998</v>
      </c>
      <c r="B110" s="32" t="inlineStr">
        <is>
          <t>URI 11 XXL  1 ח.בטן אורירית</t>
        </is>
      </c>
      <c r="C110" s="33">
        <f>SUMIF('מקור-06'!$A:$A,$A110,'מקור-06'!$D:$D)</f>
        <v>7</v>
      </c>
      <c r="D110" s="33">
        <f>SUMIF('מקור-07'!$A:$A,$A110,'מקור-07'!$D:$D)</f>
        <v>6</v>
      </c>
      <c r="E110" s="33">
        <f>SUMIF('מקור-08'!$A:$A,$A110,'מקור-08'!$D:$D)</f>
        <v>1</v>
      </c>
      <c r="F110" s="34">
        <f>C110+D110+E110</f>
        <v>14</v>
      </c>
    </row>
    <row r="111">
      <c r="A111" s="32" t="n">
        <v>29881</v>
      </c>
      <c r="B111" s="32" t="inlineStr">
        <is>
          <t>URI 34 XXL 1 מגן קרסול סגור</t>
        </is>
      </c>
      <c r="C111" s="33">
        <f>SUMIF('מקור-06'!$A:$A,$A111,'מקור-06'!$D:$D)</f>
        <v>5</v>
      </c>
      <c r="D111" s="33">
        <f>SUMIF('מקור-07'!$A:$A,$A111,'מקור-07'!$D:$D)</f>
        <v>6</v>
      </c>
      <c r="E111" s="33">
        <f>SUMIF('מקור-08'!$A:$A,$A111,'מקור-08'!$D:$D)</f>
        <v>3</v>
      </c>
      <c r="F111" s="34">
        <f>C111+D111+E111</f>
        <v>14</v>
      </c>
    </row>
    <row r="112">
      <c r="A112" s="32" t="n">
        <v>74764</v>
      </c>
      <c r="B112" s="32" t="inlineStr">
        <is>
          <t>URI 34+ XL      1 מגן קרסול</t>
        </is>
      </c>
      <c r="C112" s="33">
        <f>SUMIF('מקור-06'!$A:$A,$A112,'מקור-06'!$D:$D)</f>
        <v>4</v>
      </c>
      <c r="D112" s="33">
        <f>SUMIF('מקור-07'!$A:$A,$A112,'מקור-07'!$D:$D)</f>
        <v>6</v>
      </c>
      <c r="E112" s="33">
        <f>SUMIF('מקור-08'!$A:$A,$A112,'מקור-08'!$D:$D)</f>
        <v>3</v>
      </c>
      <c r="F112" s="34">
        <f>C112+D112+E112</f>
        <v>13</v>
      </c>
    </row>
    <row r="113">
      <c r="A113" s="32" t="n">
        <v>64635</v>
      </c>
      <c r="B113" s="32" t="inlineStr">
        <is>
          <t>URI 390B 43-46   1 גרבי כסף</t>
        </is>
      </c>
      <c r="C113" s="33">
        <f>SUMIF('מקור-06'!$A:$A,$A113,'מקור-06'!$D:$D)</f>
        <v>7</v>
      </c>
      <c r="D113" s="33">
        <f>SUMIF('מקור-07'!$A:$A,$A113,'מקור-07'!$D:$D)</f>
        <v>5</v>
      </c>
      <c r="E113" s="33">
        <f>SUMIF('מקור-08'!$A:$A,$A113,'מקור-08'!$D:$D)</f>
        <v>1</v>
      </c>
      <c r="F113" s="34">
        <f>C113+D113+E113</f>
        <v>13</v>
      </c>
    </row>
    <row r="114">
      <c r="A114" s="32" t="n">
        <v>19083</v>
      </c>
      <c r="B114" s="32" t="inlineStr">
        <is>
          <t>URI 40    1 רצועת פיקה לברך</t>
        </is>
      </c>
      <c r="C114" s="33">
        <f>SUMIF('מקור-06'!$A:$A,$A114,'מקור-06'!$D:$D)</f>
        <v>7</v>
      </c>
      <c r="D114" s="33">
        <f>SUMIF('מקור-07'!$A:$A,$A114,'מקור-07'!$D:$D)</f>
        <v>2</v>
      </c>
      <c r="E114" s="33">
        <f>SUMIF('מקור-08'!$A:$A,$A114,'מקור-08'!$D:$D)</f>
        <v>4</v>
      </c>
      <c r="F114" s="34">
        <f>C114+D114+E114</f>
        <v>13</v>
      </c>
    </row>
    <row r="115">
      <c r="A115" s="32" t="n">
        <v>63419</v>
      </c>
      <c r="B115" s="32" t="inlineStr">
        <is>
          <t>URI 87 XL1 חגו.קיבוע תמ.אמה</t>
        </is>
      </c>
      <c r="C115" s="33">
        <f>SUMIF('מקור-06'!$A:$A,$A115,'מקור-06'!$D:$D)</f>
        <v>6</v>
      </c>
      <c r="D115" s="33">
        <f>SUMIF('מקור-07'!$A:$A,$A115,'מקור-07'!$D:$D)</f>
        <v>4</v>
      </c>
      <c r="E115" s="33">
        <f>SUMIF('מקור-08'!$A:$A,$A115,'מקור-08'!$D:$D)</f>
        <v>3</v>
      </c>
      <c r="F115" s="34">
        <f>C115+D115+E115</f>
        <v>13</v>
      </c>
    </row>
    <row r="116">
      <c r="A116" s="32" t="n">
        <v>74683</v>
      </c>
      <c r="B116" s="32" t="inlineStr">
        <is>
          <t>URI 11 M    1 ח.בטן אורירית</t>
        </is>
      </c>
      <c r="C116" s="33">
        <f>SUMIF('מקור-06'!$A:$A,$A116,'מקור-06'!$D:$D)</f>
        <v>2</v>
      </c>
      <c r="D116" s="33">
        <f>SUMIF('מקור-07'!$A:$A,$A116,'מקור-07'!$D:$D)</f>
        <v>7</v>
      </c>
      <c r="E116" s="33">
        <f>SUMIF('מקור-08'!$A:$A,$A116,'מקור-08'!$D:$D)</f>
        <v>4</v>
      </c>
      <c r="F116" s="34">
        <f>C116+D116+E116</f>
        <v>13</v>
      </c>
    </row>
    <row r="117">
      <c r="A117" s="32" t="n">
        <v>63449</v>
      </c>
      <c r="B117" s="32" t="inlineStr">
        <is>
          <t>URI 40221 רצועה לפיקה +כרית</t>
        </is>
      </c>
      <c r="C117" s="33">
        <f>SUMIF('מקור-06'!$A:$A,$A117,'מקור-06'!$D:$D)</f>
        <v>7</v>
      </c>
      <c r="D117" s="33">
        <f>SUMIF('מקור-07'!$A:$A,$A117,'מקור-07'!$D:$D)</f>
        <v>1</v>
      </c>
      <c r="E117" s="33">
        <f>SUMIF('מקור-08'!$A:$A,$A117,'מקור-08'!$D:$D)</f>
        <v>5</v>
      </c>
      <c r="F117" s="34">
        <f>C117+D117+E117</f>
        <v>13</v>
      </c>
    </row>
    <row r="118">
      <c r="A118" s="32" t="n">
        <v>87819</v>
      </c>
      <c r="B118" s="32" t="inlineStr">
        <is>
          <t>ST433    H 1 מגן ברך עם ציר</t>
        </is>
      </c>
      <c r="C118" s="33">
        <f>SUMIF('מקור-06'!$A:$A,$A118,'מקור-06'!$D:$D)</f>
        <v>2</v>
      </c>
      <c r="D118" s="33">
        <f>SUMIF('מקור-07'!$A:$A,$A118,'מקור-07'!$D:$D)</f>
        <v>6</v>
      </c>
      <c r="E118" s="33">
        <f>SUMIF('מקור-08'!$A:$A,$A118,'מקור-08'!$D:$D)</f>
        <v>4</v>
      </c>
      <c r="F118" s="34">
        <f>C118+D118+E118</f>
        <v>12</v>
      </c>
    </row>
    <row r="119">
      <c r="A119" s="32" t="n">
        <v>45264</v>
      </c>
      <c r="B119" s="32" t="inlineStr">
        <is>
          <t>URI 34+        1 מגן לקרסול</t>
        </is>
      </c>
      <c r="C119" s="33">
        <f>SUMIF('מקור-06'!$A:$A,$A119,'מקור-06'!$D:$D)</f>
        <v>3</v>
      </c>
      <c r="D119" s="33">
        <f>SUMIF('מקור-07'!$A:$A,$A119,'מקור-07'!$D:$D)</f>
        <v>2</v>
      </c>
      <c r="E119" s="33">
        <f>SUMIF('מקור-08'!$A:$A,$A119,'מקור-08'!$D:$D)</f>
        <v>6</v>
      </c>
      <c r="F119" s="34">
        <f>C119+D119+E119</f>
        <v>11</v>
      </c>
    </row>
    <row r="120">
      <c r="A120" s="32" t="n">
        <v>29981</v>
      </c>
      <c r="B120" s="32" t="inlineStr">
        <is>
          <t>URI 35 XXL  1 מגן קרסול לבן</t>
        </is>
      </c>
      <c r="C120" s="33">
        <f>SUMIF('מקור-06'!$A:$A,$A120,'מקור-06'!$D:$D)</f>
        <v>2</v>
      </c>
      <c r="D120" s="33">
        <f>SUMIF('מקור-07'!$A:$A,$A120,'מקור-07'!$D:$D)</f>
        <v>5</v>
      </c>
      <c r="E120" s="33">
        <f>SUMIF('מקור-08'!$A:$A,$A120,'מקור-08'!$D:$D)</f>
        <v>4</v>
      </c>
      <c r="F120" s="34">
        <f>C120+D120+E120</f>
        <v>11</v>
      </c>
    </row>
    <row r="121">
      <c r="A121" s="32" t="n">
        <v>88474</v>
      </c>
      <c r="B121" s="32" t="inlineStr">
        <is>
          <t>URI LF370 0 1 ריפוד סיליקון</t>
        </is>
      </c>
      <c r="C121" s="33">
        <f>SUMIF('מקור-06'!$A:$A,$A121,'מקור-06'!$D:$D)</f>
        <v>2</v>
      </c>
      <c r="D121" s="33">
        <f>SUMIF('מקור-07'!$A:$A,$A121,'מקור-07'!$D:$D)</f>
        <v>3</v>
      </c>
      <c r="E121" s="33">
        <f>SUMIF('מקור-08'!$A:$A,$A121,'מקור-08'!$D:$D)</f>
        <v>6</v>
      </c>
      <c r="F121" s="34">
        <f>C121+D121+E121</f>
        <v>11</v>
      </c>
    </row>
    <row r="122">
      <c r="A122" s="32" t="n">
        <v>63418</v>
      </c>
      <c r="B122" s="32" t="inlineStr">
        <is>
          <t>URI 87 L1 חגו.לקיבוע תמ.אמה</t>
        </is>
      </c>
      <c r="C122" s="33">
        <f>SUMIF('מקור-06'!$A:$A,$A122,'מקור-06'!$D:$D)</f>
        <v>5</v>
      </c>
      <c r="D122" s="33">
        <f>SUMIF('מקור-07'!$A:$A,$A122,'מקור-07'!$D:$D)</f>
        <v>5</v>
      </c>
      <c r="E122" s="33">
        <f>SUMIF('מקור-08'!$A:$A,$A122,'מקור-08'!$D:$D)</f>
        <v>1</v>
      </c>
      <c r="F122" s="34">
        <f>C122+D122+E122</f>
        <v>11</v>
      </c>
    </row>
    <row r="123">
      <c r="A123" s="32" t="n">
        <v>71683</v>
      </c>
      <c r="B123" s="32" t="inlineStr">
        <is>
          <t>URI S 3622 1 מדבקה לשחרור ל</t>
        </is>
      </c>
      <c r="C123" s="33">
        <f>SUMIF('מקור-06'!$A:$A,$A123,'מקור-06'!$D:$D)</f>
        <v>4</v>
      </c>
      <c r="D123" s="33">
        <f>SUMIF('מקור-07'!$A:$A,$A123,'מקור-07'!$D:$D)</f>
        <v>2</v>
      </c>
      <c r="E123" s="33">
        <f>SUMIF('מקור-08'!$A:$A,$A123,'מקור-08'!$D:$D)</f>
        <v>4</v>
      </c>
      <c r="F123" s="34">
        <f>C123+D123+E123</f>
        <v>10</v>
      </c>
    </row>
    <row r="124">
      <c r="A124" s="32" t="n">
        <v>68750</v>
      </c>
      <c r="B124" s="32" t="inlineStr">
        <is>
          <t>388B L 1 סד לילה שחור לבוהן</t>
        </is>
      </c>
      <c r="C124" s="33">
        <f>SUMIF('מקור-06'!$A:$A,$A124,'מקור-06'!$D:$D)</f>
        <v>3</v>
      </c>
      <c r="D124" s="33">
        <f>SUMIF('מקור-07'!$A:$A,$A124,'מקור-07'!$D:$D)</f>
        <v>2</v>
      </c>
      <c r="E124" s="33">
        <f>SUMIF('מקור-08'!$A:$A,$A124,'מקור-08'!$D:$D)</f>
        <v>5</v>
      </c>
      <c r="F124" s="34">
        <f>C124+D124+E124</f>
        <v>10</v>
      </c>
    </row>
    <row r="125">
      <c r="A125" s="32" t="n">
        <v>16244</v>
      </c>
      <c r="B125" s="32" t="inlineStr">
        <is>
          <t>394W-39-421 גרבי קיץ לסוכרת</t>
        </is>
      </c>
      <c r="C125" s="33">
        <f>SUMIF('מקור-06'!$A:$A,$A125,'מקור-06'!$D:$D)</f>
        <v>2</v>
      </c>
      <c r="D125" s="33">
        <f>SUMIF('מקור-07'!$A:$A,$A125,'מקור-07'!$D:$D)</f>
        <v>6</v>
      </c>
      <c r="E125" s="33">
        <f>SUMIF('מקור-08'!$A:$A,$A125,'מקור-08'!$D:$D)</f>
        <v>2</v>
      </c>
      <c r="F125" s="34">
        <f>C125+D125+E125</f>
        <v>10</v>
      </c>
    </row>
    <row r="126">
      <c r="A126" s="32" t="n">
        <v>64638</v>
      </c>
      <c r="B126" s="32" t="inlineStr">
        <is>
          <t>URI 390G 43-46   1 גרבי כסף</t>
        </is>
      </c>
      <c r="C126" s="33">
        <f>SUMIF('מקור-06'!$A:$A,$A126,'מקור-06'!$D:$D)</f>
        <v>1</v>
      </c>
      <c r="D126" s="33">
        <f>SUMIF('מקור-07'!$A:$A,$A126,'מקור-07'!$D:$D)</f>
        <v>4</v>
      </c>
      <c r="E126" s="33">
        <f>SUMIF('מקור-08'!$A:$A,$A126,'מקור-08'!$D:$D)</f>
        <v>4</v>
      </c>
      <c r="F126" s="34">
        <f>C126+D126+E126</f>
        <v>9</v>
      </c>
    </row>
    <row r="127">
      <c r="A127" s="32" t="n">
        <v>16211</v>
      </c>
      <c r="B127" s="32" t="inlineStr">
        <is>
          <t>394B-35-381 גרבי קיץ לסוכרת</t>
        </is>
      </c>
      <c r="C127" s="33">
        <f>SUMIF('מקור-06'!$A:$A,$A127,'מקור-06'!$D:$D)</f>
        <v>2</v>
      </c>
      <c r="D127" s="33">
        <f>SUMIF('מקור-07'!$A:$A,$A127,'מקור-07'!$D:$D)</f>
        <v>2</v>
      </c>
      <c r="E127" s="33">
        <f>SUMIF('מקור-08'!$A:$A,$A127,'מקור-08'!$D:$D)</f>
        <v>5</v>
      </c>
      <c r="F127" s="34">
        <f>C127+D127+E127</f>
        <v>9</v>
      </c>
    </row>
    <row r="128">
      <c r="A128" s="32" t="n">
        <v>74846</v>
      </c>
      <c r="B128" s="32" t="inlineStr">
        <is>
          <t>URI 76 L        1 מיישר כתף</t>
        </is>
      </c>
      <c r="C128" s="33">
        <f>SUMIF('מקור-06'!$A:$A,$A128,'מקור-06'!$D:$D)</f>
        <v>2</v>
      </c>
      <c r="D128" s="33">
        <f>SUMIF('מקור-07'!$A:$A,$A128,'מקור-07'!$D:$D)</f>
        <v>5</v>
      </c>
      <c r="E128" s="33">
        <f>SUMIF('מקור-08'!$A:$A,$A128,'מקור-08'!$D:$D)</f>
        <v>1</v>
      </c>
      <c r="F128" s="34">
        <f>C128+D128+E128</f>
        <v>8</v>
      </c>
    </row>
    <row r="129">
      <c r="A129" s="32" t="n">
        <v>74687</v>
      </c>
      <c r="B129" s="32" t="inlineStr">
        <is>
          <t>URI 11 TO L         1 ח בטן</t>
        </is>
      </c>
      <c r="C129" s="33">
        <f>SUMIF('מקור-06'!$A:$A,$A129,'מקור-06'!$D:$D)</f>
        <v>4</v>
      </c>
      <c r="D129" s="33">
        <f>SUMIF('מקור-07'!$A:$A,$A129,'מקור-07'!$D:$D)</f>
        <v>2</v>
      </c>
      <c r="E129" s="33">
        <f>SUMIF('מקור-08'!$A:$A,$A129,'מקור-08'!$D:$D)</f>
        <v>2</v>
      </c>
      <c r="F129" s="34">
        <f>C129+D129+E129</f>
        <v>8</v>
      </c>
    </row>
    <row r="130">
      <c r="A130" s="32" t="n">
        <v>20996</v>
      </c>
      <c r="B130" s="32" t="inlineStr">
        <is>
          <t>URI 07AU XXL 1</t>
        </is>
      </c>
      <c r="C130" s="33">
        <f>SUMIF('מקור-06'!$A:$A,$A130,'מקור-06'!$D:$D)</f>
        <v>1</v>
      </c>
      <c r="D130" s="33">
        <f>SUMIF('מקור-07'!$A:$A,$A130,'מקור-07'!$D:$D)</f>
        <v>4</v>
      </c>
      <c r="E130" s="33">
        <f>SUMIF('מקור-08'!$A:$A,$A130,'מקור-08'!$D:$D)</f>
        <v>2</v>
      </c>
      <c r="F130" s="34">
        <f>C130+D130+E130</f>
        <v>7</v>
      </c>
    </row>
    <row r="131">
      <c r="A131" s="32" t="n">
        <v>74821</v>
      </c>
      <c r="B131" s="32" t="inlineStr">
        <is>
          <t>URI 59R  M.1 חגורת שבר צד י</t>
        </is>
      </c>
      <c r="C131" s="33">
        <f>SUMIF('מקור-06'!$A:$A,$A131,'מקור-06'!$D:$D)</f>
        <v>2</v>
      </c>
      <c r="D131" s="33">
        <f>SUMIF('מקור-07'!$A:$A,$A131,'מקור-07'!$D:$D)</f>
        <v>3</v>
      </c>
      <c r="E131" s="33">
        <f>SUMIF('מקור-08'!$A:$A,$A131,'מקור-08'!$D:$D)</f>
        <v>2</v>
      </c>
      <c r="F131" s="34">
        <f>C131+D131+E131</f>
        <v>7</v>
      </c>
    </row>
    <row r="132">
      <c r="A132" s="32" t="n">
        <v>82551</v>
      </c>
      <c r="B132" s="32" t="inlineStr">
        <is>
          <t>URI ST11        1 חגורת בטן</t>
        </is>
      </c>
      <c r="C132" s="33">
        <f>SUMIF('מקור-06'!$A:$A,$A132,'מקור-06'!$D:$D)</f>
        <v>1</v>
      </c>
      <c r="D132" s="33">
        <f>SUMIF('מקור-07'!$A:$A,$A132,'מקור-07'!$D:$D)</f>
        <v>3</v>
      </c>
      <c r="E132" s="33">
        <f>SUMIF('מקור-08'!$A:$A,$A132,'מקור-08'!$D:$D)</f>
        <v>3</v>
      </c>
      <c r="F132" s="34">
        <f>C132+D132+E132</f>
        <v>7</v>
      </c>
    </row>
    <row r="133">
      <c r="A133" s="32" t="n">
        <v>88476</v>
      </c>
      <c r="B133" s="32" t="inlineStr">
        <is>
          <t>URI LF373 0 1 ריפוד סיליקון</t>
        </is>
      </c>
      <c r="C133" s="33">
        <f>SUMIF('מקור-06'!$A:$A,$A133,'מקור-06'!$D:$D)</f>
        <v>5</v>
      </c>
      <c r="D133" s="33">
        <f>SUMIF('מקור-07'!$A:$A,$A133,'מקור-07'!$D:$D)</f>
        <v>2</v>
      </c>
      <c r="E133" s="33">
        <f>SUMIF('מקור-08'!$A:$A,$A133,'מקור-08'!$D:$D)</f>
        <v>0</v>
      </c>
      <c r="F133" s="34">
        <f>C133+D133+E133</f>
        <v>7</v>
      </c>
    </row>
    <row r="134">
      <c r="A134" s="32" t="n">
        <v>88477</v>
      </c>
      <c r="B134" s="32" t="inlineStr">
        <is>
          <t>URI LF374 0 1 ריפוד סיליקון</t>
        </is>
      </c>
      <c r="C134" s="33">
        <f>SUMIF('מקור-06'!$A:$A,$A134,'מקור-06'!$D:$D)</f>
        <v>3</v>
      </c>
      <c r="D134" s="33">
        <f>SUMIF('מקור-07'!$A:$A,$A134,'מקור-07'!$D:$D)</f>
        <v>0</v>
      </c>
      <c r="E134" s="33">
        <f>SUMIF('מקור-08'!$A:$A,$A134,'מקור-08'!$D:$D)</f>
        <v>4</v>
      </c>
      <c r="F134" s="34">
        <f>C134+D134+E134</f>
        <v>7</v>
      </c>
    </row>
    <row r="135">
      <c r="A135" s="32" t="n">
        <v>74848</v>
      </c>
      <c r="B135" s="32" t="inlineStr">
        <is>
          <t>URI 76 XL       1 מיישר כתף</t>
        </is>
      </c>
      <c r="C135" s="33">
        <f>SUMIF('מקור-06'!$A:$A,$A135,'מקור-06'!$D:$D)</f>
        <v>2</v>
      </c>
      <c r="D135" s="33">
        <f>SUMIF('מקור-07'!$A:$A,$A135,'מקור-07'!$D:$D)</f>
        <v>1</v>
      </c>
      <c r="E135" s="33">
        <f>SUMIF('מקור-08'!$A:$A,$A135,'מקור-08'!$D:$D)</f>
        <v>3</v>
      </c>
      <c r="F135" s="34">
        <f>C135+D135+E135</f>
        <v>6</v>
      </c>
    </row>
    <row r="136">
      <c r="A136" s="32" t="n">
        <v>52326</v>
      </c>
      <c r="B136" s="32" t="inlineStr">
        <is>
          <t>URI 078G S 1 חגורת גב אפורה</t>
        </is>
      </c>
      <c r="C136" s="33">
        <f>SUMIF('מקור-06'!$A:$A,$A136,'מקור-06'!$D:$D)</f>
        <v>1</v>
      </c>
      <c r="D136" s="33">
        <f>SUMIF('מקור-07'!$A:$A,$A136,'מקור-07'!$D:$D)</f>
        <v>4</v>
      </c>
      <c r="E136" s="33">
        <f>SUMIF('מקור-08'!$A:$A,$A136,'מקור-08'!$D:$D)</f>
        <v>1</v>
      </c>
      <c r="F136" s="34">
        <f>C136+D136+E136</f>
        <v>6</v>
      </c>
    </row>
    <row r="137">
      <c r="A137" s="32" t="n">
        <v>64634</v>
      </c>
      <c r="B137" s="32" t="inlineStr">
        <is>
          <t>URI 390B 39-42   1 גרבי כסף</t>
        </is>
      </c>
      <c r="C137" s="33">
        <f>SUMIF('מקור-06'!$A:$A,$A137,'מקור-06'!$D:$D)</f>
        <v>3</v>
      </c>
      <c r="D137" s="33">
        <f>SUMIF('מקור-07'!$A:$A,$A137,'מקור-07'!$D:$D)</f>
        <v>2</v>
      </c>
      <c r="E137" s="33">
        <f>SUMIF('מקור-08'!$A:$A,$A137,'מקור-08'!$D:$D)</f>
        <v>1</v>
      </c>
      <c r="F137" s="34">
        <f>C137+D137+E137</f>
        <v>6</v>
      </c>
    </row>
    <row r="138">
      <c r="A138" s="32" t="n">
        <v>74670</v>
      </c>
      <c r="B138" s="32" t="inlineStr">
        <is>
          <t>URI 07AU L   1 ח.גב איטלקית</t>
        </is>
      </c>
      <c r="C138" s="33">
        <f>SUMIF('מקור-06'!$A:$A,$A138,'מקור-06'!$D:$D)</f>
        <v>4</v>
      </c>
      <c r="D138" s="33">
        <f>SUMIF('מקור-07'!$A:$A,$A138,'מקור-07'!$D:$D)</f>
        <v>1</v>
      </c>
      <c r="E138" s="33">
        <f>SUMIF('מקור-08'!$A:$A,$A138,'מקור-08'!$D:$D)</f>
        <v>1</v>
      </c>
      <c r="F138" s="34">
        <f>C138+D138+E138</f>
        <v>6</v>
      </c>
    </row>
    <row r="139">
      <c r="A139" s="32" t="n">
        <v>74672</v>
      </c>
      <c r="B139" s="32" t="inlineStr">
        <is>
          <t>URI 07AU XL  1 ח.גב איטלקית</t>
        </is>
      </c>
      <c r="C139" s="33">
        <f>SUMIF('מקור-06'!$A:$A,$A139,'מקור-06'!$D:$D)</f>
        <v>3</v>
      </c>
      <c r="D139" s="33">
        <f>SUMIF('מקור-07'!$A:$A,$A139,'מקור-07'!$D:$D)</f>
        <v>0</v>
      </c>
      <c r="E139" s="33">
        <f>SUMIF('מקור-08'!$A:$A,$A139,'מקור-08'!$D:$D)</f>
        <v>3</v>
      </c>
      <c r="F139" s="34">
        <f>C139+D139+E139</f>
        <v>6</v>
      </c>
    </row>
    <row r="140">
      <c r="A140" s="32" t="n">
        <v>74805</v>
      </c>
      <c r="B140" s="32" t="inlineStr">
        <is>
          <t>URI 49 L          1 מגן ירך</t>
        </is>
      </c>
      <c r="C140" s="33">
        <f>SUMIF('מקור-06'!$A:$A,$A140,'מקור-06'!$D:$D)</f>
        <v>1</v>
      </c>
      <c r="D140" s="33">
        <f>SUMIF('מקור-07'!$A:$A,$A140,'מקור-07'!$D:$D)</f>
        <v>1</v>
      </c>
      <c r="E140" s="33">
        <f>SUMIF('מקור-08'!$A:$A,$A140,'מקור-08'!$D:$D)</f>
        <v>3</v>
      </c>
      <c r="F140" s="34">
        <f>C140+D140+E140</f>
        <v>5</v>
      </c>
    </row>
    <row r="141">
      <c r="A141" s="32" t="n">
        <v>74807</v>
      </c>
      <c r="B141" s="32" t="inlineStr">
        <is>
          <t>URI 49 XL         1 מגן ירך</t>
        </is>
      </c>
      <c r="C141" s="33">
        <f>SUMIF('מקור-06'!$A:$A,$A141,'מקור-06'!$D:$D)</f>
        <v>2</v>
      </c>
      <c r="D141" s="33">
        <f>SUMIF('מקור-07'!$A:$A,$A141,'מקור-07'!$D:$D)</f>
        <v>1</v>
      </c>
      <c r="E141" s="33">
        <f>SUMIF('מקור-08'!$A:$A,$A141,'מקור-08'!$D:$D)</f>
        <v>2</v>
      </c>
      <c r="F141" s="34">
        <f>C141+D141+E141</f>
        <v>5</v>
      </c>
    </row>
    <row r="142">
      <c r="A142" s="32" t="n">
        <v>49772</v>
      </c>
      <c r="B142" s="32" t="inlineStr">
        <is>
          <t>THERMOFLEX 90  1 רצועת טניס</t>
        </is>
      </c>
      <c r="C142" s="33">
        <f>SUMIF('מקור-06'!$A:$A,$A142,'מקור-06'!$D:$D)</f>
        <v>2</v>
      </c>
      <c r="D142" s="33">
        <f>SUMIF('מקור-07'!$A:$A,$A142,'מקור-07'!$D:$D)</f>
        <v>3</v>
      </c>
      <c r="E142" s="33">
        <f>SUMIF('מקור-08'!$A:$A,$A142,'מקור-08'!$D:$D)</f>
        <v>0</v>
      </c>
      <c r="F142" s="34">
        <f>C142+D142+E142</f>
        <v>5</v>
      </c>
    </row>
    <row r="143">
      <c r="A143" s="32" t="n">
        <v>29984</v>
      </c>
      <c r="B143" s="32" t="inlineStr">
        <is>
          <t>URI 95 XS        1 מגן מרפק</t>
        </is>
      </c>
      <c r="C143" s="33">
        <f>SUMIF('מקור-06'!$A:$A,$A143,'מקור-06'!$D:$D)</f>
        <v>1</v>
      </c>
      <c r="D143" s="33">
        <f>SUMIF('מקור-07'!$A:$A,$A143,'מקור-07'!$D:$D)</f>
        <v>1</v>
      </c>
      <c r="E143" s="33">
        <f>SUMIF('מקור-08'!$A:$A,$A143,'מקור-08'!$D:$D)</f>
        <v>3</v>
      </c>
      <c r="F143" s="34">
        <f>C143+D143+E143</f>
        <v>5</v>
      </c>
    </row>
    <row r="144">
      <c r="A144" s="32" t="n">
        <v>16214</v>
      </c>
      <c r="B144" s="32" t="inlineStr">
        <is>
          <t>394-G-35-31 גרבי קיץ לסוכרת</t>
        </is>
      </c>
      <c r="C144" s="33">
        <f>SUMIF('מקור-06'!$A:$A,$A144,'מקור-06'!$D:$D)</f>
        <v>0</v>
      </c>
      <c r="D144" s="33">
        <f>SUMIF('מקור-07'!$A:$A,$A144,'מקור-07'!$D:$D)</f>
        <v>5</v>
      </c>
      <c r="E144" s="33">
        <f>SUMIF('מקור-08'!$A:$A,$A144,'מקור-08'!$D:$D)</f>
        <v>0</v>
      </c>
      <c r="F144" s="34">
        <f>C144+D144+E144</f>
        <v>5</v>
      </c>
    </row>
    <row r="145">
      <c r="A145" s="32" t="n">
        <v>75764</v>
      </c>
      <c r="B145" s="32" t="inlineStr">
        <is>
          <t>URI 16 XXL    1 חגורת הריון</t>
        </is>
      </c>
      <c r="C145" s="33">
        <f>SUMIF('מקור-06'!$A:$A,$A145,'מקור-06'!$D:$D)</f>
        <v>3</v>
      </c>
      <c r="D145" s="33">
        <f>SUMIF('מקור-07'!$A:$A,$A145,'מקור-07'!$D:$D)</f>
        <v>2</v>
      </c>
      <c r="E145" s="33">
        <f>SUMIF('מקור-08'!$A:$A,$A145,'מקור-08'!$D:$D)</f>
        <v>0</v>
      </c>
      <c r="F145" s="34">
        <f>C145+D145+E145</f>
        <v>5</v>
      </c>
    </row>
    <row r="146">
      <c r="A146" s="32" t="n">
        <v>34874</v>
      </c>
      <c r="B146" s="32" t="inlineStr">
        <is>
          <t>URI 333         1 סד לקרסול</t>
        </is>
      </c>
      <c r="C146" s="33">
        <f>SUMIF('מקור-06'!$A:$A,$A146,'מקור-06'!$D:$D)</f>
        <v>0</v>
      </c>
      <c r="D146" s="33">
        <f>SUMIF('מקור-07'!$A:$A,$A146,'מקור-07'!$D:$D)</f>
        <v>2</v>
      </c>
      <c r="E146" s="33">
        <f>SUMIF('מקור-08'!$A:$A,$A146,'מקור-08'!$D:$D)</f>
        <v>2</v>
      </c>
      <c r="F146" s="34">
        <f>C146+D146+E146</f>
        <v>4</v>
      </c>
    </row>
    <row r="147">
      <c r="A147" s="32" t="n">
        <v>86583</v>
      </c>
      <c r="B147" s="32" t="inlineStr">
        <is>
          <t>URI 87 XXL   1 מקבע כתף ויד</t>
        </is>
      </c>
      <c r="C147" s="33">
        <f>SUMIF('מקור-06'!$A:$A,$A147,'מקור-06'!$D:$D)</f>
        <v>0</v>
      </c>
      <c r="D147" s="33">
        <f>SUMIF('מקור-07'!$A:$A,$A147,'מקור-07'!$D:$D)</f>
        <v>1</v>
      </c>
      <c r="E147" s="33">
        <f>SUMIF('מקור-08'!$A:$A,$A147,'מקור-08'!$D:$D)</f>
        <v>3</v>
      </c>
      <c r="F147" s="34">
        <f>C147+D147+E147</f>
        <v>4</v>
      </c>
    </row>
    <row r="148">
      <c r="A148" s="32" t="n">
        <v>74823</v>
      </c>
      <c r="B148" s="32" t="inlineStr">
        <is>
          <t>URI 59L L 1 חגורת שבר לשמאל</t>
        </is>
      </c>
      <c r="C148" s="33">
        <f>SUMIF('מקור-06'!$A:$A,$A148,'מקור-06'!$D:$D)</f>
        <v>1</v>
      </c>
      <c r="D148" s="33">
        <f>SUMIF('מקור-07'!$A:$A,$A148,'מקור-07'!$D:$D)</f>
        <v>2</v>
      </c>
      <c r="E148" s="33">
        <f>SUMIF('מקור-08'!$A:$A,$A148,'מקור-08'!$D:$D)</f>
        <v>1</v>
      </c>
      <c r="F148" s="34">
        <f>C148+D148+E148</f>
        <v>4</v>
      </c>
    </row>
    <row r="149">
      <c r="A149" s="32" t="n">
        <v>74847</v>
      </c>
      <c r="B149" s="32" t="inlineStr">
        <is>
          <t>URI 76 M        1 מיישר כתף</t>
        </is>
      </c>
      <c r="C149" s="33">
        <f>SUMIF('מקור-06'!$A:$A,$A149,'מקור-06'!$D:$D)</f>
        <v>2</v>
      </c>
      <c r="D149" s="33">
        <f>SUMIF('מקור-07'!$A:$A,$A149,'מקור-07'!$D:$D)</f>
        <v>1</v>
      </c>
      <c r="E149" s="33">
        <f>SUMIF('מקור-08'!$A:$A,$A149,'מקור-08'!$D:$D)</f>
        <v>1</v>
      </c>
      <c r="F149" s="34">
        <f>C149+D149+E149</f>
        <v>4</v>
      </c>
    </row>
    <row r="150">
      <c r="A150" s="32" t="n">
        <v>64636</v>
      </c>
      <c r="B150" s="32" t="inlineStr">
        <is>
          <t>URI 390G 35-38   1 גרבי כסף</t>
        </is>
      </c>
      <c r="C150" s="33">
        <f>SUMIF('מקור-06'!$A:$A,$A150,'מקור-06'!$D:$D)</f>
        <v>1</v>
      </c>
      <c r="D150" s="33">
        <f>SUMIF('מקור-07'!$A:$A,$A150,'מקור-07'!$D:$D)</f>
        <v>1</v>
      </c>
      <c r="E150" s="33">
        <f>SUMIF('מקור-08'!$A:$A,$A150,'מקור-08'!$D:$D)</f>
        <v>2</v>
      </c>
      <c r="F150" s="34">
        <f>C150+D150+E150</f>
        <v>4</v>
      </c>
    </row>
    <row r="151">
      <c r="A151" s="32" t="n">
        <v>74988</v>
      </c>
      <c r="B151" s="32" t="inlineStr">
        <is>
          <t>URI T78 M            1 תומך</t>
        </is>
      </c>
      <c r="C151" s="33">
        <f>SUMIF('מקור-06'!$A:$A,$A151,'מקור-06'!$D:$D)</f>
        <v>1</v>
      </c>
      <c r="D151" s="33">
        <f>SUMIF('מקור-07'!$A:$A,$A151,'מקור-07'!$D:$D)</f>
        <v>1</v>
      </c>
      <c r="E151" s="33">
        <f>SUMIF('מקור-08'!$A:$A,$A151,'מקור-08'!$D:$D)</f>
        <v>2</v>
      </c>
      <c r="F151" s="34">
        <f>C151+D151+E151</f>
        <v>4</v>
      </c>
    </row>
    <row r="152">
      <c r="A152" s="32" t="n">
        <v>16217</v>
      </c>
      <c r="B152" s="32" t="inlineStr">
        <is>
          <t>394G-39-421 גרבי קיץ לסוכרת</t>
        </is>
      </c>
      <c r="C152" s="33">
        <f>SUMIF('מקור-06'!$A:$A,$A152,'מקור-06'!$D:$D)</f>
        <v>1</v>
      </c>
      <c r="D152" s="33">
        <f>SUMIF('מקור-07'!$A:$A,$A152,'מקור-07'!$D:$D)</f>
        <v>3</v>
      </c>
      <c r="E152" s="33">
        <f>SUMIF('מקור-08'!$A:$A,$A152,'מקור-08'!$D:$D)</f>
        <v>0</v>
      </c>
      <c r="F152" s="34">
        <f>C152+D152+E152</f>
        <v>4</v>
      </c>
    </row>
    <row r="153">
      <c r="A153" s="32" t="n">
        <v>74827</v>
      </c>
      <c r="B153" s="32" t="inlineStr">
        <is>
          <t>URI 59D M 1 חגורת שבר דו צד</t>
        </is>
      </c>
      <c r="C153" s="33">
        <f>SUMIF('מקור-06'!$A:$A,$A153,'מקור-06'!$D:$D)</f>
        <v>3</v>
      </c>
      <c r="D153" s="33">
        <f>SUMIF('מקור-07'!$A:$A,$A153,'מקור-07'!$D:$D)</f>
        <v>0</v>
      </c>
      <c r="E153" s="33">
        <f>SUMIF('מקור-08'!$A:$A,$A153,'מקור-08'!$D:$D)</f>
        <v>0</v>
      </c>
      <c r="F153" s="34">
        <f>C153+D153+E153</f>
        <v>3</v>
      </c>
    </row>
    <row r="154">
      <c r="A154" s="32" t="n">
        <v>74932</v>
      </c>
      <c r="B154" s="32" t="inlineStr">
        <is>
          <t>URI T39 XL        1 מגן שוק</t>
        </is>
      </c>
      <c r="C154" s="33">
        <f>SUMIF('מקור-06'!$A:$A,$A154,'מקור-06'!$D:$D)</f>
        <v>0</v>
      </c>
      <c r="D154" s="33">
        <f>SUMIF('מקור-07'!$A:$A,$A154,'מקור-07'!$D:$D)</f>
        <v>1</v>
      </c>
      <c r="E154" s="33">
        <f>SUMIF('מקור-08'!$A:$A,$A154,'מקור-08'!$D:$D)</f>
        <v>2</v>
      </c>
      <c r="F154" s="34">
        <f>C154+D154+E154</f>
        <v>3</v>
      </c>
    </row>
    <row r="155">
      <c r="A155" s="32" t="n">
        <v>87828</v>
      </c>
      <c r="B155" s="32" t="inlineStr">
        <is>
          <t>ST49              1 מגן ירך</t>
        </is>
      </c>
      <c r="C155" s="33">
        <f>SUMIF('מקור-06'!$A:$A,$A155,'מקור-06'!$D:$D)</f>
        <v>2</v>
      </c>
      <c r="D155" s="33">
        <f>SUMIF('מקור-07'!$A:$A,$A155,'מקור-07'!$D:$D)</f>
        <v>0</v>
      </c>
      <c r="E155" s="33">
        <f>SUMIF('מקור-08'!$A:$A,$A155,'מקור-08'!$D:$D)</f>
        <v>1</v>
      </c>
      <c r="F155" s="34">
        <f>C155+D155+E155</f>
        <v>3</v>
      </c>
    </row>
    <row r="156">
      <c r="A156" s="32" t="n">
        <v>16239</v>
      </c>
      <c r="B156" s="32" t="inlineStr">
        <is>
          <t>394W-35-381 גרבי קיץ לסוכרת</t>
        </is>
      </c>
      <c r="C156" s="33">
        <f>SUMIF('מקור-06'!$A:$A,$A156,'מקור-06'!$D:$D)</f>
        <v>1</v>
      </c>
      <c r="D156" s="33">
        <f>SUMIF('מקור-07'!$A:$A,$A156,'מקור-07'!$D:$D)</f>
        <v>1</v>
      </c>
      <c r="E156" s="33">
        <f>SUMIF('מקור-08'!$A:$A,$A156,'מקור-08'!$D:$D)</f>
        <v>1</v>
      </c>
      <c r="F156" s="34">
        <f>C156+D156+E156</f>
        <v>3</v>
      </c>
    </row>
    <row r="157">
      <c r="A157" s="32" t="n">
        <v>50061</v>
      </c>
      <c r="B157" s="32" t="inlineStr">
        <is>
          <t>URI 87 S 1 חגו.קיבוע תמ.אמה</t>
        </is>
      </c>
      <c r="C157" s="33">
        <f>SUMIF('מקור-06'!$A:$A,$A157,'מקור-06'!$D:$D)</f>
        <v>0</v>
      </c>
      <c r="D157" s="33">
        <f>SUMIF('מקור-07'!$A:$A,$A157,'מקור-07'!$D:$D)</f>
        <v>1</v>
      </c>
      <c r="E157" s="33">
        <f>SUMIF('מקור-08'!$A:$A,$A157,'מקור-08'!$D:$D)</f>
        <v>2</v>
      </c>
      <c r="F157" s="34">
        <f>C157+D157+E157</f>
        <v>3</v>
      </c>
    </row>
    <row r="158">
      <c r="A158" s="32" t="n">
        <v>43423</v>
      </c>
      <c r="B158" s="32" t="inlineStr">
        <is>
          <t>SH422 3  1 תומך ברך גנושילד</t>
        </is>
      </c>
      <c r="C158" s="33">
        <f>SUMIF('מקור-06'!$A:$A,$A158,'מקור-06'!$D:$D)</f>
        <v>0</v>
      </c>
      <c r="D158" s="33">
        <f>SUMIF('מקור-07'!$A:$A,$A158,'מקור-07'!$D:$D)</f>
        <v>0</v>
      </c>
      <c r="E158" s="33">
        <f>SUMIF('מקור-08'!$A:$A,$A158,'מקור-08'!$D:$D)</f>
        <v>3</v>
      </c>
      <c r="F158" s="34">
        <f>C158+D158+E158</f>
        <v>3</v>
      </c>
    </row>
    <row r="159">
      <c r="A159" s="32" t="n">
        <v>43447</v>
      </c>
      <c r="B159" s="32" t="inlineStr">
        <is>
          <t>SH422 4  1 תומך ברך גנושילד</t>
        </is>
      </c>
      <c r="C159" s="33">
        <f>SUMIF('מקור-06'!$A:$A,$A159,'מקור-06'!$D:$D)</f>
        <v>0</v>
      </c>
      <c r="D159" s="33">
        <f>SUMIF('מקור-07'!$A:$A,$A159,'מקור-07'!$D:$D)</f>
        <v>0</v>
      </c>
      <c r="E159" s="33">
        <f>SUMIF('מקור-08'!$A:$A,$A159,'מקור-08'!$D:$D)</f>
        <v>3</v>
      </c>
      <c r="F159" s="34">
        <f>C159+D159+E159</f>
        <v>3</v>
      </c>
    </row>
    <row r="160">
      <c r="A160" s="32" t="n">
        <v>74688</v>
      </c>
      <c r="B160" s="32" t="inlineStr">
        <is>
          <t>URI 11 TO XL        1 ח בטן</t>
        </is>
      </c>
      <c r="C160" s="33">
        <f>SUMIF('מקור-06'!$A:$A,$A160,'מקור-06'!$D:$D)</f>
        <v>1</v>
      </c>
      <c r="D160" s="33">
        <f>SUMIF('מקור-07'!$A:$A,$A160,'מקור-07'!$D:$D)</f>
        <v>2</v>
      </c>
      <c r="E160" s="33">
        <f>SUMIF('מקור-08'!$A:$A,$A160,'מקור-08'!$D:$D)</f>
        <v>0</v>
      </c>
      <c r="F160" s="34">
        <f>C160+D160+E160</f>
        <v>3</v>
      </c>
    </row>
    <row r="161">
      <c r="A161" s="32" t="n">
        <v>74828</v>
      </c>
      <c r="B161" s="32" t="inlineStr">
        <is>
          <t>URI 59D XL1 חגורת שבר דו צד</t>
        </is>
      </c>
      <c r="C161" s="33">
        <f>SUMIF('מקור-06'!$A:$A,$A161,'מקור-06'!$D:$D)</f>
        <v>0</v>
      </c>
      <c r="D161" s="33">
        <f>SUMIF('מקור-07'!$A:$A,$A161,'מקור-07'!$D:$D)</f>
        <v>1</v>
      </c>
      <c r="E161" s="33">
        <f>SUMIF('מקור-08'!$A:$A,$A161,'מקור-08'!$D:$D)</f>
        <v>1</v>
      </c>
      <c r="F161" s="34">
        <f>C161+D161+E161</f>
        <v>2</v>
      </c>
    </row>
    <row r="162">
      <c r="A162" s="32" t="n">
        <v>29793</v>
      </c>
      <c r="B162" s="32" t="inlineStr">
        <is>
          <t>URI 11STO XL1 חגורה אחר נית</t>
        </is>
      </c>
      <c r="C162" s="33">
        <f>SUMIF('מקור-06'!$A:$A,$A162,'מקור-06'!$D:$D)</f>
        <v>0</v>
      </c>
      <c r="D162" s="33">
        <f>SUMIF('מקור-07'!$A:$A,$A162,'מקור-07'!$D:$D)</f>
        <v>0</v>
      </c>
      <c r="E162" s="33">
        <f>SUMIF('מקור-08'!$A:$A,$A162,'מקור-08'!$D:$D)</f>
        <v>2</v>
      </c>
      <c r="F162" s="34">
        <f>C162+D162+E162</f>
        <v>2</v>
      </c>
    </row>
    <row r="163">
      <c r="A163" s="32" t="n">
        <v>64632</v>
      </c>
      <c r="B163" s="32" t="inlineStr">
        <is>
          <t>URI 390W 43-46   1 גרבי כסף</t>
        </is>
      </c>
      <c r="C163" s="33">
        <f>SUMIF('מקור-06'!$A:$A,$A163,'מקור-06'!$D:$D)</f>
        <v>1</v>
      </c>
      <c r="D163" s="33">
        <f>SUMIF('מקור-07'!$A:$A,$A163,'מקור-07'!$D:$D)</f>
        <v>1</v>
      </c>
      <c r="E163" s="33">
        <f>SUMIF('מקור-08'!$A:$A,$A163,'מקור-08'!$D:$D)</f>
        <v>0</v>
      </c>
      <c r="F163" s="34">
        <f>C163+D163+E163</f>
        <v>2</v>
      </c>
    </row>
    <row r="164">
      <c r="A164" s="32" t="n">
        <v>37498</v>
      </c>
      <c r="B164" s="32" t="inlineStr">
        <is>
          <t>URI SH333      1 מקבע קרסול</t>
        </is>
      </c>
      <c r="C164" s="33">
        <f>SUMIF('מקור-06'!$A:$A,$A164,'מקור-06'!$D:$D)</f>
        <v>0</v>
      </c>
      <c r="D164" s="33">
        <f>SUMIF('מקור-07'!$A:$A,$A164,'מקור-07'!$D:$D)</f>
        <v>1</v>
      </c>
      <c r="E164" s="33">
        <f>SUMIF('מקור-08'!$A:$A,$A164,'מקור-08'!$D:$D)</f>
        <v>1</v>
      </c>
      <c r="F164" s="34">
        <f>C164+D164+E164</f>
        <v>2</v>
      </c>
    </row>
    <row r="165">
      <c r="A165" s="32" t="n">
        <v>74918</v>
      </c>
      <c r="B165" s="32" t="inlineStr">
        <is>
          <t>URI T33 L       1 סד לקרסול</t>
        </is>
      </c>
      <c r="C165" s="33">
        <f>SUMIF('מקור-06'!$A:$A,$A165,'מקור-06'!$D:$D)</f>
        <v>0</v>
      </c>
      <c r="D165" s="33">
        <f>SUMIF('מקור-07'!$A:$A,$A165,'מקור-07'!$D:$D)</f>
        <v>1</v>
      </c>
      <c r="E165" s="33">
        <f>SUMIF('מקור-08'!$A:$A,$A165,'מקור-08'!$D:$D)</f>
        <v>1</v>
      </c>
      <c r="F165" s="34">
        <f>C165+D165+E165</f>
        <v>2</v>
      </c>
    </row>
    <row r="166">
      <c r="A166" s="32" t="n">
        <v>74920</v>
      </c>
      <c r="B166" s="32" t="inlineStr">
        <is>
          <t>URI T33 XL      1 סד לקרסול</t>
        </is>
      </c>
      <c r="C166" s="33">
        <f>SUMIF('מקור-06'!$A:$A,$A166,'מקור-06'!$D:$D)</f>
        <v>0</v>
      </c>
      <c r="D166" s="33">
        <f>SUMIF('מקור-07'!$A:$A,$A166,'מקור-07'!$D:$D)</f>
        <v>0</v>
      </c>
      <c r="E166" s="33">
        <f>SUMIF('מקור-08'!$A:$A,$A166,'מקור-08'!$D:$D)</f>
        <v>2</v>
      </c>
      <c r="F166" s="34">
        <f>C166+D166+E166</f>
        <v>2</v>
      </c>
    </row>
    <row r="167">
      <c r="A167" s="32" t="n">
        <v>46308</v>
      </c>
      <c r="B167" s="32" t="inlineStr">
        <is>
          <t>STRAP4U 239P S-M 1</t>
        </is>
      </c>
      <c r="C167" s="33">
        <f>SUMIF('מקור-06'!$A:$A,$A167,'מקור-06'!$D:$D)</f>
        <v>0</v>
      </c>
      <c r="D167" s="33">
        <f>SUMIF('מקור-07'!$A:$A,$A167,'מקור-07'!$D:$D)</f>
        <v>2</v>
      </c>
      <c r="E167" s="33">
        <f>SUMIF('מקור-08'!$A:$A,$A167,'מקור-08'!$D:$D)</f>
        <v>0</v>
      </c>
      <c r="F167" s="34">
        <f>C167+D167+E167</f>
        <v>2</v>
      </c>
    </row>
    <row r="168">
      <c r="A168" s="32" t="n">
        <v>74987</v>
      </c>
      <c r="B168" s="32" t="inlineStr">
        <is>
          <t>URI T78 L            1 תומך</t>
        </is>
      </c>
      <c r="C168" s="33">
        <f>SUMIF('מקור-06'!$A:$A,$A168,'מקור-06'!$D:$D)</f>
        <v>1</v>
      </c>
      <c r="D168" s="33">
        <f>SUMIF('מקור-07'!$A:$A,$A168,'מקור-07'!$D:$D)</f>
        <v>0</v>
      </c>
      <c r="E168" s="33">
        <f>SUMIF('מקור-08'!$A:$A,$A168,'מקור-08'!$D:$D)</f>
        <v>1</v>
      </c>
      <c r="F168" s="34">
        <f>C168+D168+E168</f>
        <v>2</v>
      </c>
    </row>
    <row r="169">
      <c r="A169" s="32" t="n">
        <v>67898</v>
      </c>
      <c r="B169" s="32" t="inlineStr">
        <is>
          <t>חגורה למנותחי בית חזה</t>
        </is>
      </c>
      <c r="C169" s="33">
        <f>SUMIF('מקור-06'!$A:$A,$A169,'מקור-06'!$D:$D)</f>
        <v>0</v>
      </c>
      <c r="D169" s="33">
        <f>SUMIF('מקור-07'!$A:$A,$A169,'מקור-07'!$D:$D)</f>
        <v>0</v>
      </c>
      <c r="E169" s="33">
        <f>SUMIF('מקור-08'!$A:$A,$A169,'מקור-08'!$D:$D)</f>
        <v>2</v>
      </c>
      <c r="F169" s="34">
        <f>C169+D169+E169</f>
        <v>2</v>
      </c>
    </row>
    <row r="170">
      <c r="A170" s="32" t="n">
        <v>16237</v>
      </c>
      <c r="B170" s="32" t="inlineStr">
        <is>
          <t>394G-43-461 גרבי קיץ לסוכרת</t>
        </is>
      </c>
      <c r="C170" s="33">
        <f>SUMIF('מקור-06'!$A:$A,$A170,'מקור-06'!$D:$D)</f>
        <v>1</v>
      </c>
      <c r="D170" s="33">
        <f>SUMIF('מקור-07'!$A:$A,$A170,'מקור-07'!$D:$D)</f>
        <v>1</v>
      </c>
      <c r="E170" s="33">
        <f>SUMIF('מקור-08'!$A:$A,$A170,'מקור-08'!$D:$D)</f>
        <v>0</v>
      </c>
      <c r="F170" s="34">
        <f>C170+D170+E170</f>
        <v>2</v>
      </c>
    </row>
    <row r="171">
      <c r="A171" s="32" t="n">
        <v>50057</v>
      </c>
      <c r="B171" s="32" t="inlineStr">
        <is>
          <t>URI 76          1 מיישר כתף</t>
        </is>
      </c>
      <c r="C171" s="33">
        <f>SUMIF('מקור-06'!$A:$A,$A171,'מקור-06'!$D:$D)</f>
        <v>0</v>
      </c>
      <c r="D171" s="33">
        <f>SUMIF('מקור-07'!$A:$A,$A171,'מקור-07'!$D:$D)</f>
        <v>1</v>
      </c>
      <c r="E171" s="33">
        <f>SUMIF('מקור-08'!$A:$A,$A171,'מקור-08'!$D:$D)</f>
        <v>1</v>
      </c>
      <c r="F171" s="34">
        <f>C171+D171+E171</f>
        <v>2</v>
      </c>
    </row>
    <row r="172">
      <c r="A172" s="32" t="n">
        <v>88480</v>
      </c>
      <c r="B172" s="32" t="inlineStr">
        <is>
          <t>URI LF377 S  1 מדרס סיליקון</t>
        </is>
      </c>
      <c r="C172" s="33">
        <f>SUMIF('מקור-06'!$A:$A,$A172,'מקור-06'!$D:$D)</f>
        <v>0</v>
      </c>
      <c r="D172" s="33">
        <f>SUMIF('מקור-07'!$A:$A,$A172,'מקור-07'!$D:$D)</f>
        <v>2</v>
      </c>
      <c r="E172" s="33">
        <f>SUMIF('מקור-08'!$A:$A,$A172,'מקור-08'!$D:$D)</f>
        <v>0</v>
      </c>
      <c r="F172" s="34">
        <f>C172+D172+E172</f>
        <v>2</v>
      </c>
    </row>
    <row r="173">
      <c r="A173" s="32" t="n">
        <v>74671</v>
      </c>
      <c r="B173" s="32" t="inlineStr">
        <is>
          <t>URI 07AU M   1 ח גב איטלקית</t>
        </is>
      </c>
      <c r="C173" s="33">
        <f>SUMIF('מקור-06'!$A:$A,$A173,'מקור-06'!$D:$D)</f>
        <v>1</v>
      </c>
      <c r="D173" s="33">
        <f>SUMIF('מקור-07'!$A:$A,$A173,'מקור-07'!$D:$D)</f>
        <v>0</v>
      </c>
      <c r="E173" s="33">
        <f>SUMIF('מקור-08'!$A:$A,$A173,'מקור-08'!$D:$D)</f>
        <v>1</v>
      </c>
      <c r="F173" s="34">
        <f>C173+D173+E173</f>
        <v>2</v>
      </c>
    </row>
    <row r="174">
      <c r="A174" s="32" t="n">
        <v>43454</v>
      </c>
      <c r="B174" s="32" t="inlineStr">
        <is>
          <t>SH422 5  1 תומך ברך גנושילד</t>
        </is>
      </c>
      <c r="C174" s="33">
        <f>SUMIF('מקור-06'!$A:$A,$A174,'מקור-06'!$D:$D)</f>
        <v>0</v>
      </c>
      <c r="D174" s="33">
        <f>SUMIF('מקור-07'!$A:$A,$A174,'מקור-07'!$D:$D)</f>
        <v>1</v>
      </c>
      <c r="E174" s="33">
        <f>SUMIF('מקור-08'!$A:$A,$A174,'מקור-08'!$D:$D)</f>
        <v>1</v>
      </c>
      <c r="F174" s="34">
        <f>C174+D174+E174</f>
        <v>2</v>
      </c>
    </row>
    <row r="175">
      <c r="A175" s="32" t="n">
        <v>67056</v>
      </c>
      <c r="B175" s="32" t="inlineStr">
        <is>
          <t>URI 95 XXL       1 מגן מרפק</t>
        </is>
      </c>
      <c r="C175" s="33">
        <f>SUMIF('מקור-06'!$A:$A,$A175,'מקור-06'!$D:$D)</f>
        <v>1</v>
      </c>
      <c r="D175" s="33">
        <f>SUMIF('מקור-07'!$A:$A,$A175,'מקור-07'!$D:$D)</f>
        <v>1</v>
      </c>
      <c r="E175" s="33">
        <f>SUMIF('מקור-08'!$A:$A,$A175,'מקור-08'!$D:$D)</f>
        <v>0</v>
      </c>
      <c r="F175" s="34">
        <f>C175+D175+E175</f>
        <v>2</v>
      </c>
    </row>
    <row r="176">
      <c r="A176" s="32" t="n">
        <v>33829</v>
      </c>
      <c r="B176" s="32" t="inlineStr">
        <is>
          <t>URI 59 L  1 חגורת שבר לשמאל</t>
        </is>
      </c>
      <c r="C176" s="33">
        <f>SUMIF('מקור-06'!$A:$A,$A176,'מקור-06'!$D:$D)</f>
        <v>1</v>
      </c>
      <c r="D176" s="33">
        <f>SUMIF('מקור-07'!$A:$A,$A176,'מקור-07'!$D:$D)</f>
        <v>0</v>
      </c>
      <c r="E176" s="33">
        <f>SUMIF('מקור-08'!$A:$A,$A176,'מקור-08'!$D:$D)</f>
        <v>0</v>
      </c>
      <c r="F176" s="34">
        <f>C176+D176+E176</f>
        <v>1</v>
      </c>
    </row>
    <row r="177">
      <c r="A177" s="32" t="n">
        <v>74806</v>
      </c>
      <c r="B177" s="32" t="inlineStr">
        <is>
          <t>URI 49 M          1 מגן ירך</t>
        </is>
      </c>
      <c r="C177" s="33">
        <f>SUMIF('מקור-06'!$A:$A,$A177,'מקור-06'!$D:$D)</f>
        <v>0</v>
      </c>
      <c r="D177" s="33">
        <f>SUMIF('מקור-07'!$A:$A,$A177,'מקור-07'!$D:$D)</f>
        <v>1</v>
      </c>
      <c r="E177" s="33">
        <f>SUMIF('מקור-08'!$A:$A,$A177,'מקור-08'!$D:$D)</f>
        <v>0</v>
      </c>
      <c r="F177" s="34">
        <f>C177+D177+E177</f>
        <v>1</v>
      </c>
    </row>
    <row r="178">
      <c r="A178" s="32" t="n">
        <v>74820</v>
      </c>
      <c r="B178" s="32" t="inlineStr">
        <is>
          <t>URI 59R L.1 חגורת שבר לצד י</t>
        </is>
      </c>
      <c r="C178" s="33">
        <f>SUMIF('מקור-06'!$A:$A,$A178,'מקור-06'!$D:$D)</f>
        <v>1</v>
      </c>
      <c r="D178" s="33">
        <f>SUMIF('מקור-07'!$A:$A,$A178,'מקור-07'!$D:$D)</f>
        <v>0</v>
      </c>
      <c r="E178" s="33">
        <f>SUMIF('מקור-08'!$A:$A,$A178,'מקור-08'!$D:$D)</f>
        <v>0</v>
      </c>
      <c r="F178" s="34">
        <f>C178+D178+E178</f>
        <v>1</v>
      </c>
    </row>
    <row r="179">
      <c r="A179" s="32" t="n">
        <v>29794</v>
      </c>
      <c r="B179" s="32" t="inlineStr">
        <is>
          <t>URI 11STO XXL1 חגורה א ניתו</t>
        </is>
      </c>
      <c r="C179" s="33">
        <f>SUMIF('מקור-06'!$A:$A,$A179,'מקור-06'!$D:$D)</f>
        <v>0</v>
      </c>
      <c r="D179" s="33">
        <f>SUMIF('מקור-07'!$A:$A,$A179,'מקור-07'!$D:$D)</f>
        <v>0</v>
      </c>
      <c r="E179" s="33">
        <f>SUMIF('מקור-08'!$A:$A,$A179,'מקור-08'!$D:$D)</f>
        <v>1</v>
      </c>
      <c r="F179" s="34">
        <f>C179+D179+E179</f>
        <v>1</v>
      </c>
    </row>
    <row r="180">
      <c r="A180" s="32" t="n">
        <v>64630</v>
      </c>
      <c r="B180" s="32" t="inlineStr">
        <is>
          <t>URI 390W 35-38   1 גרבי כסף</t>
        </is>
      </c>
      <c r="C180" s="33">
        <f>SUMIF('מקור-06'!$A:$A,$A180,'מקור-06'!$D:$D)</f>
        <v>1</v>
      </c>
      <c r="D180" s="33">
        <f>SUMIF('מקור-07'!$A:$A,$A180,'מקור-07'!$D:$D)</f>
        <v>0</v>
      </c>
      <c r="E180" s="33">
        <f>SUMIF('מקור-08'!$A:$A,$A180,'מקור-08'!$D:$D)</f>
        <v>0</v>
      </c>
      <c r="F180" s="34">
        <f>C180+D180+E180</f>
        <v>1</v>
      </c>
    </row>
    <row r="181">
      <c r="A181" s="32" t="n">
        <v>64631</v>
      </c>
      <c r="B181" s="32" t="inlineStr">
        <is>
          <t>URI 390W 39-42   1 גרבי כסף</t>
        </is>
      </c>
      <c r="C181" s="33">
        <f>SUMIF('מקור-06'!$A:$A,$A181,'מקור-06'!$D:$D)</f>
        <v>0</v>
      </c>
      <c r="D181" s="33">
        <f>SUMIF('מקור-07'!$A:$A,$A181,'מקור-07'!$D:$D)</f>
        <v>1</v>
      </c>
      <c r="E181" s="33">
        <f>SUMIF('מקור-08'!$A:$A,$A181,'מקור-08'!$D:$D)</f>
        <v>0</v>
      </c>
      <c r="F181" s="34">
        <f>C181+D181+E181</f>
        <v>1</v>
      </c>
    </row>
    <row r="182">
      <c r="A182" s="32" t="n">
        <v>64633</v>
      </c>
      <c r="B182" s="32" t="inlineStr">
        <is>
          <t>URI 390B 35-38   1 גרבי כסף</t>
        </is>
      </c>
      <c r="C182" s="33">
        <f>SUMIF('מקור-06'!$A:$A,$A182,'מקור-06'!$D:$D)</f>
        <v>0</v>
      </c>
      <c r="D182" s="33">
        <f>SUMIF('מקור-07'!$A:$A,$A182,'מקור-07'!$D:$D)</f>
        <v>1</v>
      </c>
      <c r="E182" s="33">
        <f>SUMIF('מקור-08'!$A:$A,$A182,'מקור-08'!$D:$D)</f>
        <v>0</v>
      </c>
      <c r="F182" s="34">
        <f>C182+D182+E182</f>
        <v>1</v>
      </c>
    </row>
    <row r="183">
      <c r="A183" s="32" t="n">
        <v>64637</v>
      </c>
      <c r="B183" s="32" t="inlineStr">
        <is>
          <t>URI 390G 39-42   1 גרבי כסף</t>
        </is>
      </c>
      <c r="C183" s="33">
        <f>SUMIF('מקור-06'!$A:$A,$A183,'מקור-06'!$D:$D)</f>
        <v>1</v>
      </c>
      <c r="D183" s="33">
        <f>SUMIF('מקור-07'!$A:$A,$A183,'מקור-07'!$D:$D)</f>
        <v>0</v>
      </c>
      <c r="E183" s="33">
        <f>SUMIF('מקור-08'!$A:$A,$A183,'מקור-08'!$D:$D)</f>
        <v>0</v>
      </c>
      <c r="F183" s="34">
        <f>C183+D183+E183</f>
        <v>1</v>
      </c>
    </row>
    <row r="184">
      <c r="A184" s="32" t="n">
        <v>28296</v>
      </c>
      <c r="B184" s="32" t="inlineStr">
        <is>
          <t>URI 13 L  1 חגורה לשבר טבור</t>
        </is>
      </c>
      <c r="C184" s="33">
        <f>SUMIF('מקור-06'!$A:$A,$A184,'מקור-06'!$D:$D)</f>
        <v>0</v>
      </c>
      <c r="D184" s="33">
        <f>SUMIF('מקור-07'!$A:$A,$A184,'מקור-07'!$D:$D)</f>
        <v>0</v>
      </c>
      <c r="E184" s="33">
        <f>SUMIF('מקור-08'!$A:$A,$A184,'מקור-08'!$D:$D)</f>
        <v>1</v>
      </c>
      <c r="F184" s="34">
        <f>C184+D184+E184</f>
        <v>1</v>
      </c>
    </row>
    <row r="185">
      <c r="A185" s="32" t="n">
        <v>28302</v>
      </c>
      <c r="B185" s="32" t="inlineStr">
        <is>
          <t>URI 34+XXL1 מ קרסול+עכב סגו</t>
        </is>
      </c>
      <c r="C185" s="33">
        <f>SUMIF('מקור-06'!$A:$A,$A185,'מקור-06'!$D:$D)</f>
        <v>0</v>
      </c>
      <c r="D185" s="33">
        <f>SUMIF('מקור-07'!$A:$A,$A185,'מקור-07'!$D:$D)</f>
        <v>1</v>
      </c>
      <c r="E185" s="33">
        <f>SUMIF('מקור-08'!$A:$A,$A185,'מקור-08'!$D:$D)</f>
        <v>0</v>
      </c>
      <c r="F185" s="34">
        <f>C185+D185+E185</f>
        <v>1</v>
      </c>
    </row>
    <row r="186">
      <c r="A186" s="32" t="n">
        <v>74930</v>
      </c>
      <c r="B186" s="32" t="inlineStr">
        <is>
          <t>URI T39 L         1 מגן שוק</t>
        </is>
      </c>
      <c r="C186" s="33">
        <f>SUMIF('מקור-06'!$A:$A,$A186,'מקור-06'!$D:$D)</f>
        <v>1</v>
      </c>
      <c r="D186" s="33">
        <f>SUMIF('מקור-07'!$A:$A,$A186,'מקור-07'!$D:$D)</f>
        <v>0</v>
      </c>
      <c r="E186" s="33">
        <f>SUMIF('מקור-08'!$A:$A,$A186,'מקור-08'!$D:$D)</f>
        <v>0</v>
      </c>
      <c r="F186" s="34">
        <f>C186+D186+E186</f>
        <v>1</v>
      </c>
    </row>
    <row r="187">
      <c r="A187" s="32" t="n">
        <v>46306</v>
      </c>
      <c r="B187" s="32" t="inlineStr">
        <is>
          <t>STRAP4U 239B S-M 1</t>
        </is>
      </c>
      <c r="C187" s="33">
        <f>SUMIF('מקור-06'!$A:$A,$A187,'מקור-06'!$D:$D)</f>
        <v>1</v>
      </c>
      <c r="D187" s="33">
        <f>SUMIF('מקור-07'!$A:$A,$A187,'מקור-07'!$D:$D)</f>
        <v>0</v>
      </c>
      <c r="E187" s="33">
        <f>SUMIF('מקור-08'!$A:$A,$A187,'מקור-08'!$D:$D)</f>
        <v>0</v>
      </c>
      <c r="F187" s="34">
        <f>C187+D187+E187</f>
        <v>1</v>
      </c>
    </row>
    <row r="188">
      <c r="A188" s="32" t="n">
        <v>46309</v>
      </c>
      <c r="B188" s="32" t="inlineStr">
        <is>
          <t>STRAP4U 239B L-XL 1</t>
        </is>
      </c>
      <c r="C188" s="33">
        <f>SUMIF('מקור-06'!$A:$A,$A188,'מקור-06'!$D:$D)</f>
        <v>0</v>
      </c>
      <c r="D188" s="33">
        <f>SUMIF('מקור-07'!$A:$A,$A188,'מקור-07'!$D:$D)</f>
        <v>0</v>
      </c>
      <c r="E188" s="33">
        <f>SUMIF('מקור-08'!$A:$A,$A188,'מקור-08'!$D:$D)</f>
        <v>1</v>
      </c>
      <c r="F188" s="34">
        <f>C188+D188+E188</f>
        <v>1</v>
      </c>
    </row>
    <row r="189">
      <c r="A189" s="32" t="n">
        <v>74989</v>
      </c>
      <c r="B189" s="32" t="inlineStr">
        <is>
          <t>URI T78 XL           1 תומך</t>
        </is>
      </c>
      <c r="C189" s="33">
        <f>SUMIF('מקור-06'!$A:$A,$A189,'מקור-06'!$D:$D)</f>
        <v>1</v>
      </c>
      <c r="D189" s="33">
        <f>SUMIF('מקור-07'!$A:$A,$A189,'מקור-07'!$D:$D)</f>
        <v>0</v>
      </c>
      <c r="E189" s="33">
        <f>SUMIF('מקור-08'!$A:$A,$A189,'מקור-08'!$D:$D)</f>
        <v>0</v>
      </c>
      <c r="F189" s="34">
        <f>C189+D189+E189</f>
        <v>1</v>
      </c>
    </row>
    <row r="190">
      <c r="A190" s="32" t="n">
        <v>28937</v>
      </c>
      <c r="B190" s="32" t="inlineStr">
        <is>
          <t>URI 70N XS   1 חגורת פאבליק</t>
        </is>
      </c>
      <c r="C190" s="33">
        <f>SUMIF('מקור-06'!$A:$A,$A190,'מקור-06'!$D:$D)</f>
        <v>0</v>
      </c>
      <c r="D190" s="33">
        <f>SUMIF('מקור-07'!$A:$A,$A190,'מקור-07'!$D:$D)</f>
        <v>1</v>
      </c>
      <c r="E190" s="33">
        <f>SUMIF('מקור-08'!$A:$A,$A190,'מקור-08'!$D:$D)</f>
        <v>0</v>
      </c>
      <c r="F190" s="34">
        <f>C190+D190+E190</f>
        <v>1</v>
      </c>
    </row>
    <row r="191">
      <c r="A191" s="32" t="n">
        <v>28938</v>
      </c>
      <c r="B191" s="32" t="inlineStr">
        <is>
          <t>URI 70N S    1 חגורת פאבליק</t>
        </is>
      </c>
      <c r="C191" s="33">
        <f>SUMIF('מקור-06'!$A:$A,$A191,'מקור-06'!$D:$D)</f>
        <v>0</v>
      </c>
      <c r="D191" s="33">
        <f>SUMIF('מקור-07'!$A:$A,$A191,'מקור-07'!$D:$D)</f>
        <v>0</v>
      </c>
      <c r="E191" s="33">
        <f>SUMIF('מקור-08'!$A:$A,$A191,'מקור-08'!$D:$D)</f>
        <v>1</v>
      </c>
      <c r="F191" s="34">
        <f>C191+D191+E191</f>
        <v>1</v>
      </c>
    </row>
    <row r="192">
      <c r="A192" s="32" t="n">
        <v>29977</v>
      </c>
      <c r="B192" s="32" t="inlineStr">
        <is>
          <t>URI 11TO XXL    1 חגורת בטן</t>
        </is>
      </c>
      <c r="C192" s="33">
        <f>SUMIF('מקור-06'!$A:$A,$A192,'מקור-06'!$D:$D)</f>
        <v>0</v>
      </c>
      <c r="D192" s="33">
        <f>SUMIF('מקור-07'!$A:$A,$A192,'מקור-07'!$D:$D)</f>
        <v>0</v>
      </c>
      <c r="E192" s="33">
        <f>SUMIF('מקור-08'!$A:$A,$A192,'מקור-08'!$D:$D)</f>
        <v>1</v>
      </c>
      <c r="F192" s="34">
        <f>C192+D192+E192</f>
        <v>1</v>
      </c>
    </row>
    <row r="193">
      <c r="A193" s="32" t="n">
        <v>67927</v>
      </c>
      <c r="B193" s="32" t="inlineStr">
        <is>
          <t>URI 41            1 מגן ברך</t>
        </is>
      </c>
      <c r="C193" s="33">
        <f>SUMIF('מקור-06'!$A:$A,$A193,'מקור-06'!$D:$D)</f>
        <v>1</v>
      </c>
      <c r="D193" s="33">
        <f>SUMIF('מקור-07'!$A:$A,$A193,'מקור-07'!$D:$D)</f>
        <v>0</v>
      </c>
      <c r="E193" s="33">
        <f>SUMIF('מקור-08'!$A:$A,$A193,'מקור-08'!$D:$D)</f>
        <v>0</v>
      </c>
      <c r="F193" s="34">
        <f>C193+D193+E193</f>
        <v>1</v>
      </c>
    </row>
    <row r="194">
      <c r="A194" s="32" t="n">
        <v>50022</v>
      </c>
      <c r="B194" s="32" t="inlineStr">
        <is>
          <t>URI 38  1 חבישת הלוקס ולגוס</t>
        </is>
      </c>
      <c r="C194" s="33">
        <f>SUMIF('מקור-06'!$A:$A,$A194,'מקור-06'!$D:$D)</f>
        <v>0</v>
      </c>
      <c r="D194" s="33">
        <f>SUMIF('מקור-07'!$A:$A,$A194,'מקור-07'!$D:$D)</f>
        <v>0</v>
      </c>
      <c r="E194" s="33">
        <f>SUMIF('מקור-08'!$A:$A,$A194,'מקור-08'!$D:$D)</f>
        <v>1</v>
      </c>
      <c r="F194" s="34">
        <f>C194+D194+E194</f>
        <v>1</v>
      </c>
    </row>
    <row r="195">
      <c r="A195" s="32" t="n">
        <v>67949</v>
      </c>
      <c r="B195" s="32" t="inlineStr">
        <is>
          <t>URI 59D S1 חגורת שבר דו צדד</t>
        </is>
      </c>
      <c r="C195" s="33">
        <f>SUMIF('מקור-06'!$A:$A,$A195,'מקור-06'!$D:$D)</f>
        <v>1</v>
      </c>
      <c r="D195" s="33">
        <f>SUMIF('מקור-07'!$A:$A,$A195,'מקור-07'!$D:$D)</f>
        <v>0</v>
      </c>
      <c r="E195" s="33">
        <f>SUMIF('מקור-08'!$A:$A,$A195,'מקור-08'!$D:$D)</f>
        <v>0</v>
      </c>
      <c r="F195" s="34">
        <f>C195+D195+E195</f>
        <v>1</v>
      </c>
    </row>
    <row r="196">
      <c r="A196" s="32" t="n">
        <v>43399</v>
      </c>
      <c r="B196" s="32" t="inlineStr">
        <is>
          <t>SH422 1  1 תומך ברך גנושילד</t>
        </is>
      </c>
      <c r="C196" s="33">
        <f>SUMIF('מקור-06'!$A:$A,$A196,'מקור-06'!$D:$D)</f>
        <v>0</v>
      </c>
      <c r="D196" s="33">
        <f>SUMIF('מקור-07'!$A:$A,$A196,'מקור-07'!$D:$D)</f>
        <v>0</v>
      </c>
      <c r="E196" s="33">
        <f>SUMIF('מקור-08'!$A:$A,$A196,'מקור-08'!$D:$D)</f>
        <v>1</v>
      </c>
      <c r="F196" s="34">
        <f>C196+D196+E196</f>
        <v>1</v>
      </c>
    </row>
    <row r="197">
      <c r="A197" s="32" t="n">
        <v>50055</v>
      </c>
      <c r="B197" s="32" t="inlineStr">
        <is>
          <t>URI 74    1 רצועה לשבר בעצם</t>
        </is>
      </c>
      <c r="C197" s="33">
        <f>SUMIF('מקור-06'!$A:$A,$A197,'מקור-06'!$D:$D)</f>
        <v>0</v>
      </c>
      <c r="D197" s="33">
        <f>SUMIF('מקור-07'!$A:$A,$A197,'מקור-07'!$D:$D)</f>
        <v>1</v>
      </c>
      <c r="E197" s="33">
        <f>SUMIF('מקור-08'!$A:$A,$A197,'מקור-08'!$D:$D)</f>
        <v>0</v>
      </c>
      <c r="F197" s="34">
        <f>C197+D197+E197</f>
        <v>1</v>
      </c>
    </row>
    <row r="198">
      <c r="A198" s="32" t="n">
        <v>63404</v>
      </c>
      <c r="B198" s="32" t="inlineStr">
        <is>
          <t>URI 11U S 1 ח בטן אחר ניתוח</t>
        </is>
      </c>
      <c r="C198" s="33">
        <f>SUMIF('מקור-06'!$A:$A,$A198,'מקור-06'!$D:$D)</f>
        <v>0</v>
      </c>
      <c r="D198" s="33">
        <f>SUMIF('מקור-07'!$A:$A,$A198,'מקור-07'!$D:$D)</f>
        <v>1</v>
      </c>
      <c r="E198" s="33">
        <f>SUMIF('מקור-08'!$A:$A,$A198,'מקור-08'!$D:$D)</f>
        <v>0</v>
      </c>
      <c r="F198" s="34">
        <f>C198+D198+E198</f>
        <v>1</v>
      </c>
    </row>
    <row r="199">
      <c r="A199" s="32" t="n">
        <v>71085</v>
      </c>
      <c r="B199" s="32" t="inlineStr">
        <is>
          <t>URI 078S 1</t>
        </is>
      </c>
      <c r="C199" s="33">
        <f>SUMIF('מקור-06'!$A:$A,$A199,'מקור-06'!$D:$D)</f>
        <v>1</v>
      </c>
      <c r="D199" s="33">
        <f>SUMIF('מקור-07'!$A:$A,$A199,'מקור-07'!$D:$D)</f>
        <v>0</v>
      </c>
      <c r="E199" s="33">
        <f>SUMIF('מקור-08'!$A:$A,$A199,'מקור-08'!$D:$D)</f>
        <v>0</v>
      </c>
      <c r="F199" s="34">
        <f>C199+D199+E199</f>
        <v>1</v>
      </c>
    </row>
    <row r="200">
      <c r="A200" s="32" t="n">
        <v>63405</v>
      </c>
      <c r="B200" s="32" t="inlineStr">
        <is>
          <t>URI 11U M 1 ח בטן אחר ניתוח</t>
        </is>
      </c>
      <c r="C200" s="33">
        <f>SUMIF('מקור-06'!$A:$A,$A200,'מקור-06'!$D:$D)</f>
        <v>0</v>
      </c>
      <c r="D200" s="33">
        <f>SUMIF('מקור-07'!$A:$A,$A200,'מקור-07'!$D:$D)</f>
        <v>1</v>
      </c>
      <c r="E200" s="33">
        <f>SUMIF('מקור-08'!$A:$A,$A200,'מקור-08'!$D:$D)</f>
        <v>0</v>
      </c>
      <c r="F200" s="34">
        <f>C200+D200+E200</f>
        <v>1</v>
      </c>
    </row>
    <row r="201">
      <c r="A201" s="32" t="n">
        <v>43469</v>
      </c>
      <c r="B201" s="32" t="inlineStr">
        <is>
          <t>SH422 6  1 תומך ברך גנושילד</t>
        </is>
      </c>
      <c r="C201" s="33">
        <f>SUMIF('מקור-06'!$A:$A,$A201,'מקור-06'!$D:$D)</f>
        <v>0</v>
      </c>
      <c r="D201" s="33">
        <f>SUMIF('מקור-07'!$A:$A,$A201,'מקור-07'!$D:$D)</f>
        <v>0</v>
      </c>
      <c r="E201" s="33">
        <f>SUMIF('מקור-08'!$A:$A,$A201,'מקור-08'!$D:$D)</f>
        <v>1</v>
      </c>
      <c r="F201" s="34">
        <f>C201+D201+E201</f>
        <v>1</v>
      </c>
    </row>
    <row r="202">
      <c r="A202" s="32" t="n">
        <v>20948</v>
      </c>
      <c r="B202" s="32" t="inlineStr">
        <is>
          <t>URI 35 XST 1 מגן קרסול פתוח</t>
        </is>
      </c>
      <c r="C202" s="33">
        <f>SUMIF('מקור-06'!$A:$A,$A202,'מקור-06'!$D:$D)</f>
        <v>0</v>
      </c>
      <c r="D202" s="33">
        <f>SUMIF('מקור-07'!$A:$A,$A202,'מקור-07'!$D:$D)</f>
        <v>0</v>
      </c>
      <c r="E202" s="33">
        <f>SUMIF('מקור-08'!$A:$A,$A202,'מקור-08'!$D:$D)</f>
        <v>1</v>
      </c>
      <c r="F202" s="34">
        <f>C202+D202+E202</f>
        <v>1</v>
      </c>
    </row>
    <row r="203">
      <c r="A203" s="32" t="n">
        <v>74686</v>
      </c>
      <c r="B203" s="32" t="inlineStr">
        <is>
          <t>URI 11 TO M         1 ח בטן</t>
        </is>
      </c>
      <c r="C203" s="33">
        <f>SUMIF('מקור-06'!$A:$A,$A203,'מקור-06'!$D:$D)</f>
        <v>0</v>
      </c>
      <c r="D203" s="33">
        <f>SUMIF('מקור-07'!$A:$A,$A203,'מקור-07'!$D:$D)</f>
        <v>1</v>
      </c>
      <c r="E203" s="33">
        <f>SUMIF('מקור-08'!$A:$A,$A203,'מקור-08'!$D:$D)</f>
        <v>0</v>
      </c>
      <c r="F203" s="34">
        <f>C203+D203+E203</f>
        <v>1</v>
      </c>
    </row>
    <row r="204">
      <c r="A204" s="32" t="n">
        <v>67053</v>
      </c>
      <c r="B204" s="32" t="inlineStr">
        <is>
          <t>URI 34 XS  1 מגן קרסול סגור</t>
        </is>
      </c>
      <c r="C204" s="33">
        <f>SUMIF('מקור-06'!$A:$A,$A204,'מקור-06'!$D:$D)</f>
        <v>0</v>
      </c>
      <c r="D204" s="33">
        <f>SUMIF('מקור-07'!$A:$A,$A204,'מקור-07'!$D:$D)</f>
        <v>1</v>
      </c>
      <c r="E204" s="33">
        <f>SUMIF('מקור-08'!$A:$A,$A204,'מקור-08'!$D:$D)</f>
        <v>0</v>
      </c>
      <c r="F204" s="34">
        <f>C204+D204+E204</f>
        <v>1</v>
      </c>
    </row>
    <row r="205">
      <c r="A205" s="32" t="n">
        <v>74822</v>
      </c>
      <c r="B205" s="32" t="inlineStr">
        <is>
          <t>URI 59R  XL1 חגורת שבר צד י</t>
        </is>
      </c>
      <c r="C205" s="33">
        <f>SUMIF('מקור-06'!$A:$A,$A205,'מקור-06'!$D:$D)</f>
        <v>0</v>
      </c>
      <c r="D205" s="33">
        <f>SUMIF('מקור-07'!$A:$A,$A205,'מקור-07'!$D:$D)</f>
        <v>0</v>
      </c>
      <c r="E205" s="33">
        <f>SUMIF('מקור-08'!$A:$A,$A205,'מקור-08'!$D:$D)</f>
        <v>0</v>
      </c>
      <c r="F205" s="34">
        <f>C205+D205+E205</f>
        <v>0</v>
      </c>
    </row>
    <row r="206">
      <c r="A206" s="32" t="n">
        <v>74826</v>
      </c>
      <c r="B206" s="32" t="inlineStr">
        <is>
          <t>URI 59D L1 חגורת שבר דו צדד</t>
        </is>
      </c>
      <c r="C206" s="33">
        <f>SUMIF('מקור-06'!$A:$A,$A206,'מקור-06'!$D:$D)</f>
        <v>0</v>
      </c>
      <c r="D206" s="33">
        <f>SUMIF('מקור-07'!$A:$A,$A206,'מקור-07'!$D:$D)</f>
        <v>0</v>
      </c>
      <c r="E206" s="33">
        <f>SUMIF('מקור-08'!$A:$A,$A206,'מקור-08'!$D:$D)</f>
        <v>0</v>
      </c>
      <c r="F206" s="34">
        <f>C206+D206+E206</f>
        <v>0</v>
      </c>
    </row>
    <row r="207">
      <c r="A207" s="32" t="n">
        <v>74824</v>
      </c>
      <c r="B207" s="32" t="inlineStr">
        <is>
          <t>URI 59 L M 1 חגורת שבר צד ש</t>
        </is>
      </c>
      <c r="C207" s="33">
        <f>SUMIF('מקור-06'!$A:$A,$A207,'מקור-06'!$D:$D)</f>
        <v>0</v>
      </c>
      <c r="D207" s="33">
        <f>SUMIF('מקור-07'!$A:$A,$A207,'מקור-07'!$D:$D)</f>
        <v>0</v>
      </c>
      <c r="E207" s="33">
        <f>SUMIF('מקור-08'!$A:$A,$A207,'מקור-08'!$D:$D)</f>
        <v>0</v>
      </c>
      <c r="F207" s="34">
        <f>C207+D207+E207</f>
        <v>0</v>
      </c>
    </row>
    <row r="208">
      <c r="A208" s="32" t="n">
        <v>74825</v>
      </c>
      <c r="B208" s="32" t="inlineStr">
        <is>
          <t>URI 59L XL 1 חגורת שבר צד ש</t>
        </is>
      </c>
      <c r="C208" s="33">
        <f>SUMIF('מקור-06'!$A:$A,$A208,'מקור-06'!$D:$D)</f>
        <v>0</v>
      </c>
      <c r="D208" s="33">
        <f>SUMIF('מקור-07'!$A:$A,$A208,'מקור-07'!$D:$D)</f>
        <v>0</v>
      </c>
      <c r="E208" s="33">
        <f>SUMIF('מקור-08'!$A:$A,$A208,'מקור-08'!$D:$D)</f>
        <v>0</v>
      </c>
      <c r="F208" s="34">
        <f>C208+D208+E208</f>
        <v>0</v>
      </c>
    </row>
    <row r="209">
      <c r="A209" s="32" t="n">
        <v>74842</v>
      </c>
      <c r="B209" s="32" t="inlineStr">
        <is>
          <t>URI 74-L-XL    1 רצועה לשבר</t>
        </is>
      </c>
      <c r="C209" s="33">
        <f>SUMIF('מקור-06'!$A:$A,$A209,'מקור-06'!$D:$D)</f>
        <v>0</v>
      </c>
      <c r="D209" s="33">
        <f>SUMIF('מקור-07'!$A:$A,$A209,'מקור-07'!$D:$D)</f>
        <v>0</v>
      </c>
      <c r="E209" s="33">
        <f>SUMIF('מקור-08'!$A:$A,$A209,'מקור-08'!$D:$D)</f>
        <v>0</v>
      </c>
      <c r="F209" s="34">
        <f>C209+D209+E209</f>
        <v>0</v>
      </c>
    </row>
    <row r="210">
      <c r="A210" s="32" t="n">
        <v>29790</v>
      </c>
      <c r="B210" s="32" t="inlineStr">
        <is>
          <t>URI 11STO L1 חגורה אחר ניתו</t>
        </is>
      </c>
      <c r="C210" s="33">
        <f>SUMIF('מקור-06'!$A:$A,$A210,'מקור-06'!$D:$D)</f>
        <v>0</v>
      </c>
      <c r="D210" s="33">
        <f>SUMIF('מקור-07'!$A:$A,$A210,'מקור-07'!$D:$D)</f>
        <v>0</v>
      </c>
      <c r="E210" s="33">
        <f>SUMIF('מקור-08'!$A:$A,$A210,'מקור-08'!$D:$D)</f>
        <v>0</v>
      </c>
      <c r="F210" s="34">
        <f>C210+D210+E210</f>
        <v>0</v>
      </c>
    </row>
    <row r="211">
      <c r="A211" s="32" t="n">
        <v>28297</v>
      </c>
      <c r="B211" s="32" t="inlineStr">
        <is>
          <t>URI 13 XL1 חגורה ללשבר טבור</t>
        </is>
      </c>
      <c r="C211" s="33">
        <f>SUMIF('מקור-06'!$A:$A,$A211,'מקור-06'!$D:$D)</f>
        <v>0</v>
      </c>
      <c r="D211" s="33">
        <f>SUMIF('מקור-07'!$A:$A,$A211,'מקור-07'!$D:$D)</f>
        <v>0</v>
      </c>
      <c r="E211" s="33">
        <f>SUMIF('מקור-08'!$A:$A,$A211,'מקור-08'!$D:$D)</f>
        <v>0</v>
      </c>
      <c r="F211" s="34">
        <f>C211+D211+E211</f>
        <v>0</v>
      </c>
    </row>
    <row r="212">
      <c r="A212" s="32" t="n">
        <v>28323</v>
      </c>
      <c r="B212" s="32" t="inlineStr">
        <is>
          <t>URI T33 XXL     1 סד לקרסול</t>
        </is>
      </c>
      <c r="C212" s="33">
        <f>SUMIF('מקור-06'!$A:$A,$A212,'מקור-06'!$D:$D)</f>
        <v>0</v>
      </c>
      <c r="D212" s="33">
        <f>SUMIF('מקור-07'!$A:$A,$A212,'מקור-07'!$D:$D)</f>
        <v>0</v>
      </c>
      <c r="E212" s="33">
        <f>SUMIF('מקור-08'!$A:$A,$A212,'מקור-08'!$D:$D)</f>
        <v>0</v>
      </c>
      <c r="F212" s="34">
        <f>C212+D212+E212</f>
        <v>0</v>
      </c>
    </row>
    <row r="213">
      <c r="A213" s="32" t="n">
        <v>74919</v>
      </c>
      <c r="B213" s="32" t="inlineStr">
        <is>
          <t>URI T33 M       1 סד לקרסול</t>
        </is>
      </c>
      <c r="C213" s="33">
        <f>SUMIF('מקור-06'!$A:$A,$A213,'מקור-06'!$D:$D)</f>
        <v>0</v>
      </c>
      <c r="D213" s="33">
        <f>SUMIF('מקור-07'!$A:$A,$A213,'מקור-07'!$D:$D)</f>
        <v>0</v>
      </c>
      <c r="E213" s="33">
        <f>SUMIF('מקור-08'!$A:$A,$A213,'מקור-08'!$D:$D)</f>
        <v>0</v>
      </c>
      <c r="F213" s="34">
        <f>C213+D213+E213</f>
        <v>0</v>
      </c>
    </row>
    <row r="214">
      <c r="A214" s="32" t="n">
        <v>28331</v>
      </c>
      <c r="B214" s="32" t="inlineStr">
        <is>
          <t>URI T78 XXL 1 תומך זרוע כתף</t>
        </is>
      </c>
      <c r="C214" s="33">
        <f>SUMIF('מקור-06'!$A:$A,$A214,'מקור-06'!$D:$D)</f>
        <v>0</v>
      </c>
      <c r="D214" s="33">
        <f>SUMIF('מקור-07'!$A:$A,$A214,'מקור-07'!$D:$D)</f>
        <v>0</v>
      </c>
      <c r="E214" s="33">
        <f>SUMIF('מקור-08'!$A:$A,$A214,'מקור-08'!$D:$D)</f>
        <v>0</v>
      </c>
      <c r="F214" s="34">
        <f>C214+D214+E214</f>
        <v>0</v>
      </c>
    </row>
    <row r="215">
      <c r="A215" s="32" t="n">
        <v>67895</v>
      </c>
      <c r="B215" s="32" t="inlineStr">
        <is>
          <t>URI 11      1 ח בטן אורירית</t>
        </is>
      </c>
      <c r="C215" s="33">
        <f>SUMIF('מקור-06'!$A:$A,$A215,'מקור-06'!$D:$D)</f>
        <v>0</v>
      </c>
      <c r="D215" s="33">
        <f>SUMIF('מקור-07'!$A:$A,$A215,'מקור-07'!$D:$D)</f>
        <v>1</v>
      </c>
      <c r="E215" s="33">
        <f>SUMIF('מקור-08'!$A:$A,$A215,'מקור-08'!$D:$D)</f>
        <v>-1</v>
      </c>
      <c r="F215" s="34">
        <f>C215+D215+E215</f>
        <v>0</v>
      </c>
    </row>
    <row r="216">
      <c r="A216" s="32" t="n">
        <v>37229</v>
      </c>
      <c r="B216" s="32" t="inlineStr">
        <is>
          <t>URI  59R  1 חגורת שבר לצד י</t>
        </is>
      </c>
      <c r="C216" s="33">
        <f>SUMIF('מקור-06'!$A:$A,$A216,'מקור-06'!$D:$D)</f>
        <v>0</v>
      </c>
      <c r="D216" s="33">
        <f>SUMIF('מקור-07'!$A:$A,$A216,'מקור-07'!$D:$D)</f>
        <v>0</v>
      </c>
      <c r="E216" s="33">
        <f>SUMIF('מקור-08'!$A:$A,$A216,'מקור-08'!$D:$D)</f>
        <v>0</v>
      </c>
      <c r="F216" s="34">
        <f>C216+D216+E216</f>
        <v>0</v>
      </c>
    </row>
    <row r="217">
      <c r="A217" s="32" t="n">
        <v>88475</v>
      </c>
      <c r="B217" s="32" t="inlineStr">
        <is>
          <t>URI LF371 0 1 ריפוד סיליקון</t>
        </is>
      </c>
      <c r="C217" s="33">
        <f>SUMIF('מקור-06'!$A:$A,$A217,'מקור-06'!$D:$D)</f>
        <v>0</v>
      </c>
      <c r="D217" s="33">
        <f>SUMIF('מקור-07'!$A:$A,$A217,'מקור-07'!$D:$D)</f>
        <v>0</v>
      </c>
      <c r="E217" s="33">
        <f>SUMIF('מקור-08'!$A:$A,$A217,'מקור-08'!$D:$D)</f>
        <v>0</v>
      </c>
      <c r="F217" s="34">
        <f>C217+D217+E217</f>
        <v>0</v>
      </c>
    </row>
    <row r="218">
      <c r="A218" s="32" t="n">
        <v>88478</v>
      </c>
      <c r="B218" s="32" t="inlineStr">
        <is>
          <t>URI LF377 L  1 מדרס סיליקון</t>
        </is>
      </c>
      <c r="C218" s="33">
        <f>SUMIF('מקור-06'!$A:$A,$A218,'מקור-06'!$D:$D)</f>
        <v>0</v>
      </c>
      <c r="D218" s="33">
        <f>SUMIF('מקור-07'!$A:$A,$A218,'מקור-07'!$D:$D)</f>
        <v>0</v>
      </c>
      <c r="E218" s="33">
        <f>SUMIF('מקור-08'!$A:$A,$A218,'מקור-08'!$D:$D)</f>
        <v>0</v>
      </c>
      <c r="F218" s="34">
        <f>C218+D218+E218</f>
        <v>0</v>
      </c>
    </row>
    <row r="219">
      <c r="A219" s="32" t="n">
        <v>88479</v>
      </c>
      <c r="B219" s="32" t="inlineStr">
        <is>
          <t>URI LF377 M  1 מדרס סיליקון</t>
        </is>
      </c>
      <c r="C219" s="33">
        <f>SUMIF('מקור-06'!$A:$A,$A219,'מקור-06'!$D:$D)</f>
        <v>0</v>
      </c>
      <c r="D219" s="33">
        <f>SUMIF('מקור-07'!$A:$A,$A219,'מקור-07'!$D:$D)</f>
        <v>0</v>
      </c>
      <c r="E219" s="33">
        <f>SUMIF('מקור-08'!$A:$A,$A219,'מקור-08'!$D:$D)</f>
        <v>0</v>
      </c>
      <c r="F219" s="34">
        <f>C219+D219+E219</f>
        <v>0</v>
      </c>
    </row>
    <row r="220">
      <c r="A220" s="32" t="n">
        <v>63406</v>
      </c>
      <c r="B220" s="32" t="inlineStr">
        <is>
          <t>URI 11U L 1 ח בטן אחר ניתוח</t>
        </is>
      </c>
      <c r="C220" s="33">
        <f>SUMIF('מקור-06'!$A:$A,$A220,'מקור-06'!$D:$D)</f>
        <v>-1</v>
      </c>
      <c r="D220" s="33">
        <f>SUMIF('מקור-07'!$A:$A,$A220,'מקור-07'!$D:$D)</f>
        <v>0</v>
      </c>
      <c r="E220" s="33">
        <f>SUMIF('מקור-08'!$A:$A,$A220,'מקור-08'!$D:$D)</f>
        <v>1</v>
      </c>
      <c r="F220" s="34">
        <f>C220+D220+E220</f>
        <v>0</v>
      </c>
    </row>
    <row r="221">
      <c r="A221" s="32" t="n">
        <v>76244</v>
      </c>
      <c r="B221" s="32" t="inlineStr">
        <is>
          <t>URI 078C L   '1 חגורת גב בז</t>
        </is>
      </c>
      <c r="C221" s="33">
        <f>SUMIF('מקור-06'!$A:$A,$A221,'מקור-06'!$D:$D)</f>
        <v>0</v>
      </c>
      <c r="D221" s="33">
        <f>SUMIF('מקור-07'!$A:$A,$A221,'מקור-07'!$D:$D)</f>
        <v>0</v>
      </c>
      <c r="E221" s="33">
        <f>SUMIF('מקור-08'!$A:$A,$A221,'מקור-08'!$D:$D)</f>
        <v>0</v>
      </c>
      <c r="F221" s="34">
        <f>C221+D221+E221</f>
        <v>0</v>
      </c>
    </row>
    <row r="222">
      <c r="A222" s="32" t="n">
        <v>76247</v>
      </c>
      <c r="B222" s="32" t="inlineStr">
        <is>
          <t>URI 078C XL  '1 חגורת גב בז</t>
        </is>
      </c>
      <c r="C222" s="33">
        <f>SUMIF('מקור-06'!$A:$A,$A222,'מקור-06'!$D:$D)</f>
        <v>0</v>
      </c>
      <c r="D222" s="33">
        <f>SUMIF('מקור-07'!$A:$A,$A222,'מקור-07'!$D:$D)</f>
        <v>0</v>
      </c>
      <c r="E222" s="33">
        <f>SUMIF('מקור-08'!$A:$A,$A222,'מקור-08'!$D:$D)</f>
        <v>0</v>
      </c>
      <c r="F222" s="34">
        <f>C222+D222+E222</f>
        <v>0</v>
      </c>
    </row>
    <row r="223">
      <c r="A223" s="32" t="n">
        <v>44007</v>
      </c>
      <c r="B223" s="32" t="inlineStr">
        <is>
          <t>URI 07AU  1 חגור.גב איטלקית</t>
        </is>
      </c>
      <c r="C223" s="33">
        <f>SUMIF('מקור-06'!$A:$A,$A223,'מקור-06'!$D:$D)</f>
        <v>0</v>
      </c>
      <c r="D223" s="33">
        <f>SUMIF('מקור-07'!$A:$A,$A223,'מקור-07'!$D:$D)</f>
        <v>0</v>
      </c>
      <c r="E223" s="33">
        <f>SUMIF('מקור-08'!$A:$A,$A223,'מקור-08'!$D:$D)</f>
        <v>0</v>
      </c>
      <c r="F223" s="34">
        <f>C223+D223+E223</f>
        <v>0</v>
      </c>
    </row>
    <row r="224">
      <c r="A224" s="35" t="n"/>
      <c r="B224" s="35" t="inlineStr">
        <is>
          <t>סה"כ כללי</t>
        </is>
      </c>
      <c r="C224" s="34">
        <f>SUM(C5:C223)</f>
        <v>2374</v>
      </c>
      <c r="D224" s="34">
        <f>SUM(D5:D223)</f>
        <v>2315</v>
      </c>
      <c r="E224" s="34">
        <f>SUM(E5:E223)</f>
        <v>2199</v>
      </c>
      <c r="F224" s="34">
        <f>SUM(F5:F223)</f>
        <v>6888</v>
      </c>
    </row>
  </sheetData>
  <autoFilter ref="A4:F223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2026-08-09T15:16:05Z</dcterms:created>
  <dcterms:modified xsi:type="dcterms:W3CDTF">2026-09-06T08:03:52Z</dcterms:modified>
  <cp:lastModifiedBy>Eyal Sadot</cp:lastModifiedBy>
  <cp:revision>1</cp:revision>
</cp:coreProperties>
</file>