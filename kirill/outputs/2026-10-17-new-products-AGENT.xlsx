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גיליון1" sheetId="1" state="visible" r:id="rId3"/>
    <sheet name="Plan vs Actual" sheetId="2" state="visible" r:id="rId4"/>
    <sheet name="Plan vs Actual (סוכן)" sheetId="3" state="visible" r:id="rId5"/>
    <sheet name="פירוט לסוכן" sheetId="4" state="visible" r:id="rId6"/>
    <sheet name="ניתוח לפי ערוץ" sheetId="5" state="visible" r:id="rId7"/>
  </sheets>
  <definedNames>
    <definedName function="false" hidden="true" localSheetId="1" name="_xlnm._FilterDatabase" vbProcedure="false">'Plan vs Actual'!$A$8:$M$39</definedName>
    <definedName function="false" hidden="true" localSheetId="2" name="_xlnm._FilterDatabase" vbProcedure="false">'Plan vs Actual (סוכן)'!$A$10:$E$31</definedName>
    <definedName function="false" hidden="true" localSheetId="0" name="_xlnm._FilterDatabase" vbProcedure="false">גיליון1!$A$5:$G$122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Shirit yaacov:
</t>
        </r>
        <r>
          <rPr>
            <sz val="10"/>
            <rFont val="FreeSans"/>
            <family val="2"/>
          </rPr>
          <t xml:space="preserve">קרסול</t>
        </r>
      </text>
    </comment>
    <comment ref="A7" authorId="0">
      <text>
        <r>
          <rPr>
            <sz val="10"/>
            <rFont val="Arial"/>
            <family val="2"/>
          </rPr>
          <t xml:space="preserve">Shirit yaacov:
</t>
        </r>
        <r>
          <rPr>
            <sz val="10"/>
            <rFont val="FreeSans"/>
            <family val="2"/>
          </rPr>
          <t xml:space="preserve">מרפק</t>
        </r>
      </text>
    </comment>
  </commentList>
</comments>
</file>

<file path=xl/sharedStrings.xml><?xml version="1.0" encoding="utf-8"?>
<sst xmlns="http://schemas.openxmlformats.org/spreadsheetml/2006/main" count="776" uniqueCount="196">
  <si>
    <t xml:space="preserve">מוצרים חדשים - התאמת כמות/כסף 2026 בפועל (YTD) לפי ערוץ מכירה - גרסה סופית (כל 5 אי-הוודאויות הוכרעו ע"י המשתמש)</t>
  </si>
  <si>
    <t xml:space="preserve">תאריך חישוב:</t>
  </si>
  <si>
    <t xml:space="preserve">תיקון (25/09/2026): בגרסה הקודמת נעשה שימוש בקוד CHEMIPAL המספרי (כמו 4411030) כמפתח חיפוש עבור דגמים שהותאמו דרך TRANS/הקטלוג (213 CTS, SH422, 397A, SH333) - זה תפס נכון מול 5 גיליונות CEMIUP0.9 (שם עמודת הקוד היא באמת הקוד המספרי), אבל פספס לגמרי את 29 גיליונות ה-SALES הישירים (שם עמודת "Product Code" מכילה את הקוד הטקסטואלי הגולמי כמו "213CTSR L", לא את הקוד המספרי) - בעיית אי-התאמת סוג-מפתח, לא בדיוק בעיית רווחים כפי שהועלתה. התיקון: סריקה חדשה לגמרי שמחפשת את קידומת-הבסיס הטקסטואלית (עם נרמול רווחים/מקפים/פלוס) ישירות מול עמודת הקוד הגולמית + שם המוצר בכל 34 המקורות (5 CEMIUP0.9 + 29 SALES, ללא 107/113 שכבר כלולות בתוך בתי מרקחת/מאוחדת - מניעת כפל ספירה). כמות/כסף = 2026 בפועל עד היום (YTD), לא מנורמל. כאשר דגם כלל וריאנטים (מידות/צדדים) - מסוכם לכל ערוץ. שורות בצבע אדום = התאמה לא-ודאית (T40B "רצועה לפיקה" - קוד דומה בלבד, סומן ולא הוכרע). עדכון 26/09/2026: כל 5 אי-הוודאויות שעלו בסריקה המורחבת (59 / 3051 x3 / MSG001F 0 / cervical collar) הוכרעו במפורש ע"י המשתמש ועודכנו בטבלה הראשית: "59", "3051" (×3) ו-"cervical collar" נקבעו כ-0 יחידות/NA (לא אותו מוצר, לא מוזג); "MSG001F 0" מוזג כעת מכל 3 גווני הצבע (שחור/קרם/לבן) יחד לשורה אחת מאוחדת, כולל שורת הזיכוי השלילית בגוון הלבן כפי שהיא בנתונים.</t>
  </si>
  <si>
    <t xml:space="preserve">#</t>
  </si>
  <si>
    <t xml:space="preserve">דגם (מקור)</t>
  </si>
  <si>
    <t xml:space="preserve">ערוץ מכירה</t>
  </si>
  <si>
    <t xml:space="preserve">כמות 2026 (בפועל, YTD)</t>
  </si>
  <si>
    <t xml:space="preserve">כסף 2026 (בפועל, YTD, ₪)</t>
  </si>
  <si>
    <t xml:space="preserve"># וריאנטים ממוזגים</t>
  </si>
  <si>
    <t xml:space="preserve">הערה</t>
  </si>
  <si>
    <t xml:space="preserve">213 CTS</t>
  </si>
  <si>
    <t xml:space="preserve">114 - IL online</t>
  </si>
  <si>
    <t xml:space="preserve">203 - Ortho-Partner SWITZERLAND</t>
  </si>
  <si>
    <t xml:space="preserve">סופר פארם</t>
  </si>
  <si>
    <t xml:space="preserve">209 - Ortoprofil Prod ROMANIA</t>
  </si>
  <si>
    <t xml:space="preserve">216 - Max Konnaris CYPRUS</t>
  </si>
  <si>
    <t xml:space="preserve">מאוחדת</t>
  </si>
  <si>
    <t xml:space="preserve">102 - Orthopedic institutes</t>
  </si>
  <si>
    <t xml:space="preserve">214 - Alfred Gera Sons MALTA</t>
  </si>
  <si>
    <t xml:space="preserve">בתי מרקחת</t>
  </si>
  <si>
    <t xml:space="preserve">103 - Physiotherapy institutes</t>
  </si>
  <si>
    <t xml:space="preserve">101 - Factory customers</t>
  </si>
  <si>
    <t xml:space="preserve">204 - Sanaflex Anatomic GREECE</t>
  </si>
  <si>
    <t xml:space="preserve">-- סה"כ 213 CTS --</t>
  </si>
  <si>
    <t xml:space="preserve">SH422 </t>
  </si>
  <si>
    <t xml:space="preserve">210 - Oy. Ea. Ab. FINLAND</t>
  </si>
  <si>
    <t xml:space="preserve">-- סה"כ SH422  --</t>
  </si>
  <si>
    <t xml:space="preserve">397A</t>
  </si>
  <si>
    <t xml:space="preserve">202 - Super-Pharm POLAND</t>
  </si>
  <si>
    <t xml:space="preserve">201- Seven Gear FINLAND oy</t>
  </si>
  <si>
    <t xml:space="preserve">109 - Private Shops</t>
  </si>
  <si>
    <t xml:space="preserve">301 - Amazon</t>
  </si>
  <si>
    <t xml:space="preserve">-- סה"כ 397A --</t>
  </si>
  <si>
    <t xml:space="preserve">SH333</t>
  </si>
  <si>
    <t xml:space="preserve">-- סה"כ SH333 --</t>
  </si>
  <si>
    <t xml:space="preserve">SH776</t>
  </si>
  <si>
    <t xml:space="preserve">-- סה"כ SH776 --</t>
  </si>
  <si>
    <t xml:space="preserve">SH322</t>
  </si>
  <si>
    <t xml:space="preserve">207 - Salus HUNGARY</t>
  </si>
  <si>
    <t xml:space="preserve">-- סה"כ SH322 --</t>
  </si>
  <si>
    <t xml:space="preserve">SH922</t>
  </si>
  <si>
    <t xml:space="preserve">-</t>
  </si>
  <si>
    <t xml:space="preserve">NA</t>
  </si>
  <si>
    <t xml:space="preserve">לא נמצאה התאמה באף ערוץ, גם בסריקה המורחבת (NA)</t>
  </si>
  <si>
    <t xml:space="preserve">SH423</t>
  </si>
  <si>
    <t xml:space="preserve">-- סה"כ SH423 --</t>
  </si>
  <si>
    <t xml:space="preserve">364 xl+</t>
  </si>
  <si>
    <t xml:space="preserve">-- סה"כ 364 xl+ --</t>
  </si>
  <si>
    <t xml:space="preserve">SC34+</t>
  </si>
  <si>
    <t xml:space="preserve">809PW</t>
  </si>
  <si>
    <t xml:space="preserve">-- סה"כ 809PW --</t>
  </si>
  <si>
    <t xml:space="preserve">הוכרע ע"י המשתמש (26/09/2026): 0 יחידות ב-2026 - אף אחת מ-41 זהויות-הווריאנט שנמצאו עבור "59" אינה המוצר המבוקש, לא מוזג.</t>
  </si>
  <si>
    <t xml:space="preserve">T40B</t>
  </si>
  <si>
    <t xml:space="preserve">בתי מרקחת (קוד 4420039)</t>
  </si>
  <si>
    <t xml:space="preserve">לא ודאי אם זהה ל-T40B - שם דומה בלבד ("T40B רצועה לפיקה"), לא מאושר כאותו מוצר</t>
  </si>
  <si>
    <t xml:space="preserve">-- סה"כ T40B (מופע 1 ברשימת המקור) --</t>
  </si>
  <si>
    <t xml:space="preserve">-- סה"כ T40B (מופע 2 ברשימת המקור) --</t>
  </si>
  <si>
    <t xml:space="preserve">T066</t>
  </si>
  <si>
    <t xml:space="preserve">-- סה"כ T066 --</t>
  </si>
  <si>
    <t xml:space="preserve">הוכרע ע"י המשתמש (26/09/2026): 0 יחידות ב-2026 - קוד CHEMIPAL 4413051 ("35 XXL מגן קרסול לבן") אינו אותו מוצר כמו "3051", לא מוזג.</t>
  </si>
  <si>
    <t xml:space="preserve">הוכרע ע"י המשתמש (26/09/2026): זהה לשורה 16 (כפילות ברשימת המקור) - 0 יחידות, לא מוזג.</t>
  </si>
  <si>
    <t xml:space="preserve">MSG001F 0</t>
  </si>
  <si>
    <t xml:space="preserve">הוכרע ע"י המשתמש (26/09/2026): מוזג סה"כ כל 3 גווני MSG001F (שחור/קרם/לבן) יחד, ללא הבחנה בצבע, כולל שורת הזיכוי השלילית בגוון הלבן כפי שהיא.</t>
  </si>
  <si>
    <t xml:space="preserve">-- סה"כ MSG001F 0 --</t>
  </si>
  <si>
    <t xml:space="preserve">MSG002S 0</t>
  </si>
  <si>
    <t xml:space="preserve">-- סה"כ MSG002S 0 --</t>
  </si>
  <si>
    <t xml:space="preserve">T-scoop רגל</t>
  </si>
  <si>
    <t xml:space="preserve">T-scoop יד</t>
  </si>
  <si>
    <t xml:space="preserve">חגורת Jewett</t>
  </si>
  <si>
    <t xml:space="preserve">מגף (ווקר)</t>
  </si>
  <si>
    <t xml:space="preserve">cervical collar</t>
  </si>
  <si>
    <t xml:space="preserve">הוכרע ע"י המשתמש (26/09/2026): 0 יחידות ב-2026 - אף אחת מ-3 משפחות ה"צווארון" שנמצאו (621B / 61BL / 60B) אינה ה-"cervical collar" המבוקש, לא מוזג.</t>
  </si>
  <si>
    <t xml:space="preserve">Miami brace</t>
  </si>
  <si>
    <t xml:space="preserve">T46B</t>
  </si>
  <si>
    <t xml:space="preserve">-- סה"כ T46B --</t>
  </si>
  <si>
    <t xml:space="preserve">T36B</t>
  </si>
  <si>
    <t xml:space="preserve">-- סה"כ T36B --</t>
  </si>
  <si>
    <t xml:space="preserve">Plan vs Actual - תוכנית 2026 מול ביצוע בפועל (YTD) למוצרים חדשים</t>
  </si>
  <si>
    <t xml:space="preserve">דודו</t>
  </si>
  <si>
    <t xml:space="preserve">חיים</t>
  </si>
  <si>
    <t xml:space="preserve">תוספת </t>
  </si>
  <si>
    <t xml:space="preserve">סטאס</t>
  </si>
  <si>
    <t xml:space="preserve">חזאם</t>
  </si>
  <si>
    <t xml:space="preserve">תקציב </t>
  </si>
  <si>
    <t xml:space="preserve">אזהרה מתודולוגית חשובה: עמודות התוכנית (C-F) הן יעד ל-2026 המלאה (12 חודשים). עמודות הבפועל (G-I) הן YTD חלקי בלבד (כפי שמחושב בגיליון "גיליון1" - מבוסס על ~9.5 חודשי נתונים בפועל, לא מנורמל לשנה מלאה כאן בכוונה, כדי להשוות "מה כבר נמכר בפועל" מול "היעד השנתי" ישירות). % הביצוע (K-L) הוא לכן ביחס ליעד שנתי מלא בעוד שהמונה הוא רק חלק מהשנה - לכן % נמוך (למשל 30-60%) בשלב הזה של השנה אינו בהכרח "פיגור", אלא צפוי אם קצב המכירות המנורמל עדיין תואם/עולה על היעד. T40B ו-3051 מופיעים כל אחד 2-3 פעמים ברשימת המקור (מופעים נפרדים עם ערוצי-יעד שונים) - ה-actual זהה בשני מופעי T40B (הנתון הגולמי לא ניתן לפיצול בין המופעים) ולכן בשורת הסה"כ הכללי בתחתית, ה-actual של T40B נספר פעם אחת בלבד (לא כפול) כדי לא לנפח את הביצוע בפועל - הפלאן עדיין מסוכם משני המופעים כפי שהם. 3051 = 0 בפועל בכל 3 המופעים (הוכרע ע"י המשתמש כמוצר לא-זהה) - לא רלוונטי לכפל.</t>
  </si>
  <si>
    <t xml:space="preserve">Orthopedic institutes</t>
  </si>
  <si>
    <t xml:space="preserve">סה"כ</t>
  </si>
  <si>
    <t xml:space="preserve">חדש </t>
  </si>
  <si>
    <t xml:space="preserve">דגם</t>
  </si>
  <si>
    <t xml:space="preserve">כמות מתוכננת (שנתי)</t>
  </si>
  <si>
    <t xml:space="preserve">מחיר ליח' (₪)</t>
  </si>
  <si>
    <t xml:space="preserve">מכירות מתוכננות (שנתי, ₪)</t>
  </si>
  <si>
    <t xml:space="preserve">ערוץ מתוכנן</t>
  </si>
  <si>
    <t xml:space="preserve">כמות בפועל (YTD)</t>
  </si>
  <si>
    <t xml:space="preserve">כסף בפועל (YTD, ₪)</t>
  </si>
  <si>
    <t xml:space="preserve">ערוץ מוביל בפועל (Top Source)</t>
  </si>
  <si>
    <t xml:space="preserve">ערוץ תואם?</t>
  </si>
  <si>
    <t xml:space="preserve">% ביצוע כמות (YTD/יעד שנתי)</t>
  </si>
  <si>
    <t xml:space="preserve">% ביצוע כסף (YTD/יעד שנתי)</t>
  </si>
  <si>
    <t xml:space="preserve">הערות</t>
  </si>
  <si>
    <t xml:space="preserve">Units </t>
  </si>
  <si>
    <t xml:space="preserve">Amount </t>
  </si>
  <si>
    <t xml:space="preserve">חנה</t>
  </si>
  <si>
    <t xml:space="preserve">חודשים </t>
  </si>
  <si>
    <t xml:space="preserve">מחיר מטרה </t>
  </si>
  <si>
    <t xml:space="preserve">חודשים</t>
  </si>
  <si>
    <t xml:space="preserve">הזמנה </t>
  </si>
  <si>
    <t xml:space="preserve">אורט</t>
  </si>
  <si>
    <t xml:space="preserve">פיזט</t>
  </si>
  <si>
    <t xml:space="preserve">פרטיים</t>
  </si>
  <si>
    <t xml:space="preserve">בתי מרקחת </t>
  </si>
  <si>
    <t xml:space="preserve">חנויות סה"כ </t>
  </si>
  <si>
    <t xml:space="preserve">יחידות סה"כ </t>
  </si>
  <si>
    <t xml:space="preserve">גלגול </t>
  </si>
  <si>
    <t xml:space="preserve">סה"כ יחידות </t>
  </si>
  <si>
    <t xml:space="preserve">כסף סה"כ</t>
  </si>
  <si>
    <t xml:space="preserve">מכוני אורטופדיה</t>
  </si>
  <si>
    <t xml:space="preserve">שונה</t>
  </si>
  <si>
    <t xml:space="preserve">גיבוי </t>
  </si>
  <si>
    <t xml:space="preserve">סופרפארם</t>
  </si>
  <si>
    <t xml:space="preserve">כמעט תיקו מול סופר פארם ישראל (1552, הפרש 18 יח' בלבד)</t>
  </si>
  <si>
    <t xml:space="preserve">תואם</t>
  </si>
  <si>
    <t xml:space="preserve">NA (0 בפועל)</t>
  </si>
  <si>
    <t xml:space="preserve">אין בפועל (0%)</t>
  </si>
  <si>
    <t xml:space="preserve">—</t>
  </si>
  <si>
    <t xml:space="preserve">אין ערוץ מתוכנן</t>
  </si>
  <si>
    <t xml:space="preserve">T40B (מופע 1)</t>
  </si>
  <si>
    <t xml:space="preserve">כולל 8 יח'/588.13 ש"ח משורה לא-ודאית ("T40B רצועה לפיקה")</t>
  </si>
  <si>
    <t xml:space="preserve">T40B (מופע 2)</t>
  </si>
  <si>
    <t xml:space="preserve">3051 (מופע 1)</t>
  </si>
  <si>
    <t xml:space="preserve">3051 (מופע 2)</t>
  </si>
  <si>
    <t xml:space="preserve">3051 (מופע 3)</t>
  </si>
  <si>
    <t xml:space="preserve">101-Factory customers / 207-Salus HUNGARY (תיקו)</t>
  </si>
  <si>
    <t xml:space="preserve">תיקו בין 2 ערוצים - 1 יח' כל אחד, אין ערוץ מוביל יחיד</t>
  </si>
  <si>
    <t xml:space="preserve">-- סה"כ (כל 28 שורות התוכנית, plan ללא כפל) --</t>
  </si>
  <si>
    <t xml:space="preserve">-- סה"כ מתוקן (T40B נספר פעם אחת - לא כפול) --</t>
  </si>
  <si>
    <t xml:space="preserve">SPD28</t>
  </si>
  <si>
    <t xml:space="preserve">11P3C/4</t>
  </si>
  <si>
    <t xml:space="preserve">32B</t>
  </si>
  <si>
    <t xml:space="preserve">הנחה </t>
  </si>
  <si>
    <t xml:space="preserve">מידות</t>
  </si>
  <si>
    <t xml:space="preserve">הזמנה ראשונה </t>
  </si>
  <si>
    <t xml:space="preserve">השלמה </t>
  </si>
  <si>
    <t xml:space="preserve">מכירות</t>
  </si>
  <si>
    <t xml:space="preserve">כפפה</t>
  </si>
  <si>
    <t xml:space="preserve">גנו תומך ברק </t>
  </si>
  <si>
    <t xml:space="preserve">מקבע קרסול מתנפח</t>
  </si>
  <si>
    <t xml:space="preserve">SpinaShield | חגורת תיקון יציבה לעמוד שדרה וכתפיים</t>
  </si>
  <si>
    <t xml:space="preserve">מגיני קרסול</t>
  </si>
  <si>
    <t xml:space="preserve">תומך מרפק עם כריות ג'ל</t>
  </si>
  <si>
    <t xml:space="preserve">גנו פרו מייצב ברך עם צירים- שמאל/ימין</t>
  </si>
  <si>
    <t xml:space="preserve">364 XL+</t>
  </si>
  <si>
    <t xml:space="preserve">מפריד בוהן עם רצועה</t>
  </si>
  <si>
    <t xml:space="preserve">בתי</t>
  </si>
  <si>
    <t xml:space="preserve">טייפ</t>
  </si>
  <si>
    <t xml:space="preserve">רצועת רטייה לפיקת הברך</t>
  </si>
  <si>
    <t xml:space="preserve">אור</t>
  </si>
  <si>
    <t xml:space="preserve">T066B</t>
  </si>
  <si>
    <t xml:space="preserve">חגורה לגב </t>
  </si>
  <si>
    <t xml:space="preserve">מדרסים </t>
  </si>
  <si>
    <t xml:space="preserve">מכשיר עיסוי</t>
  </si>
  <si>
    <t xml:space="preserve">כרית עיסוי </t>
  </si>
  <si>
    <t xml:space="preserve">SH779 חגורת Jewett</t>
  </si>
  <si>
    <t xml:space="preserve">חגורת קיבוע מתקדמת לעמוד השדרה העליון והתחתון</t>
  </si>
  <si>
    <t xml:space="preserve">SH660 cervical collar</t>
  </si>
  <si>
    <t xml:space="preserve">מקבע צוואר קשיח מתכוונן</t>
  </si>
  <si>
    <t xml:space="preserve">תומך קרסול תרמי לתמיכה</t>
  </si>
  <si>
    <t xml:space="preserve">כמות </t>
  </si>
  <si>
    <t xml:space="preserve">כסף </t>
  </si>
  <si>
    <t xml:space="preserve">TOTAL</t>
  </si>
  <si>
    <t xml:space="preserve">פירוט לסוכן - יחידות ומכירות לפי ערוץ (אורט / פיזט / בתי מרקחת) למוצרים חדשים</t>
  </si>
  <si>
    <t xml:space="preserve">מקור: גיליון "Plan vs Actual (סוכן)" (קריאה בלבד). לכל מוצר: יחידות-ערוץ = R (סה"כ) × מספר חנויות באותו ערוץ (K/L/M או V/W/X); מכירות-ערוץ = יחידות-ערוץ × G (מחיר אחרי הנחה). סכום 3 הערוצים לכל מוצר-סוכן שווה בדיוק ל-S/T (או AD/AE) המקוריים.</t>
  </si>
  <si>
    <t xml:space="preserve">סוכן: דודו</t>
  </si>
  <si>
    <t xml:space="preserve">יחידות (שנתי)</t>
  </si>
  <si>
    <t xml:space="preserve">מכירות (₪)</t>
  </si>
  <si>
    <t xml:space="preserve">סוכן: חיים</t>
  </si>
  <si>
    <t xml:space="preserve">סוכן: סטאס</t>
  </si>
  <si>
    <t xml:space="preserve">סוכן: חזאם</t>
  </si>
  <si>
    <t xml:space="preserve">בדיקת שפיות - סה"כ כללי לכל סוכן (כאן) מול הגיליון המקורי</t>
  </si>
  <si>
    <t xml:space="preserve">סוכן</t>
  </si>
  <si>
    <t xml:space="preserve">יחידות - סה"כ (כאן)</t>
  </si>
  <si>
    <t xml:space="preserve">יחידות - מקור</t>
  </si>
  <si>
    <t xml:space="preserve">התאמה (יחידות)</t>
  </si>
  <si>
    <t xml:space="preserve">מכירות - סה"כ (כאן)</t>
  </si>
  <si>
    <t xml:space="preserve">מכירות - מקור</t>
  </si>
  <si>
    <t xml:space="preserve">התאמה (מכירות)</t>
  </si>
  <si>
    <t xml:space="preserve">ניתוח לפי ערוץ - סיכום יחידות ומכירות למוצרים חדשים (4 סוכנים מאוחד: דודו+חיים+סטאס+חזאם)</t>
  </si>
  <si>
    <t xml:space="preserve">מקור: גיליון "פירוט לסוכן" (קריאה בלבד). לכל מוצר ולכל ערוץ: יחידות = סכום היחידות של 4 הסוכנים (דודו+חיים+סטאס+חזאם) באותו ערוץ; מכירות (₪) = סכום המכירות של 4 הסוכנים באותו ערוץ. אין פירוק לפי סוכן בגיליון הזה - ראו "פירוט לסוכן" לפירוט המלא.</t>
  </si>
  <si>
    <t xml:space="preserve">כל הסוכנים מאוחד - לפי ערוץ</t>
  </si>
  <si>
    <t xml:space="preserve">בדיקת שפיות - סה"כ לכל ערוץ (כאן) מול סכום 4 הסוכנים בגיליון "פירוט לסוכן"</t>
  </si>
  <si>
    <t xml:space="preserve">ערוץ</t>
  </si>
  <si>
    <t xml:space="preserve">יחידות - סה"כ (4 סוכנים, "פירוט לסוכן")</t>
  </si>
  <si>
    <t xml:space="preserve">מכירות - סה"כ (4 סוכנים, "פירוט לסוכן")</t>
  </si>
  <si>
    <t xml:space="preserve">סה"כ 3 ערוצים</t>
  </si>
  <si>
    <t xml:space="preserve">סה"כ 4 סוכנים ("פירוט לסוכן" שורות 108-111, מאומת כבר מול "Plan vs Actual (סוכן)")</t>
  </si>
  <si>
    <t xml:space="preserve">התאמה סופית (שרשרת מלאה: Plan vs Actual (סוכן) -&gt; פירוט לסוכן -&gt; ניתוח לפי ערוץ)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</si>
</sst>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/mm/yy"/>
    <numFmt numFmtId="166" formatCode="#,##0.00"/>
    <numFmt numFmtId="167" formatCode="#,##0"/>
    <numFmt numFmtId="168" formatCode="_ [$₪-40D]\ * #,##0_ ;_ [$₪-40D]\ * \-#,##0_ ;_ [$₪-40D]\ * \-??_ ;_ @_ "/>
    <numFmt numFmtId="169" formatCode="_ &quot;₪ &quot;* #,##0_ ;_ &quot;₪ &quot;* \-#,##0_ ;_ &quot;₪ &quot;* \-??_ ;_ @_ "/>
    <numFmt numFmtId="170" formatCode="_ * #,##0_ ;_ * \-#,##0_ ;_ * \-??_ ;_ @_ "/>
    <numFmt numFmtId="171" formatCode="0.0%"/>
    <numFmt numFmtId="172" formatCode="_ [$₪-40D]\ * #,##0.00_ ;_ [$₪-40D]\ * \-#,##0.00_ ;_ [$₪-40D]\ * \-??_ ;_ @_ "/>
    <numFmt numFmtId="173" formatCode="0"/>
    <numFmt numFmtId="174" formatCode="0%"/>
    <numFmt numFmtId="175" formatCode="General"/>
  </numFmts>
  <fonts count="2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  <charset val="1"/>
    </font>
    <font>
      <b val="true"/>
      <sz val="11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color rgb="FF999999"/>
      <name val="Arial"/>
      <family val="2"/>
      <charset val="1"/>
    </font>
    <font>
      <sz val="10"/>
      <color rgb="FFC00000"/>
      <name val="Arial"/>
      <family val="2"/>
      <charset val="1"/>
    </font>
    <font>
      <sz val="10"/>
      <color rgb="FF7F6000"/>
      <name val="Arial"/>
      <family val="2"/>
      <charset val="1"/>
    </font>
    <font>
      <sz val="10"/>
      <name val="Arial"/>
      <family val="2"/>
    </font>
    <font>
      <sz val="10"/>
      <name val="FreeSans"/>
      <family val="2"/>
    </font>
    <font>
      <i val="true"/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1"/>
      <color rgb="FF242424"/>
      <name val="Aptos Narrow"/>
      <family val="2"/>
      <charset val="1"/>
    </font>
    <font>
      <sz val="10"/>
      <color rgb="FFFF0000"/>
      <name val="Arial"/>
      <family val="2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7E6E6"/>
        <bgColor rgb="FFEDEDED"/>
      </patternFill>
    </fill>
    <fill>
      <patternFill patternType="solid">
        <fgColor rgb="FFF8CBAD"/>
        <bgColor rgb="FFF6C6AD"/>
      </patternFill>
    </fill>
    <fill>
      <patternFill patternType="solid">
        <fgColor theme="3" tint="0.8999"/>
        <bgColor rgb="FFE7E6E6"/>
      </patternFill>
    </fill>
    <fill>
      <patternFill patternType="solid">
        <fgColor theme="9" tint="0.3999"/>
        <bgColor rgb="FF84E291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C6EFCE"/>
      </patternFill>
    </fill>
    <fill>
      <patternFill patternType="solid">
        <fgColor rgb="FFEDEDED"/>
        <bgColor rgb="FFE7E6E6"/>
      </patternFill>
    </fill>
    <fill>
      <patternFill patternType="solid">
        <fgColor theme="5" tint="0.5999"/>
        <bgColor rgb="FFF8CBAD"/>
      </patternFill>
    </fill>
    <fill>
      <patternFill patternType="solid">
        <fgColor theme="6" tint="0.5999"/>
        <bgColor rgb="FF8ED973"/>
      </patternFill>
    </fill>
    <fill>
      <patternFill patternType="solid">
        <fgColor rgb="FFD9D9D9"/>
        <bgColor rgb="FFE7E6E6"/>
      </patternFill>
    </fill>
    <fill>
      <patternFill patternType="solid">
        <fgColor rgb="FFC6EFCE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3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4472C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24242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008080"/>
      <rgbColor rgb="FFC6E0B4"/>
      <rgbColor rgb="FF808080"/>
      <rgbColor rgb="FF9999FF"/>
      <rgbColor rgb="FF993366"/>
      <rgbColor rgb="FFEDEDED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FF99"/>
      <rgbColor rgb="FF84E291"/>
      <rgbColor rgb="FFF6C6AD"/>
      <rgbColor rgb="FFCC99FF"/>
      <rgbColor rgb="FFF8CBAD"/>
      <rgbColor rgb="FF4472C4"/>
      <rgbColor rgb="FF33CCCC"/>
      <rgbColor rgb="FF8ED973"/>
      <rgbColor rgb="FFFFCC00"/>
      <rgbColor rgb="FFFF9900"/>
      <rgbColor rgb="FFFF6600"/>
      <rgbColor rgb="FF666699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26"/>
  <sheetViews>
    <sheetView showFormulas="false" showGridLines="true" showRowColHeaders="true" showZeros="true" rightToLeft="true" tabSelected="false" showOutlineSymbols="true" defaultGridColor="true" view="normal" topLeftCell="A1" colorId="64" zoomScale="85" zoomScaleNormal="85" zoomScalePageLayoutView="100" workbookViewId="0">
      <pane xSplit="0" ySplit="5" topLeftCell="A12" activePane="bottomLeft" state="frozen"/>
      <selection pane="topLeft" activeCell="A1" activeCellId="0" sqref="A1"/>
      <selection pane="bottomLeft" activeCell="D12" activeCellId="0" sqref="D12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2" width="20"/>
    <col collapsed="false" customWidth="true" hidden="false" outlineLevel="0" max="5" min="5" style="2" width="22"/>
    <col collapsed="false" customWidth="true" hidden="false" outlineLevel="0" max="6" min="6" style="2" width="14"/>
    <col collapsed="false" customWidth="true" hidden="false" outlineLevel="0" max="7" min="7" style="2" width="60"/>
  </cols>
  <sheetData>
    <row r="1" customFormat="false" ht="15" hidden="false" customHeight="true" outlineLevel="0" collapsed="false">
      <c r="A1" s="3" t="s">
        <v>0</v>
      </c>
    </row>
    <row r="2" customFormat="false" ht="14.25" hidden="false" customHeight="true" outlineLevel="0" collapsed="false">
      <c r="A2" s="4" t="s">
        <v>1</v>
      </c>
      <c r="B2" s="5" t="n">
        <v>46290</v>
      </c>
    </row>
    <row r="3" customFormat="false" ht="42.75" hidden="false" customHeight="true" outlineLevel="0" collapsed="false">
      <c r="A3" s="6" t="s">
        <v>2</v>
      </c>
      <c r="B3" s="6"/>
      <c r="C3" s="6"/>
      <c r="D3" s="6"/>
      <c r="E3" s="6"/>
      <c r="F3" s="6"/>
      <c r="G3" s="6"/>
    </row>
    <row r="4" customFormat="false" ht="14.25" hidden="false" customHeight="true" outlineLevel="0" collapsed="false">
      <c r="A4" s="7"/>
    </row>
    <row r="5" customFormat="false" ht="26.25" hidden="false" customHeight="true" outlineLevel="0" collapsed="false">
      <c r="A5" s="8" t="s">
        <v>3</v>
      </c>
      <c r="B5" s="8" t="s">
        <v>4</v>
      </c>
      <c r="C5" s="8" t="s">
        <v>5</v>
      </c>
      <c r="D5" s="9" t="s">
        <v>6</v>
      </c>
      <c r="E5" s="9" t="s">
        <v>7</v>
      </c>
      <c r="F5" s="9" t="s">
        <v>8</v>
      </c>
      <c r="G5" s="9" t="s">
        <v>9</v>
      </c>
    </row>
    <row r="6" customFormat="false" ht="14.25" hidden="true" customHeight="true" outlineLevel="0" collapsed="false">
      <c r="A6" s="10" t="n">
        <v>1</v>
      </c>
      <c r="B6" s="11" t="s">
        <v>10</v>
      </c>
      <c r="C6" s="12" t="s">
        <v>11</v>
      </c>
      <c r="D6" s="13" t="n">
        <v>337</v>
      </c>
      <c r="E6" s="14" t="n">
        <v>66538.17</v>
      </c>
      <c r="F6" s="15" t="n">
        <v>6</v>
      </c>
      <c r="G6" s="16"/>
    </row>
    <row r="7" customFormat="false" ht="14.25" hidden="true" customHeight="true" outlineLevel="0" collapsed="false">
      <c r="A7" s="10" t="n">
        <v>1</v>
      </c>
      <c r="B7" s="11" t="s">
        <v>10</v>
      </c>
      <c r="C7" s="12" t="s">
        <v>12</v>
      </c>
      <c r="D7" s="13" t="n">
        <v>200</v>
      </c>
      <c r="E7" s="14" t="n">
        <v>7216.87</v>
      </c>
      <c r="F7" s="15" t="n">
        <v>6</v>
      </c>
      <c r="G7" s="16"/>
    </row>
    <row r="8" customFormat="false" ht="14.25" hidden="true" customHeight="true" outlineLevel="0" collapsed="false">
      <c r="A8" s="10" t="n">
        <v>1</v>
      </c>
      <c r="B8" s="11" t="s">
        <v>10</v>
      </c>
      <c r="C8" s="12" t="s">
        <v>13</v>
      </c>
      <c r="D8" s="13" t="n">
        <v>188</v>
      </c>
      <c r="E8" s="14" t="n">
        <v>17187.81</v>
      </c>
      <c r="F8" s="15" t="n">
        <v>6</v>
      </c>
      <c r="G8" s="16"/>
    </row>
    <row r="9" customFormat="false" ht="14.25" hidden="true" customHeight="true" outlineLevel="0" collapsed="false">
      <c r="A9" s="10" t="n">
        <v>1</v>
      </c>
      <c r="B9" s="11" t="s">
        <v>10</v>
      </c>
      <c r="C9" s="12" t="s">
        <v>14</v>
      </c>
      <c r="D9" s="13" t="n">
        <v>178</v>
      </c>
      <c r="E9" s="14" t="n">
        <v>7746.15</v>
      </c>
      <c r="F9" s="15" t="n">
        <v>6</v>
      </c>
      <c r="G9" s="16"/>
    </row>
    <row r="10" customFormat="false" ht="14.25" hidden="true" customHeight="true" outlineLevel="0" collapsed="false">
      <c r="A10" s="10" t="n">
        <v>1</v>
      </c>
      <c r="B10" s="11" t="s">
        <v>10</v>
      </c>
      <c r="C10" s="12" t="s">
        <v>15</v>
      </c>
      <c r="D10" s="13" t="n">
        <v>100</v>
      </c>
      <c r="E10" s="14" t="n">
        <v>4317.2</v>
      </c>
      <c r="F10" s="15" t="n">
        <v>6</v>
      </c>
      <c r="G10" s="16"/>
    </row>
    <row r="11" customFormat="false" ht="14.25" hidden="true" customHeight="true" outlineLevel="0" collapsed="false">
      <c r="A11" s="10" t="n">
        <v>1</v>
      </c>
      <c r="B11" s="11" t="s">
        <v>10</v>
      </c>
      <c r="C11" s="12" t="s">
        <v>16</v>
      </c>
      <c r="D11" s="13" t="n">
        <v>53</v>
      </c>
      <c r="E11" s="14" t="n">
        <v>3424.33</v>
      </c>
      <c r="F11" s="15" t="n">
        <v>6</v>
      </c>
      <c r="G11" s="16"/>
    </row>
    <row r="12" customFormat="false" ht="14.25" hidden="false" customHeight="true" outlineLevel="0" collapsed="false">
      <c r="A12" s="10" t="n">
        <v>1</v>
      </c>
      <c r="B12" s="10" t="s">
        <v>10</v>
      </c>
      <c r="C12" s="12" t="s">
        <v>17</v>
      </c>
      <c r="D12" s="17" t="n">
        <v>44</v>
      </c>
      <c r="E12" s="17" t="n">
        <v>3960.01</v>
      </c>
      <c r="F12" s="15" t="n">
        <v>6</v>
      </c>
      <c r="G12" s="16"/>
    </row>
    <row r="13" customFormat="false" ht="14.25" hidden="true" customHeight="true" outlineLevel="0" collapsed="false">
      <c r="A13" s="10" t="n">
        <v>1</v>
      </c>
      <c r="B13" s="11" t="s">
        <v>10</v>
      </c>
      <c r="C13" s="12" t="s">
        <v>18</v>
      </c>
      <c r="D13" s="13" t="n">
        <v>14</v>
      </c>
      <c r="E13" s="14" t="n">
        <v>578.88</v>
      </c>
      <c r="F13" s="15" t="n">
        <v>6</v>
      </c>
      <c r="G13" s="16"/>
    </row>
    <row r="14" customFormat="false" ht="14.25" hidden="true" customHeight="true" outlineLevel="0" collapsed="false">
      <c r="A14" s="10" t="n">
        <v>1</v>
      </c>
      <c r="B14" s="11" t="s">
        <v>10</v>
      </c>
      <c r="C14" s="12" t="s">
        <v>19</v>
      </c>
      <c r="D14" s="13" t="n">
        <v>8</v>
      </c>
      <c r="E14" s="14" t="n">
        <v>852.67</v>
      </c>
      <c r="F14" s="15" t="n">
        <v>6</v>
      </c>
      <c r="G14" s="16"/>
    </row>
    <row r="15" customFormat="false" ht="14.25" hidden="true" customHeight="true" outlineLevel="0" collapsed="false">
      <c r="A15" s="10" t="n">
        <v>1</v>
      </c>
      <c r="B15" s="10" t="s">
        <v>10</v>
      </c>
      <c r="C15" s="12" t="s">
        <v>20</v>
      </c>
      <c r="D15" s="13" t="n">
        <v>8</v>
      </c>
      <c r="E15" s="14" t="n">
        <v>882.78</v>
      </c>
      <c r="F15" s="15" t="n">
        <v>6</v>
      </c>
      <c r="G15" s="16"/>
    </row>
    <row r="16" customFormat="false" ht="14.25" hidden="true" customHeight="true" outlineLevel="0" collapsed="false">
      <c r="A16" s="10" t="n">
        <v>1</v>
      </c>
      <c r="B16" s="11" t="s">
        <v>10</v>
      </c>
      <c r="C16" s="12" t="s">
        <v>21</v>
      </c>
      <c r="D16" s="13" t="n">
        <v>3</v>
      </c>
      <c r="E16" s="14" t="n">
        <v>47.64</v>
      </c>
      <c r="F16" s="15" t="n">
        <v>6</v>
      </c>
      <c r="G16" s="16"/>
    </row>
    <row r="17" customFormat="false" ht="14.25" hidden="true" customHeight="true" outlineLevel="0" collapsed="false">
      <c r="A17" s="10" t="n">
        <v>1</v>
      </c>
      <c r="B17" s="10" t="s">
        <v>10</v>
      </c>
      <c r="C17" s="12" t="s">
        <v>22</v>
      </c>
      <c r="D17" s="13" t="n">
        <v>2</v>
      </c>
      <c r="E17" s="14" t="n">
        <v>0.06</v>
      </c>
      <c r="F17" s="15" t="n">
        <v>2</v>
      </c>
      <c r="G17" s="16"/>
    </row>
    <row r="18" customFormat="false" ht="14.25" hidden="true" customHeight="true" outlineLevel="0" collapsed="false">
      <c r="A18" s="18"/>
      <c r="B18" s="19" t="s">
        <v>23</v>
      </c>
      <c r="C18" s="20"/>
      <c r="D18" s="21" t="n">
        <v>1135</v>
      </c>
      <c r="E18" s="22" t="n">
        <v>112752.57</v>
      </c>
      <c r="F18" s="23"/>
      <c r="G18" s="24"/>
    </row>
    <row r="19" customFormat="false" ht="14.25" hidden="true" customHeight="true" outlineLevel="0" collapsed="false">
      <c r="A19" s="10" t="n">
        <v>2</v>
      </c>
      <c r="B19" s="11" t="s">
        <v>24</v>
      </c>
      <c r="C19" s="12" t="s">
        <v>13</v>
      </c>
      <c r="D19" s="13" t="n">
        <v>149</v>
      </c>
      <c r="E19" s="14" t="n">
        <v>24472.72</v>
      </c>
      <c r="F19" s="15" t="n">
        <v>6</v>
      </c>
      <c r="G19" s="16"/>
    </row>
    <row r="20" customFormat="false" ht="14.25" hidden="true" customHeight="true" outlineLevel="0" collapsed="false">
      <c r="A20" s="10" t="n">
        <v>2</v>
      </c>
      <c r="B20" s="11" t="s">
        <v>24</v>
      </c>
      <c r="C20" s="12" t="s">
        <v>19</v>
      </c>
      <c r="D20" s="13" t="n">
        <v>137</v>
      </c>
      <c r="E20" s="14" t="n">
        <v>24853.25</v>
      </c>
      <c r="F20" s="15" t="n">
        <v>6</v>
      </c>
      <c r="G20" s="16"/>
    </row>
    <row r="21" customFormat="false" ht="14.25" hidden="false" customHeight="true" outlineLevel="0" collapsed="false">
      <c r="A21" s="10" t="n">
        <v>2</v>
      </c>
      <c r="B21" s="10" t="s">
        <v>24</v>
      </c>
      <c r="C21" s="12" t="s">
        <v>17</v>
      </c>
      <c r="D21" s="17" t="n">
        <v>135</v>
      </c>
      <c r="E21" s="17" t="n">
        <v>15120.04</v>
      </c>
      <c r="F21" s="15" t="n">
        <v>6</v>
      </c>
      <c r="G21" s="16"/>
    </row>
    <row r="22" customFormat="false" ht="14.25" hidden="true" customHeight="true" outlineLevel="0" collapsed="false">
      <c r="A22" s="10" t="n">
        <v>2</v>
      </c>
      <c r="B22" s="10" t="s">
        <v>24</v>
      </c>
      <c r="C22" s="12" t="s">
        <v>12</v>
      </c>
      <c r="D22" s="13" t="n">
        <v>122</v>
      </c>
      <c r="E22" s="14" t="n">
        <v>9832.38</v>
      </c>
      <c r="F22" s="15" t="n">
        <v>6</v>
      </c>
      <c r="G22" s="16"/>
    </row>
    <row r="23" customFormat="false" ht="14.25" hidden="true" customHeight="true" outlineLevel="0" collapsed="false">
      <c r="A23" s="10" t="n">
        <v>2</v>
      </c>
      <c r="B23" s="10" t="s">
        <v>24</v>
      </c>
      <c r="C23" s="12" t="s">
        <v>16</v>
      </c>
      <c r="D23" s="13" t="n">
        <v>97</v>
      </c>
      <c r="E23" s="14" t="n">
        <v>11033.75</v>
      </c>
      <c r="F23" s="15" t="n">
        <v>5</v>
      </c>
      <c r="G23" s="16"/>
    </row>
    <row r="24" customFormat="false" ht="14.25" hidden="true" customHeight="true" outlineLevel="0" collapsed="false">
      <c r="A24" s="10" t="n">
        <v>2</v>
      </c>
      <c r="B24" s="10" t="s">
        <v>24</v>
      </c>
      <c r="C24" s="12" t="s">
        <v>11</v>
      </c>
      <c r="D24" s="13" t="n">
        <v>78</v>
      </c>
      <c r="E24" s="14" t="n">
        <v>27763.17</v>
      </c>
      <c r="F24" s="15" t="n">
        <v>6</v>
      </c>
      <c r="G24" s="16"/>
    </row>
    <row r="25" customFormat="false" ht="14.25" hidden="true" customHeight="true" outlineLevel="0" collapsed="false">
      <c r="A25" s="10" t="n">
        <v>2</v>
      </c>
      <c r="B25" s="11" t="s">
        <v>24</v>
      </c>
      <c r="C25" s="12" t="s">
        <v>15</v>
      </c>
      <c r="D25" s="13" t="n">
        <v>70</v>
      </c>
      <c r="E25" s="14" t="n">
        <v>6892.81</v>
      </c>
      <c r="F25" s="15" t="n">
        <v>5</v>
      </c>
      <c r="G25" s="16"/>
    </row>
    <row r="26" customFormat="false" ht="14.25" hidden="true" customHeight="true" outlineLevel="0" collapsed="false">
      <c r="A26" s="10" t="n">
        <v>2</v>
      </c>
      <c r="B26" s="10" t="s">
        <v>24</v>
      </c>
      <c r="C26" s="12" t="s">
        <v>20</v>
      </c>
      <c r="D26" s="13" t="n">
        <v>33</v>
      </c>
      <c r="E26" s="14" t="n">
        <v>3570.9</v>
      </c>
      <c r="F26" s="15" t="n">
        <v>6</v>
      </c>
      <c r="G26" s="16"/>
    </row>
    <row r="27" customFormat="false" ht="14.25" hidden="true" customHeight="true" outlineLevel="0" collapsed="false">
      <c r="A27" s="10" t="n">
        <v>2</v>
      </c>
      <c r="B27" s="10" t="s">
        <v>24</v>
      </c>
      <c r="C27" s="12" t="s">
        <v>25</v>
      </c>
      <c r="D27" s="13" t="n">
        <v>30</v>
      </c>
      <c r="E27" s="14" t="n">
        <v>2674.35</v>
      </c>
      <c r="F27" s="15" t="n">
        <v>5</v>
      </c>
      <c r="G27" s="16"/>
    </row>
    <row r="28" customFormat="false" ht="14.25" hidden="true" customHeight="true" outlineLevel="0" collapsed="false">
      <c r="A28" s="10" t="n">
        <v>2</v>
      </c>
      <c r="B28" s="10" t="s">
        <v>24</v>
      </c>
      <c r="C28" s="12" t="s">
        <v>21</v>
      </c>
      <c r="D28" s="13" t="n">
        <v>10</v>
      </c>
      <c r="E28" s="14" t="n">
        <v>1742.17</v>
      </c>
      <c r="F28" s="15" t="n">
        <v>6</v>
      </c>
      <c r="G28" s="16"/>
    </row>
    <row r="29" customFormat="false" ht="14.25" hidden="true" customHeight="true" outlineLevel="0" collapsed="false">
      <c r="A29" s="10" t="n">
        <v>2</v>
      </c>
      <c r="B29" s="10" t="s">
        <v>24</v>
      </c>
      <c r="C29" s="12" t="s">
        <v>22</v>
      </c>
      <c r="D29" s="13" t="n">
        <v>1</v>
      </c>
      <c r="E29" s="14" t="n">
        <v>0.03</v>
      </c>
      <c r="F29" s="15" t="n">
        <v>1</v>
      </c>
      <c r="G29" s="16"/>
    </row>
    <row r="30" customFormat="false" ht="14.25" hidden="true" customHeight="true" outlineLevel="0" collapsed="false">
      <c r="A30" s="18"/>
      <c r="B30" s="25" t="s">
        <v>26</v>
      </c>
      <c r="C30" s="20"/>
      <c r="D30" s="21" t="n">
        <v>862</v>
      </c>
      <c r="E30" s="22" t="n">
        <v>127955.57</v>
      </c>
      <c r="F30" s="26"/>
      <c r="G30" s="26"/>
    </row>
    <row r="31" customFormat="false" ht="14.25" hidden="true" customHeight="true" outlineLevel="0" collapsed="false">
      <c r="A31" s="10" t="n">
        <v>3</v>
      </c>
      <c r="B31" s="10" t="s">
        <v>27</v>
      </c>
      <c r="C31" s="12" t="s">
        <v>28</v>
      </c>
      <c r="D31" s="27" t="n">
        <v>1570</v>
      </c>
      <c r="E31" s="28" t="n">
        <v>46938.98</v>
      </c>
      <c r="F31" s="15" t="n">
        <v>3</v>
      </c>
      <c r="G31" s="16"/>
    </row>
    <row r="32" customFormat="false" ht="14.25" hidden="true" customHeight="true" outlineLevel="0" collapsed="false">
      <c r="A32" s="10" t="n">
        <v>3</v>
      </c>
      <c r="B32" s="11" t="s">
        <v>27</v>
      </c>
      <c r="C32" s="12" t="s">
        <v>13</v>
      </c>
      <c r="D32" s="13" t="n">
        <v>1552</v>
      </c>
      <c r="E32" s="14" t="n">
        <v>77132.51</v>
      </c>
      <c r="F32" s="15" t="n">
        <v>3</v>
      </c>
      <c r="G32" s="16"/>
    </row>
    <row r="33" customFormat="false" ht="14.25" hidden="true" customHeight="true" outlineLevel="0" collapsed="false">
      <c r="A33" s="10" t="n">
        <v>3</v>
      </c>
      <c r="B33" s="11" t="s">
        <v>27</v>
      </c>
      <c r="C33" s="12" t="s">
        <v>11</v>
      </c>
      <c r="D33" s="13" t="n">
        <v>1052</v>
      </c>
      <c r="E33" s="14" t="n">
        <v>109316.76</v>
      </c>
      <c r="F33" s="15" t="n">
        <v>3</v>
      </c>
      <c r="G33" s="16"/>
    </row>
    <row r="34" customFormat="false" ht="14.25" hidden="true" customHeight="true" outlineLevel="0" collapsed="false">
      <c r="A34" s="10" t="n">
        <v>3</v>
      </c>
      <c r="B34" s="10" t="s">
        <v>27</v>
      </c>
      <c r="C34" s="10" t="s">
        <v>19</v>
      </c>
      <c r="D34" s="13" t="n">
        <v>544</v>
      </c>
      <c r="E34" s="14" t="n">
        <v>30153.11</v>
      </c>
      <c r="F34" s="15" t="n">
        <v>3</v>
      </c>
      <c r="G34" s="16"/>
    </row>
    <row r="35" customFormat="false" ht="14.25" hidden="true" customHeight="true" outlineLevel="0" collapsed="false">
      <c r="A35" s="10" t="n">
        <v>3</v>
      </c>
      <c r="B35" s="10" t="s">
        <v>27</v>
      </c>
      <c r="C35" s="10" t="s">
        <v>16</v>
      </c>
      <c r="D35" s="13" t="n">
        <v>411</v>
      </c>
      <c r="E35" s="14" t="n">
        <v>15276.06</v>
      </c>
      <c r="F35" s="15" t="n">
        <v>3</v>
      </c>
      <c r="G35" s="16"/>
    </row>
    <row r="36" customFormat="false" ht="14.25" hidden="true" customHeight="true" outlineLevel="0" collapsed="false">
      <c r="A36" s="10" t="n">
        <v>3</v>
      </c>
      <c r="B36" s="10" t="s">
        <v>27</v>
      </c>
      <c r="C36" s="10" t="s">
        <v>29</v>
      </c>
      <c r="D36" s="13" t="n">
        <v>370</v>
      </c>
      <c r="E36" s="14" t="n">
        <v>10606.85</v>
      </c>
      <c r="F36" s="15" t="n">
        <v>3</v>
      </c>
      <c r="G36" s="16"/>
    </row>
    <row r="37" customFormat="false" ht="14.25" hidden="false" customHeight="true" outlineLevel="0" collapsed="false">
      <c r="A37" s="10" t="n">
        <v>3</v>
      </c>
      <c r="B37" s="10" t="s">
        <v>27</v>
      </c>
      <c r="C37" s="10" t="s">
        <v>17</v>
      </c>
      <c r="D37" s="17" t="n">
        <v>159</v>
      </c>
      <c r="E37" s="17" t="n">
        <v>9944.26</v>
      </c>
      <c r="F37" s="15" t="n">
        <v>3</v>
      </c>
      <c r="G37" s="16"/>
    </row>
    <row r="38" customFormat="false" ht="14.25" hidden="true" customHeight="true" outlineLevel="0" collapsed="false">
      <c r="A38" s="10" t="n">
        <v>3</v>
      </c>
      <c r="B38" s="10" t="s">
        <v>27</v>
      </c>
      <c r="C38" s="10" t="s">
        <v>15</v>
      </c>
      <c r="D38" s="27" t="n">
        <v>80</v>
      </c>
      <c r="E38" s="28" t="n">
        <v>2291.18</v>
      </c>
      <c r="F38" s="15" t="n">
        <v>3</v>
      </c>
      <c r="G38" s="16"/>
    </row>
    <row r="39" customFormat="false" ht="14.25" hidden="true" customHeight="true" outlineLevel="0" collapsed="false">
      <c r="A39" s="10" t="n">
        <v>3</v>
      </c>
      <c r="B39" s="10" t="s">
        <v>27</v>
      </c>
      <c r="C39" s="10" t="s">
        <v>21</v>
      </c>
      <c r="D39" s="13" t="n">
        <v>48</v>
      </c>
      <c r="E39" s="14" t="n">
        <v>2982.65</v>
      </c>
      <c r="F39" s="15" t="n">
        <v>3</v>
      </c>
      <c r="G39" s="16"/>
    </row>
    <row r="40" customFormat="false" ht="14.25" hidden="true" customHeight="true" outlineLevel="0" collapsed="false">
      <c r="A40" s="10" t="n">
        <v>3</v>
      </c>
      <c r="B40" s="10" t="s">
        <v>27</v>
      </c>
      <c r="C40" s="10" t="s">
        <v>30</v>
      </c>
      <c r="D40" s="13" t="n">
        <v>19</v>
      </c>
      <c r="E40" s="14" t="n">
        <v>1074.92</v>
      </c>
      <c r="F40" s="15" t="n">
        <v>3</v>
      </c>
      <c r="G40" s="16"/>
    </row>
    <row r="41" customFormat="false" ht="14.25" hidden="true" customHeight="true" outlineLevel="0" collapsed="false">
      <c r="A41" s="10" t="n">
        <v>3</v>
      </c>
      <c r="B41" s="10" t="s">
        <v>27</v>
      </c>
      <c r="C41" s="10" t="s">
        <v>31</v>
      </c>
      <c r="D41" s="13" t="n">
        <v>13</v>
      </c>
      <c r="E41" s="14" t="n">
        <v>727.07</v>
      </c>
      <c r="F41" s="15" t="n">
        <v>3</v>
      </c>
      <c r="G41" s="16"/>
    </row>
    <row r="42" customFormat="false" ht="14.25" hidden="true" customHeight="true" outlineLevel="0" collapsed="false">
      <c r="A42" s="10" t="n">
        <v>3</v>
      </c>
      <c r="B42" s="10" t="s">
        <v>27</v>
      </c>
      <c r="C42" s="10" t="s">
        <v>20</v>
      </c>
      <c r="D42" s="13" t="n">
        <v>5</v>
      </c>
      <c r="E42" s="14" t="n">
        <v>316.16</v>
      </c>
      <c r="F42" s="15" t="n">
        <v>2</v>
      </c>
      <c r="G42" s="16"/>
    </row>
    <row r="43" customFormat="false" ht="14.25" hidden="true" customHeight="true" outlineLevel="0" collapsed="false">
      <c r="A43" s="29"/>
      <c r="B43" s="25" t="s">
        <v>32</v>
      </c>
      <c r="C43" s="29"/>
      <c r="D43" s="21" t="n">
        <v>5823</v>
      </c>
      <c r="E43" s="22" t="n">
        <v>306760.51</v>
      </c>
      <c r="F43" s="26"/>
      <c r="G43" s="26"/>
    </row>
    <row r="44" customFormat="false" ht="14.25" hidden="true" customHeight="true" outlineLevel="0" collapsed="false">
      <c r="A44" s="10" t="n">
        <v>4</v>
      </c>
      <c r="B44" s="10" t="s">
        <v>33</v>
      </c>
      <c r="C44" s="10" t="s">
        <v>13</v>
      </c>
      <c r="D44" s="27" t="n">
        <v>40</v>
      </c>
      <c r="E44" s="28" t="n">
        <v>5128.58</v>
      </c>
      <c r="F44" s="15" t="n">
        <v>1</v>
      </c>
      <c r="G44" s="16"/>
    </row>
    <row r="45" customFormat="false" ht="14.25" hidden="true" customHeight="true" outlineLevel="0" collapsed="false">
      <c r="A45" s="10" t="n">
        <v>4</v>
      </c>
      <c r="B45" s="10" t="s">
        <v>33</v>
      </c>
      <c r="C45" s="10" t="s">
        <v>16</v>
      </c>
      <c r="D45" s="13" t="n">
        <v>21</v>
      </c>
      <c r="E45" s="14" t="n">
        <v>1758.12</v>
      </c>
      <c r="F45" s="15" t="n">
        <v>1</v>
      </c>
      <c r="G45" s="16"/>
    </row>
    <row r="46" customFormat="false" ht="14.25" hidden="false" customHeight="true" outlineLevel="0" collapsed="false">
      <c r="A46" s="10" t="n">
        <v>4</v>
      </c>
      <c r="B46" s="10" t="s">
        <v>33</v>
      </c>
      <c r="C46" s="10" t="s">
        <v>17</v>
      </c>
      <c r="D46" s="17" t="n">
        <v>21</v>
      </c>
      <c r="E46" s="17" t="n">
        <v>1468.02</v>
      </c>
      <c r="F46" s="15" t="n">
        <v>1</v>
      </c>
      <c r="G46" s="16"/>
    </row>
    <row r="47" customFormat="false" ht="14.25" hidden="true" customHeight="true" outlineLevel="0" collapsed="false">
      <c r="A47" s="10" t="n">
        <v>4</v>
      </c>
      <c r="B47" s="10" t="s">
        <v>33</v>
      </c>
      <c r="C47" s="10" t="s">
        <v>15</v>
      </c>
      <c r="D47" s="13" t="n">
        <v>20</v>
      </c>
      <c r="E47" s="14" t="n">
        <v>1124.31</v>
      </c>
      <c r="F47" s="15" t="n">
        <v>1</v>
      </c>
      <c r="G47" s="16"/>
    </row>
    <row r="48" customFormat="false" ht="14.25" hidden="true" customHeight="true" outlineLevel="0" collapsed="false">
      <c r="A48" s="10" t="n">
        <v>4</v>
      </c>
      <c r="B48" s="10" t="s">
        <v>33</v>
      </c>
      <c r="C48" s="10" t="s">
        <v>20</v>
      </c>
      <c r="D48" s="13" t="n">
        <v>11</v>
      </c>
      <c r="E48" s="14" t="n">
        <v>1086.43</v>
      </c>
      <c r="F48" s="15" t="n">
        <v>1</v>
      </c>
      <c r="G48" s="16"/>
    </row>
    <row r="49" customFormat="false" ht="14.25" hidden="true" customHeight="true" outlineLevel="0" collapsed="false">
      <c r="A49" s="10" t="n">
        <v>4</v>
      </c>
      <c r="B49" s="10" t="s">
        <v>33</v>
      </c>
      <c r="C49" s="10" t="s">
        <v>19</v>
      </c>
      <c r="D49" s="13" t="n">
        <v>8</v>
      </c>
      <c r="E49" s="14" t="n">
        <v>1184</v>
      </c>
      <c r="F49" s="15" t="n">
        <v>1</v>
      </c>
      <c r="G49" s="16"/>
    </row>
    <row r="50" customFormat="false" ht="14.25" hidden="true" customHeight="true" outlineLevel="0" collapsed="false">
      <c r="A50" s="10" t="n">
        <v>4</v>
      </c>
      <c r="B50" s="10" t="s">
        <v>33</v>
      </c>
      <c r="C50" s="10" t="s">
        <v>11</v>
      </c>
      <c r="D50" s="13" t="n">
        <v>7</v>
      </c>
      <c r="E50" s="14" t="n">
        <v>1976.39</v>
      </c>
      <c r="F50" s="15" t="n">
        <v>1</v>
      </c>
      <c r="G50" s="16"/>
    </row>
    <row r="51" customFormat="false" ht="14.25" hidden="true" customHeight="true" outlineLevel="0" collapsed="false">
      <c r="A51" s="10" t="n">
        <v>4</v>
      </c>
      <c r="B51" s="10" t="s">
        <v>33</v>
      </c>
      <c r="C51" s="10" t="s">
        <v>21</v>
      </c>
      <c r="D51" s="13" t="n">
        <v>2</v>
      </c>
      <c r="E51" s="14" t="n">
        <v>164.02</v>
      </c>
      <c r="F51" s="15" t="n">
        <v>1</v>
      </c>
      <c r="G51" s="16"/>
    </row>
    <row r="52" customFormat="false" ht="14.25" hidden="true" customHeight="true" outlineLevel="0" collapsed="false">
      <c r="A52" s="10" t="n">
        <v>4</v>
      </c>
      <c r="B52" s="10" t="s">
        <v>33</v>
      </c>
      <c r="C52" s="10" t="s">
        <v>22</v>
      </c>
      <c r="D52" s="13" t="n">
        <v>1</v>
      </c>
      <c r="E52" s="14" t="n">
        <v>0.03</v>
      </c>
      <c r="F52" s="15" t="n">
        <v>1</v>
      </c>
      <c r="G52" s="16"/>
    </row>
    <row r="53" customFormat="false" ht="14.25" hidden="true" customHeight="true" outlineLevel="0" collapsed="false">
      <c r="A53" s="18"/>
      <c r="B53" s="25" t="s">
        <v>34</v>
      </c>
      <c r="C53" s="18"/>
      <c r="D53" s="21" t="n">
        <v>131</v>
      </c>
      <c r="E53" s="22" t="n">
        <v>13889.9</v>
      </c>
      <c r="F53" s="23"/>
      <c r="G53" s="24"/>
    </row>
    <row r="54" customFormat="false" ht="14.25" hidden="false" customHeight="true" outlineLevel="0" collapsed="false">
      <c r="A54" s="10" t="n">
        <v>5</v>
      </c>
      <c r="B54" s="10" t="s">
        <v>35</v>
      </c>
      <c r="C54" s="10" t="s">
        <v>17</v>
      </c>
      <c r="D54" s="17" t="n">
        <v>68</v>
      </c>
      <c r="E54" s="17" t="n">
        <v>23850.13</v>
      </c>
      <c r="F54" s="15" t="n">
        <v>5</v>
      </c>
      <c r="G54" s="16"/>
    </row>
    <row r="55" customFormat="false" ht="14.25" hidden="true" customHeight="true" outlineLevel="0" collapsed="false">
      <c r="A55" s="10" t="n">
        <v>5</v>
      </c>
      <c r="B55" s="10" t="s">
        <v>35</v>
      </c>
      <c r="C55" s="10" t="s">
        <v>11</v>
      </c>
      <c r="D55" s="13" t="n">
        <v>15</v>
      </c>
      <c r="E55" s="14" t="n">
        <v>12075.07</v>
      </c>
      <c r="F55" s="15" t="n">
        <v>4</v>
      </c>
      <c r="G55" s="16"/>
    </row>
    <row r="56" customFormat="false" ht="14.25" hidden="true" customHeight="true" outlineLevel="0" collapsed="false">
      <c r="A56" s="10" t="n">
        <v>5</v>
      </c>
      <c r="B56" s="10" t="s">
        <v>35</v>
      </c>
      <c r="C56" s="10" t="s">
        <v>15</v>
      </c>
      <c r="D56" s="13" t="n">
        <v>13</v>
      </c>
      <c r="E56" s="14" t="n">
        <v>2006.11</v>
      </c>
      <c r="F56" s="15" t="n">
        <v>5</v>
      </c>
      <c r="G56" s="16"/>
    </row>
    <row r="57" customFormat="false" ht="14.25" hidden="true" customHeight="true" outlineLevel="0" collapsed="false">
      <c r="A57" s="10" t="n">
        <v>5</v>
      </c>
      <c r="B57" s="10" t="s">
        <v>35</v>
      </c>
      <c r="C57" s="10" t="s">
        <v>20</v>
      </c>
      <c r="D57" s="13" t="n">
        <v>5</v>
      </c>
      <c r="E57" s="14" t="n">
        <v>1751.06</v>
      </c>
      <c r="F57" s="15" t="n">
        <v>3</v>
      </c>
      <c r="G57" s="16"/>
    </row>
    <row r="58" customFormat="false" ht="14.25" hidden="true" customHeight="true" outlineLevel="0" collapsed="false">
      <c r="A58" s="10" t="n">
        <v>5</v>
      </c>
      <c r="B58" s="10" t="s">
        <v>35</v>
      </c>
      <c r="C58" s="10" t="s">
        <v>19</v>
      </c>
      <c r="D58" s="13" t="n">
        <v>1</v>
      </c>
      <c r="E58" s="14" t="n">
        <v>350</v>
      </c>
      <c r="F58" s="15" t="n">
        <v>1</v>
      </c>
      <c r="G58" s="16"/>
    </row>
    <row r="59" customFormat="false" ht="14.25" hidden="true" customHeight="true" outlineLevel="0" collapsed="false">
      <c r="A59" s="10" t="n">
        <v>5</v>
      </c>
      <c r="B59" s="10" t="s">
        <v>35</v>
      </c>
      <c r="C59" s="10" t="s">
        <v>21</v>
      </c>
      <c r="D59" s="13" t="n">
        <v>1</v>
      </c>
      <c r="E59" s="14" t="n">
        <v>468.68</v>
      </c>
      <c r="F59" s="15" t="n">
        <v>1</v>
      </c>
      <c r="G59" s="16"/>
    </row>
    <row r="60" customFormat="false" ht="14.25" hidden="true" customHeight="true" outlineLevel="0" collapsed="false">
      <c r="A60" s="18"/>
      <c r="B60" s="25" t="s">
        <v>36</v>
      </c>
      <c r="C60" s="18"/>
      <c r="D60" s="21" t="n">
        <v>103</v>
      </c>
      <c r="E60" s="22" t="n">
        <v>40501.05</v>
      </c>
      <c r="F60" s="23"/>
      <c r="G60" s="24"/>
    </row>
    <row r="61" customFormat="false" ht="14.25" hidden="true" customHeight="true" outlineLevel="0" collapsed="false">
      <c r="A61" s="10" t="n">
        <v>6</v>
      </c>
      <c r="B61" s="10" t="s">
        <v>37</v>
      </c>
      <c r="C61" s="10" t="s">
        <v>38</v>
      </c>
      <c r="D61" s="13" t="n">
        <v>1</v>
      </c>
      <c r="E61" s="14" t="n">
        <v>0.03</v>
      </c>
      <c r="F61" s="15" t="n">
        <v>1</v>
      </c>
      <c r="G61" s="16"/>
    </row>
    <row r="62" customFormat="false" ht="14.25" hidden="true" customHeight="true" outlineLevel="0" collapsed="false">
      <c r="A62" s="29"/>
      <c r="B62" s="25" t="s">
        <v>39</v>
      </c>
      <c r="C62" s="29"/>
      <c r="D62" s="21" t="n">
        <v>1</v>
      </c>
      <c r="E62" s="22" t="n">
        <v>0.03</v>
      </c>
      <c r="F62" s="26"/>
      <c r="G62" s="26"/>
    </row>
    <row r="63" customFormat="false" ht="14.25" hidden="true" customHeight="true" outlineLevel="0" collapsed="false">
      <c r="A63" s="10" t="n">
        <v>7</v>
      </c>
      <c r="B63" s="10" t="s">
        <v>40</v>
      </c>
      <c r="C63" s="10" t="s">
        <v>41</v>
      </c>
      <c r="D63" s="30" t="s">
        <v>42</v>
      </c>
      <c r="E63" s="30" t="s">
        <v>42</v>
      </c>
      <c r="F63" s="15"/>
      <c r="G63" s="16" t="s">
        <v>43</v>
      </c>
    </row>
    <row r="64" customFormat="false" ht="14.25" hidden="true" customHeight="true" outlineLevel="0" collapsed="false">
      <c r="A64" s="10" t="n">
        <v>8</v>
      </c>
      <c r="B64" s="10" t="s">
        <v>44</v>
      </c>
      <c r="C64" s="10" t="s">
        <v>38</v>
      </c>
      <c r="D64" s="27" t="n">
        <v>1</v>
      </c>
      <c r="E64" s="28" t="n">
        <v>0.03</v>
      </c>
      <c r="F64" s="15" t="n">
        <v>1</v>
      </c>
      <c r="G64" s="16"/>
    </row>
    <row r="65" customFormat="false" ht="14.25" hidden="true" customHeight="true" outlineLevel="0" collapsed="false">
      <c r="A65" s="18"/>
      <c r="B65" s="25" t="s">
        <v>45</v>
      </c>
      <c r="C65" s="18"/>
      <c r="D65" s="31" t="n">
        <v>1</v>
      </c>
      <c r="E65" s="32" t="n">
        <v>0.03</v>
      </c>
      <c r="F65" s="23"/>
      <c r="G65" s="24"/>
    </row>
    <row r="66" customFormat="false" ht="14.25" hidden="true" customHeight="true" outlineLevel="0" collapsed="false">
      <c r="A66" s="10" t="n">
        <v>9</v>
      </c>
      <c r="B66" s="10" t="s">
        <v>46</v>
      </c>
      <c r="C66" s="10" t="s">
        <v>20</v>
      </c>
      <c r="D66" s="27" t="n">
        <v>4</v>
      </c>
      <c r="E66" s="28" t="n">
        <v>50.21</v>
      </c>
      <c r="F66" s="15" t="n">
        <v>1</v>
      </c>
      <c r="G66" s="16"/>
    </row>
    <row r="67" customFormat="false" ht="14.25" hidden="true" customHeight="true" outlineLevel="0" collapsed="false">
      <c r="A67" s="10" t="n">
        <v>9</v>
      </c>
      <c r="B67" s="10" t="s">
        <v>46</v>
      </c>
      <c r="C67" s="10" t="s">
        <v>21</v>
      </c>
      <c r="D67" s="13" t="n">
        <v>1</v>
      </c>
      <c r="E67" s="14" t="n">
        <v>0.01</v>
      </c>
      <c r="F67" s="15" t="n">
        <v>1</v>
      </c>
      <c r="G67" s="16"/>
    </row>
    <row r="68" customFormat="false" ht="14.25" hidden="true" customHeight="true" outlineLevel="0" collapsed="false">
      <c r="A68" s="10" t="n">
        <v>9</v>
      </c>
      <c r="B68" s="10" t="s">
        <v>46</v>
      </c>
      <c r="C68" s="10" t="s">
        <v>22</v>
      </c>
      <c r="D68" s="13" t="n">
        <v>1</v>
      </c>
      <c r="E68" s="14" t="n">
        <v>0.03</v>
      </c>
      <c r="F68" s="15" t="n">
        <v>1</v>
      </c>
      <c r="G68" s="16"/>
    </row>
    <row r="69" customFormat="false" ht="14.25" hidden="true" customHeight="true" outlineLevel="0" collapsed="false">
      <c r="A69" s="18"/>
      <c r="B69" s="25" t="s">
        <v>47</v>
      </c>
      <c r="C69" s="18"/>
      <c r="D69" s="21" t="n">
        <v>6</v>
      </c>
      <c r="E69" s="22" t="n">
        <v>50.25</v>
      </c>
      <c r="F69" s="23"/>
      <c r="G69" s="24"/>
    </row>
    <row r="70" customFormat="false" ht="14.25" hidden="true" customHeight="true" outlineLevel="0" collapsed="false">
      <c r="A70" s="10" t="n">
        <v>10</v>
      </c>
      <c r="B70" s="10" t="s">
        <v>48</v>
      </c>
      <c r="C70" s="10" t="s">
        <v>41</v>
      </c>
      <c r="D70" s="33" t="s">
        <v>42</v>
      </c>
      <c r="E70" s="34" t="s">
        <v>42</v>
      </c>
      <c r="F70" s="15"/>
      <c r="G70" s="16" t="s">
        <v>43</v>
      </c>
    </row>
    <row r="71" customFormat="false" ht="14.25" hidden="true" customHeight="true" outlineLevel="0" collapsed="false">
      <c r="A71" s="10" t="n">
        <v>11</v>
      </c>
      <c r="B71" s="10" t="s">
        <v>49</v>
      </c>
      <c r="C71" s="10" t="s">
        <v>20</v>
      </c>
      <c r="D71" s="13" t="n">
        <v>12</v>
      </c>
      <c r="E71" s="14" t="n">
        <v>170.12</v>
      </c>
      <c r="F71" s="15" t="n">
        <v>1</v>
      </c>
      <c r="G71" s="16"/>
    </row>
    <row r="72" customFormat="false" ht="14.25" hidden="true" customHeight="true" outlineLevel="0" collapsed="false">
      <c r="A72" s="10" t="n">
        <v>11</v>
      </c>
      <c r="B72" s="10" t="s">
        <v>49</v>
      </c>
      <c r="C72" s="10" t="s">
        <v>21</v>
      </c>
      <c r="D72" s="27" t="n">
        <v>2</v>
      </c>
      <c r="E72" s="28" t="n">
        <v>0.02</v>
      </c>
      <c r="F72" s="15" t="n">
        <v>1</v>
      </c>
      <c r="G72" s="16"/>
    </row>
    <row r="73" customFormat="false" ht="14.25" hidden="true" customHeight="true" outlineLevel="0" collapsed="false">
      <c r="A73" s="10" t="n">
        <v>11</v>
      </c>
      <c r="B73" s="10" t="s">
        <v>49</v>
      </c>
      <c r="C73" s="10" t="s">
        <v>22</v>
      </c>
      <c r="D73" s="27" t="n">
        <v>1</v>
      </c>
      <c r="E73" s="28" t="n">
        <v>0.03</v>
      </c>
      <c r="F73" s="15" t="n">
        <v>1</v>
      </c>
      <c r="G73" s="16"/>
    </row>
    <row r="74" customFormat="false" ht="14.25" hidden="true" customHeight="true" outlineLevel="0" collapsed="false">
      <c r="A74" s="10" t="n">
        <v>11</v>
      </c>
      <c r="B74" s="10" t="s">
        <v>49</v>
      </c>
      <c r="C74" s="10" t="s">
        <v>38</v>
      </c>
      <c r="D74" s="27" t="n">
        <v>1</v>
      </c>
      <c r="E74" s="28" t="n">
        <v>0.03</v>
      </c>
      <c r="F74" s="15" t="n">
        <v>1</v>
      </c>
      <c r="G74" s="16"/>
    </row>
    <row r="75" customFormat="false" ht="14.25" hidden="true" customHeight="true" outlineLevel="0" collapsed="false">
      <c r="A75" s="18"/>
      <c r="B75" s="25" t="s">
        <v>50</v>
      </c>
      <c r="C75" s="18"/>
      <c r="D75" s="31" t="n">
        <v>16</v>
      </c>
      <c r="E75" s="32" t="n">
        <v>170.2</v>
      </c>
      <c r="F75" s="23"/>
      <c r="G75" s="24"/>
    </row>
    <row r="76" customFormat="false" ht="25.5" hidden="true" customHeight="true" outlineLevel="0" collapsed="false">
      <c r="A76" s="10" t="n">
        <v>12</v>
      </c>
      <c r="B76" s="10" t="n">
        <v>59</v>
      </c>
      <c r="C76" s="10" t="s">
        <v>41</v>
      </c>
      <c r="D76" s="30" t="s">
        <v>42</v>
      </c>
      <c r="E76" s="30" t="s">
        <v>42</v>
      </c>
      <c r="F76" s="15"/>
      <c r="G76" s="16" t="s">
        <v>51</v>
      </c>
    </row>
    <row r="77" customFormat="false" ht="14.25" hidden="true" customHeight="true" outlineLevel="0" collapsed="false">
      <c r="A77" s="10" t="n">
        <v>13</v>
      </c>
      <c r="B77" s="10" t="s">
        <v>52</v>
      </c>
      <c r="C77" s="10" t="s">
        <v>11</v>
      </c>
      <c r="D77" s="27" t="n">
        <v>22</v>
      </c>
      <c r="E77" s="28" t="n">
        <v>3198.69</v>
      </c>
      <c r="F77" s="15" t="n">
        <v>1</v>
      </c>
      <c r="G77" s="16"/>
    </row>
    <row r="78" customFormat="false" ht="14.25" hidden="true" customHeight="true" outlineLevel="0" collapsed="false">
      <c r="A78" s="10" t="n">
        <v>13</v>
      </c>
      <c r="B78" s="10" t="s">
        <v>52</v>
      </c>
      <c r="C78" s="10" t="s">
        <v>38</v>
      </c>
      <c r="D78" s="13" t="n">
        <v>10</v>
      </c>
      <c r="E78" s="14" t="n">
        <v>333.98</v>
      </c>
      <c r="F78" s="15" t="n">
        <v>1</v>
      </c>
      <c r="G78" s="16"/>
    </row>
    <row r="79" customFormat="false" ht="14.25" hidden="true" customHeight="true" outlineLevel="0" collapsed="false">
      <c r="A79" s="10" t="n">
        <v>13</v>
      </c>
      <c r="B79" s="10" t="s">
        <v>52</v>
      </c>
      <c r="C79" s="10" t="s">
        <v>19</v>
      </c>
      <c r="D79" s="13" t="n">
        <v>8</v>
      </c>
      <c r="E79" s="14" t="n">
        <v>588.13</v>
      </c>
      <c r="F79" s="15" t="n">
        <v>1</v>
      </c>
      <c r="G79" s="16"/>
    </row>
    <row r="80" customFormat="false" ht="14.25" hidden="false" customHeight="true" outlineLevel="0" collapsed="false">
      <c r="A80" s="10" t="n">
        <v>13</v>
      </c>
      <c r="B80" s="10" t="s">
        <v>52</v>
      </c>
      <c r="C80" s="10" t="s">
        <v>17</v>
      </c>
      <c r="D80" s="17" t="n">
        <v>1</v>
      </c>
      <c r="E80" s="17" t="n">
        <v>85.26</v>
      </c>
      <c r="F80" s="15" t="n">
        <v>1</v>
      </c>
      <c r="G80" s="16"/>
    </row>
    <row r="81" customFormat="false" ht="14.25" hidden="true" customHeight="true" outlineLevel="0" collapsed="false">
      <c r="A81" s="10" t="n">
        <v>13</v>
      </c>
      <c r="B81" s="10" t="s">
        <v>52</v>
      </c>
      <c r="C81" s="10" t="s">
        <v>21</v>
      </c>
      <c r="D81" s="13" t="n">
        <v>1</v>
      </c>
      <c r="E81" s="14" t="n">
        <v>0.01</v>
      </c>
      <c r="F81" s="15" t="n">
        <v>1</v>
      </c>
      <c r="G81" s="16"/>
    </row>
    <row r="82" customFormat="false" ht="14.25" hidden="true" customHeight="true" outlineLevel="0" collapsed="false">
      <c r="A82" s="10" t="n">
        <v>13</v>
      </c>
      <c r="B82" s="10" t="s">
        <v>52</v>
      </c>
      <c r="C82" s="10" t="s">
        <v>22</v>
      </c>
      <c r="D82" s="13" t="n">
        <v>1</v>
      </c>
      <c r="E82" s="14" t="n">
        <v>0.03</v>
      </c>
      <c r="F82" s="15" t="n">
        <v>1</v>
      </c>
      <c r="G82" s="16"/>
    </row>
    <row r="83" customFormat="false" ht="23.25" hidden="true" customHeight="true" outlineLevel="0" collapsed="false">
      <c r="A83" s="35" t="n">
        <v>13</v>
      </c>
      <c r="B83" s="35" t="s">
        <v>52</v>
      </c>
      <c r="C83" s="36" t="s">
        <v>53</v>
      </c>
      <c r="D83" s="37" t="n">
        <v>8</v>
      </c>
      <c r="E83" s="38" t="n">
        <v>588.13</v>
      </c>
      <c r="F83" s="39"/>
      <c r="G83" s="40" t="s">
        <v>54</v>
      </c>
    </row>
    <row r="84" customFormat="false" ht="14.25" hidden="true" customHeight="true" outlineLevel="0" collapsed="false">
      <c r="A84" s="29"/>
      <c r="B84" s="25" t="s">
        <v>55</v>
      </c>
      <c r="C84" s="29"/>
      <c r="D84" s="21" t="n">
        <v>51</v>
      </c>
      <c r="E84" s="22" t="n">
        <v>4794.24</v>
      </c>
      <c r="F84" s="26"/>
      <c r="G84" s="26"/>
    </row>
    <row r="85" customFormat="false" ht="14.25" hidden="true" customHeight="true" outlineLevel="0" collapsed="false">
      <c r="A85" s="10" t="n">
        <v>14</v>
      </c>
      <c r="B85" s="10" t="s">
        <v>52</v>
      </c>
      <c r="C85" s="10" t="s">
        <v>11</v>
      </c>
      <c r="D85" s="13" t="n">
        <v>22</v>
      </c>
      <c r="E85" s="14" t="n">
        <v>3198.69</v>
      </c>
      <c r="F85" s="15" t="n">
        <v>1</v>
      </c>
      <c r="G85" s="16"/>
    </row>
    <row r="86" customFormat="false" ht="14.25" hidden="true" customHeight="true" outlineLevel="0" collapsed="false">
      <c r="A86" s="10" t="n">
        <v>14</v>
      </c>
      <c r="B86" s="10" t="s">
        <v>52</v>
      </c>
      <c r="C86" s="10" t="s">
        <v>38</v>
      </c>
      <c r="D86" s="13" t="n">
        <v>10</v>
      </c>
      <c r="E86" s="14" t="n">
        <v>333.98</v>
      </c>
      <c r="F86" s="15" t="n">
        <v>1</v>
      </c>
      <c r="G86" s="16"/>
    </row>
    <row r="87" customFormat="false" ht="14.25" hidden="true" customHeight="true" outlineLevel="0" collapsed="false">
      <c r="A87" s="10" t="n">
        <v>14</v>
      </c>
      <c r="B87" s="10" t="s">
        <v>52</v>
      </c>
      <c r="C87" s="10" t="s">
        <v>19</v>
      </c>
      <c r="D87" s="13" t="n">
        <v>8</v>
      </c>
      <c r="E87" s="14" t="n">
        <v>588.13</v>
      </c>
      <c r="F87" s="15" t="n">
        <v>1</v>
      </c>
      <c r="G87" s="16"/>
    </row>
    <row r="88" customFormat="false" ht="14.25" hidden="false" customHeight="true" outlineLevel="0" collapsed="false">
      <c r="A88" s="10" t="n">
        <v>14</v>
      </c>
      <c r="B88" s="10" t="s">
        <v>52</v>
      </c>
      <c r="C88" s="10" t="s">
        <v>17</v>
      </c>
      <c r="D88" s="17" t="n">
        <v>1</v>
      </c>
      <c r="E88" s="17" t="n">
        <v>85.26</v>
      </c>
      <c r="F88" s="15" t="n">
        <v>1</v>
      </c>
      <c r="G88" s="16"/>
    </row>
    <row r="89" customFormat="false" ht="14.25" hidden="true" customHeight="true" outlineLevel="0" collapsed="false">
      <c r="A89" s="10" t="n">
        <v>14</v>
      </c>
      <c r="B89" s="10" t="s">
        <v>52</v>
      </c>
      <c r="C89" s="10" t="s">
        <v>21</v>
      </c>
      <c r="D89" s="13" t="n">
        <v>1</v>
      </c>
      <c r="E89" s="14" t="n">
        <v>0.01</v>
      </c>
      <c r="F89" s="15" t="n">
        <v>1</v>
      </c>
      <c r="G89" s="16"/>
    </row>
    <row r="90" customFormat="false" ht="14.25" hidden="true" customHeight="true" outlineLevel="0" collapsed="false">
      <c r="A90" s="10" t="n">
        <v>14</v>
      </c>
      <c r="B90" s="10" t="s">
        <v>52</v>
      </c>
      <c r="C90" s="10" t="s">
        <v>22</v>
      </c>
      <c r="D90" s="13" t="n">
        <v>1</v>
      </c>
      <c r="E90" s="14" t="n">
        <v>0.03</v>
      </c>
      <c r="F90" s="15" t="n">
        <v>1</v>
      </c>
      <c r="G90" s="16"/>
    </row>
    <row r="91" customFormat="false" ht="23.25" hidden="true" customHeight="true" outlineLevel="0" collapsed="false">
      <c r="A91" s="35" t="n">
        <v>14</v>
      </c>
      <c r="B91" s="35" t="s">
        <v>52</v>
      </c>
      <c r="C91" s="36" t="s">
        <v>53</v>
      </c>
      <c r="D91" s="37" t="n">
        <v>8</v>
      </c>
      <c r="E91" s="38" t="n">
        <v>588.13</v>
      </c>
      <c r="F91" s="39"/>
      <c r="G91" s="40" t="s">
        <v>54</v>
      </c>
    </row>
    <row r="92" customFormat="false" ht="14.25" hidden="true" customHeight="true" outlineLevel="0" collapsed="false">
      <c r="A92" s="29"/>
      <c r="B92" s="25" t="s">
        <v>56</v>
      </c>
      <c r="C92" s="29"/>
      <c r="D92" s="21" t="n">
        <v>51</v>
      </c>
      <c r="E92" s="22" t="n">
        <v>4794.24</v>
      </c>
      <c r="F92" s="26"/>
      <c r="G92" s="26"/>
    </row>
    <row r="93" customFormat="false" ht="14.25" hidden="true" customHeight="true" outlineLevel="0" collapsed="false">
      <c r="A93" s="10" t="n">
        <v>15</v>
      </c>
      <c r="B93" s="10" t="s">
        <v>57</v>
      </c>
      <c r="C93" s="10" t="s">
        <v>20</v>
      </c>
      <c r="D93" s="13" t="n">
        <v>4</v>
      </c>
      <c r="E93" s="14" t="n">
        <v>568.56</v>
      </c>
      <c r="F93" s="15" t="n">
        <v>2</v>
      </c>
      <c r="G93" s="16"/>
    </row>
    <row r="94" customFormat="false" ht="14.25" hidden="true" customHeight="true" outlineLevel="0" collapsed="false">
      <c r="A94" s="10" t="n">
        <v>15</v>
      </c>
      <c r="B94" s="10" t="s">
        <v>57</v>
      </c>
      <c r="C94" s="10" t="s">
        <v>21</v>
      </c>
      <c r="D94" s="13" t="n">
        <v>1</v>
      </c>
      <c r="E94" s="14" t="n">
        <v>0.01</v>
      </c>
      <c r="F94" s="15" t="n">
        <v>1</v>
      </c>
      <c r="G94" s="16"/>
    </row>
    <row r="95" customFormat="false" ht="14.25" hidden="true" customHeight="true" outlineLevel="0" collapsed="false">
      <c r="A95" s="10" t="n">
        <v>15</v>
      </c>
      <c r="B95" s="10" t="s">
        <v>57</v>
      </c>
      <c r="C95" s="10" t="s">
        <v>38</v>
      </c>
      <c r="D95" s="13" t="n">
        <v>1</v>
      </c>
      <c r="E95" s="14" t="n">
        <v>0.03</v>
      </c>
      <c r="F95" s="15" t="n">
        <v>1</v>
      </c>
      <c r="G95" s="16"/>
    </row>
    <row r="96" customFormat="false" ht="14.25" hidden="true" customHeight="true" outlineLevel="0" collapsed="false">
      <c r="A96" s="29"/>
      <c r="B96" s="25" t="s">
        <v>58</v>
      </c>
      <c r="C96" s="29"/>
      <c r="D96" s="21" t="n">
        <v>6</v>
      </c>
      <c r="E96" s="22" t="n">
        <v>568.6</v>
      </c>
      <c r="F96" s="26"/>
      <c r="G96" s="26"/>
    </row>
    <row r="97" customFormat="false" ht="25.5" hidden="true" customHeight="true" outlineLevel="0" collapsed="false">
      <c r="A97" s="10" t="n">
        <v>16</v>
      </c>
      <c r="B97" s="10" t="n">
        <v>3051</v>
      </c>
      <c r="C97" s="10" t="s">
        <v>41</v>
      </c>
      <c r="D97" s="30" t="s">
        <v>42</v>
      </c>
      <c r="E97" s="30" t="s">
        <v>42</v>
      </c>
      <c r="F97" s="15"/>
      <c r="G97" s="16" t="s">
        <v>59</v>
      </c>
    </row>
    <row r="98" customFormat="false" ht="25.5" hidden="true" customHeight="true" outlineLevel="0" collapsed="false">
      <c r="A98" s="10" t="n">
        <v>17</v>
      </c>
      <c r="B98" s="10" t="n">
        <v>3051</v>
      </c>
      <c r="C98" s="10" t="s">
        <v>41</v>
      </c>
      <c r="D98" s="30" t="s">
        <v>42</v>
      </c>
      <c r="E98" s="30" t="s">
        <v>42</v>
      </c>
      <c r="F98" s="15"/>
      <c r="G98" s="16" t="s">
        <v>60</v>
      </c>
    </row>
    <row r="99" customFormat="false" ht="25.5" hidden="true" customHeight="true" outlineLevel="0" collapsed="false">
      <c r="A99" s="10" t="n">
        <v>18</v>
      </c>
      <c r="B99" s="10" t="n">
        <v>3051</v>
      </c>
      <c r="C99" s="10" t="s">
        <v>41</v>
      </c>
      <c r="D99" s="30" t="s">
        <v>42</v>
      </c>
      <c r="E99" s="30" t="s">
        <v>42</v>
      </c>
      <c r="F99" s="15"/>
      <c r="G99" s="16" t="s">
        <v>60</v>
      </c>
    </row>
    <row r="100" customFormat="false" ht="25.5" hidden="true" customHeight="true" outlineLevel="0" collapsed="false">
      <c r="A100" s="10" t="n">
        <v>19</v>
      </c>
      <c r="B100" s="10" t="s">
        <v>61</v>
      </c>
      <c r="C100" s="10" t="s">
        <v>11</v>
      </c>
      <c r="D100" s="27" t="n">
        <v>37</v>
      </c>
      <c r="E100" s="28" t="n">
        <v>34302.36</v>
      </c>
      <c r="F100" s="15" t="n">
        <v>2</v>
      </c>
      <c r="G100" s="16" t="s">
        <v>62</v>
      </c>
    </row>
    <row r="101" customFormat="false" ht="14.25" hidden="false" customHeight="true" outlineLevel="0" collapsed="false">
      <c r="A101" s="10" t="n">
        <v>19</v>
      </c>
      <c r="B101" s="10" t="s">
        <v>61</v>
      </c>
      <c r="C101" s="10" t="s">
        <v>17</v>
      </c>
      <c r="D101" s="17" t="n">
        <v>5</v>
      </c>
      <c r="E101" s="17" t="n">
        <v>2624.65</v>
      </c>
      <c r="F101" s="15" t="n">
        <v>3</v>
      </c>
      <c r="G101" s="16"/>
    </row>
    <row r="102" customFormat="false" ht="14.25" hidden="true" customHeight="true" outlineLevel="0" collapsed="false">
      <c r="A102" s="10" t="n">
        <v>19</v>
      </c>
      <c r="B102" s="10" t="s">
        <v>61</v>
      </c>
      <c r="C102" s="10" t="s">
        <v>21</v>
      </c>
      <c r="D102" s="13" t="n">
        <v>3</v>
      </c>
      <c r="E102" s="14" t="n">
        <v>508.43</v>
      </c>
      <c r="F102" s="15" t="n">
        <v>1</v>
      </c>
      <c r="G102" s="16"/>
    </row>
    <row r="103" customFormat="false" ht="14.25" hidden="true" customHeight="true" outlineLevel="0" collapsed="false">
      <c r="A103" s="10" t="n">
        <v>19</v>
      </c>
      <c r="B103" s="10" t="s">
        <v>61</v>
      </c>
      <c r="C103" s="10" t="s">
        <v>20</v>
      </c>
      <c r="D103" s="13" t="n">
        <v>1</v>
      </c>
      <c r="E103" s="14" t="n">
        <v>487.44</v>
      </c>
      <c r="F103" s="15" t="n">
        <v>1</v>
      </c>
      <c r="G103" s="16"/>
    </row>
    <row r="104" customFormat="false" ht="14.25" hidden="true" customHeight="true" outlineLevel="0" collapsed="false">
      <c r="A104" s="18"/>
      <c r="B104" s="25" t="s">
        <v>63</v>
      </c>
      <c r="C104" s="18"/>
      <c r="D104" s="21" t="n">
        <v>46</v>
      </c>
      <c r="E104" s="22" t="n">
        <v>37922.88</v>
      </c>
      <c r="F104" s="23"/>
      <c r="G104" s="24"/>
    </row>
    <row r="105" customFormat="false" ht="14.25" hidden="true" customHeight="true" outlineLevel="0" collapsed="false">
      <c r="A105" s="10" t="n">
        <v>20</v>
      </c>
      <c r="B105" s="10" t="s">
        <v>64</v>
      </c>
      <c r="C105" s="10" t="s">
        <v>11</v>
      </c>
      <c r="D105" s="13" t="n">
        <v>18</v>
      </c>
      <c r="E105" s="14" t="n">
        <v>16626.44</v>
      </c>
      <c r="F105" s="15" t="n">
        <v>1</v>
      </c>
      <c r="G105" s="16"/>
    </row>
    <row r="106" customFormat="false" ht="14.25" hidden="false" customHeight="true" outlineLevel="0" collapsed="false">
      <c r="A106" s="10" t="n">
        <v>20</v>
      </c>
      <c r="B106" s="10" t="s">
        <v>64</v>
      </c>
      <c r="C106" s="10" t="s">
        <v>17</v>
      </c>
      <c r="D106" s="17" t="n">
        <v>8</v>
      </c>
      <c r="E106" s="17" t="n">
        <v>4199.44</v>
      </c>
      <c r="F106" s="15" t="n">
        <v>1</v>
      </c>
      <c r="G106" s="16"/>
    </row>
    <row r="107" customFormat="false" ht="14.25" hidden="true" customHeight="true" outlineLevel="0" collapsed="false">
      <c r="A107" s="10" t="n">
        <v>20</v>
      </c>
      <c r="B107" s="10" t="s">
        <v>64</v>
      </c>
      <c r="C107" s="10" t="s">
        <v>21</v>
      </c>
      <c r="D107" s="27" t="n">
        <v>2</v>
      </c>
      <c r="E107" s="28" t="n">
        <v>0</v>
      </c>
      <c r="F107" s="15" t="n">
        <v>1</v>
      </c>
      <c r="G107" s="16"/>
    </row>
    <row r="108" customFormat="false" ht="14.25" hidden="true" customHeight="true" outlineLevel="0" collapsed="false">
      <c r="A108" s="10" t="n">
        <v>20</v>
      </c>
      <c r="B108" s="10" t="s">
        <v>64</v>
      </c>
      <c r="C108" s="10" t="s">
        <v>20</v>
      </c>
      <c r="D108" s="27" t="n">
        <v>2</v>
      </c>
      <c r="E108" s="28" t="n">
        <v>1012.36</v>
      </c>
      <c r="F108" s="15" t="n">
        <v>1</v>
      </c>
      <c r="G108" s="16"/>
    </row>
    <row r="109" customFormat="false" ht="14.25" hidden="true" customHeight="true" outlineLevel="0" collapsed="false">
      <c r="A109" s="18"/>
      <c r="B109" s="25" t="s">
        <v>65</v>
      </c>
      <c r="C109" s="18"/>
      <c r="D109" s="31" t="n">
        <v>30</v>
      </c>
      <c r="E109" s="32" t="n">
        <v>21838.24</v>
      </c>
      <c r="F109" s="23"/>
      <c r="G109" s="24"/>
    </row>
    <row r="110" customFormat="false" ht="14.25" hidden="true" customHeight="true" outlineLevel="0" collapsed="false">
      <c r="A110" s="10" t="n">
        <v>21</v>
      </c>
      <c r="B110" s="10" t="s">
        <v>66</v>
      </c>
      <c r="C110" s="10" t="s">
        <v>41</v>
      </c>
      <c r="D110" s="30" t="s">
        <v>42</v>
      </c>
      <c r="E110" s="30" t="s">
        <v>42</v>
      </c>
      <c r="F110" s="15"/>
      <c r="G110" s="16" t="s">
        <v>43</v>
      </c>
    </row>
    <row r="111" customFormat="false" ht="14.25" hidden="true" customHeight="true" outlineLevel="0" collapsed="false">
      <c r="A111" s="10" t="n">
        <v>22</v>
      </c>
      <c r="B111" s="10" t="s">
        <v>67</v>
      </c>
      <c r="C111" s="10" t="s">
        <v>41</v>
      </c>
      <c r="D111" s="30" t="s">
        <v>42</v>
      </c>
      <c r="E111" s="30" t="s">
        <v>42</v>
      </c>
      <c r="F111" s="15"/>
      <c r="G111" s="16" t="s">
        <v>43</v>
      </c>
    </row>
    <row r="112" customFormat="false" ht="14.25" hidden="true" customHeight="true" outlineLevel="0" collapsed="false">
      <c r="A112" s="10" t="n">
        <v>23</v>
      </c>
      <c r="B112" s="10" t="s">
        <v>68</v>
      </c>
      <c r="C112" s="10" t="s">
        <v>41</v>
      </c>
      <c r="D112" s="33" t="s">
        <v>42</v>
      </c>
      <c r="E112" s="34" t="s">
        <v>42</v>
      </c>
      <c r="F112" s="15"/>
      <c r="G112" s="16" t="s">
        <v>43</v>
      </c>
    </row>
    <row r="113" customFormat="false" ht="14.25" hidden="true" customHeight="true" outlineLevel="0" collapsed="false">
      <c r="A113" s="10" t="n">
        <v>24</v>
      </c>
      <c r="B113" s="10" t="s">
        <v>69</v>
      </c>
      <c r="C113" s="10" t="s">
        <v>41</v>
      </c>
      <c r="D113" s="33" t="s">
        <v>42</v>
      </c>
      <c r="E113" s="34" t="s">
        <v>42</v>
      </c>
      <c r="F113" s="15"/>
      <c r="G113" s="16" t="s">
        <v>43</v>
      </c>
    </row>
    <row r="114" customFormat="false" ht="25.5" hidden="true" customHeight="true" outlineLevel="0" collapsed="false">
      <c r="A114" s="10" t="n">
        <v>25</v>
      </c>
      <c r="B114" s="10" t="s">
        <v>70</v>
      </c>
      <c r="C114" s="10" t="s">
        <v>41</v>
      </c>
      <c r="D114" s="33" t="s">
        <v>42</v>
      </c>
      <c r="E114" s="34" t="s">
        <v>42</v>
      </c>
      <c r="F114" s="15"/>
      <c r="G114" s="16" t="s">
        <v>71</v>
      </c>
    </row>
    <row r="115" customFormat="false" ht="14.25" hidden="true" customHeight="true" outlineLevel="0" collapsed="false">
      <c r="A115" s="10" t="n">
        <v>26</v>
      </c>
      <c r="B115" s="10" t="s">
        <v>72</v>
      </c>
      <c r="C115" s="10" t="s">
        <v>41</v>
      </c>
      <c r="D115" s="33" t="s">
        <v>42</v>
      </c>
      <c r="E115" s="34" t="s">
        <v>42</v>
      </c>
      <c r="F115" s="15"/>
      <c r="G115" s="16" t="s">
        <v>43</v>
      </c>
    </row>
    <row r="116" customFormat="false" ht="14.25" hidden="true" customHeight="true" outlineLevel="0" collapsed="false">
      <c r="A116" s="10" t="n">
        <v>27</v>
      </c>
      <c r="B116" s="10" t="s">
        <v>73</v>
      </c>
      <c r="C116" s="10" t="s">
        <v>20</v>
      </c>
      <c r="D116" s="13" t="n">
        <v>5</v>
      </c>
      <c r="E116" s="14" t="n">
        <v>406.01</v>
      </c>
      <c r="F116" s="15" t="n">
        <v>5</v>
      </c>
      <c r="G116" s="16"/>
    </row>
    <row r="117" customFormat="false" ht="14.25" hidden="true" customHeight="true" outlineLevel="0" collapsed="false">
      <c r="A117" s="10" t="n">
        <v>27</v>
      </c>
      <c r="B117" s="10" t="s">
        <v>73</v>
      </c>
      <c r="C117" s="10" t="s">
        <v>21</v>
      </c>
      <c r="D117" s="13" t="n">
        <v>1</v>
      </c>
      <c r="E117" s="14" t="n">
        <v>0.01</v>
      </c>
      <c r="F117" s="15" t="n">
        <v>1</v>
      </c>
      <c r="G117" s="16"/>
    </row>
    <row r="118" customFormat="false" ht="14.25" hidden="true" customHeight="true" outlineLevel="0" collapsed="false">
      <c r="A118" s="10" t="n">
        <v>27</v>
      </c>
      <c r="B118" s="10" t="s">
        <v>73</v>
      </c>
      <c r="C118" s="10" t="s">
        <v>38</v>
      </c>
      <c r="D118" s="13" t="n">
        <v>1</v>
      </c>
      <c r="E118" s="14" t="n">
        <v>0.03</v>
      </c>
      <c r="F118" s="15" t="n">
        <v>1</v>
      </c>
      <c r="G118" s="16"/>
    </row>
    <row r="119" customFormat="false" ht="14.25" hidden="true" customHeight="true" outlineLevel="0" collapsed="false">
      <c r="A119" s="29"/>
      <c r="B119" s="25" t="s">
        <v>74</v>
      </c>
      <c r="C119" s="29"/>
      <c r="D119" s="21" t="n">
        <v>7</v>
      </c>
      <c r="E119" s="22" t="n">
        <v>406.05</v>
      </c>
      <c r="F119" s="26"/>
      <c r="G119" s="26"/>
    </row>
    <row r="120" customFormat="false" ht="14.25" hidden="true" customHeight="true" outlineLevel="0" collapsed="false">
      <c r="A120" s="10" t="n">
        <v>28</v>
      </c>
      <c r="B120" s="10" t="s">
        <v>75</v>
      </c>
      <c r="C120" s="10" t="s">
        <v>21</v>
      </c>
      <c r="D120" s="13" t="n">
        <v>1</v>
      </c>
      <c r="E120" s="14" t="n">
        <v>0.01</v>
      </c>
      <c r="F120" s="15" t="n">
        <v>1</v>
      </c>
      <c r="G120" s="16"/>
    </row>
    <row r="121" customFormat="false" ht="14.25" hidden="true" customHeight="true" outlineLevel="0" collapsed="false">
      <c r="A121" s="10" t="n">
        <v>28</v>
      </c>
      <c r="B121" s="10" t="s">
        <v>75</v>
      </c>
      <c r="C121" s="12" t="s">
        <v>38</v>
      </c>
      <c r="D121" s="13" t="n">
        <v>1</v>
      </c>
      <c r="E121" s="14" t="n">
        <v>0.03</v>
      </c>
      <c r="F121" s="15" t="n">
        <v>1</v>
      </c>
      <c r="G121" s="16"/>
    </row>
    <row r="122" customFormat="false" ht="14.25" hidden="true" customHeight="true" outlineLevel="0" collapsed="false">
      <c r="A122" s="41"/>
      <c r="B122" s="25" t="s">
        <v>76</v>
      </c>
      <c r="C122" s="42"/>
      <c r="D122" s="21" t="n">
        <v>2</v>
      </c>
      <c r="E122" s="22" t="n">
        <v>0.04</v>
      </c>
      <c r="F122" s="26"/>
      <c r="G122" s="26"/>
    </row>
    <row r="123" customFormat="false" ht="60" hidden="false" customHeight="true" outlineLevel="0" collapsed="false">
      <c r="A123" s="43"/>
      <c r="B123" s="43"/>
      <c r="C123" s="44"/>
    </row>
    <row r="124" customFormat="false" ht="60" hidden="false" customHeight="true" outlineLevel="0" collapsed="false">
      <c r="A124" s="43"/>
      <c r="B124" s="43"/>
      <c r="C124" s="44"/>
    </row>
    <row r="125" customFormat="false" ht="60" hidden="false" customHeight="true" outlineLevel="0" collapsed="false">
      <c r="A125" s="43"/>
      <c r="B125" s="43"/>
      <c r="C125" s="44"/>
    </row>
    <row r="126" customFormat="false" ht="60" hidden="false" customHeight="true" outlineLevel="0" collapsed="false">
      <c r="A126" s="43"/>
      <c r="B126" s="43"/>
      <c r="C126" s="44"/>
    </row>
  </sheetData>
  <autoFilter ref="A5:G122">
    <filterColumn colId="2">
      <filters>
        <filter val="102 - Orthopedic institutes"/>
      </filters>
    </filterColumn>
  </autoFilter>
  <mergeCells count="1">
    <mergeCell ref="A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M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H36" activeCellId="0" sqref="H36"/>
    </sheetView>
  </sheetViews>
  <sheetFormatPr defaultColWidth="8.625" defaultRowHeight="14.25" zeroHeight="false" outlineLevelRow="0" outlineLevelCol="0"/>
  <cols>
    <col collapsed="false" customWidth="true" hidden="false" outlineLevel="0" max="1" min="1" style="2" width="4"/>
    <col collapsed="false" customWidth="true" hidden="false" outlineLevel="0" max="2" min="2" style="45" width="16"/>
    <col collapsed="false" customWidth="true" hidden="false" outlineLevel="0" max="3" min="3" style="2" width="9.75"/>
    <col collapsed="false" customWidth="true" hidden="false" outlineLevel="0" max="4" min="4" style="2" width="12"/>
    <col collapsed="false" customWidth="true" hidden="false" outlineLevel="0" max="5" min="5" style="2" width="18"/>
    <col collapsed="false" customWidth="true" hidden="false" outlineLevel="0" max="6" min="6" style="2" width="11.62"/>
    <col collapsed="false" customWidth="true" hidden="false" outlineLevel="0" max="7" min="7" style="2" width="14"/>
    <col collapsed="false" customWidth="true" hidden="false" outlineLevel="0" max="8" min="8" style="2" width="16"/>
    <col collapsed="false" customWidth="true" hidden="false" outlineLevel="0" max="9" min="9" style="45" width="24"/>
    <col collapsed="false" customWidth="true" hidden="false" outlineLevel="0" max="12" min="10" style="2" width="14"/>
    <col collapsed="false" customWidth="true" hidden="false" outlineLevel="0" max="13" min="13" style="2" width="40"/>
    <col collapsed="false" customWidth="true" hidden="false" outlineLevel="0" max="14" min="14" style="2" width="8.88"/>
    <col collapsed="false" customWidth="true" hidden="false" outlineLevel="0" max="15" min="15" style="2" width="17.88"/>
    <col collapsed="false" customWidth="true" hidden="false" outlineLevel="0" max="17" min="17" style="2" width="8.88"/>
    <col collapsed="false" customWidth="false" hidden="false" outlineLevel="0" max="18" min="18" style="46" width="8.62"/>
    <col collapsed="false" customWidth="true" hidden="false" outlineLevel="0" max="19" min="19" style="2" width="9.75"/>
    <col collapsed="false" customWidth="true" hidden="false" outlineLevel="0" max="20" min="20" style="2" width="14"/>
    <col collapsed="false" customWidth="false" hidden="false" outlineLevel="0" max="28" min="25" style="46" width="8.62"/>
    <col collapsed="false" customWidth="false" hidden="false" outlineLevel="0" max="31" min="30" style="46" width="8.62"/>
    <col collapsed="false" customWidth="true" hidden="false" outlineLevel="0" max="32" min="32" style="46" width="10"/>
    <col collapsed="false" customWidth="true" hidden="false" outlineLevel="0" max="33" min="33" style="2" width="12.76"/>
    <col collapsed="false" customWidth="true" hidden="false" outlineLevel="0" max="37" min="36" style="2" width="14.5"/>
    <col collapsed="false" customWidth="true" hidden="false" outlineLevel="0" max="38" min="38" style="2" width="15.62"/>
    <col collapsed="false" customWidth="true" hidden="false" outlineLevel="0" max="39" min="39" style="2" width="14.5"/>
  </cols>
  <sheetData>
    <row r="1" customFormat="false" ht="16.5" hidden="false" customHeight="true" outlineLevel="0" collapsed="false">
      <c r="A1" s="47" t="s">
        <v>77</v>
      </c>
    </row>
    <row r="2" customFormat="false" ht="16.5" hidden="false" customHeight="true" outlineLevel="0" collapsed="false">
      <c r="A2" s="47"/>
      <c r="X2" s="46" t="s">
        <v>78</v>
      </c>
      <c r="Y2" s="48" t="n">
        <v>26</v>
      </c>
      <c r="Z2" s="48" t="n">
        <v>2</v>
      </c>
      <c r="AA2" s="48" t="n">
        <v>3</v>
      </c>
      <c r="AB2" s="48" t="n">
        <v>70</v>
      </c>
      <c r="AC2" s="46" t="n">
        <f aca="false">SUM(Y2:AB2)</f>
        <v>101</v>
      </c>
    </row>
    <row r="3" customFormat="false" ht="16.5" hidden="false" customHeight="true" outlineLevel="0" collapsed="false">
      <c r="A3" s="47"/>
      <c r="X3" s="46" t="s">
        <v>79</v>
      </c>
      <c r="Y3" s="48" t="n">
        <v>14</v>
      </c>
      <c r="Z3" s="48" t="n">
        <v>1</v>
      </c>
      <c r="AA3" s="48" t="n">
        <v>5</v>
      </c>
      <c r="AB3" s="48" t="n">
        <v>59</v>
      </c>
      <c r="AC3" s="46" t="n">
        <f aca="false">SUM(Y3:AB3)</f>
        <v>79</v>
      </c>
      <c r="AI3" s="49" t="s">
        <v>80</v>
      </c>
      <c r="AJ3" s="50" t="n">
        <f aca="false">AJ7-AJ5</f>
        <v>941750</v>
      </c>
      <c r="AK3" s="50" t="n">
        <f aca="false">AK7-AK5</f>
        <v>199916</v>
      </c>
      <c r="AL3" s="50" t="n">
        <f aca="false">AL7-AL5</f>
        <v>2518537.65182186</v>
      </c>
      <c r="AM3" s="51" t="n">
        <f aca="false">SUBTOTAL(9,AJ3:AL3)</f>
        <v>3660203.65182186</v>
      </c>
    </row>
    <row r="4" customFormat="false" ht="16.5" hidden="false" customHeight="true" outlineLevel="0" collapsed="false">
      <c r="A4" s="47"/>
      <c r="X4" s="46" t="s">
        <v>81</v>
      </c>
      <c r="Y4" s="48" t="n">
        <v>17</v>
      </c>
      <c r="Z4" s="48" t="n">
        <v>5</v>
      </c>
      <c r="AA4" s="48" t="n">
        <v>2</v>
      </c>
      <c r="AB4" s="48" t="n">
        <v>63</v>
      </c>
      <c r="AC4" s="46" t="n">
        <f aca="false">SUM(Y4:AB4)</f>
        <v>87</v>
      </c>
      <c r="AM4" s="51"/>
    </row>
    <row r="5" customFormat="false" ht="15" hidden="false" customHeight="true" outlineLevel="0" collapsed="false">
      <c r="A5" s="52" t="s">
        <v>1</v>
      </c>
      <c r="B5" s="53" t="n">
        <v>46290</v>
      </c>
      <c r="X5" s="46" t="s">
        <v>82</v>
      </c>
      <c r="Y5" s="48" t="n">
        <v>27</v>
      </c>
      <c r="Z5" s="48" t="n">
        <v>12</v>
      </c>
      <c r="AA5" s="48" t="n">
        <v>5</v>
      </c>
      <c r="AB5" s="48" t="n">
        <v>211</v>
      </c>
      <c r="AC5" s="46" t="n">
        <f aca="false">SUM(Y5:AB5)</f>
        <v>255</v>
      </c>
      <c r="AI5" s="2" t="s">
        <v>83</v>
      </c>
      <c r="AJ5" s="54" t="n">
        <v>356500</v>
      </c>
      <c r="AK5" s="54" t="n">
        <v>100000</v>
      </c>
      <c r="AL5" s="54" t="n">
        <v>439462.348178138</v>
      </c>
      <c r="AM5" s="51" t="n">
        <f aca="false">SUBTOTAL(9,AJ5:AL5)</f>
        <v>895962.348178138</v>
      </c>
    </row>
    <row r="6" customFormat="false" ht="42.75" hidden="true" customHeight="true" outlineLevel="0" collapsed="false">
      <c r="A6" s="6" t="s">
        <v>84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true" outlineLevel="0" collapsed="false">
      <c r="C7" s="55" t="n">
        <v>10780</v>
      </c>
      <c r="N7" s="56" t="n">
        <v>2027</v>
      </c>
      <c r="O7" s="56" t="s">
        <v>85</v>
      </c>
      <c r="W7" s="46"/>
      <c r="X7" s="57" t="s">
        <v>86</v>
      </c>
      <c r="Y7" s="57" t="n">
        <f aca="false">SUBTOTAL(9,Y2:Y5)</f>
        <v>84</v>
      </c>
      <c r="Z7" s="57" t="n">
        <f aca="false">SUBTOTAL(9,Z2:Z5)</f>
        <v>20</v>
      </c>
      <c r="AA7" s="57" t="n">
        <f aca="false">SUBTOTAL(9,AA2:AA5)</f>
        <v>15</v>
      </c>
      <c r="AB7" s="57" t="n">
        <f aca="false">SUBTOTAL(9,AB2:AB5)</f>
        <v>403</v>
      </c>
      <c r="AC7" s="57" t="n">
        <f aca="false">SUM(Y7:AB7)</f>
        <v>522</v>
      </c>
      <c r="AF7" s="55" t="n">
        <f aca="false">SUM(AF9:AF32)</f>
        <v>35557.5</v>
      </c>
      <c r="AG7" s="54" t="n">
        <f aca="false">SUM(AG9:AG32)</f>
        <v>4556166</v>
      </c>
      <c r="AI7" s="2" t="s">
        <v>87</v>
      </c>
      <c r="AJ7" s="54" t="n">
        <f aca="false">SUM(AJ9:AJ32)</f>
        <v>1298250</v>
      </c>
      <c r="AK7" s="54" t="n">
        <f aca="false">SUM(AK9:AK32)</f>
        <v>299916</v>
      </c>
      <c r="AL7" s="54" t="n">
        <f aca="false">SUM(AL9:AL32)</f>
        <v>2958000</v>
      </c>
      <c r="AM7" s="51" t="n">
        <f aca="false">SUBTOTAL(9,AJ7:AL7)</f>
        <v>4556166</v>
      </c>
    </row>
    <row r="8" customFormat="false" ht="38.25" hidden="false" customHeight="true" outlineLevel="0" collapsed="false">
      <c r="A8" s="58" t="s">
        <v>3</v>
      </c>
      <c r="B8" s="59" t="s">
        <v>88</v>
      </c>
      <c r="C8" s="58" t="s">
        <v>89</v>
      </c>
      <c r="D8" s="58" t="s">
        <v>90</v>
      </c>
      <c r="E8" s="58" t="s">
        <v>91</v>
      </c>
      <c r="F8" s="58" t="s">
        <v>92</v>
      </c>
      <c r="G8" s="58" t="s">
        <v>93</v>
      </c>
      <c r="H8" s="58" t="s">
        <v>94</v>
      </c>
      <c r="I8" s="59" t="s">
        <v>95</v>
      </c>
      <c r="J8" s="58" t="s">
        <v>96</v>
      </c>
      <c r="K8" s="58" t="s">
        <v>97</v>
      </c>
      <c r="L8" s="58" t="s">
        <v>98</v>
      </c>
      <c r="M8" s="58" t="s">
        <v>99</v>
      </c>
      <c r="N8" s="56" t="s">
        <v>100</v>
      </c>
      <c r="O8" s="56" t="s">
        <v>101</v>
      </c>
      <c r="P8" s="58"/>
      <c r="Q8" s="58" t="s">
        <v>102</v>
      </c>
      <c r="R8" s="58" t="s">
        <v>103</v>
      </c>
      <c r="S8" s="58" t="s">
        <v>104</v>
      </c>
      <c r="T8" s="58" t="s">
        <v>86</v>
      </c>
      <c r="W8" s="58" t="s">
        <v>105</v>
      </c>
      <c r="X8" s="58" t="s">
        <v>106</v>
      </c>
      <c r="Y8" s="58" t="s">
        <v>107</v>
      </c>
      <c r="Z8" s="58" t="s">
        <v>108</v>
      </c>
      <c r="AA8" s="58" t="s">
        <v>109</v>
      </c>
      <c r="AB8" s="58" t="s">
        <v>110</v>
      </c>
      <c r="AC8" s="58" t="s">
        <v>111</v>
      </c>
      <c r="AD8" s="58" t="s">
        <v>112</v>
      </c>
      <c r="AE8" s="58" t="s">
        <v>113</v>
      </c>
      <c r="AF8" s="58" t="s">
        <v>114</v>
      </c>
      <c r="AG8" s="58" t="s">
        <v>115</v>
      </c>
      <c r="AJ8" s="58" t="s">
        <v>107</v>
      </c>
      <c r="AK8" s="58" t="s">
        <v>108</v>
      </c>
      <c r="AL8" s="58" t="s">
        <v>19</v>
      </c>
    </row>
    <row r="9" customFormat="false" ht="14.25" hidden="false" customHeight="true" outlineLevel="0" collapsed="false">
      <c r="A9" s="15" t="n">
        <v>1</v>
      </c>
      <c r="B9" s="60" t="s">
        <v>10</v>
      </c>
      <c r="C9" s="13" t="n">
        <v>2160</v>
      </c>
      <c r="D9" s="14" t="n">
        <v>90</v>
      </c>
      <c r="E9" s="14" t="n">
        <v>194400</v>
      </c>
      <c r="F9" s="15" t="s">
        <v>116</v>
      </c>
      <c r="G9" s="13" t="n">
        <v>1135</v>
      </c>
      <c r="H9" s="27" t="n">
        <v>112752.57</v>
      </c>
      <c r="I9" s="60" t="s">
        <v>11</v>
      </c>
      <c r="J9" s="39" t="s">
        <v>117</v>
      </c>
      <c r="K9" s="61" t="n">
        <v>0.525462962962963</v>
      </c>
      <c r="L9" s="61" t="n">
        <v>0.580002932098766</v>
      </c>
      <c r="M9" s="16"/>
      <c r="N9" s="2" t="n">
        <v>500</v>
      </c>
      <c r="O9" s="62" t="n">
        <f aca="false">N9*D9</f>
        <v>45000</v>
      </c>
      <c r="Q9" s="2" t="n">
        <v>300</v>
      </c>
      <c r="R9" s="46" t="n">
        <v>12</v>
      </c>
      <c r="S9" s="63" t="n">
        <v>90</v>
      </c>
      <c r="T9" s="50" t="n">
        <f aca="false">S9*Q9</f>
        <v>27000</v>
      </c>
      <c r="U9" s="2" t="s">
        <v>118</v>
      </c>
      <c r="W9" s="46" t="n">
        <f aca="false">R9</f>
        <v>12</v>
      </c>
      <c r="X9" s="64" t="n">
        <v>4</v>
      </c>
      <c r="Y9" s="65" t="n">
        <v>75</v>
      </c>
      <c r="Z9" s="65" t="n">
        <v>18</v>
      </c>
      <c r="AA9" s="65"/>
      <c r="AB9" s="65" t="n">
        <v>300</v>
      </c>
      <c r="AC9" s="46" t="n">
        <f aca="false">SUM(Y9:AB9)</f>
        <v>393</v>
      </c>
      <c r="AD9" s="46" t="n">
        <f aca="false">(AC9*X9)</f>
        <v>1572</v>
      </c>
      <c r="AE9" s="46" t="n">
        <v>4</v>
      </c>
      <c r="AF9" s="46" t="n">
        <f aca="false">AE9*AD9</f>
        <v>6288</v>
      </c>
      <c r="AG9" s="50" t="n">
        <f aca="false">AF9*S9</f>
        <v>565920</v>
      </c>
      <c r="AJ9" s="50" t="n">
        <f aca="false">Y9*X9*AE9*S9</f>
        <v>108000</v>
      </c>
      <c r="AK9" s="50" t="n">
        <f aca="false">Z9*X9*AE9*S9</f>
        <v>25920</v>
      </c>
      <c r="AL9" s="50" t="n">
        <f aca="false">AB9*AE9*X9*S9</f>
        <v>432000</v>
      </c>
    </row>
    <row r="10" customFormat="false" ht="14.25" hidden="false" customHeight="true" outlineLevel="0" collapsed="false">
      <c r="A10" s="15" t="n">
        <v>2</v>
      </c>
      <c r="B10" s="60" t="s">
        <v>24</v>
      </c>
      <c r="C10" s="13" t="n">
        <v>2880</v>
      </c>
      <c r="D10" s="14" t="n">
        <v>100</v>
      </c>
      <c r="E10" s="14" t="n">
        <v>288000</v>
      </c>
      <c r="F10" s="15" t="s">
        <v>116</v>
      </c>
      <c r="G10" s="13" t="n">
        <v>862</v>
      </c>
      <c r="H10" s="27" t="n">
        <v>127955.57</v>
      </c>
      <c r="I10" s="60" t="s">
        <v>13</v>
      </c>
      <c r="J10" s="39" t="s">
        <v>117</v>
      </c>
      <c r="K10" s="61" t="n">
        <v>0.299305555555556</v>
      </c>
      <c r="L10" s="61" t="n">
        <v>0.444290173611111</v>
      </c>
      <c r="M10" s="16"/>
      <c r="N10" s="2" t="n">
        <v>500</v>
      </c>
      <c r="O10" s="62" t="n">
        <f aca="false">N10*D10</f>
        <v>50000</v>
      </c>
      <c r="Q10" s="2" t="n">
        <v>400</v>
      </c>
      <c r="R10" s="46" t="n">
        <v>12</v>
      </c>
      <c r="S10" s="63" t="n">
        <v>100</v>
      </c>
      <c r="T10" s="50" t="n">
        <f aca="false">S10*Q10</f>
        <v>40000</v>
      </c>
      <c r="W10" s="46" t="n">
        <f aca="false">R10</f>
        <v>12</v>
      </c>
      <c r="X10" s="64" t="n">
        <v>3</v>
      </c>
      <c r="Y10" s="65" t="n">
        <v>75</v>
      </c>
      <c r="Z10" s="65" t="n">
        <v>18</v>
      </c>
      <c r="AA10" s="65"/>
      <c r="AB10" s="65" t="n">
        <v>300</v>
      </c>
      <c r="AC10" s="46" t="n">
        <f aca="false">SUM(Y10:AB10)</f>
        <v>393</v>
      </c>
      <c r="AD10" s="46" t="n">
        <f aca="false">(AC10*X10)</f>
        <v>1179</v>
      </c>
      <c r="AE10" s="46" t="n">
        <v>4</v>
      </c>
      <c r="AF10" s="46" t="n">
        <f aca="false">AE10*AD10</f>
        <v>4716</v>
      </c>
      <c r="AG10" s="50" t="n">
        <f aca="false">AF10*S10</f>
        <v>471600</v>
      </c>
      <c r="AJ10" s="50" t="n">
        <f aca="false">Y10*X10*AE10*S10</f>
        <v>90000</v>
      </c>
      <c r="AK10" s="50" t="n">
        <f aca="false">Z10*X10*AE10*S10</f>
        <v>21600</v>
      </c>
      <c r="AL10" s="50" t="n">
        <f aca="false">AB10*AE10*X10*S10</f>
        <v>360000</v>
      </c>
    </row>
    <row r="11" customFormat="false" ht="25.5" hidden="false" customHeight="true" outlineLevel="0" collapsed="false">
      <c r="A11" s="15" t="n">
        <v>3</v>
      </c>
      <c r="B11" s="15" t="s">
        <v>27</v>
      </c>
      <c r="C11" s="13" t="n">
        <v>2000</v>
      </c>
      <c r="D11" s="14" t="n">
        <v>50</v>
      </c>
      <c r="E11" s="14" t="n">
        <v>100000</v>
      </c>
      <c r="F11" s="15" t="s">
        <v>119</v>
      </c>
      <c r="G11" s="13" t="n">
        <v>5823</v>
      </c>
      <c r="H11" s="14" t="n">
        <v>306760.51</v>
      </c>
      <c r="I11" s="15" t="s">
        <v>28</v>
      </c>
      <c r="J11" s="39" t="s">
        <v>117</v>
      </c>
      <c r="K11" s="61" t="n">
        <v>2.9115</v>
      </c>
      <c r="L11" s="61" t="n">
        <v>3.0676051</v>
      </c>
      <c r="M11" s="16" t="s">
        <v>120</v>
      </c>
      <c r="W11" s="46" t="n">
        <v>12</v>
      </c>
    </row>
    <row r="12" customFormat="false" ht="14.25" hidden="false" customHeight="true" outlineLevel="0" collapsed="false">
      <c r="A12" s="15" t="n">
        <v>4</v>
      </c>
      <c r="B12" s="60" t="s">
        <v>33</v>
      </c>
      <c r="C12" s="13" t="n">
        <v>1000</v>
      </c>
      <c r="D12" s="14" t="n">
        <v>70</v>
      </c>
      <c r="E12" s="14" t="n">
        <v>70000</v>
      </c>
      <c r="F12" s="15" t="s">
        <v>116</v>
      </c>
      <c r="G12" s="13" t="n">
        <v>131</v>
      </c>
      <c r="H12" s="27" t="n">
        <v>13889.9</v>
      </c>
      <c r="I12" s="60" t="s">
        <v>13</v>
      </c>
      <c r="J12" s="39" t="s">
        <v>117</v>
      </c>
      <c r="K12" s="61" t="n">
        <v>0.131</v>
      </c>
      <c r="L12" s="61" t="n">
        <v>0.198427142857143</v>
      </c>
      <c r="M12" s="16"/>
      <c r="N12" s="2" t="n">
        <v>300</v>
      </c>
      <c r="O12" s="62" t="n">
        <f aca="false">N12*D12</f>
        <v>21000</v>
      </c>
      <c r="Q12" s="2" t="n">
        <v>300</v>
      </c>
      <c r="R12" s="46" t="n">
        <v>12</v>
      </c>
      <c r="S12" s="63" t="n">
        <v>40</v>
      </c>
      <c r="T12" s="50" t="n">
        <f aca="false">S12*Q12</f>
        <v>12000</v>
      </c>
      <c r="W12" s="46" t="n">
        <f aca="false">R12</f>
        <v>12</v>
      </c>
      <c r="X12" s="64" t="n">
        <v>3</v>
      </c>
      <c r="Y12" s="65" t="n">
        <v>75</v>
      </c>
      <c r="Z12" s="65" t="n">
        <v>18</v>
      </c>
      <c r="AA12" s="65"/>
      <c r="AB12" s="65"/>
      <c r="AC12" s="46" t="n">
        <f aca="false">SUM(Y12:AB12)</f>
        <v>93</v>
      </c>
      <c r="AD12" s="46" t="n">
        <f aca="false">(AC12*X12)</f>
        <v>279</v>
      </c>
      <c r="AE12" s="46" t="n">
        <v>4</v>
      </c>
      <c r="AF12" s="46" t="n">
        <f aca="false">AE12*AD12</f>
        <v>1116</v>
      </c>
      <c r="AG12" s="50" t="n">
        <f aca="false">AF12*S12</f>
        <v>44640</v>
      </c>
      <c r="AJ12" s="50" t="n">
        <f aca="false">Y12*X12*AE12*S12</f>
        <v>36000</v>
      </c>
      <c r="AK12" s="50" t="n">
        <f aca="false">Z12*X12*AE12*S12</f>
        <v>8640</v>
      </c>
      <c r="AL12" s="50" t="n">
        <f aca="false">AB12*AE12*X12*S12</f>
        <v>0</v>
      </c>
    </row>
    <row r="13" customFormat="false" ht="14.25" hidden="false" customHeight="true" outlineLevel="0" collapsed="false">
      <c r="A13" s="15" t="n">
        <v>5</v>
      </c>
      <c r="B13" s="60" t="s">
        <v>35</v>
      </c>
      <c r="C13" s="13" t="n">
        <v>220</v>
      </c>
      <c r="D13" s="14" t="n">
        <v>350</v>
      </c>
      <c r="E13" s="14" t="n">
        <v>77000</v>
      </c>
      <c r="F13" s="15" t="s">
        <v>116</v>
      </c>
      <c r="G13" s="13" t="n">
        <v>103</v>
      </c>
      <c r="H13" s="27" t="n">
        <v>40501.05</v>
      </c>
      <c r="I13" s="60" t="s">
        <v>17</v>
      </c>
      <c r="J13" s="66" t="s">
        <v>121</v>
      </c>
      <c r="K13" s="61" t="n">
        <v>0.468181818181818</v>
      </c>
      <c r="L13" s="61" t="n">
        <v>0.525987662337662</v>
      </c>
      <c r="M13" s="16"/>
      <c r="N13" s="2" t="n">
        <v>200</v>
      </c>
      <c r="O13" s="62" t="n">
        <f aca="false">N13*D13</f>
        <v>70000</v>
      </c>
      <c r="Q13" s="2" t="n">
        <v>200</v>
      </c>
      <c r="R13" s="46" t="n">
        <v>12</v>
      </c>
      <c r="S13" s="63" t="n">
        <v>300</v>
      </c>
      <c r="T13" s="50" t="n">
        <f aca="false">S13*Q13</f>
        <v>60000</v>
      </c>
      <c r="W13" s="46" t="n">
        <f aca="false">R13</f>
        <v>12</v>
      </c>
      <c r="X13" s="64" t="n">
        <v>3</v>
      </c>
      <c r="Y13" s="65" t="n">
        <v>75</v>
      </c>
      <c r="Z13" s="65" t="n">
        <v>18</v>
      </c>
      <c r="AA13" s="65"/>
      <c r="AB13" s="65" t="n">
        <v>300</v>
      </c>
      <c r="AC13" s="46" t="n">
        <f aca="false">SUM(Y13:AB13)</f>
        <v>393</v>
      </c>
      <c r="AD13" s="46" t="n">
        <f aca="false">(AC13*X13)</f>
        <v>1179</v>
      </c>
      <c r="AE13" s="46" t="n">
        <v>4</v>
      </c>
      <c r="AF13" s="46" t="n">
        <f aca="false">AE13*AD13</f>
        <v>4716</v>
      </c>
      <c r="AG13" s="50" t="n">
        <f aca="false">AF13*S13</f>
        <v>1414800</v>
      </c>
      <c r="AJ13" s="50" t="n">
        <f aca="false">Y13*X13*AE13*S13</f>
        <v>270000</v>
      </c>
      <c r="AK13" s="50" t="n">
        <f aca="false">Z13*X13*AE13*S13</f>
        <v>64800</v>
      </c>
      <c r="AL13" s="50" t="n">
        <f aca="false">AB13*AE13*X13*S13</f>
        <v>1080000</v>
      </c>
    </row>
    <row r="14" customFormat="false" ht="14.25" hidden="false" customHeight="true" outlineLevel="0" collapsed="false">
      <c r="A14" s="15" t="n">
        <v>6</v>
      </c>
      <c r="B14" s="60" t="s">
        <v>37</v>
      </c>
      <c r="C14" s="13" t="n">
        <v>280</v>
      </c>
      <c r="D14" s="14" t="n">
        <v>70</v>
      </c>
      <c r="E14" s="14" t="n">
        <v>19600</v>
      </c>
      <c r="F14" s="15" t="s">
        <v>116</v>
      </c>
      <c r="G14" s="13" t="n">
        <v>1</v>
      </c>
      <c r="H14" s="27" t="n">
        <v>0.03</v>
      </c>
      <c r="I14" s="60" t="s">
        <v>38</v>
      </c>
      <c r="J14" s="39" t="s">
        <v>117</v>
      </c>
      <c r="K14" s="61" t="n">
        <v>0.00357142857142857</v>
      </c>
      <c r="L14" s="61" t="n">
        <v>1.53061224489796E-006</v>
      </c>
      <c r="M14" s="16"/>
      <c r="N14" s="2" t="n">
        <v>200</v>
      </c>
      <c r="O14" s="62" t="n">
        <f aca="false">N14*D14</f>
        <v>14000</v>
      </c>
      <c r="Q14" s="2" t="n">
        <v>300</v>
      </c>
      <c r="R14" s="46" t="n">
        <v>12</v>
      </c>
      <c r="S14" s="63" t="n">
        <v>70</v>
      </c>
      <c r="T14" s="50" t="n">
        <f aca="false">S14*Q14</f>
        <v>21000</v>
      </c>
      <c r="W14" s="46" t="n">
        <f aca="false">R14</f>
        <v>12</v>
      </c>
      <c r="X14" s="64" t="n">
        <v>3</v>
      </c>
      <c r="Y14" s="65" t="n">
        <v>75</v>
      </c>
      <c r="Z14" s="65" t="n">
        <v>18</v>
      </c>
      <c r="AA14" s="65"/>
      <c r="AB14" s="65" t="n">
        <v>300</v>
      </c>
      <c r="AC14" s="46" t="n">
        <f aca="false">SUM(Y14:AB14)</f>
        <v>393</v>
      </c>
      <c r="AD14" s="46" t="n">
        <f aca="false">(AC14*X14)</f>
        <v>1179</v>
      </c>
      <c r="AE14" s="46" t="n">
        <v>4</v>
      </c>
      <c r="AF14" s="46" t="n">
        <f aca="false">AE14*AD14</f>
        <v>4716</v>
      </c>
      <c r="AG14" s="50" t="n">
        <f aca="false">AF14*S14</f>
        <v>330120</v>
      </c>
      <c r="AJ14" s="50" t="n">
        <f aca="false">Y14*X14*AE14*S14</f>
        <v>63000</v>
      </c>
      <c r="AK14" s="50" t="n">
        <f aca="false">Z14*X14*AE14*S14</f>
        <v>15120</v>
      </c>
      <c r="AL14" s="50" t="n">
        <f aca="false">AB14*AE14*X14*S14</f>
        <v>252000</v>
      </c>
    </row>
    <row r="15" customFormat="false" ht="14.25" hidden="false" customHeight="true" outlineLevel="0" collapsed="false">
      <c r="A15" s="15" t="n">
        <v>7</v>
      </c>
      <c r="B15" s="60" t="s">
        <v>40</v>
      </c>
      <c r="C15" s="13" t="n">
        <v>280</v>
      </c>
      <c r="D15" s="14" t="n">
        <v>80</v>
      </c>
      <c r="E15" s="14" t="n">
        <v>22400</v>
      </c>
      <c r="F15" s="15" t="s">
        <v>116</v>
      </c>
      <c r="G15" s="13" t="n">
        <v>0</v>
      </c>
      <c r="H15" s="27" t="n">
        <v>0</v>
      </c>
      <c r="I15" s="67" t="s">
        <v>122</v>
      </c>
      <c r="J15" s="68" t="s">
        <v>123</v>
      </c>
      <c r="K15" s="61" t="n">
        <v>0</v>
      </c>
      <c r="L15" s="61" t="n">
        <v>0</v>
      </c>
      <c r="M15" s="16"/>
      <c r="N15" s="2" t="n">
        <v>200</v>
      </c>
      <c r="O15" s="62" t="n">
        <f aca="false">N15*D15</f>
        <v>16000</v>
      </c>
      <c r="Q15" s="2" t="n">
        <v>150</v>
      </c>
      <c r="R15" s="46" t="n">
        <v>6</v>
      </c>
      <c r="S15" s="63" t="n">
        <v>80</v>
      </c>
      <c r="T15" s="50" t="n">
        <f aca="false">S15*Q15</f>
        <v>12000</v>
      </c>
      <c r="W15" s="46" t="n">
        <f aca="false">R15</f>
        <v>6</v>
      </c>
      <c r="X15" s="64" t="n">
        <v>3</v>
      </c>
      <c r="Y15" s="65" t="n">
        <v>75</v>
      </c>
      <c r="Z15" s="65" t="n">
        <v>18</v>
      </c>
      <c r="AA15" s="65"/>
      <c r="AB15" s="65" t="n">
        <v>300</v>
      </c>
      <c r="AC15" s="46" t="n">
        <f aca="false">SUM(Y15:AB15)</f>
        <v>393</v>
      </c>
      <c r="AD15" s="46" t="n">
        <f aca="false">(AC15*X15)</f>
        <v>1179</v>
      </c>
      <c r="AE15" s="46" t="n">
        <v>2</v>
      </c>
      <c r="AF15" s="46" t="n">
        <f aca="false">AE15*AD15</f>
        <v>2358</v>
      </c>
      <c r="AG15" s="50" t="n">
        <f aca="false">AF15*S15</f>
        <v>188640</v>
      </c>
      <c r="AJ15" s="50" t="n">
        <f aca="false">Y15*X15*AE15*S15</f>
        <v>36000</v>
      </c>
      <c r="AK15" s="50" t="n">
        <f aca="false">Z15*X15*AE15*S15</f>
        <v>8640</v>
      </c>
      <c r="AL15" s="50" t="n">
        <f aca="false">AB15*AE15*X15*S15</f>
        <v>144000</v>
      </c>
    </row>
    <row r="16" customFormat="false" ht="14.25" hidden="false" customHeight="true" outlineLevel="0" collapsed="false">
      <c r="A16" s="15" t="n">
        <v>8</v>
      </c>
      <c r="B16" s="60" t="s">
        <v>44</v>
      </c>
      <c r="C16" s="13" t="n">
        <v>200</v>
      </c>
      <c r="D16" s="14" t="n">
        <v>260</v>
      </c>
      <c r="E16" s="14" t="n">
        <v>52000</v>
      </c>
      <c r="F16" s="15" t="s">
        <v>116</v>
      </c>
      <c r="G16" s="13" t="n">
        <v>1</v>
      </c>
      <c r="H16" s="27" t="n">
        <v>0.03</v>
      </c>
      <c r="I16" s="60" t="s">
        <v>38</v>
      </c>
      <c r="J16" s="39" t="s">
        <v>117</v>
      </c>
      <c r="K16" s="61" t="n">
        <v>0.005</v>
      </c>
      <c r="L16" s="61" t="n">
        <v>5.76923076923077E-007</v>
      </c>
      <c r="M16" s="16"/>
      <c r="N16" s="2" t="n">
        <v>200</v>
      </c>
      <c r="O16" s="62" t="n">
        <f aca="false">N16*D16</f>
        <v>52000</v>
      </c>
      <c r="Q16" s="2" t="n">
        <v>200</v>
      </c>
      <c r="R16" s="46" t="n">
        <v>10</v>
      </c>
      <c r="S16" s="63" t="n">
        <v>260</v>
      </c>
      <c r="T16" s="50" t="n">
        <f aca="false">S16*Q16</f>
        <v>52000</v>
      </c>
      <c r="W16" s="46" t="n">
        <f aca="false">R16</f>
        <v>10</v>
      </c>
      <c r="X16" s="64" t="n">
        <v>4</v>
      </c>
      <c r="Y16" s="65" t="n">
        <v>75</v>
      </c>
      <c r="Z16" s="65" t="n">
        <v>18</v>
      </c>
      <c r="AA16" s="65"/>
      <c r="AB16" s="65"/>
      <c r="AC16" s="46" t="n">
        <f aca="false">SUM(Y16:AB16)</f>
        <v>93</v>
      </c>
      <c r="AD16" s="46" t="n">
        <f aca="false">(AC16*X16)</f>
        <v>372</v>
      </c>
      <c r="AE16" s="46" t="n">
        <v>3</v>
      </c>
      <c r="AF16" s="46" t="n">
        <f aca="false">AE16*AD16</f>
        <v>1116</v>
      </c>
      <c r="AG16" s="50" t="n">
        <f aca="false">AF16*S16</f>
        <v>290160</v>
      </c>
      <c r="AJ16" s="50" t="n">
        <f aca="false">Y16*X16*AE16*S16</f>
        <v>234000</v>
      </c>
      <c r="AK16" s="50" t="n">
        <f aca="false">Z16*X16*AE16*S16</f>
        <v>56160</v>
      </c>
      <c r="AL16" s="50" t="n">
        <f aca="false">AB16*AE16*X16*S16</f>
        <v>0</v>
      </c>
    </row>
    <row r="17" customFormat="false" ht="14.25" hidden="false" customHeight="true" outlineLevel="0" collapsed="false">
      <c r="A17" s="15" t="n">
        <v>9</v>
      </c>
      <c r="B17" s="15" t="s">
        <v>46</v>
      </c>
      <c r="C17" s="13" t="n">
        <v>1000</v>
      </c>
      <c r="D17" s="14" t="n">
        <v>24</v>
      </c>
      <c r="E17" s="14" t="n">
        <v>24000</v>
      </c>
      <c r="F17" s="15" t="s">
        <v>19</v>
      </c>
      <c r="G17" s="13" t="n">
        <v>6</v>
      </c>
      <c r="H17" s="14" t="n">
        <v>50.25</v>
      </c>
      <c r="I17" s="15" t="s">
        <v>20</v>
      </c>
      <c r="J17" s="39" t="s">
        <v>117</v>
      </c>
      <c r="K17" s="61" t="n">
        <v>0.006</v>
      </c>
      <c r="L17" s="61" t="n">
        <v>0.00209375</v>
      </c>
      <c r="M17" s="16"/>
      <c r="W17" s="46" t="n">
        <v>12</v>
      </c>
    </row>
    <row r="18" customFormat="false" ht="14.25" hidden="false" customHeight="true" outlineLevel="0" collapsed="false">
      <c r="A18" s="15" t="n">
        <v>10</v>
      </c>
      <c r="B18" s="15" t="s">
        <v>48</v>
      </c>
      <c r="C18" s="30" t="s">
        <v>124</v>
      </c>
      <c r="D18" s="14" t="n">
        <v>130</v>
      </c>
      <c r="E18" s="14" t="n">
        <v>0</v>
      </c>
      <c r="F18" s="15" t="s">
        <v>119</v>
      </c>
      <c r="G18" s="13" t="n">
        <v>0</v>
      </c>
      <c r="H18" s="14" t="n">
        <v>0</v>
      </c>
      <c r="I18" s="69" t="s">
        <v>122</v>
      </c>
      <c r="J18" s="68" t="s">
        <v>123</v>
      </c>
      <c r="K18" s="30" t="s">
        <v>124</v>
      </c>
      <c r="L18" s="30" t="s">
        <v>124</v>
      </c>
      <c r="M18" s="16"/>
      <c r="W18" s="46" t="n">
        <v>12</v>
      </c>
    </row>
    <row r="19" customFormat="false" ht="14.25" hidden="false" customHeight="true" outlineLevel="0" collapsed="false">
      <c r="A19" s="15" t="n">
        <v>11</v>
      </c>
      <c r="B19" s="60" t="s">
        <v>49</v>
      </c>
      <c r="C19" s="13" t="n">
        <v>2000</v>
      </c>
      <c r="D19" s="14" t="n">
        <v>12</v>
      </c>
      <c r="E19" s="14" t="n">
        <v>24000</v>
      </c>
      <c r="F19" s="15" t="s">
        <v>116</v>
      </c>
      <c r="G19" s="13" t="n">
        <v>16</v>
      </c>
      <c r="H19" s="27" t="n">
        <v>170.2</v>
      </c>
      <c r="I19" s="60" t="s">
        <v>20</v>
      </c>
      <c r="J19" s="39" t="s">
        <v>117</v>
      </c>
      <c r="K19" s="61" t="n">
        <v>0.008</v>
      </c>
      <c r="L19" s="61" t="n">
        <v>0.00709166666666667</v>
      </c>
      <c r="M19" s="16"/>
      <c r="N19" s="2" t="n">
        <v>1000</v>
      </c>
      <c r="O19" s="62" t="n">
        <f aca="false">N19*D19</f>
        <v>12000</v>
      </c>
      <c r="Q19" s="2" t="n">
        <v>500</v>
      </c>
      <c r="R19" s="46" t="n">
        <v>12</v>
      </c>
      <c r="S19" s="63" t="n">
        <v>10.5</v>
      </c>
      <c r="T19" s="50" t="n">
        <f aca="false">S19*Q19</f>
        <v>5250</v>
      </c>
      <c r="W19" s="46" t="n">
        <f aca="false">R19</f>
        <v>12</v>
      </c>
      <c r="X19" s="64" t="n">
        <v>6</v>
      </c>
      <c r="Y19" s="65"/>
      <c r="Z19" s="65" t="n">
        <v>18</v>
      </c>
      <c r="AA19" s="65"/>
      <c r="AB19" s="65"/>
      <c r="AC19" s="46" t="n">
        <f aca="false">SUM(Y19:AB19)</f>
        <v>18</v>
      </c>
      <c r="AD19" s="46" t="n">
        <f aca="false">(AC19*X19)</f>
        <v>108</v>
      </c>
      <c r="AE19" s="46" t="n">
        <v>4</v>
      </c>
      <c r="AF19" s="46" t="n">
        <f aca="false">AE19*AD19</f>
        <v>432</v>
      </c>
      <c r="AG19" s="50" t="n">
        <f aca="false">AF19*S19</f>
        <v>4536</v>
      </c>
      <c r="AJ19" s="50" t="n">
        <f aca="false">Y19*X19*AE19*S19</f>
        <v>0</v>
      </c>
      <c r="AK19" s="50" t="n">
        <f aca="false">Z19*X19*AE19*S19</f>
        <v>4536</v>
      </c>
      <c r="AL19" s="50" t="n">
        <f aca="false">AB19*AE19*X19*S19</f>
        <v>0</v>
      </c>
    </row>
    <row r="20" customFormat="false" ht="14.25" hidden="false" customHeight="true" outlineLevel="0" collapsed="false">
      <c r="A20" s="15" t="n">
        <v>12</v>
      </c>
      <c r="B20" s="15" t="n">
        <v>59</v>
      </c>
      <c r="C20" s="13" t="n">
        <v>500</v>
      </c>
      <c r="D20" s="14" t="n">
        <v>150</v>
      </c>
      <c r="E20" s="14" t="n">
        <v>75000</v>
      </c>
      <c r="F20" s="69" t="s">
        <v>124</v>
      </c>
      <c r="G20" s="13" t="n">
        <v>0</v>
      </c>
      <c r="H20" s="14" t="n">
        <v>0</v>
      </c>
      <c r="I20" s="69" t="s">
        <v>122</v>
      </c>
      <c r="J20" s="68" t="s">
        <v>125</v>
      </c>
      <c r="K20" s="61" t="n">
        <v>0</v>
      </c>
      <c r="L20" s="61" t="n">
        <v>0</v>
      </c>
      <c r="M20" s="16"/>
      <c r="W20" s="46"/>
    </row>
    <row r="21" customFormat="false" ht="25.5" hidden="false" customHeight="true" outlineLevel="0" collapsed="false">
      <c r="A21" s="15" t="n">
        <v>13</v>
      </c>
      <c r="B21" s="15" t="s">
        <v>126</v>
      </c>
      <c r="C21" s="13" t="n">
        <v>1000</v>
      </c>
      <c r="D21" s="14" t="n">
        <v>60.61</v>
      </c>
      <c r="E21" s="14" t="n">
        <v>60606</v>
      </c>
      <c r="F21" s="15" t="s">
        <v>119</v>
      </c>
      <c r="G21" s="13" t="n">
        <v>51</v>
      </c>
      <c r="H21" s="14" t="n">
        <v>4794.24</v>
      </c>
      <c r="I21" s="15" t="s">
        <v>11</v>
      </c>
      <c r="J21" s="39" t="s">
        <v>117</v>
      </c>
      <c r="K21" s="61" t="n">
        <v>0.051</v>
      </c>
      <c r="L21" s="61" t="n">
        <v>0.0791050391050391</v>
      </c>
      <c r="M21" s="16" t="s">
        <v>127</v>
      </c>
      <c r="W21" s="46"/>
    </row>
    <row r="22" customFormat="false" ht="25.5" hidden="false" customHeight="true" outlineLevel="0" collapsed="false">
      <c r="A22" s="15" t="n">
        <v>14</v>
      </c>
      <c r="B22" s="60" t="s">
        <v>128</v>
      </c>
      <c r="C22" s="13" t="n">
        <v>300</v>
      </c>
      <c r="D22" s="14" t="n">
        <v>70</v>
      </c>
      <c r="E22" s="14" t="n">
        <v>21000</v>
      </c>
      <c r="F22" s="15" t="s">
        <v>116</v>
      </c>
      <c r="G22" s="13" t="n">
        <v>51</v>
      </c>
      <c r="H22" s="27" t="n">
        <v>4794.24</v>
      </c>
      <c r="I22" s="60" t="s">
        <v>11</v>
      </c>
      <c r="J22" s="39" t="s">
        <v>117</v>
      </c>
      <c r="K22" s="61" t="n">
        <v>0.17</v>
      </c>
      <c r="L22" s="61" t="n">
        <v>0.228297142857143</v>
      </c>
      <c r="M22" s="16" t="s">
        <v>127</v>
      </c>
      <c r="O22" s="62" t="n">
        <f aca="false">N22*D22</f>
        <v>0</v>
      </c>
      <c r="Q22" s="2" t="n">
        <v>300</v>
      </c>
      <c r="R22" s="46" t="n">
        <v>12</v>
      </c>
      <c r="S22" s="63" t="n">
        <v>70</v>
      </c>
      <c r="T22" s="50" t="n">
        <f aca="false">S22*Q22</f>
        <v>21000</v>
      </c>
      <c r="W22" s="46" t="n">
        <f aca="false">R22</f>
        <v>12</v>
      </c>
      <c r="X22" s="64" t="n">
        <v>1</v>
      </c>
      <c r="Y22" s="65" t="n">
        <v>75</v>
      </c>
      <c r="Z22" s="65" t="n">
        <v>18</v>
      </c>
      <c r="AA22" s="65"/>
      <c r="AB22" s="65" t="n">
        <v>300</v>
      </c>
      <c r="AC22" s="46" t="n">
        <f aca="false">SUM(Y22:AB22)</f>
        <v>393</v>
      </c>
      <c r="AD22" s="46" t="n">
        <f aca="false">(AC22*X22)</f>
        <v>393</v>
      </c>
      <c r="AE22" s="46" t="n">
        <v>4</v>
      </c>
      <c r="AF22" s="46" t="n">
        <f aca="false">AE22*AD22</f>
        <v>1572</v>
      </c>
      <c r="AG22" s="50" t="n">
        <f aca="false">AF22*S22</f>
        <v>110040</v>
      </c>
      <c r="AJ22" s="50" t="n">
        <f aca="false">Y22*X22*AE22*S22</f>
        <v>21000</v>
      </c>
      <c r="AK22" s="50" t="n">
        <f aca="false">Z22*X22*AE22*S22</f>
        <v>5040</v>
      </c>
      <c r="AL22" s="50" t="n">
        <f aca="false">AB22*AE22*X22*S22</f>
        <v>84000</v>
      </c>
    </row>
    <row r="23" customFormat="false" ht="14.25" hidden="false" customHeight="true" outlineLevel="0" collapsed="false">
      <c r="A23" s="15" t="n">
        <v>15</v>
      </c>
      <c r="B23" s="60" t="s">
        <v>57</v>
      </c>
      <c r="C23" s="13" t="n">
        <v>300</v>
      </c>
      <c r="D23" s="14" t="n">
        <v>140</v>
      </c>
      <c r="E23" s="14" t="n">
        <v>42000</v>
      </c>
      <c r="F23" s="15" t="s">
        <v>116</v>
      </c>
      <c r="G23" s="13" t="n">
        <v>6</v>
      </c>
      <c r="H23" s="27" t="n">
        <v>568.6</v>
      </c>
      <c r="I23" s="60" t="s">
        <v>20</v>
      </c>
      <c r="J23" s="39" t="s">
        <v>117</v>
      </c>
      <c r="K23" s="61" t="n">
        <v>0.02</v>
      </c>
      <c r="L23" s="61" t="n">
        <v>0.0135380952380952</v>
      </c>
      <c r="M23" s="16"/>
      <c r="N23" s="2" t="n">
        <v>200</v>
      </c>
      <c r="O23" s="62" t="n">
        <f aca="false">N23*D23</f>
        <v>28000</v>
      </c>
      <c r="Q23" s="2" t="n">
        <v>300</v>
      </c>
      <c r="R23" s="46" t="n">
        <v>12</v>
      </c>
      <c r="S23" s="63" t="n">
        <v>140</v>
      </c>
      <c r="T23" s="50" t="n">
        <f aca="false">S23*Q23</f>
        <v>42000</v>
      </c>
      <c r="W23" s="46" t="n">
        <f aca="false">R23</f>
        <v>12</v>
      </c>
      <c r="X23" s="64" t="n">
        <v>2</v>
      </c>
      <c r="Y23" s="65" t="n">
        <v>75</v>
      </c>
      <c r="Z23" s="65" t="n">
        <v>18</v>
      </c>
      <c r="AA23" s="65"/>
      <c r="AB23" s="65" t="n">
        <v>300</v>
      </c>
      <c r="AC23" s="46" t="n">
        <f aca="false">SUM(Y23:AB23)</f>
        <v>393</v>
      </c>
      <c r="AD23" s="46" t="n">
        <f aca="false">(AC23*X23)</f>
        <v>786</v>
      </c>
      <c r="AE23" s="46" t="n">
        <v>4</v>
      </c>
      <c r="AF23" s="46" t="n">
        <f aca="false">AE23*AD23</f>
        <v>3144</v>
      </c>
      <c r="AG23" s="50" t="n">
        <f aca="false">AF23*S23</f>
        <v>440160</v>
      </c>
      <c r="AJ23" s="50" t="n">
        <f aca="false">Y23*X23*AE23*S23</f>
        <v>84000</v>
      </c>
      <c r="AK23" s="50" t="n">
        <f aca="false">Z23*X23*AE23*S23</f>
        <v>20160</v>
      </c>
      <c r="AL23" s="50" t="n">
        <f aca="false">AB23*AE23*X23*S23</f>
        <v>336000</v>
      </c>
    </row>
    <row r="24" customFormat="false" ht="14.25" hidden="false" customHeight="true" outlineLevel="0" collapsed="false">
      <c r="A24" s="15" t="n">
        <v>16</v>
      </c>
      <c r="B24" s="15" t="s">
        <v>129</v>
      </c>
      <c r="C24" s="13" t="n">
        <v>500</v>
      </c>
      <c r="D24" s="14" t="n">
        <v>75</v>
      </c>
      <c r="E24" s="14" t="n">
        <v>37500</v>
      </c>
      <c r="F24" s="15" t="s">
        <v>119</v>
      </c>
      <c r="G24" s="13" t="n">
        <v>0</v>
      </c>
      <c r="H24" s="14" t="n">
        <v>0</v>
      </c>
      <c r="I24" s="69" t="s">
        <v>122</v>
      </c>
      <c r="J24" s="68" t="s">
        <v>123</v>
      </c>
      <c r="K24" s="61" t="n">
        <v>0</v>
      </c>
      <c r="L24" s="61" t="n">
        <v>0</v>
      </c>
      <c r="M24" s="16"/>
      <c r="W24" s="46" t="n">
        <v>12</v>
      </c>
    </row>
    <row r="25" customFormat="false" ht="14.25" hidden="false" customHeight="true" outlineLevel="0" collapsed="false">
      <c r="A25" s="15" t="n">
        <v>17</v>
      </c>
      <c r="B25" s="60" t="s">
        <v>130</v>
      </c>
      <c r="C25" s="13" t="n">
        <v>300</v>
      </c>
      <c r="D25" s="14" t="n">
        <v>75</v>
      </c>
      <c r="E25" s="14" t="n">
        <v>22500</v>
      </c>
      <c r="F25" s="15" t="s">
        <v>116</v>
      </c>
      <c r="G25" s="13" t="n">
        <v>0</v>
      </c>
      <c r="H25" s="27" t="n">
        <v>0</v>
      </c>
      <c r="I25" s="67" t="s">
        <v>122</v>
      </c>
      <c r="J25" s="68" t="s">
        <v>123</v>
      </c>
      <c r="K25" s="61" t="n">
        <v>0</v>
      </c>
      <c r="L25" s="61" t="n">
        <v>0</v>
      </c>
      <c r="M25" s="16"/>
      <c r="N25" s="2" t="n">
        <v>300</v>
      </c>
      <c r="O25" s="62" t="n">
        <f aca="false">N25*D25</f>
        <v>22500</v>
      </c>
      <c r="Q25" s="2" t="n">
        <v>200</v>
      </c>
      <c r="R25" s="46" t="n">
        <v>9</v>
      </c>
      <c r="S25" s="63" t="n">
        <v>75</v>
      </c>
      <c r="T25" s="50" t="n">
        <f aca="false">S25*Q25</f>
        <v>15000</v>
      </c>
      <c r="W25" s="46" t="n">
        <f aca="false">R25</f>
        <v>9</v>
      </c>
      <c r="X25" s="64" t="n">
        <v>4</v>
      </c>
      <c r="Y25" s="65" t="n">
        <v>75</v>
      </c>
      <c r="Z25" s="65"/>
      <c r="AA25" s="65"/>
      <c r="AB25" s="65" t="n">
        <v>300</v>
      </c>
      <c r="AC25" s="46" t="n">
        <f aca="false">SUM(Y25:AB25)</f>
        <v>375</v>
      </c>
      <c r="AD25" s="46" t="n">
        <f aca="false">(AC25*X25)</f>
        <v>1500</v>
      </c>
      <c r="AE25" s="46" t="n">
        <v>3</v>
      </c>
      <c r="AF25" s="46" t="n">
        <f aca="false">AE25*AD25</f>
        <v>4500</v>
      </c>
      <c r="AG25" s="50" t="n">
        <f aca="false">AF25*S25</f>
        <v>337500</v>
      </c>
      <c r="AJ25" s="50" t="n">
        <f aca="false">Y25*X25*AE25*S25</f>
        <v>67500</v>
      </c>
      <c r="AK25" s="50" t="n">
        <f aca="false">Z25*X25*AE25*S25</f>
        <v>0</v>
      </c>
      <c r="AL25" s="50" t="n">
        <f aca="false">AB25*AE25*X25*S25</f>
        <v>270000</v>
      </c>
    </row>
    <row r="26" customFormat="false" ht="14.25" hidden="false" customHeight="true" outlineLevel="0" collapsed="false">
      <c r="A26" s="15" t="n">
        <v>18</v>
      </c>
      <c r="B26" s="15" t="s">
        <v>131</v>
      </c>
      <c r="C26" s="13" t="n">
        <v>200</v>
      </c>
      <c r="D26" s="14" t="n">
        <v>75</v>
      </c>
      <c r="E26" s="14" t="n">
        <v>15000</v>
      </c>
      <c r="F26" s="15" t="s">
        <v>19</v>
      </c>
      <c r="G26" s="13" t="n">
        <v>0</v>
      </c>
      <c r="H26" s="14" t="n">
        <v>0</v>
      </c>
      <c r="I26" s="69" t="s">
        <v>122</v>
      </c>
      <c r="J26" s="68" t="s">
        <v>123</v>
      </c>
      <c r="K26" s="61" t="n">
        <v>0</v>
      </c>
      <c r="L26" s="61" t="n">
        <v>0</v>
      </c>
      <c r="M26" s="16"/>
      <c r="W26" s="46" t="n">
        <v>12</v>
      </c>
    </row>
    <row r="27" customFormat="false" ht="14.25" hidden="false" customHeight="true" outlineLevel="0" collapsed="false">
      <c r="A27" s="15" t="n">
        <v>19</v>
      </c>
      <c r="B27" s="60" t="s">
        <v>61</v>
      </c>
      <c r="C27" s="13" t="n">
        <v>100</v>
      </c>
      <c r="D27" s="14" t="n">
        <v>550</v>
      </c>
      <c r="E27" s="14" t="n">
        <v>55000</v>
      </c>
      <c r="F27" s="15" t="s">
        <v>116</v>
      </c>
      <c r="G27" s="13" t="n">
        <v>46</v>
      </c>
      <c r="H27" s="27" t="n">
        <v>37922.88</v>
      </c>
      <c r="I27" s="60" t="s">
        <v>11</v>
      </c>
      <c r="J27" s="39" t="s">
        <v>117</v>
      </c>
      <c r="K27" s="61" t="n">
        <v>0.46</v>
      </c>
      <c r="L27" s="61" t="n">
        <v>0.689506909090909</v>
      </c>
      <c r="M27" s="16"/>
      <c r="N27" s="2" t="n">
        <v>50</v>
      </c>
      <c r="O27" s="62" t="n">
        <f aca="false">N27*D27</f>
        <v>27500</v>
      </c>
      <c r="S27" s="14" t="n">
        <v>550</v>
      </c>
      <c r="T27" s="50" t="n">
        <f aca="false">S27*Q27</f>
        <v>0</v>
      </c>
      <c r="U27" s="2" t="s">
        <v>118</v>
      </c>
      <c r="W27" s="46" t="n">
        <v>12</v>
      </c>
      <c r="X27" s="64" t="n">
        <v>1</v>
      </c>
      <c r="Y27" s="65" t="n">
        <v>75</v>
      </c>
      <c r="Z27" s="65" t="n">
        <v>18</v>
      </c>
      <c r="AA27" s="65"/>
      <c r="AB27" s="65"/>
      <c r="AC27" s="46" t="n">
        <f aca="false">SUM(Y27:AB27)</f>
        <v>93</v>
      </c>
      <c r="AD27" s="46" t="n">
        <f aca="false">(AC27*X27)</f>
        <v>93</v>
      </c>
      <c r="AE27" s="46" t="n">
        <v>2</v>
      </c>
      <c r="AF27" s="46" t="n">
        <f aca="false">AE27*AD27</f>
        <v>186</v>
      </c>
      <c r="AG27" s="50" t="n">
        <f aca="false">AF27*S27</f>
        <v>102300</v>
      </c>
      <c r="AJ27" s="50" t="n">
        <f aca="false">Y27*X27*AE27*S27</f>
        <v>82500</v>
      </c>
      <c r="AK27" s="50" t="n">
        <f aca="false">Z27*X27*AE27*S27</f>
        <v>19800</v>
      </c>
      <c r="AL27" s="50" t="n">
        <f aca="false">AB27*AE27*X27*S27</f>
        <v>0</v>
      </c>
    </row>
    <row r="28" customFormat="false" ht="14.25" hidden="false" customHeight="true" outlineLevel="0" collapsed="false">
      <c r="A28" s="15" t="n">
        <v>20</v>
      </c>
      <c r="B28" s="60" t="s">
        <v>64</v>
      </c>
      <c r="C28" s="13" t="n">
        <v>100</v>
      </c>
      <c r="D28" s="14" t="n">
        <v>550</v>
      </c>
      <c r="E28" s="14" t="n">
        <v>55000</v>
      </c>
      <c r="F28" s="15" t="s">
        <v>116</v>
      </c>
      <c r="G28" s="13" t="n">
        <v>30</v>
      </c>
      <c r="H28" s="27" t="n">
        <v>21838.24</v>
      </c>
      <c r="I28" s="60" t="s">
        <v>11</v>
      </c>
      <c r="J28" s="39" t="s">
        <v>117</v>
      </c>
      <c r="K28" s="61" t="n">
        <v>0.3</v>
      </c>
      <c r="L28" s="61" t="n">
        <v>0.397058909090909</v>
      </c>
      <c r="M28" s="16"/>
      <c r="N28" s="2" t="n">
        <v>50</v>
      </c>
      <c r="O28" s="62" t="n">
        <f aca="false">N28*D28</f>
        <v>27500</v>
      </c>
      <c r="S28" s="14" t="n">
        <v>550</v>
      </c>
      <c r="T28" s="50" t="n">
        <f aca="false">S28*Q28</f>
        <v>0</v>
      </c>
      <c r="U28" s="2" t="s">
        <v>118</v>
      </c>
      <c r="W28" s="46" t="n">
        <v>12</v>
      </c>
      <c r="X28" s="64" t="n">
        <v>1</v>
      </c>
      <c r="Y28" s="65" t="n">
        <v>75</v>
      </c>
      <c r="Z28" s="65" t="n">
        <v>18</v>
      </c>
      <c r="AA28" s="65"/>
      <c r="AB28" s="65"/>
      <c r="AC28" s="46" t="n">
        <f aca="false">SUM(Y28:AB28)</f>
        <v>93</v>
      </c>
      <c r="AD28" s="46" t="n">
        <f aca="false">(AC28*X28)</f>
        <v>93</v>
      </c>
      <c r="AE28" s="46" t="n">
        <v>2</v>
      </c>
      <c r="AF28" s="46" t="n">
        <f aca="false">AE28*AD28</f>
        <v>186</v>
      </c>
      <c r="AG28" s="50" t="n">
        <f aca="false">AF28*S28</f>
        <v>102300</v>
      </c>
      <c r="AJ28" s="50" t="n">
        <f aca="false">Y28*X28*AE28*S28</f>
        <v>82500</v>
      </c>
      <c r="AK28" s="50" t="n">
        <f aca="false">Z28*X28*AE28*S28</f>
        <v>19800</v>
      </c>
      <c r="AL28" s="50" t="n">
        <f aca="false">AB28*AE28*X28*S28</f>
        <v>0</v>
      </c>
    </row>
    <row r="29" customFormat="false" ht="14.25" hidden="false" customHeight="true" outlineLevel="0" collapsed="false">
      <c r="A29" s="15" t="n">
        <v>21</v>
      </c>
      <c r="B29" s="60" t="s">
        <v>66</v>
      </c>
      <c r="C29" s="13" t="n">
        <v>200</v>
      </c>
      <c r="D29" s="14" t="n">
        <v>265</v>
      </c>
      <c r="E29" s="14" t="n">
        <v>53000</v>
      </c>
      <c r="F29" s="15" t="s">
        <v>116</v>
      </c>
      <c r="G29" s="13" t="n">
        <v>0</v>
      </c>
      <c r="H29" s="27" t="n">
        <v>0</v>
      </c>
      <c r="I29" s="67" t="s">
        <v>122</v>
      </c>
      <c r="J29" s="68" t="s">
        <v>123</v>
      </c>
      <c r="K29" s="61" t="n">
        <v>0</v>
      </c>
      <c r="L29" s="61" t="n">
        <v>0</v>
      </c>
      <c r="M29" s="16"/>
      <c r="N29" s="2" t="n">
        <v>100</v>
      </c>
      <c r="O29" s="62" t="n">
        <f aca="false">N29*D29</f>
        <v>26500</v>
      </c>
      <c r="S29" s="14" t="n">
        <v>265</v>
      </c>
      <c r="T29" s="50" t="n">
        <f aca="false">S29*Q29</f>
        <v>0</v>
      </c>
      <c r="W29" s="46" t="n">
        <v>3</v>
      </c>
      <c r="X29" s="64" t="n">
        <v>1</v>
      </c>
      <c r="Y29" s="65" t="n">
        <v>75</v>
      </c>
      <c r="Z29" s="65" t="n">
        <v>18</v>
      </c>
      <c r="AA29" s="65"/>
      <c r="AB29" s="65"/>
      <c r="AC29" s="46" t="n">
        <f aca="false">SUM(Y29:AB29)</f>
        <v>93</v>
      </c>
      <c r="AD29" s="46" t="n">
        <f aca="false">(AC29*X29)</f>
        <v>93</v>
      </c>
      <c r="AE29" s="46" t="n">
        <v>2</v>
      </c>
      <c r="AF29" s="46" t="n">
        <f aca="false">AE29*AD29</f>
        <v>186</v>
      </c>
      <c r="AG29" s="50" t="n">
        <f aca="false">AF29*S29</f>
        <v>49290</v>
      </c>
      <c r="AJ29" s="50" t="n">
        <f aca="false">Y29*X29*AE29*S29</f>
        <v>39750</v>
      </c>
      <c r="AK29" s="50" t="n">
        <f aca="false">Z29*X29*AE29*S29</f>
        <v>9540</v>
      </c>
      <c r="AL29" s="50" t="n">
        <f aca="false">AB29*AE29*X29*S29</f>
        <v>0</v>
      </c>
    </row>
    <row r="30" customFormat="false" ht="15" hidden="false" customHeight="true" outlineLevel="0" collapsed="false">
      <c r="A30" s="15" t="n">
        <v>22</v>
      </c>
      <c r="B30" s="60" t="s">
        <v>67</v>
      </c>
      <c r="C30" s="13" t="n">
        <v>50</v>
      </c>
      <c r="D30" s="14" t="n">
        <v>350</v>
      </c>
      <c r="E30" s="14" t="n">
        <v>17500</v>
      </c>
      <c r="F30" s="15" t="s">
        <v>116</v>
      </c>
      <c r="G30" s="13" t="n">
        <v>0</v>
      </c>
      <c r="H30" s="27" t="n">
        <v>0</v>
      </c>
      <c r="I30" s="67" t="s">
        <v>122</v>
      </c>
      <c r="J30" s="68" t="s">
        <v>123</v>
      </c>
      <c r="K30" s="61" t="n">
        <v>0</v>
      </c>
      <c r="L30" s="61" t="n">
        <v>0</v>
      </c>
      <c r="M30" s="16"/>
      <c r="N30" s="2" t="n">
        <v>50</v>
      </c>
      <c r="O30" s="62" t="n">
        <f aca="false">N30*D30</f>
        <v>17500</v>
      </c>
      <c r="Q30" s="2" t="n">
        <v>50</v>
      </c>
      <c r="R30" s="46" t="n">
        <v>3</v>
      </c>
      <c r="S30" s="63" t="n">
        <v>265</v>
      </c>
      <c r="T30" s="50" t="n">
        <f aca="false">S30*Q30</f>
        <v>13250</v>
      </c>
      <c r="W30" s="70" t="n">
        <v>0</v>
      </c>
      <c r="X30" s="64" t="n">
        <v>0</v>
      </c>
      <c r="Y30" s="65" t="n">
        <v>0</v>
      </c>
      <c r="Z30" s="65" t="n">
        <v>0</v>
      </c>
      <c r="AA30" s="65"/>
      <c r="AB30" s="65"/>
      <c r="AC30" s="46" t="n">
        <f aca="false">SUM(Y30:AB30)</f>
        <v>0</v>
      </c>
      <c r="AD30" s="46" t="n">
        <f aca="false">(AC30*X30)</f>
        <v>0</v>
      </c>
      <c r="AE30" s="46" t="n">
        <v>2</v>
      </c>
      <c r="AF30" s="46" t="n">
        <f aca="false">AE30*AD30</f>
        <v>0</v>
      </c>
      <c r="AG30" s="50" t="n">
        <f aca="false">AF30*S30</f>
        <v>0</v>
      </c>
      <c r="AJ30" s="50" t="n">
        <f aca="false">Y30*X30*AE30*S30</f>
        <v>0</v>
      </c>
      <c r="AK30" s="50" t="n">
        <f aca="false">Z30*X30*AE30*S30</f>
        <v>0</v>
      </c>
      <c r="AL30" s="50" t="n">
        <f aca="false">AB30*AE30*X30*S30</f>
        <v>0</v>
      </c>
    </row>
    <row r="31" customFormat="false" ht="14.25" hidden="false" customHeight="true" outlineLevel="0" collapsed="false">
      <c r="A31" s="15" t="n">
        <v>23</v>
      </c>
      <c r="B31" s="60" t="s">
        <v>68</v>
      </c>
      <c r="C31" s="13" t="n">
        <v>60</v>
      </c>
      <c r="D31" s="14" t="n">
        <v>440</v>
      </c>
      <c r="E31" s="14" t="n">
        <v>26400</v>
      </c>
      <c r="F31" s="15" t="s">
        <v>116</v>
      </c>
      <c r="G31" s="13" t="n">
        <v>0</v>
      </c>
      <c r="H31" s="27" t="n">
        <v>0</v>
      </c>
      <c r="I31" s="67" t="s">
        <v>122</v>
      </c>
      <c r="J31" s="68" t="s">
        <v>123</v>
      </c>
      <c r="K31" s="61" t="n">
        <v>0</v>
      </c>
      <c r="L31" s="61" t="n">
        <v>0</v>
      </c>
      <c r="M31" s="16"/>
      <c r="N31" s="2" t="n">
        <v>50</v>
      </c>
      <c r="O31" s="62" t="n">
        <f aca="false">N31*D31</f>
        <v>22000</v>
      </c>
      <c r="Q31" s="2" t="n">
        <v>60</v>
      </c>
      <c r="R31" s="46" t="n">
        <v>12</v>
      </c>
      <c r="S31" s="63" t="n">
        <v>440</v>
      </c>
      <c r="T31" s="50" t="n">
        <f aca="false">S31*Q31</f>
        <v>26400</v>
      </c>
      <c r="W31" s="46" t="n">
        <f aca="false">R31</f>
        <v>12</v>
      </c>
      <c r="X31" s="64" t="n">
        <v>1</v>
      </c>
      <c r="Y31" s="65" t="n">
        <v>75</v>
      </c>
      <c r="Z31" s="65" t="n">
        <v>18</v>
      </c>
      <c r="AA31" s="65"/>
      <c r="AB31" s="65"/>
      <c r="AC31" s="46" t="n">
        <f aca="false">SUM(Y31:AB31)</f>
        <v>93</v>
      </c>
      <c r="AD31" s="46" t="n">
        <f aca="false">(AC31*X31)</f>
        <v>93</v>
      </c>
      <c r="AE31" s="46" t="n">
        <v>2</v>
      </c>
      <c r="AF31" s="46" t="n">
        <f aca="false">AE31*AD31</f>
        <v>186</v>
      </c>
      <c r="AG31" s="50" t="n">
        <f aca="false">AF31*S31</f>
        <v>81840</v>
      </c>
      <c r="AJ31" s="50" t="n">
        <f aca="false">Y31*X31*AE31*S31</f>
        <v>66000</v>
      </c>
      <c r="AK31" s="50" t="n">
        <f aca="false">Z31*X31*AE31*S31</f>
        <v>15840</v>
      </c>
      <c r="AL31" s="50" t="n">
        <f aca="false">AB31*AE31*X31*S31</f>
        <v>0</v>
      </c>
    </row>
    <row r="32" customFormat="false" ht="14.25" hidden="false" customHeight="true" outlineLevel="0" collapsed="false">
      <c r="A32" s="15" t="n">
        <v>24</v>
      </c>
      <c r="B32" s="60" t="s">
        <v>69</v>
      </c>
      <c r="C32" s="13" t="n">
        <v>350</v>
      </c>
      <c r="D32" s="14" t="n">
        <v>160</v>
      </c>
      <c r="E32" s="14" t="n">
        <v>56000</v>
      </c>
      <c r="F32" s="15" t="s">
        <v>116</v>
      </c>
      <c r="G32" s="13" t="n">
        <v>0</v>
      </c>
      <c r="H32" s="27" t="n">
        <v>0</v>
      </c>
      <c r="I32" s="67" t="s">
        <v>122</v>
      </c>
      <c r="J32" s="68" t="s">
        <v>123</v>
      </c>
      <c r="K32" s="61" t="n">
        <v>0</v>
      </c>
      <c r="L32" s="61" t="n">
        <v>0</v>
      </c>
      <c r="M32" s="16"/>
      <c r="N32" s="2" t="n">
        <v>50</v>
      </c>
      <c r="O32" s="62" t="n">
        <f aca="false">N32*D32</f>
        <v>8000</v>
      </c>
      <c r="Q32" s="2" t="n">
        <v>60</v>
      </c>
      <c r="R32" s="46" t="n">
        <v>4</v>
      </c>
      <c r="S32" s="63" t="n">
        <v>160</v>
      </c>
      <c r="T32" s="50" t="n">
        <f aca="false">S32*Q32</f>
        <v>9600</v>
      </c>
      <c r="W32" s="46" t="n">
        <f aca="false">R32</f>
        <v>4</v>
      </c>
      <c r="X32" s="64" t="n">
        <v>1</v>
      </c>
      <c r="Y32" s="65" t="n">
        <v>75</v>
      </c>
      <c r="Z32" s="65" t="n">
        <v>18</v>
      </c>
      <c r="AA32" s="65"/>
      <c r="AB32" s="65"/>
      <c r="AC32" s="46" t="n">
        <f aca="false">SUM(Y32:AB32)</f>
        <v>93</v>
      </c>
      <c r="AD32" s="46" t="n">
        <f aca="false">(AC32*X32)</f>
        <v>93</v>
      </c>
      <c r="AE32" s="46" t="n">
        <v>1.5</v>
      </c>
      <c r="AF32" s="46" t="n">
        <f aca="false">AE32*AD32</f>
        <v>139.5</v>
      </c>
      <c r="AG32" s="50" t="n">
        <f aca="false">AF32*S32</f>
        <v>22320</v>
      </c>
      <c r="AJ32" s="50" t="n">
        <f aca="false">Y32*X32*AE32*S32</f>
        <v>18000</v>
      </c>
      <c r="AK32" s="50" t="n">
        <f aca="false">Z32*X32*AE32*S32</f>
        <v>4320</v>
      </c>
      <c r="AL32" s="50" t="n">
        <f aca="false">AB32*AE32*X32*S32</f>
        <v>0</v>
      </c>
    </row>
    <row r="33" customFormat="false" ht="14.25" hidden="false" customHeight="true" outlineLevel="0" collapsed="false">
      <c r="A33" s="15" t="n">
        <v>25</v>
      </c>
      <c r="B33" s="15" t="s">
        <v>70</v>
      </c>
      <c r="C33" s="30" t="s">
        <v>124</v>
      </c>
      <c r="D33" s="30" t="s">
        <v>124</v>
      </c>
      <c r="E33" s="14" t="n">
        <v>0</v>
      </c>
      <c r="F33" s="69" t="s">
        <v>124</v>
      </c>
      <c r="G33" s="13" t="n">
        <v>0</v>
      </c>
      <c r="H33" s="14" t="n">
        <v>0</v>
      </c>
      <c r="I33" s="69" t="s">
        <v>122</v>
      </c>
      <c r="J33" s="68" t="s">
        <v>125</v>
      </c>
      <c r="K33" s="30" t="s">
        <v>124</v>
      </c>
      <c r="L33" s="30" t="s">
        <v>124</v>
      </c>
      <c r="M33" s="16"/>
    </row>
    <row r="34" customFormat="false" ht="14.25" hidden="false" customHeight="true" outlineLevel="0" collapsed="false">
      <c r="A34" s="15" t="n">
        <v>26</v>
      </c>
      <c r="B34" s="15" t="s">
        <v>72</v>
      </c>
      <c r="C34" s="30" t="s">
        <v>124</v>
      </c>
      <c r="D34" s="30" t="s">
        <v>124</v>
      </c>
      <c r="E34" s="30" t="s">
        <v>124</v>
      </c>
      <c r="F34" s="69" t="s">
        <v>124</v>
      </c>
      <c r="G34" s="13" t="n">
        <v>0</v>
      </c>
      <c r="H34" s="14" t="n">
        <v>0</v>
      </c>
      <c r="I34" s="69" t="s">
        <v>122</v>
      </c>
      <c r="J34" s="68" t="s">
        <v>125</v>
      </c>
      <c r="K34" s="30" t="s">
        <v>124</v>
      </c>
      <c r="L34" s="30" t="s">
        <v>124</v>
      </c>
      <c r="M34" s="16"/>
    </row>
    <row r="35" customFormat="false" ht="14.25" hidden="false" customHeight="true" outlineLevel="0" collapsed="false">
      <c r="A35" s="15" t="n">
        <v>27</v>
      </c>
      <c r="B35" s="15" t="s">
        <v>73</v>
      </c>
      <c r="C35" s="13" t="n">
        <v>300</v>
      </c>
      <c r="D35" s="14" t="n">
        <v>65</v>
      </c>
      <c r="E35" s="14" t="n">
        <v>19500</v>
      </c>
      <c r="F35" s="15" t="s">
        <v>119</v>
      </c>
      <c r="G35" s="13" t="n">
        <v>7</v>
      </c>
      <c r="H35" s="14" t="n">
        <v>406.05</v>
      </c>
      <c r="I35" s="15" t="s">
        <v>20</v>
      </c>
      <c r="J35" s="39" t="s">
        <v>117</v>
      </c>
      <c r="K35" s="61" t="n">
        <v>0.0233333333333333</v>
      </c>
      <c r="L35" s="61" t="n">
        <v>0.0208230769230769</v>
      </c>
      <c r="M35" s="16"/>
    </row>
    <row r="36" customFormat="false" ht="14.25" hidden="false" customHeight="true" outlineLevel="0" collapsed="false">
      <c r="A36" s="15" t="n">
        <v>28</v>
      </c>
      <c r="B36" s="15" t="s">
        <v>75</v>
      </c>
      <c r="C36" s="13" t="n">
        <v>100</v>
      </c>
      <c r="D36" s="14" t="n">
        <v>75</v>
      </c>
      <c r="E36" s="14" t="n">
        <v>7500</v>
      </c>
      <c r="F36" s="15" t="s">
        <v>19</v>
      </c>
      <c r="G36" s="13" t="n">
        <v>2</v>
      </c>
      <c r="H36" s="14" t="n">
        <v>0.04</v>
      </c>
      <c r="I36" s="15" t="s">
        <v>132</v>
      </c>
      <c r="J36" s="39" t="s">
        <v>117</v>
      </c>
      <c r="K36" s="61" t="n">
        <v>0.02</v>
      </c>
      <c r="L36" s="61" t="n">
        <v>5.33333333333333E-006</v>
      </c>
      <c r="M36" s="16" t="s">
        <v>133</v>
      </c>
    </row>
    <row r="37" customFormat="false" ht="14.25" hidden="false" customHeight="true" outlineLevel="0" collapsed="false">
      <c r="O37" s="62" t="n">
        <f aca="false">N37*D37</f>
        <v>0</v>
      </c>
    </row>
    <row r="38" customFormat="false" ht="14.25" hidden="false" customHeight="true" outlineLevel="0" collapsed="false">
      <c r="A38" s="26"/>
      <c r="B38" s="71" t="s">
        <v>134</v>
      </c>
      <c r="C38" s="21" t="n">
        <v>16380</v>
      </c>
      <c r="D38" s="26"/>
      <c r="E38" s="22" t="n">
        <v>1434906</v>
      </c>
      <c r="F38" s="26"/>
      <c r="G38" s="21" t="n">
        <v>8271</v>
      </c>
      <c r="H38" s="22" t="n">
        <v>672404.4</v>
      </c>
      <c r="I38" s="26"/>
      <c r="J38" s="26"/>
      <c r="K38" s="26"/>
      <c r="L38" s="72" t="n">
        <v>0.468605190862677</v>
      </c>
      <c r="M38" s="26"/>
      <c r="N38" s="2" t="n">
        <f aca="false">SUBTOTAL(9,N9:N37)</f>
        <v>3950</v>
      </c>
      <c r="O38" s="2" t="n">
        <f aca="false">SUBTOTAL(9,O9:O37)</f>
        <v>459500</v>
      </c>
    </row>
    <row r="39" customFormat="false" ht="14.25" hidden="false" customHeight="true" outlineLevel="0" collapsed="false">
      <c r="A39" s="26"/>
      <c r="B39" s="71" t="s">
        <v>135</v>
      </c>
      <c r="C39" s="21" t="n">
        <v>16380</v>
      </c>
      <c r="D39" s="26"/>
      <c r="E39" s="22" t="n">
        <v>1434906</v>
      </c>
      <c r="F39" s="26"/>
      <c r="G39" s="21" t="n">
        <v>8220</v>
      </c>
      <c r="H39" s="22" t="n">
        <v>667610.16</v>
      </c>
      <c r="I39" s="26"/>
      <c r="J39" s="26"/>
      <c r="K39" s="72" t="n">
        <v>0.501831501831502</v>
      </c>
      <c r="L39" s="72" t="n">
        <v>0.465264038201806</v>
      </c>
      <c r="M39" s="26"/>
    </row>
    <row r="40" customFormat="false" ht="15" hidden="false" customHeight="true" outlineLevel="0" collapsed="false">
      <c r="C40" s="73"/>
      <c r="N40" s="55" t="n">
        <f aca="false">SUBTOTAL(9,N9:N38)</f>
        <v>3950</v>
      </c>
      <c r="O40" s="54" t="n">
        <f aca="false">SUBTOTAL(9,O9:O38)</f>
        <v>459500</v>
      </c>
      <c r="Q40" s="55" t="n">
        <f aca="false">SUBTOTAL(9,Q9:Q38)</f>
        <v>3320</v>
      </c>
      <c r="T40" s="54" t="n">
        <f aca="false">SUBTOTAL(9,T9:T38)</f>
        <v>356500</v>
      </c>
      <c r="W40" s="46"/>
    </row>
    <row r="41" customFormat="false" ht="14.25" hidden="true" customHeight="true" outlineLevel="0" collapsed="false">
      <c r="B41" s="60" t="s">
        <v>136</v>
      </c>
      <c r="Q41" s="2" t="n">
        <v>100</v>
      </c>
      <c r="R41" s="46" t="n">
        <v>12</v>
      </c>
      <c r="S41" s="63" t="n">
        <v>150</v>
      </c>
      <c r="T41" s="50" t="n">
        <f aca="false">S41*Q41</f>
        <v>15000</v>
      </c>
      <c r="W41" s="46" t="n">
        <f aca="false">R42</f>
        <v>12</v>
      </c>
    </row>
    <row r="42" customFormat="false" ht="14.25" hidden="true" customHeight="true" outlineLevel="0" collapsed="false">
      <c r="B42" s="60" t="n">
        <v>841</v>
      </c>
      <c r="Q42" s="2" t="n">
        <v>100</v>
      </c>
      <c r="R42" s="46" t="n">
        <v>12</v>
      </c>
      <c r="S42" s="63" t="n">
        <v>140</v>
      </c>
      <c r="T42" s="50" t="n">
        <f aca="false">S42*Q42</f>
        <v>14000</v>
      </c>
      <c r="W42" s="46" t="n">
        <f aca="false">R43</f>
        <v>12</v>
      </c>
    </row>
    <row r="43" customFormat="false" ht="14.25" hidden="true" customHeight="true" outlineLevel="0" collapsed="false">
      <c r="B43" s="60" t="s">
        <v>137</v>
      </c>
      <c r="Q43" s="2" t="n">
        <v>50</v>
      </c>
      <c r="R43" s="46" t="n">
        <v>12</v>
      </c>
      <c r="S43" s="63" t="n">
        <v>90</v>
      </c>
      <c r="T43" s="50" t="n">
        <f aca="false">S43*Q43</f>
        <v>4500</v>
      </c>
      <c r="W43" s="46" t="n">
        <f aca="false">R44</f>
        <v>9</v>
      </c>
    </row>
    <row r="44" customFormat="false" ht="14.25" hidden="true" customHeight="true" outlineLevel="0" collapsed="false">
      <c r="B44" s="60" t="s">
        <v>138</v>
      </c>
      <c r="Q44" s="2" t="n">
        <v>100</v>
      </c>
      <c r="R44" s="46" t="n">
        <v>9</v>
      </c>
      <c r="S44" s="63" t="n">
        <v>162</v>
      </c>
      <c r="T44" s="50" t="n">
        <f aca="false">S44*Q44</f>
        <v>16200</v>
      </c>
    </row>
    <row r="45" customFormat="false" ht="15" hidden="true" customHeight="true" outlineLevel="0" collapsed="false">
      <c r="Q45" s="55" t="n">
        <f aca="false">SUBTOTAL(9,Q9:Q44)</f>
        <v>3670</v>
      </c>
      <c r="S45" s="63"/>
      <c r="T45" s="54" t="n">
        <f aca="false">SUBTOTAL(9,T9:T44)</f>
        <v>406200</v>
      </c>
    </row>
    <row r="46" customFormat="false" ht="14.25" hidden="false" customHeight="true" outlineLevel="0" collapsed="false">
      <c r="S46" s="63"/>
    </row>
    <row r="49" customFormat="false" ht="15" hidden="false" customHeight="true" outlineLevel="0" collapsed="false">
      <c r="AG49" s="54" t="n">
        <f aca="false">SUM(AG51:AG67)</f>
        <v>1436540</v>
      </c>
    </row>
    <row r="50" customFormat="false" ht="25.5" hidden="false" customHeight="true" outlineLevel="0" collapsed="false">
      <c r="A50" s="58" t="s">
        <v>3</v>
      </c>
      <c r="B50" s="59" t="s">
        <v>88</v>
      </c>
      <c r="W50" s="58" t="s">
        <v>105</v>
      </c>
      <c r="X50" s="58" t="s">
        <v>106</v>
      </c>
      <c r="Y50" s="58" t="s">
        <v>107</v>
      </c>
      <c r="Z50" s="58" t="s">
        <v>108</v>
      </c>
      <c r="AA50" s="58" t="s">
        <v>109</v>
      </c>
      <c r="AB50" s="58" t="s">
        <v>110</v>
      </c>
      <c r="AC50" s="58" t="s">
        <v>111</v>
      </c>
      <c r="AD50" s="58" t="s">
        <v>112</v>
      </c>
      <c r="AE50" s="58" t="s">
        <v>113</v>
      </c>
      <c r="AF50" s="58" t="s">
        <v>114</v>
      </c>
      <c r="AG50" s="58" t="s">
        <v>115</v>
      </c>
    </row>
    <row r="51" customFormat="false" ht="14.25" hidden="false" customHeight="true" outlineLevel="0" collapsed="false">
      <c r="A51" s="15" t="n">
        <v>1</v>
      </c>
      <c r="B51" s="60" t="s">
        <v>10</v>
      </c>
      <c r="W51" s="46" t="n">
        <v>12</v>
      </c>
      <c r="X51" s="64" t="n">
        <v>4</v>
      </c>
      <c r="Y51" s="65" t="n">
        <v>20</v>
      </c>
      <c r="Z51" s="65" t="n">
        <v>20</v>
      </c>
      <c r="AA51" s="65"/>
      <c r="AB51" s="65" t="n">
        <v>40</v>
      </c>
      <c r="AC51" s="46" t="n">
        <v>80</v>
      </c>
      <c r="AD51" s="46" t="n">
        <v>320</v>
      </c>
      <c r="AE51" s="46" t="n">
        <v>4</v>
      </c>
      <c r="AF51" s="46" t="n">
        <v>1280</v>
      </c>
      <c r="AG51" s="50" t="n">
        <v>115200</v>
      </c>
    </row>
    <row r="52" customFormat="false" ht="14.25" hidden="false" customHeight="true" outlineLevel="0" collapsed="false">
      <c r="A52" s="15" t="n">
        <v>2</v>
      </c>
      <c r="B52" s="60" t="s">
        <v>24</v>
      </c>
      <c r="W52" s="46" t="n">
        <v>12</v>
      </c>
      <c r="X52" s="64" t="n">
        <v>3</v>
      </c>
      <c r="Y52" s="65" t="n">
        <v>50</v>
      </c>
      <c r="Z52" s="65" t="n">
        <v>10</v>
      </c>
      <c r="AA52" s="65"/>
      <c r="AB52" s="65" t="n">
        <v>80</v>
      </c>
      <c r="AC52" s="46" t="n">
        <v>140</v>
      </c>
      <c r="AD52" s="46" t="n">
        <v>420</v>
      </c>
      <c r="AE52" s="46" t="n">
        <v>4</v>
      </c>
      <c r="AF52" s="46" t="n">
        <v>1680</v>
      </c>
      <c r="AG52" s="50" t="n">
        <v>168000</v>
      </c>
    </row>
    <row r="53" customFormat="false" ht="14.25" hidden="false" customHeight="true" outlineLevel="0" collapsed="false">
      <c r="A53" s="15" t="n">
        <v>4</v>
      </c>
      <c r="B53" s="60" t="s">
        <v>33</v>
      </c>
      <c r="W53" s="46" t="n">
        <v>12</v>
      </c>
      <c r="X53" s="64" t="n">
        <v>3</v>
      </c>
      <c r="Y53" s="65" t="n">
        <v>30</v>
      </c>
      <c r="Z53" s="65" t="n">
        <v>10</v>
      </c>
      <c r="AA53" s="65"/>
      <c r="AB53" s="65"/>
      <c r="AC53" s="46" t="n">
        <v>40</v>
      </c>
      <c r="AD53" s="46" t="n">
        <v>120</v>
      </c>
      <c r="AE53" s="46" t="n">
        <v>4</v>
      </c>
      <c r="AF53" s="46" t="n">
        <v>480</v>
      </c>
      <c r="AG53" s="50" t="n">
        <v>19200</v>
      </c>
    </row>
    <row r="54" customFormat="false" ht="14.25" hidden="false" customHeight="true" outlineLevel="0" collapsed="false">
      <c r="A54" s="15" t="n">
        <v>5</v>
      </c>
      <c r="B54" s="60" t="s">
        <v>35</v>
      </c>
      <c r="W54" s="46" t="n">
        <v>12</v>
      </c>
      <c r="X54" s="64" t="n">
        <v>3</v>
      </c>
      <c r="Y54" s="65" t="n">
        <v>60</v>
      </c>
      <c r="Z54" s="65" t="n">
        <v>10</v>
      </c>
      <c r="AA54" s="65"/>
      <c r="AB54" s="65" t="n">
        <v>5</v>
      </c>
      <c r="AC54" s="46" t="n">
        <v>75</v>
      </c>
      <c r="AD54" s="46" t="n">
        <v>225</v>
      </c>
      <c r="AE54" s="46" t="n">
        <v>4</v>
      </c>
      <c r="AF54" s="46" t="n">
        <v>900</v>
      </c>
      <c r="AG54" s="50" t="n">
        <v>270000</v>
      </c>
    </row>
    <row r="55" customFormat="false" ht="14.25" hidden="false" customHeight="true" outlineLevel="0" collapsed="false">
      <c r="A55" s="15" t="n">
        <v>6</v>
      </c>
      <c r="B55" s="60" t="s">
        <v>37</v>
      </c>
      <c r="W55" s="46" t="n">
        <v>12</v>
      </c>
      <c r="X55" s="64" t="n">
        <v>3</v>
      </c>
      <c r="Y55" s="65" t="n">
        <v>80</v>
      </c>
      <c r="Z55" s="65" t="n">
        <v>10</v>
      </c>
      <c r="AA55" s="65"/>
      <c r="AB55" s="65" t="n">
        <v>50</v>
      </c>
      <c r="AC55" s="46" t="n">
        <v>140</v>
      </c>
      <c r="AD55" s="46" t="n">
        <v>420</v>
      </c>
      <c r="AE55" s="46" t="n">
        <v>4</v>
      </c>
      <c r="AF55" s="46" t="n">
        <v>1680</v>
      </c>
      <c r="AG55" s="50" t="n">
        <v>117600</v>
      </c>
    </row>
    <row r="56" customFormat="false" ht="14.25" hidden="false" customHeight="true" outlineLevel="0" collapsed="false">
      <c r="A56" s="15" t="n">
        <v>7</v>
      </c>
      <c r="B56" s="60" t="s">
        <v>40</v>
      </c>
      <c r="W56" s="46" t="n">
        <v>6</v>
      </c>
      <c r="X56" s="64" t="n">
        <v>3</v>
      </c>
      <c r="Y56" s="65" t="n">
        <v>80</v>
      </c>
      <c r="Z56" s="65" t="n">
        <v>10</v>
      </c>
      <c r="AA56" s="65"/>
      <c r="AB56" s="65" t="n">
        <v>50</v>
      </c>
      <c r="AC56" s="46" t="n">
        <v>140</v>
      </c>
      <c r="AD56" s="46" t="n">
        <v>420</v>
      </c>
      <c r="AE56" s="46" t="n">
        <v>2</v>
      </c>
      <c r="AF56" s="46" t="n">
        <v>840</v>
      </c>
      <c r="AG56" s="50" t="n">
        <v>67200</v>
      </c>
    </row>
    <row r="57" customFormat="false" ht="14.25" hidden="false" customHeight="true" outlineLevel="0" collapsed="false">
      <c r="A57" s="15" t="n">
        <v>8</v>
      </c>
      <c r="B57" s="60" t="s">
        <v>44</v>
      </c>
      <c r="W57" s="46" t="n">
        <v>10</v>
      </c>
      <c r="X57" s="64" t="n">
        <v>4</v>
      </c>
      <c r="Y57" s="65" t="n">
        <v>80</v>
      </c>
      <c r="Z57" s="65" t="n">
        <v>10</v>
      </c>
      <c r="AA57" s="65"/>
      <c r="AB57" s="65"/>
      <c r="AC57" s="46" t="n">
        <v>90</v>
      </c>
      <c r="AD57" s="46" t="n">
        <v>360</v>
      </c>
      <c r="AE57" s="46" t="n">
        <v>3</v>
      </c>
      <c r="AF57" s="46" t="n">
        <v>1080</v>
      </c>
      <c r="AG57" s="50" t="n">
        <v>280800</v>
      </c>
    </row>
    <row r="58" customFormat="false" ht="14.25" hidden="false" customHeight="true" outlineLevel="0" collapsed="false">
      <c r="A58" s="15" t="n">
        <v>11</v>
      </c>
      <c r="B58" s="60" t="s">
        <v>49</v>
      </c>
      <c r="W58" s="46" t="n">
        <v>12</v>
      </c>
      <c r="X58" s="64" t="n">
        <v>6</v>
      </c>
      <c r="Y58" s="65"/>
      <c r="Z58" s="65" t="n">
        <v>20</v>
      </c>
      <c r="AA58" s="65"/>
      <c r="AB58" s="65"/>
      <c r="AC58" s="46" t="n">
        <v>20</v>
      </c>
      <c r="AD58" s="46" t="n">
        <v>120</v>
      </c>
      <c r="AE58" s="46" t="n">
        <v>4</v>
      </c>
      <c r="AF58" s="46" t="n">
        <v>480</v>
      </c>
      <c r="AG58" s="50" t="n">
        <v>5040</v>
      </c>
    </row>
    <row r="59" customFormat="false" ht="14.25" hidden="false" customHeight="true" outlineLevel="0" collapsed="false">
      <c r="A59" s="15" t="n">
        <v>14</v>
      </c>
      <c r="B59" s="60" t="s">
        <v>128</v>
      </c>
      <c r="W59" s="46" t="n">
        <v>12</v>
      </c>
      <c r="X59" s="64" t="n">
        <v>1</v>
      </c>
      <c r="Y59" s="65" t="n">
        <v>80</v>
      </c>
      <c r="Z59" s="65" t="n">
        <v>20</v>
      </c>
      <c r="AA59" s="65"/>
      <c r="AB59" s="65" t="n">
        <v>100</v>
      </c>
      <c r="AC59" s="46" t="n">
        <v>200</v>
      </c>
      <c r="AD59" s="46" t="n">
        <v>200</v>
      </c>
      <c r="AE59" s="46" t="n">
        <v>4</v>
      </c>
      <c r="AF59" s="46" t="n">
        <v>800</v>
      </c>
      <c r="AG59" s="50" t="n">
        <v>56000</v>
      </c>
    </row>
    <row r="60" customFormat="false" ht="14.25" hidden="false" customHeight="true" outlineLevel="0" collapsed="false">
      <c r="A60" s="15" t="n">
        <v>15</v>
      </c>
      <c r="B60" s="60" t="s">
        <v>57</v>
      </c>
      <c r="W60" s="46" t="n">
        <v>12</v>
      </c>
      <c r="X60" s="64" t="n">
        <v>2</v>
      </c>
      <c r="Y60" s="65" t="n">
        <v>80</v>
      </c>
      <c r="Z60" s="65" t="n">
        <v>20</v>
      </c>
      <c r="AA60" s="65"/>
      <c r="AB60" s="65" t="n">
        <v>50</v>
      </c>
      <c r="AC60" s="46" t="n">
        <v>150</v>
      </c>
      <c r="AD60" s="46" t="n">
        <v>300</v>
      </c>
      <c r="AE60" s="46" t="n">
        <v>4</v>
      </c>
      <c r="AF60" s="46" t="n">
        <v>1200</v>
      </c>
      <c r="AG60" s="50" t="n">
        <v>168000</v>
      </c>
    </row>
    <row r="61" customFormat="false" ht="14.25" hidden="false" customHeight="true" outlineLevel="0" collapsed="false">
      <c r="A61" s="15" t="n">
        <v>17</v>
      </c>
      <c r="B61" s="60" t="s">
        <v>130</v>
      </c>
      <c r="W61" s="46" t="n">
        <v>9</v>
      </c>
      <c r="X61" s="64" t="n">
        <v>4</v>
      </c>
      <c r="Y61" s="65" t="n">
        <v>10</v>
      </c>
      <c r="Z61" s="65"/>
      <c r="AA61" s="65"/>
      <c r="AB61" s="65" t="n">
        <v>50</v>
      </c>
      <c r="AC61" s="46" t="n">
        <v>60</v>
      </c>
      <c r="AD61" s="46" t="n">
        <v>240</v>
      </c>
      <c r="AE61" s="46" t="n">
        <v>3</v>
      </c>
      <c r="AF61" s="46" t="n">
        <v>720</v>
      </c>
      <c r="AG61" s="50" t="n">
        <v>54000</v>
      </c>
    </row>
    <row r="62" customFormat="false" ht="14.25" hidden="false" customHeight="true" outlineLevel="0" collapsed="false">
      <c r="A62" s="15" t="n">
        <v>19</v>
      </c>
      <c r="B62" s="60" t="s">
        <v>61</v>
      </c>
      <c r="W62" s="46" t="n">
        <v>12</v>
      </c>
      <c r="X62" s="64" t="n">
        <v>1</v>
      </c>
      <c r="Y62" s="65" t="n">
        <v>20</v>
      </c>
      <c r="Z62" s="65" t="n">
        <v>10</v>
      </c>
      <c r="AA62" s="65"/>
      <c r="AB62" s="65"/>
      <c r="AC62" s="46" t="n">
        <v>30</v>
      </c>
      <c r="AD62" s="46" t="n">
        <v>30</v>
      </c>
      <c r="AE62" s="46" t="n">
        <v>2</v>
      </c>
      <c r="AF62" s="46" t="n">
        <v>60</v>
      </c>
      <c r="AG62" s="50" t="n">
        <v>33000</v>
      </c>
    </row>
    <row r="63" customFormat="false" ht="14.25" hidden="false" customHeight="true" outlineLevel="0" collapsed="false">
      <c r="A63" s="15" t="n">
        <v>20</v>
      </c>
      <c r="B63" s="60" t="s">
        <v>64</v>
      </c>
      <c r="W63" s="46" t="n">
        <v>12</v>
      </c>
      <c r="X63" s="64" t="n">
        <v>1</v>
      </c>
      <c r="Y63" s="65" t="n">
        <v>20</v>
      </c>
      <c r="Z63" s="65" t="n">
        <v>10</v>
      </c>
      <c r="AA63" s="65"/>
      <c r="AB63" s="65"/>
      <c r="AC63" s="46" t="n">
        <v>30</v>
      </c>
      <c r="AD63" s="46" t="n">
        <v>30</v>
      </c>
      <c r="AE63" s="46" t="n">
        <v>2</v>
      </c>
      <c r="AF63" s="46" t="n">
        <v>60</v>
      </c>
      <c r="AG63" s="50" t="n">
        <v>33000</v>
      </c>
    </row>
    <row r="64" customFormat="false" ht="14.25" hidden="false" customHeight="true" outlineLevel="0" collapsed="false">
      <c r="A64" s="15" t="n">
        <v>21</v>
      </c>
      <c r="B64" s="60" t="s">
        <v>66</v>
      </c>
      <c r="W64" s="46" t="n">
        <v>3</v>
      </c>
      <c r="X64" s="64" t="n">
        <v>1</v>
      </c>
      <c r="Y64" s="65" t="n">
        <v>20</v>
      </c>
      <c r="Z64" s="65" t="n">
        <v>10</v>
      </c>
      <c r="AA64" s="65"/>
      <c r="AB64" s="65"/>
      <c r="AC64" s="46" t="n">
        <v>30</v>
      </c>
      <c r="AD64" s="46" t="n">
        <v>30</v>
      </c>
      <c r="AE64" s="46" t="n">
        <v>2</v>
      </c>
      <c r="AF64" s="46" t="n">
        <v>60</v>
      </c>
      <c r="AG64" s="50" t="n">
        <v>15900</v>
      </c>
    </row>
    <row r="65" customFormat="false" ht="15" hidden="false" customHeight="true" outlineLevel="0" collapsed="false">
      <c r="A65" s="15" t="n">
        <v>22</v>
      </c>
      <c r="B65" s="60" t="s">
        <v>67</v>
      </c>
      <c r="W65" s="70" t="n">
        <v>0</v>
      </c>
      <c r="X65" s="64" t="n">
        <v>0</v>
      </c>
      <c r="Y65" s="65" t="n">
        <v>0</v>
      </c>
      <c r="Z65" s="65" t="n">
        <v>0</v>
      </c>
      <c r="AA65" s="65"/>
      <c r="AB65" s="65"/>
      <c r="AC65" s="46" t="n">
        <v>0</v>
      </c>
      <c r="AD65" s="46" t="n">
        <v>0</v>
      </c>
      <c r="AE65" s="46" t="n">
        <v>2</v>
      </c>
      <c r="AF65" s="46" t="n">
        <v>0</v>
      </c>
      <c r="AG65" s="50" t="n">
        <v>0</v>
      </c>
    </row>
    <row r="66" customFormat="false" ht="14.25" hidden="false" customHeight="true" outlineLevel="0" collapsed="false">
      <c r="A66" s="15" t="n">
        <v>23</v>
      </c>
      <c r="B66" s="60" t="s">
        <v>68</v>
      </c>
      <c r="W66" s="46" t="n">
        <v>12</v>
      </c>
      <c r="X66" s="64" t="n">
        <v>1</v>
      </c>
      <c r="Y66" s="65" t="n">
        <v>20</v>
      </c>
      <c r="Z66" s="65" t="n">
        <v>10</v>
      </c>
      <c r="AA66" s="65"/>
      <c r="AB66" s="65"/>
      <c r="AC66" s="46" t="n">
        <v>30</v>
      </c>
      <c r="AD66" s="46" t="n">
        <v>30</v>
      </c>
      <c r="AE66" s="46" t="n">
        <v>2</v>
      </c>
      <c r="AF66" s="46" t="n">
        <v>60</v>
      </c>
      <c r="AG66" s="50" t="n">
        <v>26400</v>
      </c>
    </row>
    <row r="67" customFormat="false" ht="14.25" hidden="false" customHeight="true" outlineLevel="0" collapsed="false">
      <c r="A67" s="15" t="n">
        <v>24</v>
      </c>
      <c r="B67" s="60" t="s">
        <v>69</v>
      </c>
      <c r="W67" s="46" t="n">
        <v>4</v>
      </c>
      <c r="X67" s="64" t="n">
        <v>1</v>
      </c>
      <c r="Y67" s="65" t="n">
        <v>20</v>
      </c>
      <c r="Z67" s="65" t="n">
        <v>10</v>
      </c>
      <c r="AA67" s="65"/>
      <c r="AB67" s="65"/>
      <c r="AC67" s="46" t="n">
        <v>30</v>
      </c>
      <c r="AD67" s="46" t="n">
        <v>30</v>
      </c>
      <c r="AE67" s="46" t="n">
        <v>1.5</v>
      </c>
      <c r="AF67" s="46" t="n">
        <v>45</v>
      </c>
      <c r="AG67" s="50" t="n">
        <v>7200</v>
      </c>
    </row>
  </sheetData>
  <autoFilter ref="A8:M39">
    <filterColumn colId="5">
      <filters>
        <filter val="מכוני אורטופדיה"/>
      </filters>
    </filterColumn>
  </autoFilter>
  <mergeCells count="1">
    <mergeCell ref="A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Q30" activeCellId="0" sqref="Q30"/>
    </sheetView>
  </sheetViews>
  <sheetFormatPr defaultColWidth="8.625" defaultRowHeight="14.25" zeroHeight="false" outlineLevelRow="0" outlineLevelCol="0"/>
  <cols>
    <col collapsed="false" customWidth="true" hidden="false" outlineLevel="0" max="1" min="1" style="2" width="4"/>
    <col collapsed="false" customWidth="true" hidden="false" outlineLevel="0" max="2" min="2" style="45" width="16"/>
    <col collapsed="false" customWidth="true" hidden="false" outlineLevel="0" max="3" min="3" style="45" width="37.62"/>
    <col collapsed="false" customWidth="true" hidden="false" outlineLevel="0" max="4" min="4" style="2" width="12"/>
    <col collapsed="false" customWidth="true" hidden="true" outlineLevel="0" max="5" min="5" style="2" width="18"/>
    <col collapsed="false" customWidth="true" hidden="false" outlineLevel="0" max="7" min="6" style="2" width="9.75"/>
    <col collapsed="false" customWidth="true" hidden="false" outlineLevel="0" max="9" min="9" style="2" width="10"/>
    <col collapsed="false" customWidth="true" hidden="false" outlineLevel="0" max="10" min="10" style="2" width="11.88"/>
    <col collapsed="false" customWidth="true" hidden="false" outlineLevel="0" max="13" min="11" style="46" width="10.5"/>
    <col collapsed="false" customWidth="true" hidden="false" outlineLevel="0" max="19" min="19" style="46" width="10"/>
    <col collapsed="false" customWidth="true" hidden="false" outlineLevel="0" max="20" min="20" style="46" width="11.88"/>
    <col collapsed="false" customWidth="true" hidden="false" outlineLevel="0" max="31" min="31" style="2" width="11.88"/>
  </cols>
  <sheetData>
    <row r="1" customFormat="false" ht="16.5" hidden="false" customHeight="true" outlineLevel="0" collapsed="false">
      <c r="A1" s="47" t="s">
        <v>77</v>
      </c>
    </row>
    <row r="2" customFormat="false" ht="16.5" hidden="false" customHeight="true" outlineLevel="0" collapsed="false">
      <c r="A2" s="47"/>
      <c r="F2" s="46" t="s">
        <v>78</v>
      </c>
      <c r="G2" s="48" t="n">
        <v>26</v>
      </c>
      <c r="H2" s="48" t="n">
        <v>2</v>
      </c>
      <c r="I2" s="48" t="n">
        <v>70</v>
      </c>
      <c r="J2" s="46" t="n">
        <f aca="false">SUM(G2:I2)</f>
        <v>98</v>
      </c>
      <c r="O2" s="46"/>
      <c r="P2" s="46"/>
      <c r="Q2" s="46"/>
      <c r="R2" s="46"/>
    </row>
    <row r="3" customFormat="false" ht="16.5" hidden="false" customHeight="true" outlineLevel="0" collapsed="false">
      <c r="A3" s="47"/>
      <c r="F3" s="46" t="s">
        <v>79</v>
      </c>
      <c r="G3" s="48" t="n">
        <v>14</v>
      </c>
      <c r="H3" s="48" t="n">
        <v>1</v>
      </c>
      <c r="I3" s="48" t="n">
        <v>59</v>
      </c>
      <c r="J3" s="46" t="n">
        <f aca="false">SUM(G3:I3)</f>
        <v>74</v>
      </c>
      <c r="O3" s="46"/>
      <c r="P3" s="46"/>
      <c r="Q3" s="46"/>
      <c r="R3" s="46"/>
    </row>
    <row r="4" customFormat="false" ht="16.5" hidden="false" customHeight="true" outlineLevel="0" collapsed="false">
      <c r="A4" s="47"/>
      <c r="F4" s="46" t="s">
        <v>81</v>
      </c>
      <c r="G4" s="48" t="n">
        <v>17</v>
      </c>
      <c r="H4" s="48" t="n">
        <v>5</v>
      </c>
      <c r="I4" s="48" t="n">
        <v>63</v>
      </c>
      <c r="J4" s="46" t="n">
        <f aca="false">SUM(G4:I4)</f>
        <v>85</v>
      </c>
      <c r="O4" s="46"/>
      <c r="P4" s="46"/>
      <c r="Q4" s="46"/>
      <c r="R4" s="46"/>
    </row>
    <row r="5" customFormat="false" ht="15" hidden="false" customHeight="true" outlineLevel="0" collapsed="false">
      <c r="A5" s="52" t="s">
        <v>1</v>
      </c>
      <c r="B5" s="53" t="n">
        <v>46290</v>
      </c>
      <c r="C5" s="53"/>
      <c r="F5" s="46" t="s">
        <v>82</v>
      </c>
      <c r="G5" s="48" t="n">
        <v>27</v>
      </c>
      <c r="H5" s="48" t="n">
        <v>12</v>
      </c>
      <c r="I5" s="48" t="n">
        <v>211</v>
      </c>
      <c r="J5" s="46" t="n">
        <f aca="false">SUM(G5:I5)</f>
        <v>250</v>
      </c>
      <c r="O5" s="46"/>
      <c r="P5" s="46"/>
      <c r="Q5" s="46"/>
      <c r="R5" s="46"/>
    </row>
    <row r="6" customFormat="false" ht="42.75" hidden="true" customHeight="true" outlineLevel="0" collapsed="false">
      <c r="A6" s="6" t="s">
        <v>84</v>
      </c>
      <c r="B6" s="6"/>
      <c r="C6" s="6"/>
      <c r="D6" s="6"/>
      <c r="E6" s="6"/>
    </row>
    <row r="7" customFormat="false" ht="15" hidden="false" customHeight="true" outlineLevel="0" collapsed="false">
      <c r="F7" s="57" t="s">
        <v>86</v>
      </c>
      <c r="G7" s="57" t="n">
        <f aca="false">SUBTOTAL(9,G2:G5)</f>
        <v>84</v>
      </c>
      <c r="H7" s="57" t="n">
        <f aca="false">SUBTOTAL(9,H2:H5)</f>
        <v>20</v>
      </c>
      <c r="I7" s="57" t="n">
        <f aca="false">SUBTOTAL(9,I2:I5)</f>
        <v>403</v>
      </c>
      <c r="J7" s="57" t="n">
        <f aca="false">SUM(G7:I7)</f>
        <v>507</v>
      </c>
      <c r="K7" s="74" t="s">
        <v>78</v>
      </c>
      <c r="O7" s="57"/>
      <c r="P7" s="57"/>
      <c r="Q7" s="57"/>
      <c r="R7" s="57"/>
      <c r="V7" s="74" t="s">
        <v>79</v>
      </c>
      <c r="W7" s="46"/>
      <c r="X7" s="46"/>
      <c r="Z7" s="57"/>
      <c r="AA7" s="57"/>
      <c r="AB7" s="57"/>
      <c r="AC7" s="57"/>
      <c r="AD7" s="46"/>
      <c r="AE7" s="46"/>
    </row>
    <row r="8" customFormat="false" ht="15" hidden="false" customHeight="true" outlineLevel="0" collapsed="false">
      <c r="H8" s="46"/>
      <c r="I8" s="46"/>
      <c r="J8" s="46"/>
      <c r="K8" s="75" t="n">
        <v>0.9</v>
      </c>
      <c r="L8" s="75" t="n">
        <v>1</v>
      </c>
      <c r="M8" s="75" t="n">
        <v>0.85</v>
      </c>
      <c r="N8" s="57"/>
      <c r="O8" s="57"/>
      <c r="P8" s="57"/>
      <c r="Q8" s="57"/>
      <c r="R8" s="57"/>
      <c r="V8" s="75" t="n">
        <v>0.9</v>
      </c>
      <c r="W8" s="75" t="n">
        <v>1</v>
      </c>
      <c r="X8" s="75" t="n">
        <v>0.85</v>
      </c>
      <c r="Y8" s="57"/>
      <c r="Z8" s="57"/>
      <c r="AA8" s="57"/>
      <c r="AB8" s="57"/>
      <c r="AC8" s="57"/>
      <c r="AD8" s="46"/>
      <c r="AE8" s="46"/>
    </row>
    <row r="9" customFormat="false" ht="15" hidden="false" customHeight="true" outlineLevel="0" collapsed="false">
      <c r="G9" s="76" t="n">
        <v>0.2</v>
      </c>
      <c r="H9" s="46"/>
      <c r="I9" s="46"/>
      <c r="J9" s="46"/>
      <c r="K9" s="57" t="n">
        <f aca="false">G2</f>
        <v>26</v>
      </c>
      <c r="L9" s="57" t="n">
        <f aca="false">H2</f>
        <v>2</v>
      </c>
      <c r="M9" s="57" t="n">
        <f aca="false">I2</f>
        <v>70</v>
      </c>
      <c r="N9" s="57"/>
      <c r="O9" s="57"/>
      <c r="P9" s="57"/>
      <c r="Q9" s="57"/>
      <c r="R9" s="57"/>
      <c r="S9" s="77" t="n">
        <f aca="false">SUM(S11:S30)</f>
        <v>18000</v>
      </c>
      <c r="T9" s="78" t="n">
        <f aca="false">SUM(T11:T30)</f>
        <v>1933402.4</v>
      </c>
      <c r="V9" s="57" t="n">
        <f aca="false">G3</f>
        <v>14</v>
      </c>
      <c r="W9" s="57" t="n">
        <f aca="false">H3</f>
        <v>1</v>
      </c>
      <c r="X9" s="57" t="n">
        <f aca="false">I3</f>
        <v>59</v>
      </c>
      <c r="Y9" s="57"/>
      <c r="Z9" s="57"/>
      <c r="AA9" s="57"/>
      <c r="AB9" s="57"/>
      <c r="AC9" s="57"/>
      <c r="AD9" s="77" t="n">
        <f aca="false">SUM(AD11:AD30)</f>
        <v>13739</v>
      </c>
      <c r="AE9" s="78" t="n">
        <f aca="false">SUM(AE11:AE30)</f>
        <v>1476534.48</v>
      </c>
    </row>
    <row r="10" customFormat="false" ht="25.5" hidden="false" customHeight="true" outlineLevel="0" collapsed="false">
      <c r="A10" s="58" t="s">
        <v>3</v>
      </c>
      <c r="B10" s="59" t="s">
        <v>88</v>
      </c>
      <c r="C10" s="59"/>
      <c r="D10" s="58" t="s">
        <v>90</v>
      </c>
      <c r="E10" s="58" t="s">
        <v>91</v>
      </c>
      <c r="F10" s="58" t="s">
        <v>104</v>
      </c>
      <c r="G10" s="58" t="s">
        <v>139</v>
      </c>
      <c r="H10" s="58" t="s">
        <v>105</v>
      </c>
      <c r="I10" s="58" t="s">
        <v>140</v>
      </c>
      <c r="J10" s="46"/>
      <c r="K10" s="58" t="s">
        <v>107</v>
      </c>
      <c r="L10" s="58" t="s">
        <v>108</v>
      </c>
      <c r="M10" s="58" t="s">
        <v>110</v>
      </c>
      <c r="N10" s="79" t="s">
        <v>111</v>
      </c>
      <c r="O10" s="58" t="s">
        <v>141</v>
      </c>
      <c r="P10" s="58" t="s">
        <v>142</v>
      </c>
      <c r="Q10" s="58" t="s">
        <v>113</v>
      </c>
      <c r="R10" s="58" t="s">
        <v>86</v>
      </c>
      <c r="S10" s="79" t="s">
        <v>112</v>
      </c>
      <c r="T10" s="58" t="s">
        <v>143</v>
      </c>
      <c r="V10" s="58" t="s">
        <v>107</v>
      </c>
      <c r="W10" s="58" t="s">
        <v>108</v>
      </c>
      <c r="X10" s="58" t="s">
        <v>110</v>
      </c>
      <c r="Y10" s="79" t="s">
        <v>111</v>
      </c>
      <c r="Z10" s="58" t="s">
        <v>141</v>
      </c>
      <c r="AA10" s="58" t="s">
        <v>142</v>
      </c>
      <c r="AB10" s="58" t="s">
        <v>113</v>
      </c>
      <c r="AC10" s="58" t="s">
        <v>86</v>
      </c>
      <c r="AD10" s="79" t="s">
        <v>112</v>
      </c>
      <c r="AE10" s="58" t="s">
        <v>143</v>
      </c>
    </row>
    <row r="11" customFormat="false" ht="15" hidden="false" customHeight="true" outlineLevel="0" collapsed="false">
      <c r="A11" s="15"/>
      <c r="B11" s="60" t="s">
        <v>10</v>
      </c>
      <c r="C11" s="80" t="s">
        <v>144</v>
      </c>
      <c r="D11" s="14" t="n">
        <v>90</v>
      </c>
      <c r="E11" s="14" t="n">
        <v>194400</v>
      </c>
      <c r="F11" s="63" t="n">
        <v>90</v>
      </c>
      <c r="G11" s="63" t="n">
        <f aca="false">F11*(100%-$G$9)</f>
        <v>72</v>
      </c>
      <c r="H11" s="46" t="n">
        <v>12</v>
      </c>
      <c r="I11" s="46" t="n">
        <v>3</v>
      </c>
      <c r="J11" s="46"/>
      <c r="K11" s="46" t="n">
        <f aca="false">ROUNDUP($K$9*$K$8,0)</f>
        <v>24</v>
      </c>
      <c r="L11" s="46" t="n">
        <v>2</v>
      </c>
      <c r="M11" s="46" t="n">
        <f aca="false">ROUNDUP($M$9*$M$8,0)</f>
        <v>60</v>
      </c>
      <c r="N11" s="81" t="n">
        <f aca="false">SUM(K11:M11)</f>
        <v>86</v>
      </c>
      <c r="O11" s="64" t="n">
        <v>6</v>
      </c>
      <c r="P11" s="46" t="n">
        <v>4</v>
      </c>
      <c r="Q11" s="46" t="n">
        <v>3</v>
      </c>
      <c r="R11" s="46" t="n">
        <f aca="false">O11+(P11*Q11)</f>
        <v>18</v>
      </c>
      <c r="S11" s="82" t="n">
        <f aca="false">R11*N11</f>
        <v>1548</v>
      </c>
      <c r="T11" s="78" t="n">
        <f aca="false">S11*$G11</f>
        <v>111456</v>
      </c>
      <c r="V11" s="46" t="n">
        <f aca="false">ROUNDUP($V$9*$V$8,0)</f>
        <v>13</v>
      </c>
      <c r="W11" s="46" t="n">
        <v>1</v>
      </c>
      <c r="X11" s="46" t="n">
        <f aca="false">ROUNDUP($X$9*$X$8,0)</f>
        <v>51</v>
      </c>
      <c r="Y11" s="81" t="n">
        <f aca="false">SUM(V11:X11)</f>
        <v>65</v>
      </c>
      <c r="Z11" s="64" t="n">
        <v>6</v>
      </c>
      <c r="AA11" s="46" t="n">
        <v>4</v>
      </c>
      <c r="AB11" s="46" t="n">
        <v>3</v>
      </c>
      <c r="AC11" s="46" t="n">
        <f aca="false">Z11+(AA11*AB11)</f>
        <v>18</v>
      </c>
      <c r="AD11" s="82" t="n">
        <f aca="false">AC11*Y11</f>
        <v>1170</v>
      </c>
      <c r="AE11" s="78" t="n">
        <f aca="false">AD11*$G11</f>
        <v>84240</v>
      </c>
    </row>
    <row r="12" customFormat="false" ht="15" hidden="false" customHeight="true" outlineLevel="0" collapsed="false">
      <c r="A12" s="15"/>
      <c r="B12" s="60" t="s">
        <v>24</v>
      </c>
      <c r="C12" s="80" t="s">
        <v>145</v>
      </c>
      <c r="D12" s="14" t="n">
        <v>100</v>
      </c>
      <c r="E12" s="14" t="n">
        <v>288000</v>
      </c>
      <c r="F12" s="63" t="n">
        <v>100</v>
      </c>
      <c r="G12" s="63" t="n">
        <f aca="false">F12*(100%-$G$9)</f>
        <v>80</v>
      </c>
      <c r="H12" s="46" t="n">
        <v>12</v>
      </c>
      <c r="I12" s="46" t="n">
        <v>3</v>
      </c>
      <c r="J12" s="46"/>
      <c r="K12" s="46" t="n">
        <f aca="false">ROUNDUP($K$9*$K$8,0)</f>
        <v>24</v>
      </c>
      <c r="L12" s="46" t="n">
        <v>2</v>
      </c>
      <c r="M12" s="46" t="n">
        <f aca="false">ROUNDUP($M$9*$M$8,0)</f>
        <v>60</v>
      </c>
      <c r="N12" s="81" t="n">
        <f aca="false">SUM(K12:M12)</f>
        <v>86</v>
      </c>
      <c r="O12" s="64" t="n">
        <v>6</v>
      </c>
      <c r="P12" s="46" t="n">
        <v>3</v>
      </c>
      <c r="Q12" s="46" t="n">
        <v>3</v>
      </c>
      <c r="R12" s="46" t="n">
        <f aca="false">O12+(P12*Q12)</f>
        <v>15</v>
      </c>
      <c r="S12" s="82" t="n">
        <f aca="false">R12*N12</f>
        <v>1290</v>
      </c>
      <c r="T12" s="78" t="n">
        <f aca="false">S12*$G12</f>
        <v>103200</v>
      </c>
      <c r="V12" s="46" t="n">
        <f aca="false">ROUNDUP($V$9*$V$8,0)</f>
        <v>13</v>
      </c>
      <c r="W12" s="46" t="n">
        <v>1</v>
      </c>
      <c r="X12" s="46" t="n">
        <f aca="false">ROUNDUP($X$9*$X$8,0)</f>
        <v>51</v>
      </c>
      <c r="Y12" s="81" t="n">
        <f aca="false">SUM(V12:X12)</f>
        <v>65</v>
      </c>
      <c r="Z12" s="64" t="n">
        <v>6</v>
      </c>
      <c r="AA12" s="46" t="n">
        <v>3</v>
      </c>
      <c r="AB12" s="46" t="n">
        <v>3</v>
      </c>
      <c r="AC12" s="46" t="n">
        <f aca="false">Z12+(AA12*AB12)</f>
        <v>15</v>
      </c>
      <c r="AD12" s="82" t="n">
        <f aca="false">AC12*Y12</f>
        <v>975</v>
      </c>
      <c r="AE12" s="78" t="n">
        <f aca="false">AD12*$G12</f>
        <v>78000</v>
      </c>
    </row>
    <row r="13" customFormat="false" ht="15" hidden="false" customHeight="true" outlineLevel="0" collapsed="false">
      <c r="A13" s="15"/>
      <c r="B13" s="60" t="s">
        <v>33</v>
      </c>
      <c r="C13" s="80" t="s">
        <v>146</v>
      </c>
      <c r="D13" s="14" t="n">
        <v>70</v>
      </c>
      <c r="E13" s="14" t="n">
        <v>70000</v>
      </c>
      <c r="F13" s="63" t="n">
        <v>40</v>
      </c>
      <c r="G13" s="63" t="n">
        <f aca="false">F13*(100%-$G$9)</f>
        <v>32</v>
      </c>
      <c r="H13" s="46" t="n">
        <v>12</v>
      </c>
      <c r="I13" s="46" t="n">
        <v>1</v>
      </c>
      <c r="J13" s="46"/>
      <c r="K13" s="46" t="n">
        <f aca="false">ROUNDUP($K$9*$K$8,0)</f>
        <v>24</v>
      </c>
      <c r="L13" s="46" t="n">
        <v>2</v>
      </c>
      <c r="M13" s="46" t="n">
        <f aca="false">ROUNDUP($M$9*$M$8,0)</f>
        <v>60</v>
      </c>
      <c r="N13" s="81" t="n">
        <f aca="false">SUM(K13:M13)</f>
        <v>86</v>
      </c>
      <c r="O13" s="64" t="n">
        <v>6</v>
      </c>
      <c r="P13" s="46" t="n">
        <v>4</v>
      </c>
      <c r="Q13" s="46" t="n">
        <v>3</v>
      </c>
      <c r="R13" s="46" t="n">
        <f aca="false">O13+(P13*Q13)</f>
        <v>18</v>
      </c>
      <c r="S13" s="82" t="n">
        <f aca="false">R13*N13</f>
        <v>1548</v>
      </c>
      <c r="T13" s="78" t="n">
        <f aca="false">S13*$G13</f>
        <v>49536</v>
      </c>
      <c r="V13" s="46" t="n">
        <f aca="false">ROUNDUP($V$9*$V$8,0)</f>
        <v>13</v>
      </c>
      <c r="W13" s="46" t="n">
        <v>1</v>
      </c>
      <c r="X13" s="46" t="n">
        <f aca="false">ROUNDUP($X$9*$X$8,0)</f>
        <v>51</v>
      </c>
      <c r="Y13" s="81" t="n">
        <f aca="false">SUM(V13:X13)</f>
        <v>65</v>
      </c>
      <c r="Z13" s="64" t="n">
        <v>6</v>
      </c>
      <c r="AA13" s="46" t="n">
        <v>4</v>
      </c>
      <c r="AB13" s="46" t="n">
        <v>3</v>
      </c>
      <c r="AC13" s="46" t="n">
        <f aca="false">Z13+(AA13*AB13)</f>
        <v>18</v>
      </c>
      <c r="AD13" s="82" t="n">
        <f aca="false">AC13*Y13</f>
        <v>1170</v>
      </c>
      <c r="AE13" s="78" t="n">
        <f aca="false">AD13*$G13</f>
        <v>37440</v>
      </c>
    </row>
    <row r="14" customFormat="false" ht="15" hidden="false" customHeight="true" outlineLevel="0" collapsed="false">
      <c r="A14" s="15"/>
      <c r="B14" s="60" t="s">
        <v>35</v>
      </c>
      <c r="C14" s="83" t="s">
        <v>147</v>
      </c>
      <c r="D14" s="14" t="n">
        <v>350</v>
      </c>
      <c r="E14" s="14" t="n">
        <v>77000</v>
      </c>
      <c r="F14" s="63" t="n">
        <v>300</v>
      </c>
      <c r="G14" s="63" t="n">
        <f aca="false">F14*(100%-$G$9)</f>
        <v>240</v>
      </c>
      <c r="H14" s="46" t="n">
        <v>12</v>
      </c>
      <c r="I14" s="46" t="n">
        <v>5</v>
      </c>
      <c r="J14" s="46"/>
      <c r="K14" s="46" t="n">
        <f aca="false">ROUNDUP($K$9*$K$8,0)</f>
        <v>24</v>
      </c>
      <c r="L14" s="46" t="n">
        <v>2</v>
      </c>
      <c r="M14" s="46" t="n">
        <f aca="false">ROUNDUP($M$9*$M$8,0)</f>
        <v>60</v>
      </c>
      <c r="N14" s="81" t="n">
        <f aca="false">SUM(K14:M14)</f>
        <v>86</v>
      </c>
      <c r="O14" s="64" t="n">
        <v>6</v>
      </c>
      <c r="P14" s="46" t="n">
        <v>4</v>
      </c>
      <c r="Q14" s="46" t="n">
        <v>3</v>
      </c>
      <c r="R14" s="46" t="n">
        <f aca="false">O14+(P14*Q14)</f>
        <v>18</v>
      </c>
      <c r="S14" s="82" t="n">
        <f aca="false">R14*N14</f>
        <v>1548</v>
      </c>
      <c r="T14" s="78" t="n">
        <f aca="false">S14*$G14</f>
        <v>371520</v>
      </c>
      <c r="V14" s="46" t="n">
        <f aca="false">ROUNDUP($V$9*$V$8,0)</f>
        <v>13</v>
      </c>
      <c r="W14" s="46" t="n">
        <v>1</v>
      </c>
      <c r="X14" s="46" t="n">
        <f aca="false">ROUNDUP($X$9*$X$8,0)</f>
        <v>51</v>
      </c>
      <c r="Y14" s="81" t="n">
        <f aca="false">SUM(V14:X14)</f>
        <v>65</v>
      </c>
      <c r="Z14" s="64" t="n">
        <v>6</v>
      </c>
      <c r="AA14" s="46" t="n">
        <v>4</v>
      </c>
      <c r="AB14" s="46" t="n">
        <v>3</v>
      </c>
      <c r="AC14" s="46" t="n">
        <f aca="false">Z14+(AA14*AB14)</f>
        <v>18</v>
      </c>
      <c r="AD14" s="82" t="n">
        <f aca="false">AC14*Y14</f>
        <v>1170</v>
      </c>
      <c r="AE14" s="78" t="n">
        <f aca="false">AD14*$G14</f>
        <v>280800</v>
      </c>
    </row>
    <row r="15" customFormat="false" ht="15" hidden="false" customHeight="true" outlineLevel="0" collapsed="false">
      <c r="A15" s="15"/>
      <c r="B15" s="60" t="s">
        <v>37</v>
      </c>
      <c r="C15" s="80" t="s">
        <v>148</v>
      </c>
      <c r="D15" s="14" t="n">
        <v>70</v>
      </c>
      <c r="E15" s="14" t="n">
        <v>19600</v>
      </c>
      <c r="F15" s="63" t="n">
        <v>70</v>
      </c>
      <c r="G15" s="63" t="n">
        <f aca="false">F15*(100%-$G$9)</f>
        <v>56</v>
      </c>
      <c r="H15" s="46" t="n">
        <v>12</v>
      </c>
      <c r="I15" s="46" t="n">
        <v>6</v>
      </c>
      <c r="J15" s="46"/>
      <c r="K15" s="46" t="n">
        <f aca="false">ROUNDUP($K$9*$K$8,0)</f>
        <v>24</v>
      </c>
      <c r="L15" s="46" t="n">
        <v>2</v>
      </c>
      <c r="M15" s="46" t="n">
        <f aca="false">ROUNDUP($M$9*$M$8,0)</f>
        <v>60</v>
      </c>
      <c r="N15" s="81" t="n">
        <f aca="false">SUM(K15:M15)</f>
        <v>86</v>
      </c>
      <c r="O15" s="64" t="n">
        <v>6</v>
      </c>
      <c r="P15" s="46" t="n">
        <v>4</v>
      </c>
      <c r="Q15" s="46" t="n">
        <v>3</v>
      </c>
      <c r="R15" s="46" t="n">
        <f aca="false">O15+(P15*Q15)</f>
        <v>18</v>
      </c>
      <c r="S15" s="82" t="n">
        <f aca="false">R15*N15</f>
        <v>1548</v>
      </c>
      <c r="T15" s="78" t="n">
        <f aca="false">S15*$G15</f>
        <v>86688</v>
      </c>
      <c r="V15" s="46" t="n">
        <f aca="false">ROUNDUP($V$9*$V$8,0)</f>
        <v>13</v>
      </c>
      <c r="W15" s="46" t="n">
        <v>1</v>
      </c>
      <c r="X15" s="46" t="n">
        <f aca="false">ROUNDUP($X$9*$X$8,0)</f>
        <v>51</v>
      </c>
      <c r="Y15" s="81" t="n">
        <f aca="false">SUM(V15:X15)</f>
        <v>65</v>
      </c>
      <c r="Z15" s="64" t="n">
        <v>6</v>
      </c>
      <c r="AA15" s="46" t="n">
        <v>4</v>
      </c>
      <c r="AB15" s="46" t="n">
        <v>3</v>
      </c>
      <c r="AC15" s="46" t="n">
        <f aca="false">Z15+(AA15*AB15)</f>
        <v>18</v>
      </c>
      <c r="AD15" s="82" t="n">
        <f aca="false">AC15*Y15</f>
        <v>1170</v>
      </c>
      <c r="AE15" s="78" t="n">
        <f aca="false">AD15*$G15</f>
        <v>65520</v>
      </c>
    </row>
    <row r="16" customFormat="false" ht="15" hidden="false" customHeight="true" outlineLevel="0" collapsed="false">
      <c r="A16" s="15"/>
      <c r="B16" s="60" t="s">
        <v>40</v>
      </c>
      <c r="C16" s="80" t="s">
        <v>149</v>
      </c>
      <c r="D16" s="14" t="n">
        <v>80</v>
      </c>
      <c r="E16" s="14" t="n">
        <v>22400</v>
      </c>
      <c r="F16" s="63" t="n">
        <v>80</v>
      </c>
      <c r="G16" s="63" t="n">
        <f aca="false">F16*(100%-$G$9)</f>
        <v>64</v>
      </c>
      <c r="H16" s="46" t="n">
        <v>6</v>
      </c>
      <c r="I16" s="46" t="n">
        <v>6</v>
      </c>
      <c r="J16" s="46"/>
      <c r="K16" s="46" t="n">
        <f aca="false">ROUNDUP($K$9*$K$8,0)</f>
        <v>24</v>
      </c>
      <c r="L16" s="46" t="n">
        <v>2</v>
      </c>
      <c r="M16" s="46" t="n">
        <f aca="false">ROUNDUP($M$9*$M$8,0)</f>
        <v>60</v>
      </c>
      <c r="N16" s="81" t="n">
        <f aca="false">SUM(K16:M16)</f>
        <v>86</v>
      </c>
      <c r="O16" s="64" t="n">
        <v>6</v>
      </c>
      <c r="P16" s="46" t="n">
        <v>4</v>
      </c>
      <c r="Q16" s="46" t="n">
        <v>3</v>
      </c>
      <c r="R16" s="46" t="n">
        <f aca="false">O16+(P16*Q16)</f>
        <v>18</v>
      </c>
      <c r="S16" s="82" t="n">
        <f aca="false">R16*N16</f>
        <v>1548</v>
      </c>
      <c r="T16" s="78" t="n">
        <f aca="false">S16*$G16</f>
        <v>99072</v>
      </c>
      <c r="V16" s="46" t="n">
        <f aca="false">ROUNDUP($V$9*$V$8,0)</f>
        <v>13</v>
      </c>
      <c r="W16" s="46" t="n">
        <v>1</v>
      </c>
      <c r="X16" s="46" t="n">
        <f aca="false">ROUNDUP($X$9*$X$8,0)</f>
        <v>51</v>
      </c>
      <c r="Y16" s="81" t="n">
        <f aca="false">SUM(V16:X16)</f>
        <v>65</v>
      </c>
      <c r="Z16" s="64" t="n">
        <v>6</v>
      </c>
      <c r="AA16" s="46" t="n">
        <v>4</v>
      </c>
      <c r="AB16" s="46" t="n">
        <v>3</v>
      </c>
      <c r="AC16" s="46" t="n">
        <f aca="false">Z16+(AA16*AB16)</f>
        <v>18</v>
      </c>
      <c r="AD16" s="82" t="n">
        <f aca="false">AC16*Y16</f>
        <v>1170</v>
      </c>
      <c r="AE16" s="78" t="n">
        <f aca="false">AD16*$G16</f>
        <v>74880</v>
      </c>
    </row>
    <row r="17" customFormat="false" ht="15" hidden="false" customHeight="true" outlineLevel="0" collapsed="false">
      <c r="A17" s="15"/>
      <c r="B17" s="60" t="s">
        <v>44</v>
      </c>
      <c r="C17" s="80" t="s">
        <v>150</v>
      </c>
      <c r="D17" s="14" t="n">
        <v>260</v>
      </c>
      <c r="E17" s="14" t="n">
        <v>52000</v>
      </c>
      <c r="F17" s="63" t="n">
        <v>260</v>
      </c>
      <c r="G17" s="63" t="n">
        <f aca="false">F17*(100%-$G$9)</f>
        <v>208</v>
      </c>
      <c r="H17" s="46" t="n">
        <v>10</v>
      </c>
      <c r="I17" s="46" t="n">
        <v>12</v>
      </c>
      <c r="J17" s="46"/>
      <c r="K17" s="46" t="n">
        <f aca="false">ROUNDUP($K$9*$K$8,0)</f>
        <v>24</v>
      </c>
      <c r="L17" s="46" t="n">
        <v>2</v>
      </c>
      <c r="M17" s="46" t="n">
        <f aca="false">ROUNDUP($M$9*$M$8,0)</f>
        <v>60</v>
      </c>
      <c r="N17" s="81" t="n">
        <f aca="false">SUM(K17:M17)</f>
        <v>86</v>
      </c>
      <c r="O17" s="64" t="n">
        <v>6</v>
      </c>
      <c r="P17" s="46" t="n">
        <v>4</v>
      </c>
      <c r="Q17" s="46" t="n">
        <v>3</v>
      </c>
      <c r="R17" s="46" t="n">
        <f aca="false">O17+(P17*Q17)</f>
        <v>18</v>
      </c>
      <c r="S17" s="82" t="n">
        <f aca="false">R17*N17</f>
        <v>1548</v>
      </c>
      <c r="T17" s="78" t="n">
        <f aca="false">S17*$G17</f>
        <v>321984</v>
      </c>
      <c r="V17" s="46" t="n">
        <f aca="false">ROUNDUP($V$9*$V$8,0)</f>
        <v>13</v>
      </c>
      <c r="W17" s="46" t="n">
        <v>1</v>
      </c>
      <c r="X17" s="46" t="n">
        <f aca="false">ROUNDUP($X$9*$X$8,0)</f>
        <v>51</v>
      </c>
      <c r="Y17" s="81" t="n">
        <f aca="false">SUM(V17:X17)</f>
        <v>65</v>
      </c>
      <c r="Z17" s="64" t="n">
        <v>6</v>
      </c>
      <c r="AA17" s="46" t="n">
        <v>4</v>
      </c>
      <c r="AB17" s="46" t="n">
        <v>3</v>
      </c>
      <c r="AC17" s="46" t="n">
        <f aca="false">Z17+(AA17*AB17)</f>
        <v>18</v>
      </c>
      <c r="AD17" s="82" t="n">
        <f aca="false">AC17*Y17</f>
        <v>1170</v>
      </c>
      <c r="AE17" s="78" t="n">
        <f aca="false">AD17*$G17</f>
        <v>243360</v>
      </c>
    </row>
    <row r="18" customFormat="false" ht="15" hidden="false" customHeight="true" outlineLevel="0" collapsed="false">
      <c r="A18" s="15"/>
      <c r="B18" s="15" t="s">
        <v>151</v>
      </c>
      <c r="C18" s="80" t="s">
        <v>152</v>
      </c>
      <c r="D18" s="14" t="n">
        <v>24</v>
      </c>
      <c r="E18" s="14" t="n">
        <v>24000</v>
      </c>
      <c r="F18" s="63" t="n">
        <v>34.3</v>
      </c>
      <c r="G18" s="63" t="n">
        <f aca="false">F18*(100%-$G$9)</f>
        <v>27.44</v>
      </c>
      <c r="H18" s="46" t="n">
        <v>12</v>
      </c>
      <c r="I18" s="46" t="n">
        <v>1</v>
      </c>
      <c r="J18" s="46" t="s">
        <v>153</v>
      </c>
      <c r="K18" s="46" t="n">
        <v>0</v>
      </c>
      <c r="L18" s="46" t="n">
        <v>0</v>
      </c>
      <c r="M18" s="46" t="n">
        <v>70</v>
      </c>
      <c r="N18" s="81" t="n">
        <f aca="false">SUM(K18:M18)</f>
        <v>70</v>
      </c>
      <c r="O18" s="64" t="n">
        <v>3</v>
      </c>
      <c r="P18" s="46" t="n">
        <v>2</v>
      </c>
      <c r="Q18" s="46" t="n">
        <v>5</v>
      </c>
      <c r="R18" s="46" t="n">
        <f aca="false">O18+(P18*Q18)</f>
        <v>13</v>
      </c>
      <c r="S18" s="82" t="n">
        <f aca="false">R18*N18</f>
        <v>910</v>
      </c>
      <c r="T18" s="78" t="n">
        <f aca="false">S18*$G18</f>
        <v>24970.4</v>
      </c>
      <c r="V18" s="46" t="n">
        <v>0</v>
      </c>
      <c r="W18" s="46" t="n">
        <v>0</v>
      </c>
      <c r="X18" s="46" t="n">
        <v>59</v>
      </c>
      <c r="Y18" s="81" t="n">
        <f aca="false">SUM(V18:X18)</f>
        <v>59</v>
      </c>
      <c r="Z18" s="64" t="n">
        <v>3</v>
      </c>
      <c r="AA18" s="46" t="n">
        <v>2</v>
      </c>
      <c r="AB18" s="46" t="n">
        <v>5</v>
      </c>
      <c r="AC18" s="46" t="n">
        <f aca="false">Z18+(AA18*AB18)</f>
        <v>13</v>
      </c>
      <c r="AD18" s="82" t="n">
        <f aca="false">AC18*Y18</f>
        <v>767</v>
      </c>
      <c r="AE18" s="78" t="n">
        <f aca="false">AD18*$G18</f>
        <v>21046.48</v>
      </c>
    </row>
    <row r="19" customFormat="false" ht="15" hidden="false" customHeight="true" outlineLevel="0" collapsed="false">
      <c r="A19" s="15"/>
      <c r="B19" s="60" t="s">
        <v>49</v>
      </c>
      <c r="C19" s="80" t="s">
        <v>154</v>
      </c>
      <c r="D19" s="14" t="n">
        <v>12</v>
      </c>
      <c r="E19" s="14" t="n">
        <v>24000</v>
      </c>
      <c r="F19" s="63" t="n">
        <v>10.5</v>
      </c>
      <c r="G19" s="63" t="n">
        <f aca="false">F19*(100%-$G$9)</f>
        <v>8.4</v>
      </c>
      <c r="H19" s="46" t="n">
        <v>12</v>
      </c>
      <c r="I19" s="46" t="n">
        <v>1</v>
      </c>
      <c r="J19" s="46"/>
      <c r="K19" s="46" t="n">
        <v>0</v>
      </c>
      <c r="L19" s="46" t="n">
        <v>2</v>
      </c>
      <c r="M19" s="46" t="n">
        <v>70</v>
      </c>
      <c r="N19" s="81" t="n">
        <f aca="false">SUM(K19:M19)</f>
        <v>72</v>
      </c>
      <c r="O19" s="64" t="n">
        <v>6</v>
      </c>
      <c r="P19" s="46" t="n">
        <v>3</v>
      </c>
      <c r="Q19" s="46" t="n">
        <v>4</v>
      </c>
      <c r="R19" s="46" t="n">
        <f aca="false">O19+(P19*Q19)</f>
        <v>18</v>
      </c>
      <c r="S19" s="82" t="n">
        <f aca="false">R19*N19</f>
        <v>1296</v>
      </c>
      <c r="T19" s="78" t="n">
        <f aca="false">S19*$G19</f>
        <v>10886.4</v>
      </c>
      <c r="V19" s="46" t="n">
        <v>0</v>
      </c>
      <c r="W19" s="46" t="n">
        <v>1</v>
      </c>
      <c r="X19" s="46" t="n">
        <v>59</v>
      </c>
      <c r="Y19" s="81" t="n">
        <f aca="false">SUM(V19:X19)</f>
        <v>60</v>
      </c>
      <c r="Z19" s="64" t="n">
        <v>6</v>
      </c>
      <c r="AA19" s="46" t="n">
        <v>3</v>
      </c>
      <c r="AB19" s="46" t="n">
        <v>4</v>
      </c>
      <c r="AC19" s="46" t="n">
        <f aca="false">Z19+(AA19*AB19)</f>
        <v>18</v>
      </c>
      <c r="AD19" s="82" t="n">
        <f aca="false">AC19*Y19</f>
        <v>1080</v>
      </c>
      <c r="AE19" s="78" t="n">
        <f aca="false">AD19*$G19</f>
        <v>9072</v>
      </c>
    </row>
    <row r="20" customFormat="false" ht="15" hidden="false" customHeight="true" outlineLevel="0" collapsed="false">
      <c r="A20" s="15"/>
      <c r="B20" s="60" t="s">
        <v>52</v>
      </c>
      <c r="C20" s="80" t="s">
        <v>155</v>
      </c>
      <c r="D20" s="14" t="n">
        <v>70</v>
      </c>
      <c r="E20" s="14" t="n">
        <v>21000</v>
      </c>
      <c r="F20" s="63" t="n">
        <v>70</v>
      </c>
      <c r="G20" s="63" t="n">
        <f aca="false">F20*(100%-$G$9)</f>
        <v>56</v>
      </c>
      <c r="H20" s="46" t="n">
        <v>12</v>
      </c>
      <c r="I20" s="46" t="n">
        <v>1</v>
      </c>
      <c r="J20" s="46" t="s">
        <v>156</v>
      </c>
      <c r="K20" s="46" t="n">
        <f aca="false">ROUNDUP($K$9*$K$8,0)</f>
        <v>24</v>
      </c>
      <c r="L20" s="46" t="n">
        <v>0</v>
      </c>
      <c r="M20" s="46" t="n">
        <f aca="false">ROUNDUP($M$9*$M$8,0)</f>
        <v>60</v>
      </c>
      <c r="N20" s="81" t="n">
        <f aca="false">SUM(K20:M20)</f>
        <v>84</v>
      </c>
      <c r="O20" s="64" t="n">
        <v>3</v>
      </c>
      <c r="P20" s="46" t="n">
        <v>2</v>
      </c>
      <c r="Q20" s="46" t="n">
        <v>5</v>
      </c>
      <c r="R20" s="46" t="n">
        <f aca="false">O20+(P20*Q20)</f>
        <v>13</v>
      </c>
      <c r="S20" s="82" t="n">
        <f aca="false">R20*N20</f>
        <v>1092</v>
      </c>
      <c r="T20" s="78" t="n">
        <f aca="false">S20*$G20</f>
        <v>61152</v>
      </c>
      <c r="V20" s="46" t="n">
        <f aca="false">ROUNDUP($V$9*$V$8,0)</f>
        <v>13</v>
      </c>
      <c r="W20" s="46" t="n">
        <v>0</v>
      </c>
      <c r="X20" s="46" t="n">
        <f aca="false">ROUNDUP($X$9*$X$8,0)</f>
        <v>51</v>
      </c>
      <c r="Y20" s="81" t="n">
        <f aca="false">SUM(V20:X20)</f>
        <v>64</v>
      </c>
      <c r="Z20" s="64" t="n">
        <v>3</v>
      </c>
      <c r="AA20" s="46" t="n">
        <v>2</v>
      </c>
      <c r="AB20" s="46" t="n">
        <v>5</v>
      </c>
      <c r="AC20" s="46" t="n">
        <f aca="false">Z20+(AA20*AB20)</f>
        <v>13</v>
      </c>
      <c r="AD20" s="82" t="n">
        <f aca="false">AC20*Y20</f>
        <v>832</v>
      </c>
      <c r="AE20" s="78" t="n">
        <f aca="false">AD20*$G20</f>
        <v>46592</v>
      </c>
    </row>
    <row r="21" customFormat="false" ht="15" hidden="false" customHeight="true" outlineLevel="0" collapsed="false">
      <c r="A21" s="15"/>
      <c r="B21" s="60" t="s">
        <v>157</v>
      </c>
      <c r="C21" s="80" t="s">
        <v>158</v>
      </c>
      <c r="D21" s="14" t="n">
        <v>140</v>
      </c>
      <c r="E21" s="14" t="n">
        <v>42000</v>
      </c>
      <c r="F21" s="63" t="n">
        <v>140</v>
      </c>
      <c r="G21" s="63" t="n">
        <f aca="false">F21*(100%-$G$9)</f>
        <v>112</v>
      </c>
      <c r="H21" s="46" t="n">
        <v>12</v>
      </c>
      <c r="I21" s="46" t="n">
        <v>2</v>
      </c>
      <c r="J21" s="46"/>
      <c r="K21" s="46" t="n">
        <f aca="false">ROUNDUP($K$9*$K$8,0)</f>
        <v>24</v>
      </c>
      <c r="L21" s="46" t="n">
        <v>2</v>
      </c>
      <c r="M21" s="46" t="n">
        <f aca="false">ROUNDUP($M$9*$M$8,0)</f>
        <v>60</v>
      </c>
      <c r="N21" s="81" t="n">
        <f aca="false">SUM(K21:M21)</f>
        <v>86</v>
      </c>
      <c r="O21" s="64" t="n">
        <v>2</v>
      </c>
      <c r="P21" s="46" t="n">
        <v>1</v>
      </c>
      <c r="Q21" s="46" t="n">
        <v>3</v>
      </c>
      <c r="R21" s="46" t="n">
        <f aca="false">O21+(P21*Q21)</f>
        <v>5</v>
      </c>
      <c r="S21" s="82" t="n">
        <f aca="false">R21*N21</f>
        <v>430</v>
      </c>
      <c r="T21" s="78" t="n">
        <f aca="false">S21*$G21</f>
        <v>48160</v>
      </c>
      <c r="V21" s="46" t="n">
        <f aca="false">ROUNDUP($V$9*$V$8,0)</f>
        <v>13</v>
      </c>
      <c r="W21" s="46" t="n">
        <v>1</v>
      </c>
      <c r="X21" s="46" t="n">
        <f aca="false">ROUNDUP($X$9*$X$8,0)</f>
        <v>51</v>
      </c>
      <c r="Y21" s="81" t="n">
        <f aca="false">SUM(V21:X21)</f>
        <v>65</v>
      </c>
      <c r="Z21" s="64" t="n">
        <v>2</v>
      </c>
      <c r="AA21" s="46" t="n">
        <v>1</v>
      </c>
      <c r="AB21" s="46" t="n">
        <v>3</v>
      </c>
      <c r="AC21" s="46" t="n">
        <f aca="false">Z21+(AA21*AB21)</f>
        <v>5</v>
      </c>
      <c r="AD21" s="82" t="n">
        <f aca="false">AC21*Y21</f>
        <v>325</v>
      </c>
      <c r="AE21" s="78" t="n">
        <f aca="false">AD21*$G21</f>
        <v>36400</v>
      </c>
    </row>
    <row r="22" customFormat="false" ht="15" hidden="false" customHeight="true" outlineLevel="0" collapsed="false">
      <c r="A22" s="15"/>
      <c r="B22" s="60" t="n">
        <v>3051</v>
      </c>
      <c r="C22" s="80" t="s">
        <v>159</v>
      </c>
      <c r="D22" s="14" t="n">
        <v>75</v>
      </c>
      <c r="E22" s="14" t="n">
        <v>37500</v>
      </c>
      <c r="F22" s="63" t="n">
        <v>156</v>
      </c>
      <c r="G22" s="63" t="n">
        <f aca="false">F22*(100%-$G$9)</f>
        <v>124.8</v>
      </c>
      <c r="H22" s="46" t="n">
        <v>9</v>
      </c>
      <c r="I22" s="46" t="n">
        <v>5</v>
      </c>
      <c r="J22" s="46"/>
      <c r="K22" s="46" t="n">
        <f aca="false">ROUNDUP($K$9*$K$8,0)</f>
        <v>24</v>
      </c>
      <c r="L22" s="46" t="n">
        <v>2</v>
      </c>
      <c r="M22" s="46" t="n">
        <f aca="false">ROUNDUP($M$9*$M$8,0)</f>
        <v>60</v>
      </c>
      <c r="N22" s="81" t="n">
        <f aca="false">SUM(K22:M22)</f>
        <v>86</v>
      </c>
      <c r="O22" s="64" t="n">
        <v>5</v>
      </c>
      <c r="P22" s="46" t="n">
        <v>4</v>
      </c>
      <c r="Q22" s="46" t="n">
        <v>3</v>
      </c>
      <c r="R22" s="46" t="n">
        <f aca="false">O22+(P22*Q22)</f>
        <v>17</v>
      </c>
      <c r="S22" s="82" t="n">
        <f aca="false">R22*N22</f>
        <v>1462</v>
      </c>
      <c r="T22" s="78" t="n">
        <f aca="false">S22*$G22</f>
        <v>182457.6</v>
      </c>
      <c r="V22" s="46" t="n">
        <f aca="false">ROUNDUP($V$9*$V$8,0)</f>
        <v>13</v>
      </c>
      <c r="W22" s="46" t="n">
        <v>1</v>
      </c>
      <c r="X22" s="46" t="n">
        <f aca="false">ROUNDUP($X$9*$X$8,0)</f>
        <v>51</v>
      </c>
      <c r="Y22" s="81" t="n">
        <f aca="false">SUM(V22:X22)</f>
        <v>65</v>
      </c>
      <c r="Z22" s="64" t="n">
        <v>5</v>
      </c>
      <c r="AA22" s="46" t="n">
        <v>4</v>
      </c>
      <c r="AB22" s="46" t="n">
        <v>3</v>
      </c>
      <c r="AC22" s="46" t="n">
        <f aca="false">Z22+(AA22*AB22)</f>
        <v>17</v>
      </c>
      <c r="AD22" s="82" t="n">
        <f aca="false">AC22*Y22</f>
        <v>1105</v>
      </c>
      <c r="AE22" s="78" t="n">
        <f aca="false">AD22*$G22</f>
        <v>137904</v>
      </c>
    </row>
    <row r="23" customFormat="false" ht="15" hidden="false" customHeight="true" outlineLevel="0" collapsed="false">
      <c r="A23" s="15"/>
      <c r="B23" s="60" t="s">
        <v>61</v>
      </c>
      <c r="C23" s="80" t="s">
        <v>160</v>
      </c>
      <c r="D23" s="14" t="n">
        <v>550</v>
      </c>
      <c r="E23" s="14" t="n">
        <v>55000</v>
      </c>
      <c r="F23" s="63" t="n">
        <v>550</v>
      </c>
      <c r="G23" s="63" t="n">
        <f aca="false">F23*(100%-$G$9)</f>
        <v>440</v>
      </c>
      <c r="H23" s="46" t="n">
        <v>12</v>
      </c>
      <c r="I23" s="46" t="n">
        <v>1</v>
      </c>
      <c r="J23" s="46"/>
      <c r="K23" s="46" t="n">
        <f aca="false">ROUNDUP($K$9*$K$8,0)</f>
        <v>24</v>
      </c>
      <c r="L23" s="46" t="n">
        <v>2</v>
      </c>
      <c r="M23" s="46" t="n">
        <v>20</v>
      </c>
      <c r="N23" s="81" t="n">
        <f aca="false">SUM(K23:M23)</f>
        <v>46</v>
      </c>
      <c r="O23" s="64" t="n">
        <v>1</v>
      </c>
      <c r="P23" s="46" t="n">
        <v>1</v>
      </c>
      <c r="Q23" s="46" t="n">
        <v>2</v>
      </c>
      <c r="R23" s="46" t="n">
        <f aca="false">O23+(P23*Q23)</f>
        <v>3</v>
      </c>
      <c r="S23" s="82" t="n">
        <f aca="false">R23*N23</f>
        <v>138</v>
      </c>
      <c r="T23" s="78" t="n">
        <f aca="false">S23*$G23</f>
        <v>60720</v>
      </c>
      <c r="V23" s="46" t="n">
        <f aca="false">ROUNDUP($V$9*$V$8,0)</f>
        <v>13</v>
      </c>
      <c r="W23" s="46" t="n">
        <v>1</v>
      </c>
      <c r="X23" s="65" t="n">
        <v>30</v>
      </c>
      <c r="Y23" s="81" t="n">
        <f aca="false">SUM(V23:X23)</f>
        <v>44</v>
      </c>
      <c r="Z23" s="64" t="n">
        <v>1</v>
      </c>
      <c r="AA23" s="46" t="n">
        <v>1</v>
      </c>
      <c r="AB23" s="46" t="n">
        <v>2</v>
      </c>
      <c r="AC23" s="46" t="n">
        <f aca="false">Z23+(AA23*AB23)</f>
        <v>3</v>
      </c>
      <c r="AD23" s="82" t="n">
        <f aca="false">AC23*Y23</f>
        <v>132</v>
      </c>
      <c r="AE23" s="78" t="n">
        <f aca="false">AD23*$G23</f>
        <v>58080</v>
      </c>
    </row>
    <row r="24" customFormat="false" ht="15" hidden="false" customHeight="true" outlineLevel="0" collapsed="false">
      <c r="A24" s="15"/>
      <c r="B24" s="60" t="s">
        <v>64</v>
      </c>
      <c r="C24" s="80" t="s">
        <v>161</v>
      </c>
      <c r="D24" s="14" t="n">
        <v>550</v>
      </c>
      <c r="E24" s="14" t="n">
        <v>55000</v>
      </c>
      <c r="F24" s="63" t="n">
        <v>550</v>
      </c>
      <c r="G24" s="63" t="n">
        <f aca="false">F24*(100%-$G$9)</f>
        <v>440</v>
      </c>
      <c r="H24" s="46" t="n">
        <v>12</v>
      </c>
      <c r="I24" s="46" t="n">
        <v>1</v>
      </c>
      <c r="J24" s="46"/>
      <c r="K24" s="46" t="n">
        <f aca="false">ROUNDUP($K$9*$K$8,0)</f>
        <v>24</v>
      </c>
      <c r="L24" s="46" t="n">
        <v>2</v>
      </c>
      <c r="M24" s="46" t="n">
        <v>20</v>
      </c>
      <c r="N24" s="81" t="n">
        <f aca="false">SUM(K24:M24)</f>
        <v>46</v>
      </c>
      <c r="O24" s="64" t="n">
        <v>1</v>
      </c>
      <c r="P24" s="46" t="n">
        <v>1</v>
      </c>
      <c r="Q24" s="46" t="n">
        <v>2</v>
      </c>
      <c r="R24" s="46" t="n">
        <f aca="false">O24+(P24*Q24)</f>
        <v>3</v>
      </c>
      <c r="S24" s="82" t="n">
        <f aca="false">R24*N24</f>
        <v>138</v>
      </c>
      <c r="T24" s="78" t="n">
        <f aca="false">S24*$G24</f>
        <v>60720</v>
      </c>
      <c r="V24" s="46" t="n">
        <f aca="false">ROUNDUP($V$9*$V$8,0)</f>
        <v>13</v>
      </c>
      <c r="W24" s="46" t="n">
        <v>1</v>
      </c>
      <c r="X24" s="65" t="n">
        <v>30</v>
      </c>
      <c r="Y24" s="81" t="n">
        <f aca="false">SUM(V24:X24)</f>
        <v>44</v>
      </c>
      <c r="Z24" s="64" t="n">
        <v>1</v>
      </c>
      <c r="AA24" s="46" t="n">
        <v>1</v>
      </c>
      <c r="AB24" s="46" t="n">
        <v>2</v>
      </c>
      <c r="AC24" s="46" t="n">
        <f aca="false">Z24+(AA24*AB24)</f>
        <v>3</v>
      </c>
      <c r="AD24" s="82" t="n">
        <f aca="false">AC24*Y24</f>
        <v>132</v>
      </c>
      <c r="AE24" s="78" t="n">
        <f aca="false">AD24*$G24</f>
        <v>58080</v>
      </c>
    </row>
    <row r="25" customFormat="false" ht="15" hidden="false" customHeight="true" outlineLevel="0" collapsed="false">
      <c r="A25" s="15"/>
      <c r="B25" s="60" t="s">
        <v>66</v>
      </c>
      <c r="C25" s="80"/>
      <c r="D25" s="14" t="n">
        <v>265</v>
      </c>
      <c r="E25" s="14" t="n">
        <v>53000</v>
      </c>
      <c r="F25" s="63" t="n">
        <v>265</v>
      </c>
      <c r="G25" s="63" t="n">
        <f aca="false">F25*(100%-$G$9)</f>
        <v>212</v>
      </c>
      <c r="H25" s="46" t="n">
        <v>3</v>
      </c>
      <c r="I25" s="46" t="n">
        <v>1</v>
      </c>
      <c r="J25" s="46"/>
      <c r="K25" s="46" t="n">
        <f aca="false">ROUNDUP($K$9*$K$8,0)</f>
        <v>24</v>
      </c>
      <c r="L25" s="46" t="n">
        <v>2</v>
      </c>
      <c r="M25" s="46" t="n">
        <v>0</v>
      </c>
      <c r="N25" s="81" t="n">
        <f aca="false">SUM(K25:M25)</f>
        <v>26</v>
      </c>
      <c r="O25" s="64" t="n">
        <v>1</v>
      </c>
      <c r="P25" s="46" t="n">
        <v>1</v>
      </c>
      <c r="Q25" s="46" t="n">
        <v>1</v>
      </c>
      <c r="R25" s="46" t="n">
        <f aca="false">O25+(P25*Q25)</f>
        <v>2</v>
      </c>
      <c r="S25" s="82" t="n">
        <f aca="false">R25*N25</f>
        <v>52</v>
      </c>
      <c r="T25" s="78" t="n">
        <f aca="false">S25*$G25</f>
        <v>11024</v>
      </c>
      <c r="V25" s="46" t="n">
        <f aca="false">ROUNDUP($V$9*$V$8,0)</f>
        <v>13</v>
      </c>
      <c r="W25" s="46" t="n">
        <v>1</v>
      </c>
      <c r="X25" s="46" t="n">
        <v>0</v>
      </c>
      <c r="Y25" s="81" t="n">
        <f aca="false">SUM(V25:X25)</f>
        <v>14</v>
      </c>
      <c r="Z25" s="64" t="n">
        <v>1</v>
      </c>
      <c r="AA25" s="46" t="n">
        <v>1</v>
      </c>
      <c r="AB25" s="46" t="n">
        <v>1</v>
      </c>
      <c r="AC25" s="46" t="n">
        <f aca="false">Z25+(AA25*AB25)</f>
        <v>2</v>
      </c>
      <c r="AD25" s="82" t="n">
        <f aca="false">AC25*Y25</f>
        <v>28</v>
      </c>
      <c r="AE25" s="78" t="n">
        <f aca="false">AD25*$G25</f>
        <v>5936</v>
      </c>
    </row>
    <row r="26" customFormat="false" ht="15" hidden="false" customHeight="true" outlineLevel="0" collapsed="false">
      <c r="A26" s="15"/>
      <c r="B26" s="60" t="s">
        <v>67</v>
      </c>
      <c r="C26" s="80"/>
      <c r="D26" s="14" t="n">
        <v>350</v>
      </c>
      <c r="E26" s="14" t="n">
        <v>17500</v>
      </c>
      <c r="F26" s="63" t="n">
        <v>265</v>
      </c>
      <c r="G26" s="63" t="n">
        <f aca="false">F26*(100%-$G$9)</f>
        <v>212</v>
      </c>
      <c r="H26" s="70" t="n">
        <v>0</v>
      </c>
      <c r="I26" s="70" t="n">
        <v>1</v>
      </c>
      <c r="J26" s="70"/>
      <c r="K26" s="70" t="n">
        <f aca="false">ROUNDUP($K$9*$K$8,0)</f>
        <v>24</v>
      </c>
      <c r="L26" s="70" t="n">
        <v>2</v>
      </c>
      <c r="M26" s="70" t="n">
        <v>0</v>
      </c>
      <c r="N26" s="84" t="n">
        <f aca="false">SUM(K26:M26)</f>
        <v>26</v>
      </c>
      <c r="O26" s="85" t="n">
        <v>0</v>
      </c>
      <c r="P26" s="70"/>
      <c r="Q26" s="70"/>
      <c r="R26" s="46" t="n">
        <f aca="false">O26+(P26*Q26)</f>
        <v>0</v>
      </c>
      <c r="S26" s="82" t="n">
        <f aca="false">R26*N26</f>
        <v>0</v>
      </c>
      <c r="T26" s="78" t="n">
        <f aca="false">S26*$G26</f>
        <v>0</v>
      </c>
      <c r="V26" s="46" t="n">
        <f aca="false">ROUNDUP($V$9*$V$8,0)</f>
        <v>13</v>
      </c>
      <c r="W26" s="70" t="n">
        <v>1</v>
      </c>
      <c r="X26" s="70" t="n">
        <v>0</v>
      </c>
      <c r="Y26" s="84" t="n">
        <f aca="false">SUM(V26:X26)</f>
        <v>14</v>
      </c>
      <c r="Z26" s="85" t="n">
        <v>0</v>
      </c>
      <c r="AA26" s="70"/>
      <c r="AB26" s="70"/>
      <c r="AC26" s="46" t="n">
        <f aca="false">Z26+(AA26*AB26)</f>
        <v>0</v>
      </c>
      <c r="AD26" s="82" t="n">
        <f aca="false">AC26*Y26</f>
        <v>0</v>
      </c>
      <c r="AE26" s="78" t="n">
        <f aca="false">AD26*$G26</f>
        <v>0</v>
      </c>
    </row>
    <row r="27" customFormat="false" ht="15" hidden="false" customHeight="true" outlineLevel="0" collapsed="false">
      <c r="A27" s="15"/>
      <c r="B27" s="60" t="s">
        <v>162</v>
      </c>
      <c r="C27" s="80" t="s">
        <v>163</v>
      </c>
      <c r="D27" s="14" t="n">
        <v>440</v>
      </c>
      <c r="E27" s="14" t="n">
        <v>26400</v>
      </c>
      <c r="F27" s="63" t="n">
        <v>440</v>
      </c>
      <c r="G27" s="63" t="n">
        <f aca="false">F27*(100%-$G$9)</f>
        <v>352</v>
      </c>
      <c r="H27" s="46" t="n">
        <v>12</v>
      </c>
      <c r="I27" s="46" t="n">
        <v>4</v>
      </c>
      <c r="J27" s="46"/>
      <c r="K27" s="46" t="n">
        <f aca="false">ROUNDUP($K$9*$K$8,0)</f>
        <v>24</v>
      </c>
      <c r="L27" s="46" t="n">
        <v>2</v>
      </c>
      <c r="M27" s="46" t="n">
        <f aca="false">ROUNDUP($M$9*$M$8,0)</f>
        <v>60</v>
      </c>
      <c r="N27" s="81" t="n">
        <f aca="false">SUM(K27:M27)</f>
        <v>86</v>
      </c>
      <c r="O27" s="64" t="n">
        <v>2</v>
      </c>
      <c r="P27" s="46" t="n">
        <v>1</v>
      </c>
      <c r="Q27" s="46" t="n">
        <v>3</v>
      </c>
      <c r="R27" s="46" t="n">
        <f aca="false">O27+(P27*Q27)</f>
        <v>5</v>
      </c>
      <c r="S27" s="82" t="n">
        <f aca="false">R27*N27</f>
        <v>430</v>
      </c>
      <c r="T27" s="78" t="n">
        <f aca="false">S27*$G27</f>
        <v>151360</v>
      </c>
      <c r="V27" s="46" t="n">
        <f aca="false">ROUNDUP($V$9*$V$8,0)</f>
        <v>13</v>
      </c>
      <c r="W27" s="46" t="n">
        <v>1</v>
      </c>
      <c r="X27" s="46" t="n">
        <f aca="false">ROUNDUP($X$9*$X$8,0)</f>
        <v>51</v>
      </c>
      <c r="Y27" s="81" t="n">
        <f aca="false">SUM(V27:X27)</f>
        <v>65</v>
      </c>
      <c r="Z27" s="64" t="n">
        <v>2</v>
      </c>
      <c r="AA27" s="46" t="n">
        <v>1</v>
      </c>
      <c r="AB27" s="46" t="n">
        <v>3</v>
      </c>
      <c r="AC27" s="46" t="n">
        <f aca="false">Z27+(AA27*AB27)</f>
        <v>5</v>
      </c>
      <c r="AD27" s="82" t="n">
        <f aca="false">AC27*Y27</f>
        <v>325</v>
      </c>
      <c r="AE27" s="78" t="n">
        <f aca="false">AD27*$G27</f>
        <v>114400</v>
      </c>
    </row>
    <row r="28" customFormat="false" ht="15" hidden="false" customHeight="true" outlineLevel="0" collapsed="false">
      <c r="A28" s="15"/>
      <c r="B28" s="60" t="s">
        <v>69</v>
      </c>
      <c r="C28" s="80"/>
      <c r="D28" s="14" t="n">
        <v>160</v>
      </c>
      <c r="E28" s="14" t="n">
        <v>56000</v>
      </c>
      <c r="F28" s="63" t="n">
        <v>160</v>
      </c>
      <c r="G28" s="63" t="n">
        <f aca="false">F28*(100%-$G$9)</f>
        <v>128</v>
      </c>
      <c r="H28" s="46" t="n">
        <v>4</v>
      </c>
      <c r="I28" s="46" t="n">
        <v>2</v>
      </c>
      <c r="J28" s="46"/>
      <c r="K28" s="46" t="n">
        <f aca="false">ROUNDUP($K$9*$K$8,0)</f>
        <v>24</v>
      </c>
      <c r="L28" s="46" t="n">
        <v>2</v>
      </c>
      <c r="M28" s="46" t="n">
        <v>20</v>
      </c>
      <c r="N28" s="81" t="n">
        <f aca="false">SUM(K28:M28)</f>
        <v>46</v>
      </c>
      <c r="O28" s="64" t="n">
        <v>1</v>
      </c>
      <c r="P28" s="46" t="n">
        <v>1</v>
      </c>
      <c r="Q28" s="46" t="n">
        <v>1</v>
      </c>
      <c r="R28" s="46" t="n">
        <f aca="false">O28+(P28*Q28)</f>
        <v>2</v>
      </c>
      <c r="S28" s="82" t="n">
        <f aca="false">R28*N28</f>
        <v>92</v>
      </c>
      <c r="T28" s="78" t="n">
        <f aca="false">S28*$G28</f>
        <v>11776</v>
      </c>
      <c r="V28" s="46" t="n">
        <f aca="false">ROUNDUP($V$9*$V$8,0)</f>
        <v>13</v>
      </c>
      <c r="W28" s="46" t="n">
        <v>1</v>
      </c>
      <c r="X28" s="46" t="n">
        <v>20</v>
      </c>
      <c r="Y28" s="81" t="n">
        <f aca="false">SUM(V28:X28)</f>
        <v>34</v>
      </c>
      <c r="Z28" s="64" t="n">
        <v>1</v>
      </c>
      <c r="AA28" s="46" t="n">
        <v>1</v>
      </c>
      <c r="AB28" s="46" t="n">
        <v>1</v>
      </c>
      <c r="AC28" s="46" t="n">
        <f aca="false">Z28+(AA28*AB28)</f>
        <v>2</v>
      </c>
      <c r="AD28" s="82" t="n">
        <f aca="false">AC28*Y28</f>
        <v>68</v>
      </c>
      <c r="AE28" s="78" t="n">
        <f aca="false">AD28*$G28</f>
        <v>8704</v>
      </c>
    </row>
    <row r="29" customFormat="false" ht="15" hidden="false" customHeight="true" outlineLevel="0" collapsed="false">
      <c r="A29" s="15"/>
      <c r="B29" s="15" t="s">
        <v>164</v>
      </c>
      <c r="C29" s="80" t="s">
        <v>165</v>
      </c>
      <c r="D29" s="30"/>
      <c r="E29" s="14"/>
      <c r="F29" s="63" t="n">
        <v>280</v>
      </c>
      <c r="G29" s="63" t="n">
        <f aca="false">F29*(100%-$G$9)</f>
        <v>224</v>
      </c>
      <c r="H29" s="46" t="n">
        <v>12</v>
      </c>
      <c r="I29" s="46" t="n">
        <v>1</v>
      </c>
      <c r="K29" s="46" t="n">
        <f aca="false">ROUNDUP($K$9*$K$8,0)</f>
        <v>24</v>
      </c>
      <c r="L29" s="46" t="n">
        <v>2</v>
      </c>
      <c r="M29" s="46" t="n">
        <v>20</v>
      </c>
      <c r="N29" s="81" t="n">
        <f aca="false">SUM(K29:M29)</f>
        <v>46</v>
      </c>
      <c r="O29" s="64" t="n">
        <v>2</v>
      </c>
      <c r="P29" s="46" t="n">
        <v>1</v>
      </c>
      <c r="Q29" s="46" t="n">
        <v>3</v>
      </c>
      <c r="R29" s="46" t="n">
        <f aca="false">O29+(P29*Q29)</f>
        <v>5</v>
      </c>
      <c r="S29" s="82" t="n">
        <f aca="false">R29*N29</f>
        <v>230</v>
      </c>
      <c r="T29" s="78" t="n">
        <f aca="false">S29*$G29</f>
        <v>51520</v>
      </c>
      <c r="V29" s="46" t="n">
        <f aca="false">ROUNDUP($V$9*$V$8,0)</f>
        <v>13</v>
      </c>
      <c r="W29" s="46" t="n">
        <v>1</v>
      </c>
      <c r="X29" s="46" t="n">
        <v>20</v>
      </c>
      <c r="Y29" s="81" t="n">
        <f aca="false">SUM(V29:X29)</f>
        <v>34</v>
      </c>
      <c r="Z29" s="64" t="n">
        <v>2</v>
      </c>
      <c r="AA29" s="46" t="n">
        <v>1</v>
      </c>
      <c r="AB29" s="46" t="n">
        <v>3</v>
      </c>
      <c r="AC29" s="46" t="n">
        <f aca="false">Z29+(AA29*AB29)</f>
        <v>5</v>
      </c>
      <c r="AD29" s="82" t="n">
        <f aca="false">AC29*Y29</f>
        <v>170</v>
      </c>
      <c r="AE29" s="78" t="n">
        <f aca="false">AD29*$G29</f>
        <v>38080</v>
      </c>
    </row>
    <row r="30" customFormat="false" ht="15" hidden="false" customHeight="true" outlineLevel="0" collapsed="false">
      <c r="A30" s="15"/>
      <c r="B30" s="15" t="s">
        <v>75</v>
      </c>
      <c r="C30" s="80" t="s">
        <v>166</v>
      </c>
      <c r="D30" s="14" t="n">
        <v>75</v>
      </c>
      <c r="E30" s="14" t="n">
        <v>7500</v>
      </c>
      <c r="F30" s="63" t="n">
        <v>125</v>
      </c>
      <c r="G30" s="63" t="n">
        <f aca="false">F30*(100%-$G$9)</f>
        <v>100</v>
      </c>
      <c r="I30" s="46" t="n">
        <v>6</v>
      </c>
      <c r="K30" s="46" t="n">
        <f aca="false">ROUNDUP($K$9*$K$8,0)</f>
        <v>24</v>
      </c>
      <c r="L30" s="46" t="n">
        <v>2</v>
      </c>
      <c r="M30" s="46" t="n">
        <v>70</v>
      </c>
      <c r="N30" s="81" t="n">
        <f aca="false">SUM(K30:M30)</f>
        <v>96</v>
      </c>
      <c r="O30" s="64" t="n">
        <v>6</v>
      </c>
      <c r="P30" s="46" t="n">
        <v>3</v>
      </c>
      <c r="Q30" s="46" t="n">
        <v>2</v>
      </c>
      <c r="R30" s="46" t="n">
        <f aca="false">O30+(P30*Q30)</f>
        <v>12</v>
      </c>
      <c r="S30" s="82" t="n">
        <f aca="false">R30*N30</f>
        <v>1152</v>
      </c>
      <c r="T30" s="78" t="n">
        <f aca="false">S30*$G30</f>
        <v>115200</v>
      </c>
      <c r="V30" s="46" t="n">
        <f aca="false">ROUNDUP($V$9*$V$8,0)</f>
        <v>13</v>
      </c>
      <c r="W30" s="46" t="n">
        <v>1</v>
      </c>
      <c r="X30" s="46" t="n">
        <f aca="false">ROUNDUP($X$9*$X$8,0)</f>
        <v>51</v>
      </c>
      <c r="Y30" s="81" t="n">
        <f aca="false">SUM(V30:X30)</f>
        <v>65</v>
      </c>
      <c r="Z30" s="64" t="n">
        <v>6</v>
      </c>
      <c r="AA30" s="46" t="n">
        <v>3</v>
      </c>
      <c r="AB30" s="46" t="n">
        <v>2</v>
      </c>
      <c r="AC30" s="46" t="n">
        <f aca="false">Z30+(AA30*AB30)</f>
        <v>12</v>
      </c>
      <c r="AD30" s="82" t="n">
        <f aca="false">AC30*Y30</f>
        <v>780</v>
      </c>
      <c r="AE30" s="78" t="n">
        <f aca="false">AD30*$G30</f>
        <v>78000</v>
      </c>
    </row>
    <row r="32" customFormat="false" ht="14.25" hidden="false" customHeight="true" outlineLevel="0" collapsed="false">
      <c r="B32" s="86" t="s">
        <v>72</v>
      </c>
      <c r="F32" s="63"/>
      <c r="G32" s="63"/>
    </row>
    <row r="33" customFormat="false" ht="14.25" hidden="false" customHeight="true" outlineLevel="0" collapsed="false">
      <c r="F33" s="63"/>
      <c r="G33" s="63"/>
    </row>
    <row r="34" customFormat="false" ht="15" hidden="false" customHeight="true" outlineLevel="0" collapsed="false">
      <c r="K34" s="74" t="s">
        <v>81</v>
      </c>
      <c r="V34" s="74" t="s">
        <v>82</v>
      </c>
    </row>
    <row r="35" customFormat="false" ht="15" hidden="false" customHeight="true" outlineLevel="0" collapsed="false">
      <c r="H35" s="46"/>
      <c r="I35" s="46"/>
      <c r="J35" s="46"/>
      <c r="K35" s="75" t="n">
        <v>0.9</v>
      </c>
      <c r="L35" s="75" t="n">
        <v>1</v>
      </c>
      <c r="M35" s="75" t="n">
        <v>0.85</v>
      </c>
      <c r="N35" s="57"/>
      <c r="O35" s="57"/>
      <c r="P35" s="57"/>
      <c r="Q35" s="57"/>
      <c r="R35" s="57"/>
      <c r="V35" s="75" t="n">
        <v>0.9</v>
      </c>
      <c r="W35" s="75" t="n">
        <v>0.9</v>
      </c>
      <c r="X35" s="75" t="n">
        <v>0.85</v>
      </c>
      <c r="Y35" s="57"/>
      <c r="Z35" s="57"/>
      <c r="AA35" s="57"/>
      <c r="AB35" s="57"/>
      <c r="AC35" s="57"/>
      <c r="AD35" s="46"/>
      <c r="AE35" s="46"/>
    </row>
    <row r="36" customFormat="false" ht="15" hidden="false" customHeight="true" outlineLevel="0" collapsed="false">
      <c r="G36" s="76" t="n">
        <v>0.2</v>
      </c>
      <c r="H36" s="46"/>
      <c r="I36" s="46"/>
      <c r="J36" s="46"/>
      <c r="K36" s="57" t="n">
        <f aca="false">G4</f>
        <v>17</v>
      </c>
      <c r="L36" s="57" t="n">
        <f aca="false">H4</f>
        <v>5</v>
      </c>
      <c r="M36" s="57" t="n">
        <f aca="false">I4</f>
        <v>63</v>
      </c>
      <c r="N36" s="57"/>
      <c r="O36" s="57"/>
      <c r="P36" s="57"/>
      <c r="Q36" s="57"/>
      <c r="R36" s="57"/>
      <c r="S36" s="77" t="n">
        <f aca="false">SUM(S38:S57)</f>
        <v>15678</v>
      </c>
      <c r="T36" s="78" t="n">
        <f aca="false">SUM(T38:T57)</f>
        <v>1677594.96</v>
      </c>
      <c r="V36" s="57" t="n">
        <f aca="false">G5</f>
        <v>27</v>
      </c>
      <c r="W36" s="57" t="n">
        <f aca="false">H5</f>
        <v>12</v>
      </c>
      <c r="X36" s="57" t="n">
        <f aca="false">I5</f>
        <v>211</v>
      </c>
      <c r="Y36" s="57"/>
      <c r="Z36" s="57"/>
      <c r="AA36" s="57"/>
      <c r="AB36" s="57"/>
      <c r="AC36" s="57"/>
      <c r="AD36" s="77" t="n">
        <f aca="false">SUM(AD38:AD57)</f>
        <v>43445</v>
      </c>
      <c r="AE36" s="78" t="n">
        <f aca="false">SUM(AE38:AE57)</f>
        <v>4688528.8</v>
      </c>
    </row>
    <row r="37" customFormat="false" ht="25.5" hidden="false" customHeight="true" outlineLevel="0" collapsed="false">
      <c r="A37" s="58" t="s">
        <v>3</v>
      </c>
      <c r="B37" s="59" t="s">
        <v>88</v>
      </c>
      <c r="C37" s="59"/>
      <c r="D37" s="58" t="s">
        <v>90</v>
      </c>
      <c r="E37" s="58" t="s">
        <v>91</v>
      </c>
      <c r="F37" s="58" t="s">
        <v>104</v>
      </c>
      <c r="G37" s="58" t="s">
        <v>139</v>
      </c>
      <c r="H37" s="58" t="s">
        <v>105</v>
      </c>
      <c r="I37" s="58" t="s">
        <v>140</v>
      </c>
      <c r="J37" s="46"/>
      <c r="K37" s="58" t="s">
        <v>107</v>
      </c>
      <c r="L37" s="58" t="s">
        <v>108</v>
      </c>
      <c r="M37" s="58" t="s">
        <v>110</v>
      </c>
      <c r="N37" s="79" t="s">
        <v>111</v>
      </c>
      <c r="O37" s="58" t="s">
        <v>141</v>
      </c>
      <c r="P37" s="58" t="s">
        <v>142</v>
      </c>
      <c r="Q37" s="58" t="s">
        <v>113</v>
      </c>
      <c r="R37" s="58" t="s">
        <v>86</v>
      </c>
      <c r="S37" s="79" t="s">
        <v>112</v>
      </c>
      <c r="T37" s="58" t="s">
        <v>143</v>
      </c>
      <c r="V37" s="58" t="s">
        <v>107</v>
      </c>
      <c r="W37" s="58" t="s">
        <v>108</v>
      </c>
      <c r="X37" s="58" t="s">
        <v>110</v>
      </c>
      <c r="Y37" s="79" t="s">
        <v>111</v>
      </c>
      <c r="Z37" s="58" t="s">
        <v>141</v>
      </c>
      <c r="AA37" s="58" t="s">
        <v>142</v>
      </c>
      <c r="AB37" s="58" t="s">
        <v>113</v>
      </c>
      <c r="AC37" s="58" t="s">
        <v>86</v>
      </c>
      <c r="AD37" s="79" t="s">
        <v>112</v>
      </c>
      <c r="AE37" s="58" t="s">
        <v>143</v>
      </c>
    </row>
    <row r="38" customFormat="false" ht="15" hidden="false" customHeight="true" outlineLevel="0" collapsed="false">
      <c r="A38" s="15"/>
      <c r="B38" s="60" t="s">
        <v>10</v>
      </c>
      <c r="C38" s="80" t="s">
        <v>144</v>
      </c>
      <c r="D38" s="14" t="n">
        <v>90</v>
      </c>
      <c r="E38" s="14" t="n">
        <v>194400</v>
      </c>
      <c r="F38" s="63" t="n">
        <v>90</v>
      </c>
      <c r="G38" s="63" t="n">
        <f aca="false">F38*(100%-$G$9)</f>
        <v>72</v>
      </c>
      <c r="H38" s="46" t="n">
        <v>12</v>
      </c>
      <c r="I38" s="46" t="n">
        <v>3</v>
      </c>
      <c r="J38" s="46"/>
      <c r="K38" s="46" t="n">
        <f aca="false">ROUNDUP($K$36*$K$35,0)</f>
        <v>16</v>
      </c>
      <c r="L38" s="46" t="n">
        <v>5</v>
      </c>
      <c r="M38" s="46" t="n">
        <f aca="false">ROUNDUP($M$36*$M$35,0)</f>
        <v>54</v>
      </c>
      <c r="N38" s="81" t="n">
        <f aca="false">SUM(K38:M38)</f>
        <v>75</v>
      </c>
      <c r="O38" s="64" t="n">
        <v>6</v>
      </c>
      <c r="P38" s="46" t="n">
        <v>4</v>
      </c>
      <c r="Q38" s="46" t="n">
        <v>3</v>
      </c>
      <c r="R38" s="46" t="n">
        <f aca="false">O38+(P38*Q38)</f>
        <v>18</v>
      </c>
      <c r="S38" s="82" t="n">
        <f aca="false">R38*N38</f>
        <v>1350</v>
      </c>
      <c r="T38" s="78" t="n">
        <f aca="false">S38*$G38</f>
        <v>97200</v>
      </c>
      <c r="V38" s="46" t="n">
        <f aca="false">ROUNDUP($V$36*$V$35,0)</f>
        <v>25</v>
      </c>
      <c r="W38" s="46" t="n">
        <f aca="false">ROUNDUP($W$36*$W$35,0)</f>
        <v>11</v>
      </c>
      <c r="X38" s="46" t="n">
        <f aca="false">ROUNDUP($X$36*$X$35,0)</f>
        <v>180</v>
      </c>
      <c r="Y38" s="81" t="n">
        <f aca="false">SUM(V38:X38)</f>
        <v>216</v>
      </c>
      <c r="Z38" s="64" t="n">
        <v>6</v>
      </c>
      <c r="AA38" s="46" t="n">
        <v>4</v>
      </c>
      <c r="AB38" s="46" t="n">
        <v>3</v>
      </c>
      <c r="AC38" s="46" t="n">
        <f aca="false">Z38+(AA38*AB38)</f>
        <v>18</v>
      </c>
      <c r="AD38" s="82" t="n">
        <f aca="false">AC38*Y38</f>
        <v>3888</v>
      </c>
      <c r="AE38" s="78" t="n">
        <f aca="false">AD38*$G38</f>
        <v>279936</v>
      </c>
    </row>
    <row r="39" customFormat="false" ht="15" hidden="false" customHeight="true" outlineLevel="0" collapsed="false">
      <c r="A39" s="15"/>
      <c r="B39" s="60" t="s">
        <v>24</v>
      </c>
      <c r="C39" s="80" t="s">
        <v>145</v>
      </c>
      <c r="D39" s="14" t="n">
        <v>100</v>
      </c>
      <c r="E39" s="14" t="n">
        <v>288000</v>
      </c>
      <c r="F39" s="63" t="n">
        <v>100</v>
      </c>
      <c r="G39" s="63" t="n">
        <f aca="false">F39*(100%-$G$9)</f>
        <v>80</v>
      </c>
      <c r="H39" s="46" t="n">
        <v>12</v>
      </c>
      <c r="I39" s="46" t="n">
        <v>3</v>
      </c>
      <c r="J39" s="46"/>
      <c r="K39" s="46" t="n">
        <f aca="false">ROUNDUP($K$36*$K$35,0)</f>
        <v>16</v>
      </c>
      <c r="L39" s="46" t="n">
        <v>5</v>
      </c>
      <c r="M39" s="46" t="n">
        <f aca="false">ROUNDUP($M$36*$M$35,0)</f>
        <v>54</v>
      </c>
      <c r="N39" s="81" t="n">
        <f aca="false">SUM(K39:M39)</f>
        <v>75</v>
      </c>
      <c r="O39" s="64" t="n">
        <v>6</v>
      </c>
      <c r="P39" s="46" t="n">
        <v>3</v>
      </c>
      <c r="Q39" s="46" t="n">
        <v>3</v>
      </c>
      <c r="R39" s="46" t="n">
        <f aca="false">O39+(P39*Q39)</f>
        <v>15</v>
      </c>
      <c r="S39" s="82" t="n">
        <f aca="false">R39*N39</f>
        <v>1125</v>
      </c>
      <c r="T39" s="78" t="n">
        <f aca="false">S39*$G39</f>
        <v>90000</v>
      </c>
      <c r="V39" s="46" t="n">
        <f aca="false">ROUNDUP($V$36*$V$35,0)</f>
        <v>25</v>
      </c>
      <c r="W39" s="46" t="n">
        <f aca="false">ROUNDUP($W$36*$W$35,0)</f>
        <v>11</v>
      </c>
      <c r="X39" s="46" t="n">
        <f aca="false">ROUNDUP($X$36*$X$35,0)</f>
        <v>180</v>
      </c>
      <c r="Y39" s="81" t="n">
        <f aca="false">SUM(V39:X39)</f>
        <v>216</v>
      </c>
      <c r="Z39" s="64" t="n">
        <v>6</v>
      </c>
      <c r="AA39" s="46" t="n">
        <v>3</v>
      </c>
      <c r="AB39" s="46" t="n">
        <v>3</v>
      </c>
      <c r="AC39" s="46" t="n">
        <f aca="false">Z39+(AA39*AB39)</f>
        <v>15</v>
      </c>
      <c r="AD39" s="82" t="n">
        <f aca="false">AC39*Y39</f>
        <v>3240</v>
      </c>
      <c r="AE39" s="78" t="n">
        <f aca="false">AD39*$G39</f>
        <v>259200</v>
      </c>
    </row>
    <row r="40" customFormat="false" ht="15" hidden="false" customHeight="true" outlineLevel="0" collapsed="false">
      <c r="A40" s="15"/>
      <c r="B40" s="60" t="s">
        <v>33</v>
      </c>
      <c r="C40" s="80" t="s">
        <v>146</v>
      </c>
      <c r="D40" s="14" t="n">
        <v>70</v>
      </c>
      <c r="E40" s="14" t="n">
        <v>70000</v>
      </c>
      <c r="F40" s="63" t="n">
        <v>40</v>
      </c>
      <c r="G40" s="63" t="n">
        <f aca="false">F40*(100%-$G$9)</f>
        <v>32</v>
      </c>
      <c r="H40" s="46" t="n">
        <v>12</v>
      </c>
      <c r="I40" s="46" t="n">
        <v>1</v>
      </c>
      <c r="J40" s="46"/>
      <c r="K40" s="46" t="n">
        <f aca="false">ROUNDUP($K$36*$K$35,0)</f>
        <v>16</v>
      </c>
      <c r="L40" s="46" t="n">
        <v>5</v>
      </c>
      <c r="M40" s="46" t="n">
        <f aca="false">ROUNDUP($M$36*$M$35,0)</f>
        <v>54</v>
      </c>
      <c r="N40" s="81" t="n">
        <f aca="false">SUM(K40:M40)</f>
        <v>75</v>
      </c>
      <c r="O40" s="64" t="n">
        <v>6</v>
      </c>
      <c r="P40" s="46" t="n">
        <v>4</v>
      </c>
      <c r="Q40" s="46" t="n">
        <v>3</v>
      </c>
      <c r="R40" s="46" t="n">
        <f aca="false">O40+(P40*Q40)</f>
        <v>18</v>
      </c>
      <c r="S40" s="82" t="n">
        <f aca="false">R40*N40</f>
        <v>1350</v>
      </c>
      <c r="T40" s="78" t="n">
        <f aca="false">S40*$G40</f>
        <v>43200</v>
      </c>
      <c r="V40" s="46" t="n">
        <f aca="false">ROUNDUP($V$36*$V$35,0)</f>
        <v>25</v>
      </c>
      <c r="W40" s="46" t="n">
        <f aca="false">ROUNDUP($W$36*$W$35,0)</f>
        <v>11</v>
      </c>
      <c r="X40" s="46" t="n">
        <f aca="false">ROUNDUP($X$36*$X$35,0)</f>
        <v>180</v>
      </c>
      <c r="Y40" s="81" t="n">
        <f aca="false">SUM(V40:X40)</f>
        <v>216</v>
      </c>
      <c r="Z40" s="64" t="n">
        <v>6</v>
      </c>
      <c r="AA40" s="46" t="n">
        <v>4</v>
      </c>
      <c r="AB40" s="46" t="n">
        <v>3</v>
      </c>
      <c r="AC40" s="46" t="n">
        <f aca="false">Z40+(AA40*AB40)</f>
        <v>18</v>
      </c>
      <c r="AD40" s="82" t="n">
        <f aca="false">AC40*Y40</f>
        <v>3888</v>
      </c>
      <c r="AE40" s="78" t="n">
        <f aca="false">AD40*$G40</f>
        <v>124416</v>
      </c>
    </row>
    <row r="41" customFormat="false" ht="15" hidden="false" customHeight="true" outlineLevel="0" collapsed="false">
      <c r="A41" s="15"/>
      <c r="B41" s="60" t="s">
        <v>35</v>
      </c>
      <c r="C41" s="83" t="s">
        <v>147</v>
      </c>
      <c r="D41" s="14" t="n">
        <v>350</v>
      </c>
      <c r="E41" s="14" t="n">
        <v>77000</v>
      </c>
      <c r="F41" s="63" t="n">
        <v>300</v>
      </c>
      <c r="G41" s="63" t="n">
        <f aca="false">F41*(100%-$G$9)</f>
        <v>240</v>
      </c>
      <c r="H41" s="46" t="n">
        <v>12</v>
      </c>
      <c r="I41" s="46" t="n">
        <v>5</v>
      </c>
      <c r="J41" s="46"/>
      <c r="K41" s="46" t="n">
        <f aca="false">ROUNDUP($K$36*$K$35,0)</f>
        <v>16</v>
      </c>
      <c r="L41" s="46" t="n">
        <v>5</v>
      </c>
      <c r="M41" s="46" t="n">
        <f aca="false">ROUNDUP($M$36*$M$35,0)</f>
        <v>54</v>
      </c>
      <c r="N41" s="81" t="n">
        <f aca="false">SUM(K41:M41)</f>
        <v>75</v>
      </c>
      <c r="O41" s="64" t="n">
        <v>6</v>
      </c>
      <c r="P41" s="46" t="n">
        <v>4</v>
      </c>
      <c r="Q41" s="46" t="n">
        <v>3</v>
      </c>
      <c r="R41" s="46" t="n">
        <f aca="false">O41+(P41*Q41)</f>
        <v>18</v>
      </c>
      <c r="S41" s="82" t="n">
        <f aca="false">R41*N41</f>
        <v>1350</v>
      </c>
      <c r="T41" s="78" t="n">
        <f aca="false">S41*$G41</f>
        <v>324000</v>
      </c>
      <c r="V41" s="46" t="n">
        <f aca="false">ROUNDUP($V$36*$V$35,0)</f>
        <v>25</v>
      </c>
      <c r="W41" s="46" t="n">
        <f aca="false">ROUNDUP($W$36*$W$35,0)</f>
        <v>11</v>
      </c>
      <c r="X41" s="46" t="n">
        <f aca="false">ROUNDUP($X$36*$X$35,0)</f>
        <v>180</v>
      </c>
      <c r="Y41" s="81" t="n">
        <f aca="false">SUM(V41:X41)</f>
        <v>216</v>
      </c>
      <c r="Z41" s="64" t="n">
        <v>6</v>
      </c>
      <c r="AA41" s="46" t="n">
        <v>4</v>
      </c>
      <c r="AB41" s="46" t="n">
        <v>3</v>
      </c>
      <c r="AC41" s="46" t="n">
        <f aca="false">Z41+(AA41*AB41)</f>
        <v>18</v>
      </c>
      <c r="AD41" s="82" t="n">
        <f aca="false">AC41*Y41</f>
        <v>3888</v>
      </c>
      <c r="AE41" s="78" t="n">
        <f aca="false">AD41*$G41</f>
        <v>933120</v>
      </c>
    </row>
    <row r="42" customFormat="false" ht="15" hidden="false" customHeight="true" outlineLevel="0" collapsed="false">
      <c r="A42" s="15"/>
      <c r="B42" s="60" t="s">
        <v>37</v>
      </c>
      <c r="C42" s="80" t="s">
        <v>148</v>
      </c>
      <c r="D42" s="14" t="n">
        <v>70</v>
      </c>
      <c r="E42" s="14" t="n">
        <v>19600</v>
      </c>
      <c r="F42" s="63" t="n">
        <v>70</v>
      </c>
      <c r="G42" s="63" t="n">
        <f aca="false">F42*(100%-$G$9)</f>
        <v>56</v>
      </c>
      <c r="H42" s="46" t="n">
        <v>12</v>
      </c>
      <c r="I42" s="46" t="n">
        <v>6</v>
      </c>
      <c r="J42" s="46"/>
      <c r="K42" s="46" t="n">
        <f aca="false">ROUNDUP($K$36*$K$35,0)</f>
        <v>16</v>
      </c>
      <c r="L42" s="46" t="n">
        <v>5</v>
      </c>
      <c r="M42" s="46" t="n">
        <f aca="false">ROUNDUP($M$36*$M$35,0)</f>
        <v>54</v>
      </c>
      <c r="N42" s="81" t="n">
        <f aca="false">SUM(K42:M42)</f>
        <v>75</v>
      </c>
      <c r="O42" s="64" t="n">
        <v>6</v>
      </c>
      <c r="P42" s="46" t="n">
        <v>4</v>
      </c>
      <c r="Q42" s="46" t="n">
        <v>3</v>
      </c>
      <c r="R42" s="46" t="n">
        <f aca="false">O42+(P42*Q42)</f>
        <v>18</v>
      </c>
      <c r="S42" s="82" t="n">
        <f aca="false">R42*N42</f>
        <v>1350</v>
      </c>
      <c r="T42" s="78" t="n">
        <f aca="false">S42*$G42</f>
        <v>75600</v>
      </c>
      <c r="V42" s="46" t="n">
        <f aca="false">ROUNDUP($V$36*$V$35,0)</f>
        <v>25</v>
      </c>
      <c r="W42" s="46" t="n">
        <f aca="false">ROUNDUP($W$36*$W$35,0)</f>
        <v>11</v>
      </c>
      <c r="X42" s="46" t="n">
        <f aca="false">ROUNDUP($X$36*$X$35,0)</f>
        <v>180</v>
      </c>
      <c r="Y42" s="81" t="n">
        <f aca="false">SUM(V42:X42)</f>
        <v>216</v>
      </c>
      <c r="Z42" s="64" t="n">
        <v>6</v>
      </c>
      <c r="AA42" s="46" t="n">
        <v>4</v>
      </c>
      <c r="AB42" s="46" t="n">
        <v>3</v>
      </c>
      <c r="AC42" s="46" t="n">
        <f aca="false">Z42+(AA42*AB42)</f>
        <v>18</v>
      </c>
      <c r="AD42" s="82" t="n">
        <f aca="false">AC42*Y42</f>
        <v>3888</v>
      </c>
      <c r="AE42" s="78" t="n">
        <f aca="false">AD42*$G42</f>
        <v>217728</v>
      </c>
    </row>
    <row r="43" customFormat="false" ht="15" hidden="false" customHeight="true" outlineLevel="0" collapsed="false">
      <c r="A43" s="15"/>
      <c r="B43" s="60" t="s">
        <v>40</v>
      </c>
      <c r="C43" s="80" t="s">
        <v>149</v>
      </c>
      <c r="D43" s="14" t="n">
        <v>80</v>
      </c>
      <c r="E43" s="14" t="n">
        <v>22400</v>
      </c>
      <c r="F43" s="63" t="n">
        <v>80</v>
      </c>
      <c r="G43" s="63" t="n">
        <f aca="false">F43*(100%-$G$9)</f>
        <v>64</v>
      </c>
      <c r="H43" s="46" t="n">
        <v>6</v>
      </c>
      <c r="I43" s="46" t="n">
        <v>6</v>
      </c>
      <c r="J43" s="46"/>
      <c r="K43" s="46" t="n">
        <f aca="false">ROUNDUP($K$36*$K$35,0)</f>
        <v>16</v>
      </c>
      <c r="L43" s="46" t="n">
        <v>5</v>
      </c>
      <c r="M43" s="46" t="n">
        <f aca="false">ROUNDUP($M$36*$M$35,0)</f>
        <v>54</v>
      </c>
      <c r="N43" s="81" t="n">
        <f aca="false">SUM(K43:M43)</f>
        <v>75</v>
      </c>
      <c r="O43" s="64" t="n">
        <v>6</v>
      </c>
      <c r="P43" s="46" t="n">
        <v>4</v>
      </c>
      <c r="Q43" s="46" t="n">
        <v>3</v>
      </c>
      <c r="R43" s="46" t="n">
        <f aca="false">O43+(P43*Q43)</f>
        <v>18</v>
      </c>
      <c r="S43" s="82" t="n">
        <f aca="false">R43*N43</f>
        <v>1350</v>
      </c>
      <c r="T43" s="78" t="n">
        <f aca="false">S43*$G43</f>
        <v>86400</v>
      </c>
      <c r="V43" s="46" t="n">
        <f aca="false">ROUNDUP($V$36*$V$35,0)</f>
        <v>25</v>
      </c>
      <c r="W43" s="46" t="n">
        <f aca="false">ROUNDUP($W$36*$W$35,0)</f>
        <v>11</v>
      </c>
      <c r="X43" s="46" t="n">
        <f aca="false">ROUNDUP($X$36*$X$35,0)</f>
        <v>180</v>
      </c>
      <c r="Y43" s="81" t="n">
        <f aca="false">SUM(V43:X43)</f>
        <v>216</v>
      </c>
      <c r="Z43" s="64" t="n">
        <v>6</v>
      </c>
      <c r="AA43" s="46" t="n">
        <v>4</v>
      </c>
      <c r="AB43" s="46" t="n">
        <v>3</v>
      </c>
      <c r="AC43" s="46" t="n">
        <f aca="false">Z43+(AA43*AB43)</f>
        <v>18</v>
      </c>
      <c r="AD43" s="82" t="n">
        <f aca="false">AC43*Y43</f>
        <v>3888</v>
      </c>
      <c r="AE43" s="78" t="n">
        <f aca="false">AD43*$G43</f>
        <v>248832</v>
      </c>
    </row>
    <row r="44" customFormat="false" ht="15" hidden="false" customHeight="true" outlineLevel="0" collapsed="false">
      <c r="A44" s="15"/>
      <c r="B44" s="60" t="s">
        <v>44</v>
      </c>
      <c r="C44" s="80" t="s">
        <v>150</v>
      </c>
      <c r="D44" s="14" t="n">
        <v>260</v>
      </c>
      <c r="E44" s="14" t="n">
        <v>52000</v>
      </c>
      <c r="F44" s="63" t="n">
        <v>260</v>
      </c>
      <c r="G44" s="63" t="n">
        <f aca="false">F44*(100%-$G$9)</f>
        <v>208</v>
      </c>
      <c r="H44" s="46" t="n">
        <v>10</v>
      </c>
      <c r="I44" s="46" t="n">
        <v>12</v>
      </c>
      <c r="J44" s="46"/>
      <c r="K44" s="46" t="n">
        <f aca="false">ROUNDUP($K$36*$K$35,0)</f>
        <v>16</v>
      </c>
      <c r="L44" s="46" t="n">
        <v>5</v>
      </c>
      <c r="M44" s="46" t="n">
        <f aca="false">ROUNDUP($M$36*$M$35,0)</f>
        <v>54</v>
      </c>
      <c r="N44" s="81" t="n">
        <f aca="false">SUM(K44:M44)</f>
        <v>75</v>
      </c>
      <c r="O44" s="64" t="n">
        <v>6</v>
      </c>
      <c r="P44" s="46" t="n">
        <v>4</v>
      </c>
      <c r="Q44" s="46" t="n">
        <v>3</v>
      </c>
      <c r="R44" s="46" t="n">
        <f aca="false">O44+(P44*Q44)</f>
        <v>18</v>
      </c>
      <c r="S44" s="82" t="n">
        <f aca="false">R44*N44</f>
        <v>1350</v>
      </c>
      <c r="T44" s="78" t="n">
        <f aca="false">S44*$G44</f>
        <v>280800</v>
      </c>
      <c r="V44" s="46" t="n">
        <f aca="false">ROUNDUP($V$36*$V$35,0)</f>
        <v>25</v>
      </c>
      <c r="W44" s="46" t="n">
        <f aca="false">ROUNDUP($W$36*$W$35,0)</f>
        <v>11</v>
      </c>
      <c r="X44" s="46" t="n">
        <f aca="false">ROUNDUP($X$36*$X$35,0)</f>
        <v>180</v>
      </c>
      <c r="Y44" s="81" t="n">
        <f aca="false">SUM(V44:X44)</f>
        <v>216</v>
      </c>
      <c r="Z44" s="64" t="n">
        <v>6</v>
      </c>
      <c r="AA44" s="46" t="n">
        <v>4</v>
      </c>
      <c r="AB44" s="46" t="n">
        <v>3</v>
      </c>
      <c r="AC44" s="46" t="n">
        <f aca="false">Z44+(AA44*AB44)</f>
        <v>18</v>
      </c>
      <c r="AD44" s="82" t="n">
        <f aca="false">AC44*Y44</f>
        <v>3888</v>
      </c>
      <c r="AE44" s="78" t="n">
        <f aca="false">AD44*$G44</f>
        <v>808704</v>
      </c>
    </row>
    <row r="45" customFormat="false" ht="15" hidden="false" customHeight="true" outlineLevel="0" collapsed="false">
      <c r="A45" s="15"/>
      <c r="B45" s="15" t="s">
        <v>151</v>
      </c>
      <c r="C45" s="80" t="s">
        <v>152</v>
      </c>
      <c r="D45" s="14" t="n">
        <v>24</v>
      </c>
      <c r="E45" s="14" t="n">
        <v>24000</v>
      </c>
      <c r="F45" s="63" t="n">
        <v>34.3</v>
      </c>
      <c r="G45" s="63" t="n">
        <f aca="false">F45*(100%-$G$9)</f>
        <v>27.44</v>
      </c>
      <c r="H45" s="46" t="n">
        <v>12</v>
      </c>
      <c r="I45" s="46" t="n">
        <v>1</v>
      </c>
      <c r="J45" s="46" t="s">
        <v>153</v>
      </c>
      <c r="K45" s="46" t="n">
        <v>0</v>
      </c>
      <c r="L45" s="46" t="n">
        <v>0</v>
      </c>
      <c r="M45" s="46" t="n">
        <v>63</v>
      </c>
      <c r="N45" s="81" t="n">
        <f aca="false">SUM(K45:M45)</f>
        <v>63</v>
      </c>
      <c r="O45" s="64" t="n">
        <v>3</v>
      </c>
      <c r="P45" s="46" t="n">
        <v>2</v>
      </c>
      <c r="Q45" s="46" t="n">
        <v>5</v>
      </c>
      <c r="R45" s="46" t="n">
        <f aca="false">O45+(P45*Q45)</f>
        <v>13</v>
      </c>
      <c r="S45" s="82" t="n">
        <f aca="false">R45*N45</f>
        <v>819</v>
      </c>
      <c r="T45" s="78" t="n">
        <f aca="false">S45*$G45</f>
        <v>22473.36</v>
      </c>
      <c r="V45" s="46" t="n">
        <v>0</v>
      </c>
      <c r="W45" s="46" t="n">
        <v>0</v>
      </c>
      <c r="X45" s="46" t="n">
        <v>200</v>
      </c>
      <c r="Y45" s="81" t="n">
        <f aca="false">SUM(V45:X45)</f>
        <v>200</v>
      </c>
      <c r="Z45" s="64" t="n">
        <v>3</v>
      </c>
      <c r="AA45" s="46" t="n">
        <v>2</v>
      </c>
      <c r="AB45" s="46" t="n">
        <v>5</v>
      </c>
      <c r="AC45" s="46" t="n">
        <f aca="false">Z45+(AA45*AB45)</f>
        <v>13</v>
      </c>
      <c r="AD45" s="82" t="n">
        <f aca="false">AC45*Y45</f>
        <v>2600</v>
      </c>
      <c r="AE45" s="78" t="n">
        <f aca="false">AD45*$G45</f>
        <v>71344</v>
      </c>
    </row>
    <row r="46" customFormat="false" ht="15" hidden="false" customHeight="true" outlineLevel="0" collapsed="false">
      <c r="A46" s="15"/>
      <c r="B46" s="60" t="s">
        <v>49</v>
      </c>
      <c r="C46" s="80" t="s">
        <v>154</v>
      </c>
      <c r="D46" s="14" t="n">
        <v>12</v>
      </c>
      <c r="E46" s="14" t="n">
        <v>24000</v>
      </c>
      <c r="F46" s="63" t="n">
        <v>10.5</v>
      </c>
      <c r="G46" s="63" t="n">
        <f aca="false">F46*(100%-$G$9)</f>
        <v>8.4</v>
      </c>
      <c r="H46" s="46" t="n">
        <v>12</v>
      </c>
      <c r="I46" s="46" t="n">
        <v>1</v>
      </c>
      <c r="J46" s="46"/>
      <c r="K46" s="46" t="n">
        <v>0</v>
      </c>
      <c r="L46" s="46" t="n">
        <v>5</v>
      </c>
      <c r="M46" s="46" t="n">
        <v>63</v>
      </c>
      <c r="N46" s="81" t="n">
        <f aca="false">SUM(K46:M46)</f>
        <v>68</v>
      </c>
      <c r="O46" s="64" t="n">
        <v>6</v>
      </c>
      <c r="P46" s="46" t="n">
        <v>3</v>
      </c>
      <c r="Q46" s="46" t="n">
        <v>4</v>
      </c>
      <c r="R46" s="46" t="n">
        <f aca="false">O46+(P46*Q46)</f>
        <v>18</v>
      </c>
      <c r="S46" s="82" t="n">
        <f aca="false">R46*N46</f>
        <v>1224</v>
      </c>
      <c r="T46" s="78" t="n">
        <f aca="false">S46*$G46</f>
        <v>10281.6</v>
      </c>
      <c r="V46" s="46" t="n">
        <v>0</v>
      </c>
      <c r="W46" s="46" t="n">
        <f aca="false">ROUNDUP($W$36*$W$35,0)</f>
        <v>11</v>
      </c>
      <c r="X46" s="46" t="n">
        <v>100</v>
      </c>
      <c r="Y46" s="81" t="n">
        <f aca="false">SUM(V46:X46)</f>
        <v>111</v>
      </c>
      <c r="Z46" s="64" t="n">
        <v>6</v>
      </c>
      <c r="AA46" s="46" t="n">
        <v>3</v>
      </c>
      <c r="AB46" s="46" t="n">
        <v>4</v>
      </c>
      <c r="AC46" s="46" t="n">
        <f aca="false">Z46+(AA46*AB46)</f>
        <v>18</v>
      </c>
      <c r="AD46" s="82" t="n">
        <f aca="false">AC46*Y46</f>
        <v>1998</v>
      </c>
      <c r="AE46" s="78" t="n">
        <f aca="false">AD46*$G46</f>
        <v>16783.2</v>
      </c>
    </row>
    <row r="47" customFormat="false" ht="15" hidden="false" customHeight="true" outlineLevel="0" collapsed="false">
      <c r="A47" s="15"/>
      <c r="B47" s="60" t="s">
        <v>52</v>
      </c>
      <c r="C47" s="80" t="s">
        <v>155</v>
      </c>
      <c r="D47" s="14" t="n">
        <v>70</v>
      </c>
      <c r="E47" s="14" t="n">
        <v>21000</v>
      </c>
      <c r="F47" s="63" t="n">
        <v>70</v>
      </c>
      <c r="G47" s="63" t="n">
        <f aca="false">F47*(100%-$G$9)</f>
        <v>56</v>
      </c>
      <c r="H47" s="46" t="n">
        <v>12</v>
      </c>
      <c r="I47" s="46" t="n">
        <v>1</v>
      </c>
      <c r="J47" s="46" t="s">
        <v>156</v>
      </c>
      <c r="K47" s="46" t="n">
        <f aca="false">ROUNDUP($K$36*$K$35,0)</f>
        <v>16</v>
      </c>
      <c r="L47" s="46" t="n">
        <v>0</v>
      </c>
      <c r="M47" s="46" t="n">
        <f aca="false">ROUNDUP($M$36*$M$35,0)</f>
        <v>54</v>
      </c>
      <c r="N47" s="81" t="n">
        <f aca="false">SUM(K47:M47)</f>
        <v>70</v>
      </c>
      <c r="O47" s="64" t="n">
        <v>3</v>
      </c>
      <c r="P47" s="46" t="n">
        <v>2</v>
      </c>
      <c r="Q47" s="46" t="n">
        <v>5</v>
      </c>
      <c r="R47" s="46" t="n">
        <f aca="false">O47+(P47*Q47)</f>
        <v>13</v>
      </c>
      <c r="S47" s="82" t="n">
        <f aca="false">R47*N47</f>
        <v>910</v>
      </c>
      <c r="T47" s="78" t="n">
        <f aca="false">S47*$G47</f>
        <v>50960</v>
      </c>
      <c r="V47" s="46" t="n">
        <f aca="false">ROUNDUP($V$36*$V$35,0)</f>
        <v>25</v>
      </c>
      <c r="W47" s="46" t="n">
        <v>0</v>
      </c>
      <c r="X47" s="46" t="n">
        <f aca="false">ROUNDUP($X$36*$X$35,0)</f>
        <v>180</v>
      </c>
      <c r="Y47" s="81" t="n">
        <f aca="false">SUM(V47:X47)</f>
        <v>205</v>
      </c>
      <c r="Z47" s="64" t="n">
        <v>3</v>
      </c>
      <c r="AA47" s="46" t="n">
        <v>2</v>
      </c>
      <c r="AB47" s="46" t="n">
        <v>5</v>
      </c>
      <c r="AC47" s="46" t="n">
        <f aca="false">Z47+(AA47*AB47)</f>
        <v>13</v>
      </c>
      <c r="AD47" s="82" t="n">
        <f aca="false">AC47*Y47</f>
        <v>2665</v>
      </c>
      <c r="AE47" s="78" t="n">
        <f aca="false">AD47*$G47</f>
        <v>149240</v>
      </c>
    </row>
    <row r="48" customFormat="false" ht="15" hidden="false" customHeight="true" outlineLevel="0" collapsed="false">
      <c r="A48" s="15"/>
      <c r="B48" s="60" t="s">
        <v>157</v>
      </c>
      <c r="C48" s="80" t="s">
        <v>158</v>
      </c>
      <c r="D48" s="14" t="n">
        <v>140</v>
      </c>
      <c r="E48" s="14" t="n">
        <v>42000</v>
      </c>
      <c r="F48" s="63" t="n">
        <v>140</v>
      </c>
      <c r="G48" s="63" t="n">
        <f aca="false">F48*(100%-$G$9)</f>
        <v>112</v>
      </c>
      <c r="H48" s="46" t="n">
        <v>12</v>
      </c>
      <c r="I48" s="46" t="n">
        <v>2</v>
      </c>
      <c r="J48" s="46"/>
      <c r="K48" s="46" t="n">
        <f aca="false">ROUNDUP($K$36*$K$35,0)</f>
        <v>16</v>
      </c>
      <c r="L48" s="46" t="n">
        <v>5</v>
      </c>
      <c r="M48" s="46" t="n">
        <f aca="false">ROUNDUP($M$36*$M$35,0)</f>
        <v>54</v>
      </c>
      <c r="N48" s="81" t="n">
        <f aca="false">SUM(K48:M48)</f>
        <v>75</v>
      </c>
      <c r="O48" s="64" t="n">
        <v>2</v>
      </c>
      <c r="P48" s="46" t="n">
        <v>1</v>
      </c>
      <c r="Q48" s="46" t="n">
        <v>3</v>
      </c>
      <c r="R48" s="46" t="n">
        <f aca="false">O48+(P48*Q48)</f>
        <v>5</v>
      </c>
      <c r="S48" s="82" t="n">
        <f aca="false">R48*N48</f>
        <v>375</v>
      </c>
      <c r="T48" s="78" t="n">
        <f aca="false">S48*$G48</f>
        <v>42000</v>
      </c>
      <c r="V48" s="46" t="n">
        <f aca="false">ROUNDUP($V$36*$V$35,0)</f>
        <v>25</v>
      </c>
      <c r="W48" s="46" t="n">
        <f aca="false">ROUNDUP($W$36*$W$35,0)</f>
        <v>11</v>
      </c>
      <c r="X48" s="46" t="n">
        <f aca="false">ROUNDUP($X$36*$X$35,0)</f>
        <v>180</v>
      </c>
      <c r="Y48" s="81" t="n">
        <f aca="false">SUM(V48:X48)</f>
        <v>216</v>
      </c>
      <c r="Z48" s="64" t="n">
        <v>2</v>
      </c>
      <c r="AA48" s="46" t="n">
        <v>1</v>
      </c>
      <c r="AB48" s="46" t="n">
        <v>3</v>
      </c>
      <c r="AC48" s="46" t="n">
        <f aca="false">Z48+(AA48*AB48)</f>
        <v>5</v>
      </c>
      <c r="AD48" s="82" t="n">
        <f aca="false">AC48*Y48</f>
        <v>1080</v>
      </c>
      <c r="AE48" s="78" t="n">
        <f aca="false">AD48*$G48</f>
        <v>120960</v>
      </c>
    </row>
    <row r="49" customFormat="false" ht="15" hidden="false" customHeight="true" outlineLevel="0" collapsed="false">
      <c r="A49" s="15"/>
      <c r="B49" s="60" t="n">
        <v>3051</v>
      </c>
      <c r="C49" s="80" t="s">
        <v>159</v>
      </c>
      <c r="D49" s="14" t="n">
        <v>75</v>
      </c>
      <c r="E49" s="14" t="n">
        <v>37500</v>
      </c>
      <c r="F49" s="63" t="n">
        <v>156</v>
      </c>
      <c r="G49" s="63" t="n">
        <f aca="false">F49*(100%-$G$9)</f>
        <v>124.8</v>
      </c>
      <c r="H49" s="46" t="n">
        <v>9</v>
      </c>
      <c r="I49" s="46" t="n">
        <v>5</v>
      </c>
      <c r="J49" s="46"/>
      <c r="K49" s="46" t="n">
        <f aca="false">ROUNDUP($K$36*$K$35,0)</f>
        <v>16</v>
      </c>
      <c r="L49" s="46" t="n">
        <v>5</v>
      </c>
      <c r="M49" s="46" t="n">
        <f aca="false">ROUNDUP($M$36*$M$35,0)</f>
        <v>54</v>
      </c>
      <c r="N49" s="81" t="n">
        <f aca="false">SUM(K49:M49)</f>
        <v>75</v>
      </c>
      <c r="O49" s="64" t="n">
        <v>5</v>
      </c>
      <c r="P49" s="46" t="n">
        <v>4</v>
      </c>
      <c r="Q49" s="46" t="n">
        <v>3</v>
      </c>
      <c r="R49" s="46" t="n">
        <f aca="false">O49+(P49*Q49)</f>
        <v>17</v>
      </c>
      <c r="S49" s="82" t="n">
        <f aca="false">R49*N49</f>
        <v>1275</v>
      </c>
      <c r="T49" s="78" t="n">
        <f aca="false">S49*$G49</f>
        <v>159120</v>
      </c>
      <c r="V49" s="46" t="n">
        <f aca="false">ROUNDUP($V$36*$V$35,0)</f>
        <v>25</v>
      </c>
      <c r="W49" s="46" t="n">
        <f aca="false">ROUNDUP($W$36*$W$35,0)</f>
        <v>11</v>
      </c>
      <c r="X49" s="46" t="n">
        <f aca="false">ROUNDUP($X$36*$X$35,0)</f>
        <v>180</v>
      </c>
      <c r="Y49" s="81" t="n">
        <f aca="false">SUM(V49:X49)</f>
        <v>216</v>
      </c>
      <c r="Z49" s="64" t="n">
        <v>5</v>
      </c>
      <c r="AA49" s="46" t="n">
        <v>4</v>
      </c>
      <c r="AB49" s="46" t="n">
        <v>3</v>
      </c>
      <c r="AC49" s="46" t="n">
        <f aca="false">Z49+(AA49*AB49)</f>
        <v>17</v>
      </c>
      <c r="AD49" s="82" t="n">
        <f aca="false">AC49*Y49</f>
        <v>3672</v>
      </c>
      <c r="AE49" s="78" t="n">
        <f aca="false">AD49*$G49</f>
        <v>458265.6</v>
      </c>
    </row>
    <row r="50" customFormat="false" ht="15" hidden="false" customHeight="true" outlineLevel="0" collapsed="false">
      <c r="A50" s="15"/>
      <c r="B50" s="60" t="s">
        <v>61</v>
      </c>
      <c r="C50" s="80" t="s">
        <v>160</v>
      </c>
      <c r="D50" s="14" t="n">
        <v>550</v>
      </c>
      <c r="E50" s="14" t="n">
        <v>55000</v>
      </c>
      <c r="F50" s="63" t="n">
        <v>550</v>
      </c>
      <c r="G50" s="63" t="n">
        <f aca="false">F50*(100%-$G$9)</f>
        <v>440</v>
      </c>
      <c r="H50" s="46" t="n">
        <v>12</v>
      </c>
      <c r="I50" s="46" t="n">
        <v>1</v>
      </c>
      <c r="J50" s="46"/>
      <c r="K50" s="46" t="n">
        <f aca="false">ROUNDUP($K$36*$K$35,0)</f>
        <v>16</v>
      </c>
      <c r="L50" s="46" t="n">
        <v>5</v>
      </c>
      <c r="M50" s="46" t="n">
        <v>20</v>
      </c>
      <c r="N50" s="81" t="n">
        <f aca="false">SUM(K50:M50)</f>
        <v>41</v>
      </c>
      <c r="O50" s="64" t="n">
        <v>1</v>
      </c>
      <c r="P50" s="46" t="n">
        <v>1</v>
      </c>
      <c r="Q50" s="46" t="n">
        <v>2</v>
      </c>
      <c r="R50" s="46" t="n">
        <f aca="false">O50+(P50*Q50)</f>
        <v>3</v>
      </c>
      <c r="S50" s="82" t="n">
        <f aca="false">R50*N50</f>
        <v>123</v>
      </c>
      <c r="T50" s="78" t="n">
        <f aca="false">S50*$G50</f>
        <v>54120</v>
      </c>
      <c r="V50" s="46" t="n">
        <f aca="false">ROUNDUP($V$36*$V$35,0)</f>
        <v>25</v>
      </c>
      <c r="W50" s="46" t="n">
        <f aca="false">ROUNDUP($W$36*$W$35,0)</f>
        <v>11</v>
      </c>
      <c r="X50" s="46" t="n">
        <v>50</v>
      </c>
      <c r="Y50" s="81" t="n">
        <f aca="false">SUM(V50:X50)</f>
        <v>86</v>
      </c>
      <c r="Z50" s="64" t="n">
        <v>1</v>
      </c>
      <c r="AA50" s="46" t="n">
        <v>1</v>
      </c>
      <c r="AB50" s="46" t="n">
        <v>2</v>
      </c>
      <c r="AC50" s="46" t="n">
        <f aca="false">Z50+(AA50*AB50)</f>
        <v>3</v>
      </c>
      <c r="AD50" s="82" t="n">
        <f aca="false">AC50*Y50</f>
        <v>258</v>
      </c>
      <c r="AE50" s="78" t="n">
        <f aca="false">AD50*$G50</f>
        <v>113520</v>
      </c>
    </row>
    <row r="51" customFormat="false" ht="15" hidden="false" customHeight="true" outlineLevel="0" collapsed="false">
      <c r="A51" s="15"/>
      <c r="B51" s="60" t="s">
        <v>64</v>
      </c>
      <c r="C51" s="80" t="s">
        <v>161</v>
      </c>
      <c r="D51" s="14" t="n">
        <v>550</v>
      </c>
      <c r="E51" s="14" t="n">
        <v>55000</v>
      </c>
      <c r="F51" s="63" t="n">
        <v>550</v>
      </c>
      <c r="G51" s="63" t="n">
        <f aca="false">F51*(100%-$G$9)</f>
        <v>440</v>
      </c>
      <c r="H51" s="46" t="n">
        <v>12</v>
      </c>
      <c r="I51" s="46" t="n">
        <v>1</v>
      </c>
      <c r="J51" s="46"/>
      <c r="K51" s="46" t="n">
        <f aca="false">ROUNDUP($K$36*$K$35,0)</f>
        <v>16</v>
      </c>
      <c r="L51" s="46" t="n">
        <v>5</v>
      </c>
      <c r="M51" s="46" t="n">
        <v>20</v>
      </c>
      <c r="N51" s="81" t="n">
        <f aca="false">SUM(K51:M51)</f>
        <v>41</v>
      </c>
      <c r="O51" s="64" t="n">
        <v>1</v>
      </c>
      <c r="P51" s="46" t="n">
        <v>1</v>
      </c>
      <c r="Q51" s="46" t="n">
        <v>2</v>
      </c>
      <c r="R51" s="46" t="n">
        <f aca="false">O51+(P51*Q51)</f>
        <v>3</v>
      </c>
      <c r="S51" s="82" t="n">
        <f aca="false">R51*N51</f>
        <v>123</v>
      </c>
      <c r="T51" s="78" t="n">
        <f aca="false">S51*$G51</f>
        <v>54120</v>
      </c>
      <c r="V51" s="46" t="n">
        <f aca="false">ROUNDUP($V$36*$V$35,0)</f>
        <v>25</v>
      </c>
      <c r="W51" s="46" t="n">
        <f aca="false">ROUNDUP($W$36*$W$35,0)</f>
        <v>11</v>
      </c>
      <c r="X51" s="46" t="n">
        <v>50</v>
      </c>
      <c r="Y51" s="81" t="n">
        <f aca="false">SUM(V51:X51)</f>
        <v>86</v>
      </c>
      <c r="Z51" s="64" t="n">
        <v>1</v>
      </c>
      <c r="AA51" s="46" t="n">
        <v>1</v>
      </c>
      <c r="AB51" s="46" t="n">
        <v>2</v>
      </c>
      <c r="AC51" s="46" t="n">
        <f aca="false">Z51+(AA51*AB51)</f>
        <v>3</v>
      </c>
      <c r="AD51" s="82" t="n">
        <f aca="false">AC51*Y51</f>
        <v>258</v>
      </c>
      <c r="AE51" s="78" t="n">
        <f aca="false">AD51*$G51</f>
        <v>113520</v>
      </c>
    </row>
    <row r="52" customFormat="false" ht="15" hidden="false" customHeight="true" outlineLevel="0" collapsed="false">
      <c r="A52" s="15"/>
      <c r="B52" s="60" t="s">
        <v>66</v>
      </c>
      <c r="C52" s="80"/>
      <c r="D52" s="14" t="n">
        <v>265</v>
      </c>
      <c r="E52" s="14" t="n">
        <v>53000</v>
      </c>
      <c r="F52" s="63" t="n">
        <v>265</v>
      </c>
      <c r="G52" s="63" t="n">
        <f aca="false">F52*(100%-$G$9)</f>
        <v>212</v>
      </c>
      <c r="H52" s="46" t="n">
        <v>3</v>
      </c>
      <c r="I52" s="46" t="n">
        <v>1</v>
      </c>
      <c r="J52" s="46"/>
      <c r="K52" s="46" t="n">
        <f aca="false">ROUNDUP($K$36*$K$35,0)</f>
        <v>16</v>
      </c>
      <c r="L52" s="46" t="n">
        <v>5</v>
      </c>
      <c r="M52" s="46" t="n">
        <v>0</v>
      </c>
      <c r="N52" s="81" t="n">
        <f aca="false">SUM(K52:M52)</f>
        <v>21</v>
      </c>
      <c r="O52" s="64" t="n">
        <v>1</v>
      </c>
      <c r="P52" s="46" t="n">
        <v>1</v>
      </c>
      <c r="Q52" s="46" t="n">
        <v>1</v>
      </c>
      <c r="R52" s="46" t="n">
        <f aca="false">O52+(P52*Q52)</f>
        <v>2</v>
      </c>
      <c r="S52" s="82" t="n">
        <f aca="false">R52*N52</f>
        <v>42</v>
      </c>
      <c r="T52" s="78" t="n">
        <f aca="false">S52*$G52</f>
        <v>8904</v>
      </c>
      <c r="V52" s="46" t="n">
        <f aca="false">ROUNDUP($V$36*$V$35,0)</f>
        <v>25</v>
      </c>
      <c r="W52" s="46" t="n">
        <f aca="false">ROUNDUP($W$36*$W$35,0)</f>
        <v>11</v>
      </c>
      <c r="X52" s="46" t="n">
        <v>0</v>
      </c>
      <c r="Y52" s="81" t="n">
        <f aca="false">SUM(V52:X52)</f>
        <v>36</v>
      </c>
      <c r="Z52" s="64" t="n">
        <v>1</v>
      </c>
      <c r="AA52" s="46" t="n">
        <v>1</v>
      </c>
      <c r="AB52" s="46" t="n">
        <v>1</v>
      </c>
      <c r="AC52" s="46" t="n">
        <f aca="false">Z52+(AA52*AB52)</f>
        <v>2</v>
      </c>
      <c r="AD52" s="82" t="n">
        <f aca="false">AC52*Y52</f>
        <v>72</v>
      </c>
      <c r="AE52" s="78" t="n">
        <f aca="false">AD52*$G52</f>
        <v>15264</v>
      </c>
    </row>
    <row r="53" customFormat="false" ht="15" hidden="false" customHeight="true" outlineLevel="0" collapsed="false">
      <c r="A53" s="15"/>
      <c r="B53" s="60" t="s">
        <v>67</v>
      </c>
      <c r="C53" s="80"/>
      <c r="D53" s="14" t="n">
        <v>350</v>
      </c>
      <c r="E53" s="14" t="n">
        <v>17500</v>
      </c>
      <c r="F53" s="63" t="n">
        <v>265</v>
      </c>
      <c r="G53" s="63" t="n">
        <f aca="false">F53*(100%-$G$9)</f>
        <v>212</v>
      </c>
      <c r="H53" s="70" t="n">
        <v>0</v>
      </c>
      <c r="I53" s="70" t="n">
        <v>1</v>
      </c>
      <c r="J53" s="70"/>
      <c r="K53" s="70" t="n">
        <f aca="false">ROUNDUP($K$36*$K$35,0)</f>
        <v>16</v>
      </c>
      <c r="L53" s="70" t="n">
        <v>5</v>
      </c>
      <c r="M53" s="70" t="n">
        <v>0</v>
      </c>
      <c r="N53" s="84" t="n">
        <f aca="false">SUM(K53:M53)</f>
        <v>21</v>
      </c>
      <c r="O53" s="85" t="n">
        <v>0</v>
      </c>
      <c r="P53" s="70"/>
      <c r="Q53" s="70"/>
      <c r="R53" s="46" t="n">
        <f aca="false">O53+(P53*Q53)</f>
        <v>0</v>
      </c>
      <c r="S53" s="82" t="n">
        <f aca="false">R53*N53</f>
        <v>0</v>
      </c>
      <c r="T53" s="78" t="n">
        <f aca="false">S53*$G53</f>
        <v>0</v>
      </c>
      <c r="V53" s="70" t="n">
        <f aca="false">ROUNDUP($V$36*$V$35,0)</f>
        <v>25</v>
      </c>
      <c r="W53" s="70" t="n">
        <f aca="false">ROUNDUP($W$36*$W$35,0)</f>
        <v>11</v>
      </c>
      <c r="X53" s="70" t="n">
        <v>0</v>
      </c>
      <c r="Y53" s="84" t="n">
        <f aca="false">SUM(V53:X53)</f>
        <v>36</v>
      </c>
      <c r="Z53" s="85" t="n">
        <v>0</v>
      </c>
      <c r="AA53" s="70"/>
      <c r="AB53" s="70"/>
      <c r="AC53" s="46" t="n">
        <f aca="false">Z53+(AA53*AB53)</f>
        <v>0</v>
      </c>
      <c r="AD53" s="82" t="n">
        <f aca="false">AC53*Y53</f>
        <v>0</v>
      </c>
      <c r="AE53" s="78" t="n">
        <f aca="false">AD53*$G53</f>
        <v>0</v>
      </c>
    </row>
    <row r="54" customFormat="false" ht="15" hidden="false" customHeight="true" outlineLevel="0" collapsed="false">
      <c r="A54" s="15"/>
      <c r="B54" s="60" t="s">
        <v>162</v>
      </c>
      <c r="C54" s="80" t="s">
        <v>163</v>
      </c>
      <c r="D54" s="14" t="n">
        <v>440</v>
      </c>
      <c r="E54" s="14" t="n">
        <v>26400</v>
      </c>
      <c r="F54" s="63" t="n">
        <v>440</v>
      </c>
      <c r="G54" s="63" t="n">
        <f aca="false">F54*(100%-$G$9)</f>
        <v>352</v>
      </c>
      <c r="H54" s="46" t="n">
        <v>12</v>
      </c>
      <c r="I54" s="46" t="n">
        <v>4</v>
      </c>
      <c r="J54" s="46"/>
      <c r="K54" s="46" t="n">
        <f aca="false">ROUNDUP($K$36*$K$35,0)</f>
        <v>16</v>
      </c>
      <c r="L54" s="46" t="n">
        <v>5</v>
      </c>
      <c r="M54" s="46" t="n">
        <f aca="false">ROUNDUP($M$36*$M$35,0)</f>
        <v>54</v>
      </c>
      <c r="N54" s="81" t="n">
        <f aca="false">SUM(K54:M54)</f>
        <v>75</v>
      </c>
      <c r="O54" s="64" t="n">
        <v>2</v>
      </c>
      <c r="P54" s="46" t="n">
        <v>1</v>
      </c>
      <c r="Q54" s="46" t="n">
        <v>3</v>
      </c>
      <c r="R54" s="46" t="n">
        <f aca="false">O54+(P54*Q54)</f>
        <v>5</v>
      </c>
      <c r="S54" s="82" t="n">
        <f aca="false">R54*N54</f>
        <v>375</v>
      </c>
      <c r="T54" s="78" t="n">
        <f aca="false">S54*$G54</f>
        <v>132000</v>
      </c>
      <c r="V54" s="46" t="n">
        <f aca="false">ROUNDUP($V$36*$V$35,0)</f>
        <v>25</v>
      </c>
      <c r="W54" s="46" t="n">
        <f aca="false">ROUNDUP($W$36*$W$35,0)</f>
        <v>11</v>
      </c>
      <c r="X54" s="46" t="n">
        <f aca="false">ROUNDUP($X$36*$X$35,0)</f>
        <v>180</v>
      </c>
      <c r="Y54" s="81" t="n">
        <f aca="false">SUM(V54:X54)</f>
        <v>216</v>
      </c>
      <c r="Z54" s="64" t="n">
        <v>2</v>
      </c>
      <c r="AA54" s="46" t="n">
        <v>1</v>
      </c>
      <c r="AB54" s="46" t="n">
        <v>3</v>
      </c>
      <c r="AC54" s="46" t="n">
        <f aca="false">Z54+(AA54*AB54)</f>
        <v>5</v>
      </c>
      <c r="AD54" s="82" t="n">
        <f aca="false">AC54*Y54</f>
        <v>1080</v>
      </c>
      <c r="AE54" s="78" t="n">
        <f aca="false">AD54*$G54</f>
        <v>380160</v>
      </c>
    </row>
    <row r="55" customFormat="false" ht="15" hidden="false" customHeight="true" outlineLevel="0" collapsed="false">
      <c r="A55" s="15"/>
      <c r="B55" s="60" t="s">
        <v>69</v>
      </c>
      <c r="C55" s="80"/>
      <c r="D55" s="14" t="n">
        <v>160</v>
      </c>
      <c r="E55" s="14" t="n">
        <v>56000</v>
      </c>
      <c r="F55" s="63" t="n">
        <v>160</v>
      </c>
      <c r="G55" s="63" t="n">
        <f aca="false">F55*(100%-$G$9)</f>
        <v>128</v>
      </c>
      <c r="H55" s="46" t="n">
        <v>4</v>
      </c>
      <c r="I55" s="46" t="n">
        <v>2</v>
      </c>
      <c r="J55" s="46"/>
      <c r="K55" s="46" t="n">
        <f aca="false">ROUNDUP($K$36*$K$35,0)</f>
        <v>16</v>
      </c>
      <c r="L55" s="46" t="n">
        <v>5</v>
      </c>
      <c r="M55" s="46" t="n">
        <v>20</v>
      </c>
      <c r="N55" s="81" t="n">
        <f aca="false">SUM(K55:M55)</f>
        <v>41</v>
      </c>
      <c r="O55" s="64" t="n">
        <v>1</v>
      </c>
      <c r="P55" s="46" t="n">
        <v>1</v>
      </c>
      <c r="Q55" s="46" t="n">
        <v>1</v>
      </c>
      <c r="R55" s="46" t="n">
        <f aca="false">O55+(P55*Q55)</f>
        <v>2</v>
      </c>
      <c r="S55" s="82" t="n">
        <f aca="false">R55*N55</f>
        <v>82</v>
      </c>
      <c r="T55" s="78" t="n">
        <f aca="false">S55*$G55</f>
        <v>10496</v>
      </c>
      <c r="V55" s="46" t="n">
        <f aca="false">ROUNDUP($V$36*$V$35,0)</f>
        <v>25</v>
      </c>
      <c r="W55" s="46" t="n">
        <f aca="false">ROUNDUP($W$36*$W$35,0)</f>
        <v>11</v>
      </c>
      <c r="X55" s="46" t="n">
        <v>50</v>
      </c>
      <c r="Y55" s="81" t="n">
        <f aca="false">SUM(V55:X55)</f>
        <v>86</v>
      </c>
      <c r="Z55" s="64" t="n">
        <v>1</v>
      </c>
      <c r="AA55" s="46" t="n">
        <v>1</v>
      </c>
      <c r="AB55" s="46" t="n">
        <v>1</v>
      </c>
      <c r="AC55" s="46" t="n">
        <f aca="false">Z55+(AA55*AB55)</f>
        <v>2</v>
      </c>
      <c r="AD55" s="82" t="n">
        <f aca="false">AC55*Y55</f>
        <v>172</v>
      </c>
      <c r="AE55" s="78" t="n">
        <f aca="false">AD55*$G55</f>
        <v>22016</v>
      </c>
    </row>
    <row r="56" customFormat="false" ht="15" hidden="false" customHeight="true" outlineLevel="0" collapsed="false">
      <c r="A56" s="15"/>
      <c r="B56" s="15" t="s">
        <v>164</v>
      </c>
      <c r="C56" s="80" t="s">
        <v>165</v>
      </c>
      <c r="D56" s="30"/>
      <c r="E56" s="14"/>
      <c r="F56" s="63" t="n">
        <v>280</v>
      </c>
      <c r="G56" s="63" t="n">
        <f aca="false">F56*(100%-$G$9)</f>
        <v>224</v>
      </c>
      <c r="H56" s="46" t="n">
        <v>12</v>
      </c>
      <c r="I56" s="46" t="n">
        <v>1</v>
      </c>
      <c r="K56" s="46" t="n">
        <f aca="false">ROUNDUP($K$36*$K$35,0)</f>
        <v>16</v>
      </c>
      <c r="L56" s="46" t="n">
        <v>5</v>
      </c>
      <c r="M56" s="46" t="n">
        <v>20</v>
      </c>
      <c r="N56" s="81" t="n">
        <f aca="false">SUM(K56:M56)</f>
        <v>41</v>
      </c>
      <c r="O56" s="64" t="n">
        <v>2</v>
      </c>
      <c r="P56" s="46" t="n">
        <v>1</v>
      </c>
      <c r="Q56" s="46" t="n">
        <v>3</v>
      </c>
      <c r="R56" s="46" t="n">
        <f aca="false">O56+(P56*Q56)</f>
        <v>5</v>
      </c>
      <c r="S56" s="82" t="n">
        <f aca="false">R56*N56</f>
        <v>205</v>
      </c>
      <c r="T56" s="78" t="n">
        <f aca="false">S56*$G56</f>
        <v>45920</v>
      </c>
      <c r="V56" s="46" t="n">
        <f aca="false">ROUNDUP($V$36*$V$35,0)</f>
        <v>25</v>
      </c>
      <c r="W56" s="46" t="n">
        <f aca="false">ROUNDUP($W$36*$W$35,0)</f>
        <v>11</v>
      </c>
      <c r="X56" s="46" t="n">
        <v>50</v>
      </c>
      <c r="Y56" s="81" t="n">
        <f aca="false">SUM(V56:X56)</f>
        <v>86</v>
      </c>
      <c r="Z56" s="64" t="n">
        <v>2</v>
      </c>
      <c r="AA56" s="46" t="n">
        <v>1</v>
      </c>
      <c r="AB56" s="46" t="n">
        <v>3</v>
      </c>
      <c r="AC56" s="46" t="n">
        <f aca="false">Z56+(AA56*AB56)</f>
        <v>5</v>
      </c>
      <c r="AD56" s="82" t="n">
        <f aca="false">AC56*Y56</f>
        <v>430</v>
      </c>
      <c r="AE56" s="78" t="n">
        <f aca="false">AD56*$G56</f>
        <v>96320</v>
      </c>
    </row>
    <row r="57" customFormat="false" ht="15" hidden="false" customHeight="true" outlineLevel="0" collapsed="false">
      <c r="A57" s="15"/>
      <c r="B57" s="15" t="s">
        <v>75</v>
      </c>
      <c r="C57" s="80" t="s">
        <v>166</v>
      </c>
      <c r="D57" s="14" t="n">
        <v>75</v>
      </c>
      <c r="E57" s="14" t="n">
        <v>7500</v>
      </c>
      <c r="F57" s="63" t="n">
        <v>125</v>
      </c>
      <c r="G57" s="63" t="n">
        <f aca="false">F57*(100%-$G$9)</f>
        <v>100</v>
      </c>
      <c r="I57" s="46" t="n">
        <v>6</v>
      </c>
      <c r="K57" s="46" t="n">
        <f aca="false">ROUNDUP($K$36*$K$35,0)</f>
        <v>16</v>
      </c>
      <c r="L57" s="46" t="n">
        <v>5</v>
      </c>
      <c r="M57" s="46" t="n">
        <f aca="false">ROUNDUP($M$36*$M$35,0)</f>
        <v>54</v>
      </c>
      <c r="N57" s="81" t="n">
        <f aca="false">SUM(K57:M57)</f>
        <v>75</v>
      </c>
      <c r="O57" s="64" t="n">
        <v>6</v>
      </c>
      <c r="P57" s="46" t="n">
        <v>3</v>
      </c>
      <c r="Q57" s="46" t="n">
        <v>2</v>
      </c>
      <c r="R57" s="46" t="n">
        <f aca="false">O57+(P57*Q57)</f>
        <v>12</v>
      </c>
      <c r="S57" s="82" t="n">
        <f aca="false">R57*N57</f>
        <v>900</v>
      </c>
      <c r="T57" s="78" t="n">
        <f aca="false">S57*$G57</f>
        <v>90000</v>
      </c>
      <c r="V57" s="46" t="n">
        <f aca="false">ROUNDUP($V$36*$V$35,0)</f>
        <v>25</v>
      </c>
      <c r="W57" s="46" t="n">
        <f aca="false">ROUNDUP($W$36*$W$35,0)</f>
        <v>11</v>
      </c>
      <c r="X57" s="46" t="n">
        <f aca="false">ROUNDUP($X$36*$X$35,0)</f>
        <v>180</v>
      </c>
      <c r="Y57" s="81" t="n">
        <f aca="false">SUM(V57:X57)</f>
        <v>216</v>
      </c>
      <c r="Z57" s="64" t="n">
        <v>6</v>
      </c>
      <c r="AA57" s="46" t="n">
        <v>3</v>
      </c>
      <c r="AB57" s="46" t="n">
        <v>2</v>
      </c>
      <c r="AC57" s="46" t="n">
        <f aca="false">Z57+(AA57*AB57)</f>
        <v>12</v>
      </c>
      <c r="AD57" s="82" t="n">
        <f aca="false">AC57*Y57</f>
        <v>2592</v>
      </c>
      <c r="AE57" s="78" t="n">
        <f aca="false">AD57*$G57</f>
        <v>259200</v>
      </c>
    </row>
    <row r="61" customFormat="false" ht="25.5" hidden="false" customHeight="true" outlineLevel="0" collapsed="false">
      <c r="A61" s="87" t="s">
        <v>3</v>
      </c>
      <c r="B61" s="88" t="s">
        <v>88</v>
      </c>
      <c r="C61" s="88"/>
      <c r="D61" s="87" t="s">
        <v>90</v>
      </c>
      <c r="E61" s="87" t="s">
        <v>91</v>
      </c>
      <c r="F61" s="87" t="s">
        <v>104</v>
      </c>
      <c r="G61" s="87" t="s">
        <v>139</v>
      </c>
      <c r="H61" s="87" t="s">
        <v>105</v>
      </c>
      <c r="I61" s="87" t="s">
        <v>167</v>
      </c>
      <c r="J61" s="87" t="s">
        <v>168</v>
      </c>
    </row>
    <row r="62" customFormat="false" ht="15" hidden="false" customHeight="true" outlineLevel="0" collapsed="false">
      <c r="A62" s="15"/>
      <c r="B62" s="60" t="s">
        <v>10</v>
      </c>
      <c r="C62" s="80" t="s">
        <v>144</v>
      </c>
      <c r="D62" s="14" t="n">
        <v>90</v>
      </c>
      <c r="E62" s="14" t="n">
        <v>194400</v>
      </c>
      <c r="F62" s="63" t="n">
        <v>90</v>
      </c>
      <c r="G62" s="63" t="n">
        <f aca="false">F62*(100%-$G$9)</f>
        <v>72</v>
      </c>
      <c r="H62" s="46" t="n">
        <v>12</v>
      </c>
      <c r="I62" s="77" t="n">
        <f aca="false">S11+S38+AD11+AD38</f>
        <v>7956</v>
      </c>
      <c r="J62" s="50" t="n">
        <f aca="false">T11+AE11+T38+AE38</f>
        <v>572832</v>
      </c>
      <c r="K62" s="89"/>
    </row>
    <row r="63" customFormat="false" ht="15" hidden="false" customHeight="true" outlineLevel="0" collapsed="false">
      <c r="A63" s="15"/>
      <c r="B63" s="60" t="s">
        <v>24</v>
      </c>
      <c r="C63" s="80" t="s">
        <v>145</v>
      </c>
      <c r="D63" s="14" t="n">
        <v>100</v>
      </c>
      <c r="E63" s="14" t="n">
        <v>288000</v>
      </c>
      <c r="F63" s="63" t="n">
        <v>100</v>
      </c>
      <c r="G63" s="63" t="n">
        <f aca="false">F63*(100%-$G$9)</f>
        <v>80</v>
      </c>
      <c r="H63" s="46" t="n">
        <v>12</v>
      </c>
      <c r="I63" s="77" t="n">
        <f aca="false">S12+S39+AD12+AD39</f>
        <v>6630</v>
      </c>
      <c r="J63" s="50" t="n">
        <f aca="false">T12+AE12+T39+AE39</f>
        <v>530400</v>
      </c>
      <c r="K63" s="89"/>
    </row>
    <row r="64" customFormat="false" ht="15" hidden="false" customHeight="true" outlineLevel="0" collapsed="false">
      <c r="A64" s="15"/>
      <c r="B64" s="60" t="s">
        <v>33</v>
      </c>
      <c r="C64" s="80" t="s">
        <v>146</v>
      </c>
      <c r="D64" s="14" t="n">
        <v>70</v>
      </c>
      <c r="E64" s="14" t="n">
        <v>70000</v>
      </c>
      <c r="F64" s="63" t="n">
        <v>40</v>
      </c>
      <c r="G64" s="63" t="n">
        <f aca="false">F64*(100%-$G$9)</f>
        <v>32</v>
      </c>
      <c r="H64" s="46" t="n">
        <v>12</v>
      </c>
      <c r="I64" s="77" t="n">
        <f aca="false">S13+S40+AD13+AD40</f>
        <v>7956</v>
      </c>
      <c r="J64" s="50" t="n">
        <f aca="false">T13+AE13+T40+AE40</f>
        <v>254592</v>
      </c>
      <c r="K64" s="89"/>
    </row>
    <row r="65" customFormat="false" ht="15" hidden="false" customHeight="true" outlineLevel="0" collapsed="false">
      <c r="A65" s="15"/>
      <c r="B65" s="60" t="s">
        <v>35</v>
      </c>
      <c r="C65" s="83" t="s">
        <v>147</v>
      </c>
      <c r="D65" s="14" t="n">
        <v>350</v>
      </c>
      <c r="E65" s="14" t="n">
        <v>77000</v>
      </c>
      <c r="F65" s="63" t="n">
        <v>300</v>
      </c>
      <c r="G65" s="63" t="n">
        <f aca="false">F65*(100%-$G$9)</f>
        <v>240</v>
      </c>
      <c r="H65" s="46" t="n">
        <v>12</v>
      </c>
      <c r="I65" s="77" t="n">
        <f aca="false">S14+S41+AD14+AD41</f>
        <v>7956</v>
      </c>
      <c r="J65" s="50" t="n">
        <f aca="false">T14+AE14+T41+AE41</f>
        <v>1909440</v>
      </c>
      <c r="K65" s="89"/>
    </row>
    <row r="66" customFormat="false" ht="15" hidden="false" customHeight="true" outlineLevel="0" collapsed="false">
      <c r="A66" s="15"/>
      <c r="B66" s="60" t="s">
        <v>37</v>
      </c>
      <c r="C66" s="80" t="s">
        <v>148</v>
      </c>
      <c r="D66" s="14" t="n">
        <v>70</v>
      </c>
      <c r="E66" s="14" t="n">
        <v>19600</v>
      </c>
      <c r="F66" s="63" t="n">
        <v>70</v>
      </c>
      <c r="G66" s="63" t="n">
        <f aca="false">F66*(100%-$G$9)</f>
        <v>56</v>
      </c>
      <c r="H66" s="46" t="n">
        <v>12</v>
      </c>
      <c r="I66" s="77" t="n">
        <f aca="false">S15+S42+AD15+AD42</f>
        <v>7956</v>
      </c>
      <c r="J66" s="50" t="n">
        <f aca="false">T15+AE15+T42+AE42</f>
        <v>445536</v>
      </c>
      <c r="K66" s="89"/>
    </row>
    <row r="67" customFormat="false" ht="15" hidden="false" customHeight="true" outlineLevel="0" collapsed="false">
      <c r="A67" s="15"/>
      <c r="B67" s="60" t="s">
        <v>40</v>
      </c>
      <c r="C67" s="80" t="s">
        <v>149</v>
      </c>
      <c r="D67" s="14" t="n">
        <v>80</v>
      </c>
      <c r="E67" s="14" t="n">
        <v>22400</v>
      </c>
      <c r="F67" s="63" t="n">
        <v>80</v>
      </c>
      <c r="G67" s="63" t="n">
        <f aca="false">F67*(100%-$G$9)</f>
        <v>64</v>
      </c>
      <c r="H67" s="46" t="n">
        <v>6</v>
      </c>
      <c r="I67" s="77" t="n">
        <f aca="false">S16+S43+AD16+AD43</f>
        <v>7956</v>
      </c>
      <c r="J67" s="50" t="n">
        <f aca="false">T16+AE16+T43+AE43</f>
        <v>509184</v>
      </c>
      <c r="K67" s="89"/>
    </row>
    <row r="68" customFormat="false" ht="15" hidden="false" customHeight="true" outlineLevel="0" collapsed="false">
      <c r="A68" s="15"/>
      <c r="B68" s="60" t="s">
        <v>44</v>
      </c>
      <c r="C68" s="80" t="s">
        <v>150</v>
      </c>
      <c r="D68" s="14" t="n">
        <v>260</v>
      </c>
      <c r="E68" s="14" t="n">
        <v>52000</v>
      </c>
      <c r="F68" s="63" t="n">
        <v>260</v>
      </c>
      <c r="G68" s="63" t="n">
        <f aca="false">F68*(100%-$G$9)</f>
        <v>208</v>
      </c>
      <c r="H68" s="46" t="n">
        <v>10</v>
      </c>
      <c r="I68" s="77" t="n">
        <f aca="false">S17+S44+AD17+AD44</f>
        <v>7956</v>
      </c>
      <c r="J68" s="50" t="n">
        <f aca="false">T17+AE17+T44+AE44</f>
        <v>1654848</v>
      </c>
      <c r="K68" s="89"/>
    </row>
    <row r="69" customFormat="false" ht="15" hidden="false" customHeight="true" outlineLevel="0" collapsed="false">
      <c r="A69" s="15"/>
      <c r="B69" s="15" t="s">
        <v>151</v>
      </c>
      <c r="C69" s="80" t="s">
        <v>152</v>
      </c>
      <c r="D69" s="14" t="n">
        <v>24</v>
      </c>
      <c r="E69" s="14" t="n">
        <v>24000</v>
      </c>
      <c r="F69" s="63" t="n">
        <v>34.3</v>
      </c>
      <c r="G69" s="63" t="n">
        <f aca="false">F69*(100%-$G$9)</f>
        <v>27.44</v>
      </c>
      <c r="H69" s="46" t="n">
        <v>12</v>
      </c>
      <c r="I69" s="77" t="n">
        <f aca="false">S18+S45+AD18+AD45</f>
        <v>5096</v>
      </c>
      <c r="J69" s="50" t="n">
        <f aca="false">T18+AE18+T45+AE45</f>
        <v>139834.24</v>
      </c>
      <c r="K69" s="89"/>
    </row>
    <row r="70" customFormat="false" ht="15" hidden="false" customHeight="true" outlineLevel="0" collapsed="false">
      <c r="A70" s="15"/>
      <c r="B70" s="60" t="s">
        <v>49</v>
      </c>
      <c r="C70" s="80" t="s">
        <v>154</v>
      </c>
      <c r="D70" s="14" t="n">
        <v>12</v>
      </c>
      <c r="E70" s="14" t="n">
        <v>24000</v>
      </c>
      <c r="F70" s="63" t="n">
        <v>10.5</v>
      </c>
      <c r="G70" s="63" t="n">
        <f aca="false">F70*(100%-$G$9)</f>
        <v>8.4</v>
      </c>
      <c r="H70" s="46" t="n">
        <v>12</v>
      </c>
      <c r="I70" s="77" t="n">
        <f aca="false">S19+S46+AD19+AD46</f>
        <v>5598</v>
      </c>
      <c r="J70" s="50" t="n">
        <f aca="false">T19+AE19+T46+AE46</f>
        <v>47023.2</v>
      </c>
      <c r="K70" s="89"/>
    </row>
    <row r="71" customFormat="false" ht="15" hidden="false" customHeight="true" outlineLevel="0" collapsed="false">
      <c r="A71" s="15"/>
      <c r="B71" s="60" t="s">
        <v>52</v>
      </c>
      <c r="C71" s="80" t="s">
        <v>155</v>
      </c>
      <c r="D71" s="14" t="n">
        <v>70</v>
      </c>
      <c r="E71" s="14" t="n">
        <v>21000</v>
      </c>
      <c r="F71" s="63" t="n">
        <v>70</v>
      </c>
      <c r="G71" s="63" t="n">
        <f aca="false">F71*(100%-$G$9)</f>
        <v>56</v>
      </c>
      <c r="H71" s="46" t="n">
        <v>12</v>
      </c>
      <c r="I71" s="77" t="n">
        <f aca="false">S20+S47+AD20+AD47</f>
        <v>5499</v>
      </c>
      <c r="J71" s="50" t="n">
        <f aca="false">T20+AE20+T47+AE47</f>
        <v>307944</v>
      </c>
      <c r="K71" s="89"/>
    </row>
    <row r="72" customFormat="false" ht="15" hidden="false" customHeight="true" outlineLevel="0" collapsed="false">
      <c r="A72" s="15"/>
      <c r="B72" s="60" t="s">
        <v>157</v>
      </c>
      <c r="C72" s="80" t="s">
        <v>158</v>
      </c>
      <c r="D72" s="14" t="n">
        <v>140</v>
      </c>
      <c r="E72" s="14" t="n">
        <v>42000</v>
      </c>
      <c r="F72" s="63" t="n">
        <v>140</v>
      </c>
      <c r="G72" s="63" t="n">
        <f aca="false">F72*(100%-$G$9)</f>
        <v>112</v>
      </c>
      <c r="H72" s="46" t="n">
        <v>12</v>
      </c>
      <c r="I72" s="77" t="n">
        <f aca="false">S21+S48+AD21+AD48</f>
        <v>2210</v>
      </c>
      <c r="J72" s="50" t="n">
        <f aca="false">T21+AE21+T48+AE48</f>
        <v>247520</v>
      </c>
      <c r="K72" s="89"/>
    </row>
    <row r="73" customFormat="false" ht="15" hidden="false" customHeight="true" outlineLevel="0" collapsed="false">
      <c r="A73" s="15"/>
      <c r="B73" s="60" t="n">
        <v>3051</v>
      </c>
      <c r="C73" s="80" t="s">
        <v>159</v>
      </c>
      <c r="D73" s="14" t="n">
        <v>75</v>
      </c>
      <c r="E73" s="14" t="n">
        <v>37500</v>
      </c>
      <c r="F73" s="63" t="n">
        <v>156</v>
      </c>
      <c r="G73" s="63" t="n">
        <f aca="false">F73*(100%-$G$9)</f>
        <v>124.8</v>
      </c>
      <c r="H73" s="46" t="n">
        <v>9</v>
      </c>
      <c r="I73" s="77" t="n">
        <f aca="false">S22+S49+AD22+AD49</f>
        <v>7514</v>
      </c>
      <c r="J73" s="50" t="n">
        <f aca="false">T22+AE22+T49+AE49</f>
        <v>937747.2</v>
      </c>
      <c r="K73" s="89"/>
    </row>
    <row r="74" customFormat="false" ht="15" hidden="false" customHeight="true" outlineLevel="0" collapsed="false">
      <c r="A74" s="15"/>
      <c r="B74" s="60" t="s">
        <v>61</v>
      </c>
      <c r="C74" s="80" t="s">
        <v>160</v>
      </c>
      <c r="D74" s="14" t="n">
        <v>550</v>
      </c>
      <c r="E74" s="14" t="n">
        <v>55000</v>
      </c>
      <c r="F74" s="63" t="n">
        <v>550</v>
      </c>
      <c r="G74" s="63" t="n">
        <f aca="false">F74*(100%-$G$9)</f>
        <v>440</v>
      </c>
      <c r="H74" s="46" t="n">
        <v>12</v>
      </c>
      <c r="I74" s="77" t="n">
        <f aca="false">S23+S50+AD23+AD50</f>
        <v>651</v>
      </c>
      <c r="J74" s="50" t="n">
        <f aca="false">T23+AE23+T50+AE50</f>
        <v>286440</v>
      </c>
      <c r="K74" s="89"/>
    </row>
    <row r="75" customFormat="false" ht="15" hidden="false" customHeight="true" outlineLevel="0" collapsed="false">
      <c r="A75" s="15"/>
      <c r="B75" s="60" t="s">
        <v>64</v>
      </c>
      <c r="C75" s="80" t="s">
        <v>161</v>
      </c>
      <c r="D75" s="14" t="n">
        <v>550</v>
      </c>
      <c r="E75" s="14" t="n">
        <v>55000</v>
      </c>
      <c r="F75" s="63" t="n">
        <v>550</v>
      </c>
      <c r="G75" s="63" t="n">
        <f aca="false">F75*(100%-$G$9)</f>
        <v>440</v>
      </c>
      <c r="H75" s="46" t="n">
        <v>12</v>
      </c>
      <c r="I75" s="77" t="n">
        <f aca="false">S24+S51+AD24+AD51</f>
        <v>651</v>
      </c>
      <c r="J75" s="50" t="n">
        <f aca="false">T24+AE24+T51+AE51</f>
        <v>286440</v>
      </c>
      <c r="K75" s="89"/>
    </row>
    <row r="76" customFormat="false" ht="15" hidden="false" customHeight="true" outlineLevel="0" collapsed="false">
      <c r="A76" s="15"/>
      <c r="B76" s="60" t="s">
        <v>66</v>
      </c>
      <c r="C76" s="80"/>
      <c r="D76" s="14" t="n">
        <v>265</v>
      </c>
      <c r="E76" s="14" t="n">
        <v>53000</v>
      </c>
      <c r="F76" s="63" t="n">
        <v>265</v>
      </c>
      <c r="G76" s="63" t="n">
        <f aca="false">F76*(100%-$G$9)</f>
        <v>212</v>
      </c>
      <c r="H76" s="46" t="n">
        <v>3</v>
      </c>
      <c r="I76" s="77" t="n">
        <f aca="false">S25+S52+AD25+AD52</f>
        <v>194</v>
      </c>
      <c r="J76" s="50" t="n">
        <f aca="false">T25+AE25+T52+AE52</f>
        <v>41128</v>
      </c>
      <c r="K76" s="89"/>
    </row>
    <row r="77" customFormat="false" ht="15" hidden="false" customHeight="true" outlineLevel="0" collapsed="false">
      <c r="A77" s="15"/>
      <c r="B77" s="60" t="s">
        <v>67</v>
      </c>
      <c r="C77" s="80"/>
      <c r="D77" s="14" t="n">
        <v>350</v>
      </c>
      <c r="E77" s="14" t="n">
        <v>17500</v>
      </c>
      <c r="F77" s="63" t="n">
        <v>265</v>
      </c>
      <c r="G77" s="63" t="n">
        <f aca="false">F77*(100%-$G$9)</f>
        <v>212</v>
      </c>
      <c r="H77" s="70" t="n">
        <v>0</v>
      </c>
      <c r="I77" s="77" t="n">
        <f aca="false">S26+S53+AD26+AD53</f>
        <v>0</v>
      </c>
      <c r="J77" s="50" t="n">
        <f aca="false">T26+AE26+T53+AE53</f>
        <v>0</v>
      </c>
      <c r="K77" s="89"/>
    </row>
    <row r="78" customFormat="false" ht="15" hidden="false" customHeight="true" outlineLevel="0" collapsed="false">
      <c r="A78" s="15"/>
      <c r="B78" s="60" t="s">
        <v>162</v>
      </c>
      <c r="C78" s="80" t="s">
        <v>163</v>
      </c>
      <c r="D78" s="14" t="n">
        <v>440</v>
      </c>
      <c r="E78" s="14" t="n">
        <v>26400</v>
      </c>
      <c r="F78" s="63" t="n">
        <v>440</v>
      </c>
      <c r="G78" s="63" t="n">
        <f aca="false">F78*(100%-$G$9)</f>
        <v>352</v>
      </c>
      <c r="H78" s="46" t="n">
        <v>12</v>
      </c>
      <c r="I78" s="77" t="n">
        <f aca="false">S27+S54+AD27+AD54</f>
        <v>2210</v>
      </c>
      <c r="J78" s="50" t="n">
        <f aca="false">T27+AE27+T54+AE54</f>
        <v>777920</v>
      </c>
      <c r="K78" s="89"/>
    </row>
    <row r="79" customFormat="false" ht="15" hidden="false" customHeight="true" outlineLevel="0" collapsed="false">
      <c r="A79" s="15"/>
      <c r="B79" s="60" t="s">
        <v>69</v>
      </c>
      <c r="C79" s="80"/>
      <c r="D79" s="14" t="n">
        <v>160</v>
      </c>
      <c r="E79" s="14" t="n">
        <v>56000</v>
      </c>
      <c r="F79" s="63" t="n">
        <v>160</v>
      </c>
      <c r="G79" s="63" t="n">
        <f aca="false">F79*(100%-$G$9)</f>
        <v>128</v>
      </c>
      <c r="H79" s="46" t="n">
        <v>4</v>
      </c>
      <c r="I79" s="77" t="n">
        <f aca="false">S28+S55+AD28+AD55</f>
        <v>414</v>
      </c>
      <c r="J79" s="50" t="n">
        <f aca="false">T28+AE28+T55+AE55</f>
        <v>52992</v>
      </c>
      <c r="K79" s="89"/>
    </row>
    <row r="80" customFormat="false" ht="15" hidden="false" customHeight="true" outlineLevel="0" collapsed="false">
      <c r="A80" s="15"/>
      <c r="B80" s="15" t="s">
        <v>164</v>
      </c>
      <c r="C80" s="80" t="s">
        <v>165</v>
      </c>
      <c r="D80" s="30"/>
      <c r="E80" s="14"/>
      <c r="F80" s="63" t="n">
        <v>280</v>
      </c>
      <c r="G80" s="63" t="n">
        <f aca="false">F80*(100%-$G$9)</f>
        <v>224</v>
      </c>
      <c r="H80" s="46" t="n">
        <v>12</v>
      </c>
      <c r="I80" s="77" t="n">
        <f aca="false">S29+S56+AD29+AD56</f>
        <v>1035</v>
      </c>
      <c r="J80" s="50" t="n">
        <f aca="false">T29+AE29+T56+AE56</f>
        <v>231840</v>
      </c>
      <c r="K80" s="89"/>
    </row>
    <row r="81" customFormat="false" ht="15" hidden="false" customHeight="true" outlineLevel="0" collapsed="false">
      <c r="A81" s="15"/>
      <c r="B81" s="15" t="s">
        <v>75</v>
      </c>
      <c r="C81" s="80" t="s">
        <v>166</v>
      </c>
      <c r="D81" s="14" t="n">
        <v>75</v>
      </c>
      <c r="E81" s="14" t="n">
        <v>7500</v>
      </c>
      <c r="F81" s="63" t="n">
        <v>125</v>
      </c>
      <c r="G81" s="63" t="n">
        <f aca="false">F81*(100%-$G$9)</f>
        <v>100</v>
      </c>
      <c r="I81" s="77" t="n">
        <f aca="false">S30+S57+AD30+AD57</f>
        <v>5424</v>
      </c>
      <c r="J81" s="50" t="n">
        <f aca="false">T30+AE30+T57+AE57</f>
        <v>542400</v>
      </c>
      <c r="K81" s="89"/>
    </row>
    <row r="82" customFormat="false" ht="15" hidden="false" customHeight="true" outlineLevel="0" collapsed="false">
      <c r="B82" s="90" t="s">
        <v>169</v>
      </c>
      <c r="C82" s="91"/>
      <c r="D82" s="92"/>
      <c r="E82" s="92"/>
      <c r="F82" s="92"/>
      <c r="G82" s="92"/>
      <c r="H82" s="92"/>
      <c r="I82" s="93" t="n">
        <f aca="false">SUM(I62:I81)</f>
        <v>90862</v>
      </c>
      <c r="J82" s="94" t="n">
        <f aca="false">SUM(J62:J81)</f>
        <v>9776060.64</v>
      </c>
    </row>
  </sheetData>
  <autoFilter ref="A10:E31"/>
  <mergeCells count="1">
    <mergeCell ref="A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L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2" width="14"/>
    <col collapsed="false" customWidth="true" hidden="false" outlineLevel="0" max="2" min="2" style="2" width="18"/>
    <col collapsed="false" customWidth="true" hidden="false" outlineLevel="0" max="3" min="3" style="2" width="14"/>
    <col collapsed="false" customWidth="true" hidden="false" outlineLevel="0" max="4" min="4" style="2" width="16"/>
    <col collapsed="false" customWidth="true" hidden="false" outlineLevel="0" max="5" min="5" style="2" width="3"/>
    <col collapsed="false" customWidth="true" hidden="false" outlineLevel="0" max="6" min="6" style="2" width="18"/>
    <col collapsed="false" customWidth="true" hidden="false" outlineLevel="0" max="7" min="7" style="2" width="14"/>
    <col collapsed="false" customWidth="true" hidden="false" outlineLevel="0" max="8" min="8" style="2" width="16"/>
    <col collapsed="false" customWidth="true" hidden="false" outlineLevel="0" max="9" min="9" style="2" width="3"/>
    <col collapsed="false" customWidth="true" hidden="false" outlineLevel="0" max="10" min="10" style="2" width="18"/>
    <col collapsed="false" customWidth="true" hidden="false" outlineLevel="0" max="11" min="11" style="2" width="14"/>
    <col collapsed="false" customWidth="true" hidden="false" outlineLevel="0" max="12" min="12" style="2" width="16"/>
  </cols>
  <sheetData>
    <row r="1" customFormat="false" ht="15" hidden="false" customHeight="true" outlineLevel="0" collapsed="false">
      <c r="A1" s="95" t="s">
        <v>170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customFormat="false" ht="15" hidden="false" customHeight="true" outlineLevel="0" collapsed="false">
      <c r="A2" s="96" t="s">
        <v>1</v>
      </c>
      <c r="B2" s="97" t="n">
        <v>46312</v>
      </c>
    </row>
    <row r="3" customFormat="false" ht="30" hidden="false" customHeight="true" outlineLevel="0" collapsed="false">
      <c r="A3" s="98" t="s">
        <v>171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5" customFormat="false" ht="21.75" hidden="false" customHeight="true" outlineLevel="0" collapsed="false">
      <c r="A5" s="99" t="s">
        <v>172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customFormat="false" ht="15" hidden="false" customHeight="true" outlineLevel="0" collapsed="false">
      <c r="B6" s="100" t="s">
        <v>107</v>
      </c>
      <c r="C6" s="100"/>
      <c r="D6" s="100"/>
      <c r="F6" s="100" t="s">
        <v>108</v>
      </c>
      <c r="G6" s="100"/>
      <c r="H6" s="100"/>
      <c r="J6" s="100" t="s">
        <v>19</v>
      </c>
      <c r="K6" s="100"/>
      <c r="L6" s="100"/>
    </row>
    <row r="7" customFormat="false" ht="15" hidden="false" customHeight="true" outlineLevel="0" collapsed="false">
      <c r="B7" s="101" t="s">
        <v>88</v>
      </c>
      <c r="C7" s="101" t="s">
        <v>173</v>
      </c>
      <c r="D7" s="101" t="s">
        <v>174</v>
      </c>
      <c r="F7" s="101" t="s">
        <v>88</v>
      </c>
      <c r="G7" s="101" t="s">
        <v>173</v>
      </c>
      <c r="H7" s="101" t="s">
        <v>174</v>
      </c>
      <c r="J7" s="101" t="s">
        <v>88</v>
      </c>
      <c r="K7" s="101" t="s">
        <v>173</v>
      </c>
      <c r="L7" s="101" t="s">
        <v>174</v>
      </c>
    </row>
    <row r="8" customFormat="false" ht="15" hidden="false" customHeight="true" outlineLevel="0" collapsed="false">
      <c r="B8" s="102" t="str">
        <f aca="false">'Plan vs Actual (סוכן)'!B11</f>
        <v>213 CTS</v>
      </c>
      <c r="C8" s="103" t="n">
        <f aca="false">'Plan vs Actual (סוכן)'!R11*'Plan vs Actual (סוכן)'!K11</f>
        <v>432</v>
      </c>
      <c r="D8" s="104" t="n">
        <f aca="false">C8*'Plan vs Actual (סוכן)'!G11</f>
        <v>31104</v>
      </c>
      <c r="F8" s="102" t="str">
        <f aca="false">'Plan vs Actual (סוכן)'!B11</f>
        <v>213 CTS</v>
      </c>
      <c r="G8" s="103" t="n">
        <f aca="false">'Plan vs Actual (סוכן)'!R11*'Plan vs Actual (סוכן)'!L11</f>
        <v>36</v>
      </c>
      <c r="H8" s="104" t="n">
        <f aca="false">G8*'Plan vs Actual (סוכן)'!G11</f>
        <v>2592</v>
      </c>
      <c r="J8" s="102" t="str">
        <f aca="false">'Plan vs Actual (סוכן)'!B11</f>
        <v>213 CTS</v>
      </c>
      <c r="K8" s="103" t="n">
        <f aca="false">'Plan vs Actual (סוכן)'!R11*'Plan vs Actual (סוכן)'!M11</f>
        <v>1080</v>
      </c>
      <c r="L8" s="104" t="n">
        <f aca="false">K8*'Plan vs Actual (סוכן)'!G11</f>
        <v>77760</v>
      </c>
    </row>
    <row r="9" customFormat="false" ht="15" hidden="false" customHeight="true" outlineLevel="0" collapsed="false">
      <c r="B9" s="102" t="str">
        <f aca="false">'Plan vs Actual (סוכן)'!B12</f>
        <v>SH422 </v>
      </c>
      <c r="C9" s="103" t="n">
        <f aca="false">'Plan vs Actual (סוכן)'!R12*'Plan vs Actual (סוכן)'!K12</f>
        <v>360</v>
      </c>
      <c r="D9" s="104" t="n">
        <f aca="false">C9*'Plan vs Actual (סוכן)'!G12</f>
        <v>28800</v>
      </c>
      <c r="F9" s="102" t="str">
        <f aca="false">'Plan vs Actual (סוכן)'!B12</f>
        <v>SH422 </v>
      </c>
      <c r="G9" s="103" t="n">
        <f aca="false">'Plan vs Actual (סוכן)'!R12*'Plan vs Actual (סוכן)'!L12</f>
        <v>30</v>
      </c>
      <c r="H9" s="104" t="n">
        <f aca="false">G9*'Plan vs Actual (סוכן)'!G12</f>
        <v>2400</v>
      </c>
      <c r="J9" s="102" t="str">
        <f aca="false">'Plan vs Actual (סוכן)'!B12</f>
        <v>SH422 </v>
      </c>
      <c r="K9" s="103" t="n">
        <f aca="false">'Plan vs Actual (סוכן)'!R12*'Plan vs Actual (סוכן)'!M12</f>
        <v>900</v>
      </c>
      <c r="L9" s="104" t="n">
        <f aca="false">K9*'Plan vs Actual (סוכן)'!G12</f>
        <v>72000</v>
      </c>
    </row>
    <row r="10" customFormat="false" ht="15" hidden="false" customHeight="true" outlineLevel="0" collapsed="false">
      <c r="B10" s="102" t="str">
        <f aca="false">'Plan vs Actual (סוכן)'!B13</f>
        <v>SH333</v>
      </c>
      <c r="C10" s="103" t="n">
        <f aca="false">'Plan vs Actual (סוכן)'!R13*'Plan vs Actual (סוכן)'!K13</f>
        <v>432</v>
      </c>
      <c r="D10" s="104" t="n">
        <f aca="false">C10*'Plan vs Actual (סוכן)'!G13</f>
        <v>13824</v>
      </c>
      <c r="F10" s="102" t="str">
        <f aca="false">'Plan vs Actual (סוכן)'!B13</f>
        <v>SH333</v>
      </c>
      <c r="G10" s="103" t="n">
        <f aca="false">'Plan vs Actual (סוכן)'!R13*'Plan vs Actual (סוכן)'!L13</f>
        <v>36</v>
      </c>
      <c r="H10" s="104" t="n">
        <f aca="false">G10*'Plan vs Actual (סוכן)'!G13</f>
        <v>1152</v>
      </c>
      <c r="J10" s="102" t="str">
        <f aca="false">'Plan vs Actual (סוכן)'!B13</f>
        <v>SH333</v>
      </c>
      <c r="K10" s="103" t="n">
        <f aca="false">'Plan vs Actual (סוכן)'!R13*'Plan vs Actual (סוכן)'!M13</f>
        <v>1080</v>
      </c>
      <c r="L10" s="104" t="n">
        <f aca="false">K10*'Plan vs Actual (סוכן)'!G13</f>
        <v>34560</v>
      </c>
    </row>
    <row r="11" customFormat="false" ht="15" hidden="false" customHeight="true" outlineLevel="0" collapsed="false">
      <c r="B11" s="102" t="str">
        <f aca="false">'Plan vs Actual (סוכן)'!B14</f>
        <v>SH776</v>
      </c>
      <c r="C11" s="103" t="n">
        <f aca="false">'Plan vs Actual (סוכן)'!R14*'Plan vs Actual (סוכן)'!K14</f>
        <v>432</v>
      </c>
      <c r="D11" s="104" t="n">
        <f aca="false">C11*'Plan vs Actual (סוכן)'!G14</f>
        <v>103680</v>
      </c>
      <c r="F11" s="102" t="str">
        <f aca="false">'Plan vs Actual (סוכן)'!B14</f>
        <v>SH776</v>
      </c>
      <c r="G11" s="103" t="n">
        <f aca="false">'Plan vs Actual (סוכן)'!R14*'Plan vs Actual (סוכן)'!L14</f>
        <v>36</v>
      </c>
      <c r="H11" s="104" t="n">
        <f aca="false">G11*'Plan vs Actual (סוכן)'!G14</f>
        <v>8640</v>
      </c>
      <c r="J11" s="102" t="str">
        <f aca="false">'Plan vs Actual (סוכן)'!B14</f>
        <v>SH776</v>
      </c>
      <c r="K11" s="103" t="n">
        <f aca="false">'Plan vs Actual (סוכן)'!R14*'Plan vs Actual (סוכן)'!M14</f>
        <v>1080</v>
      </c>
      <c r="L11" s="104" t="n">
        <f aca="false">K11*'Plan vs Actual (סוכן)'!G14</f>
        <v>259200</v>
      </c>
    </row>
    <row r="12" customFormat="false" ht="15" hidden="false" customHeight="true" outlineLevel="0" collapsed="false">
      <c r="B12" s="102" t="str">
        <f aca="false">'Plan vs Actual (סוכן)'!B15</f>
        <v>SH322</v>
      </c>
      <c r="C12" s="103" t="n">
        <f aca="false">'Plan vs Actual (סוכן)'!R15*'Plan vs Actual (סוכן)'!K15</f>
        <v>432</v>
      </c>
      <c r="D12" s="104" t="n">
        <f aca="false">C12*'Plan vs Actual (סוכן)'!G15</f>
        <v>24192</v>
      </c>
      <c r="F12" s="102" t="str">
        <f aca="false">'Plan vs Actual (סוכן)'!B15</f>
        <v>SH322</v>
      </c>
      <c r="G12" s="103" t="n">
        <f aca="false">'Plan vs Actual (סוכן)'!R15*'Plan vs Actual (סוכן)'!L15</f>
        <v>36</v>
      </c>
      <c r="H12" s="104" t="n">
        <f aca="false">G12*'Plan vs Actual (סוכן)'!G15</f>
        <v>2016</v>
      </c>
      <c r="J12" s="102" t="str">
        <f aca="false">'Plan vs Actual (סוכן)'!B15</f>
        <v>SH322</v>
      </c>
      <c r="K12" s="103" t="n">
        <f aca="false">'Plan vs Actual (סוכן)'!R15*'Plan vs Actual (סוכן)'!M15</f>
        <v>1080</v>
      </c>
      <c r="L12" s="104" t="n">
        <f aca="false">K12*'Plan vs Actual (סוכן)'!G15</f>
        <v>60480</v>
      </c>
    </row>
    <row r="13" customFormat="false" ht="15" hidden="false" customHeight="true" outlineLevel="0" collapsed="false">
      <c r="B13" s="102" t="str">
        <f aca="false">'Plan vs Actual (סוכן)'!B16</f>
        <v>SH922</v>
      </c>
      <c r="C13" s="103" t="n">
        <f aca="false">'Plan vs Actual (סוכן)'!R16*'Plan vs Actual (סוכן)'!K16</f>
        <v>432</v>
      </c>
      <c r="D13" s="104" t="n">
        <f aca="false">C13*'Plan vs Actual (סוכן)'!G16</f>
        <v>27648</v>
      </c>
      <c r="F13" s="102" t="str">
        <f aca="false">'Plan vs Actual (סוכן)'!B16</f>
        <v>SH922</v>
      </c>
      <c r="G13" s="103" t="n">
        <f aca="false">'Plan vs Actual (סוכן)'!R16*'Plan vs Actual (סוכן)'!L16</f>
        <v>36</v>
      </c>
      <c r="H13" s="104" t="n">
        <f aca="false">G13*'Plan vs Actual (סוכן)'!G16</f>
        <v>2304</v>
      </c>
      <c r="J13" s="102" t="str">
        <f aca="false">'Plan vs Actual (סוכן)'!B16</f>
        <v>SH922</v>
      </c>
      <c r="K13" s="103" t="n">
        <f aca="false">'Plan vs Actual (סוכן)'!R16*'Plan vs Actual (סוכן)'!M16</f>
        <v>1080</v>
      </c>
      <c r="L13" s="104" t="n">
        <f aca="false">K13*'Plan vs Actual (סוכן)'!G16</f>
        <v>69120</v>
      </c>
    </row>
    <row r="14" customFormat="false" ht="15" hidden="false" customHeight="true" outlineLevel="0" collapsed="false">
      <c r="B14" s="102" t="str">
        <f aca="false">'Plan vs Actual (סוכן)'!B17</f>
        <v>SH423</v>
      </c>
      <c r="C14" s="103" t="n">
        <f aca="false">'Plan vs Actual (סוכן)'!R17*'Plan vs Actual (סוכן)'!K17</f>
        <v>432</v>
      </c>
      <c r="D14" s="104" t="n">
        <f aca="false">C14*'Plan vs Actual (סוכן)'!G17</f>
        <v>89856</v>
      </c>
      <c r="F14" s="102" t="str">
        <f aca="false">'Plan vs Actual (סוכן)'!B17</f>
        <v>SH423</v>
      </c>
      <c r="G14" s="103" t="n">
        <f aca="false">'Plan vs Actual (סוכן)'!R17*'Plan vs Actual (סוכן)'!L17</f>
        <v>36</v>
      </c>
      <c r="H14" s="104" t="n">
        <f aca="false">G14*'Plan vs Actual (סוכן)'!G17</f>
        <v>7488</v>
      </c>
      <c r="J14" s="102" t="str">
        <f aca="false">'Plan vs Actual (סוכן)'!B17</f>
        <v>SH423</v>
      </c>
      <c r="K14" s="103" t="n">
        <f aca="false">'Plan vs Actual (סוכן)'!R17*'Plan vs Actual (סוכן)'!M17</f>
        <v>1080</v>
      </c>
      <c r="L14" s="104" t="n">
        <f aca="false">K14*'Plan vs Actual (סוכן)'!G17</f>
        <v>224640</v>
      </c>
    </row>
    <row r="15" customFormat="false" ht="15" hidden="false" customHeight="true" outlineLevel="0" collapsed="false">
      <c r="B15" s="102" t="str">
        <f aca="false">'Plan vs Actual (סוכן)'!B18</f>
        <v>364 XL+</v>
      </c>
      <c r="C15" s="103" t="n">
        <f aca="false">'Plan vs Actual (סוכן)'!R18*'Plan vs Actual (סוכן)'!K18</f>
        <v>0</v>
      </c>
      <c r="D15" s="104" t="n">
        <f aca="false">C15*'Plan vs Actual (סוכן)'!G18</f>
        <v>0</v>
      </c>
      <c r="F15" s="102" t="str">
        <f aca="false">'Plan vs Actual (סוכן)'!B18</f>
        <v>364 XL+</v>
      </c>
      <c r="G15" s="103" t="n">
        <f aca="false">'Plan vs Actual (סוכן)'!R18*'Plan vs Actual (סוכן)'!L18</f>
        <v>0</v>
      </c>
      <c r="H15" s="104" t="n">
        <f aca="false">G15*'Plan vs Actual (סוכן)'!G18</f>
        <v>0</v>
      </c>
      <c r="J15" s="102" t="str">
        <f aca="false">'Plan vs Actual (סוכן)'!B18</f>
        <v>364 XL+</v>
      </c>
      <c r="K15" s="103" t="n">
        <f aca="false">'Plan vs Actual (סוכן)'!R18*'Plan vs Actual (סוכן)'!M18</f>
        <v>910</v>
      </c>
      <c r="L15" s="104" t="n">
        <f aca="false">K15*'Plan vs Actual (סוכן)'!G18</f>
        <v>24970.4</v>
      </c>
    </row>
    <row r="16" customFormat="false" ht="15" hidden="false" customHeight="true" outlineLevel="0" collapsed="false">
      <c r="B16" s="102" t="str">
        <f aca="false">'Plan vs Actual (סוכן)'!B19</f>
        <v>809PW</v>
      </c>
      <c r="C16" s="103" t="n">
        <f aca="false">'Plan vs Actual (סוכן)'!R19*'Plan vs Actual (סוכן)'!K19</f>
        <v>0</v>
      </c>
      <c r="D16" s="104" t="n">
        <f aca="false">C16*'Plan vs Actual (סוכן)'!G19</f>
        <v>0</v>
      </c>
      <c r="F16" s="102" t="str">
        <f aca="false">'Plan vs Actual (סוכן)'!B19</f>
        <v>809PW</v>
      </c>
      <c r="G16" s="103" t="n">
        <f aca="false">'Plan vs Actual (סוכן)'!R19*'Plan vs Actual (סוכן)'!L19</f>
        <v>36</v>
      </c>
      <c r="H16" s="104" t="n">
        <f aca="false">G16*'Plan vs Actual (סוכן)'!G19</f>
        <v>302.4</v>
      </c>
      <c r="J16" s="102" t="str">
        <f aca="false">'Plan vs Actual (סוכן)'!B19</f>
        <v>809PW</v>
      </c>
      <c r="K16" s="103" t="n">
        <f aca="false">'Plan vs Actual (סוכן)'!R19*'Plan vs Actual (סוכן)'!M19</f>
        <v>1260</v>
      </c>
      <c r="L16" s="104" t="n">
        <f aca="false">K16*'Plan vs Actual (סוכן)'!G19</f>
        <v>10584</v>
      </c>
    </row>
    <row r="17" customFormat="false" ht="15" hidden="false" customHeight="true" outlineLevel="0" collapsed="false">
      <c r="B17" s="102" t="str">
        <f aca="false">'Plan vs Actual (סוכן)'!B20</f>
        <v>T40B</v>
      </c>
      <c r="C17" s="103" t="n">
        <f aca="false">'Plan vs Actual (סוכן)'!R20*'Plan vs Actual (סוכן)'!K20</f>
        <v>312</v>
      </c>
      <c r="D17" s="104" t="n">
        <f aca="false">C17*'Plan vs Actual (סוכן)'!G20</f>
        <v>17472</v>
      </c>
      <c r="F17" s="102" t="str">
        <f aca="false">'Plan vs Actual (סוכן)'!B20</f>
        <v>T40B</v>
      </c>
      <c r="G17" s="103" t="n">
        <f aca="false">'Plan vs Actual (סוכן)'!R20*'Plan vs Actual (סוכן)'!L20</f>
        <v>0</v>
      </c>
      <c r="H17" s="104" t="n">
        <f aca="false">G17*'Plan vs Actual (סוכן)'!G20</f>
        <v>0</v>
      </c>
      <c r="J17" s="102" t="str">
        <f aca="false">'Plan vs Actual (סוכן)'!B20</f>
        <v>T40B</v>
      </c>
      <c r="K17" s="103" t="n">
        <f aca="false">'Plan vs Actual (סוכן)'!R20*'Plan vs Actual (סוכן)'!M20</f>
        <v>780</v>
      </c>
      <c r="L17" s="104" t="n">
        <f aca="false">K17*'Plan vs Actual (סוכן)'!G20</f>
        <v>43680</v>
      </c>
    </row>
    <row r="18" customFormat="false" ht="15" hidden="false" customHeight="true" outlineLevel="0" collapsed="false">
      <c r="B18" s="102" t="str">
        <f aca="false">'Plan vs Actual (סוכן)'!B21</f>
        <v>T066B</v>
      </c>
      <c r="C18" s="103" t="n">
        <f aca="false">'Plan vs Actual (סוכן)'!R21*'Plan vs Actual (סוכן)'!K21</f>
        <v>120</v>
      </c>
      <c r="D18" s="104" t="n">
        <f aca="false">C18*'Plan vs Actual (סוכן)'!G21</f>
        <v>13440</v>
      </c>
      <c r="F18" s="102" t="str">
        <f aca="false">'Plan vs Actual (סוכן)'!B21</f>
        <v>T066B</v>
      </c>
      <c r="G18" s="103" t="n">
        <f aca="false">'Plan vs Actual (סוכן)'!R21*'Plan vs Actual (סוכן)'!L21</f>
        <v>10</v>
      </c>
      <c r="H18" s="104" t="n">
        <f aca="false">G18*'Plan vs Actual (סוכן)'!G21</f>
        <v>1120</v>
      </c>
      <c r="J18" s="102" t="str">
        <f aca="false">'Plan vs Actual (סוכן)'!B21</f>
        <v>T066B</v>
      </c>
      <c r="K18" s="103" t="n">
        <f aca="false">'Plan vs Actual (סוכן)'!R21*'Plan vs Actual (סוכן)'!M21</f>
        <v>300</v>
      </c>
      <c r="L18" s="104" t="n">
        <f aca="false">K18*'Plan vs Actual (סוכן)'!G21</f>
        <v>33600</v>
      </c>
    </row>
    <row r="19" customFormat="false" ht="15" hidden="false" customHeight="true" outlineLevel="0" collapsed="false">
      <c r="B19" s="102" t="n">
        <f aca="false">'Plan vs Actual (סוכן)'!B22</f>
        <v>3051</v>
      </c>
      <c r="C19" s="103" t="n">
        <f aca="false">'Plan vs Actual (סוכן)'!R22*'Plan vs Actual (סוכן)'!K22</f>
        <v>408</v>
      </c>
      <c r="D19" s="104" t="n">
        <f aca="false">C19*'Plan vs Actual (סוכן)'!G22</f>
        <v>50918.4</v>
      </c>
      <c r="F19" s="102" t="n">
        <f aca="false">'Plan vs Actual (סוכן)'!B22</f>
        <v>3051</v>
      </c>
      <c r="G19" s="103" t="n">
        <f aca="false">'Plan vs Actual (סוכן)'!R22*'Plan vs Actual (סוכן)'!L22</f>
        <v>34</v>
      </c>
      <c r="H19" s="104" t="n">
        <f aca="false">G19*'Plan vs Actual (סוכן)'!G22</f>
        <v>4243.2</v>
      </c>
      <c r="J19" s="102" t="n">
        <f aca="false">'Plan vs Actual (סוכן)'!B22</f>
        <v>3051</v>
      </c>
      <c r="K19" s="103" t="n">
        <f aca="false">'Plan vs Actual (סוכן)'!R22*'Plan vs Actual (סוכן)'!M22</f>
        <v>1020</v>
      </c>
      <c r="L19" s="104" t="n">
        <f aca="false">K19*'Plan vs Actual (סוכן)'!G22</f>
        <v>127296</v>
      </c>
    </row>
    <row r="20" customFormat="false" ht="15" hidden="false" customHeight="true" outlineLevel="0" collapsed="false">
      <c r="B20" s="102" t="str">
        <f aca="false">'Plan vs Actual (סוכן)'!B23</f>
        <v>MSG001F 0</v>
      </c>
      <c r="C20" s="103" t="n">
        <f aca="false">'Plan vs Actual (סוכן)'!R23*'Plan vs Actual (סוכן)'!K23</f>
        <v>72</v>
      </c>
      <c r="D20" s="104" t="n">
        <f aca="false">C20*'Plan vs Actual (סוכן)'!G23</f>
        <v>31680</v>
      </c>
      <c r="F20" s="102" t="str">
        <f aca="false">'Plan vs Actual (סוכן)'!B23</f>
        <v>MSG001F 0</v>
      </c>
      <c r="G20" s="103" t="n">
        <f aca="false">'Plan vs Actual (סוכן)'!R23*'Plan vs Actual (סוכן)'!L23</f>
        <v>6</v>
      </c>
      <c r="H20" s="104" t="n">
        <f aca="false">G20*'Plan vs Actual (סוכן)'!G23</f>
        <v>2640</v>
      </c>
      <c r="J20" s="102" t="str">
        <f aca="false">'Plan vs Actual (סוכן)'!B23</f>
        <v>MSG001F 0</v>
      </c>
      <c r="K20" s="103" t="n">
        <f aca="false">'Plan vs Actual (סוכן)'!R23*'Plan vs Actual (סוכן)'!M23</f>
        <v>60</v>
      </c>
      <c r="L20" s="104" t="n">
        <f aca="false">K20*'Plan vs Actual (סוכן)'!G23</f>
        <v>26400</v>
      </c>
    </row>
    <row r="21" customFormat="false" ht="15" hidden="false" customHeight="true" outlineLevel="0" collapsed="false">
      <c r="B21" s="102" t="str">
        <f aca="false">'Plan vs Actual (סוכן)'!B24</f>
        <v>MSG002S 0</v>
      </c>
      <c r="C21" s="103" t="n">
        <f aca="false">'Plan vs Actual (סוכן)'!R24*'Plan vs Actual (סוכן)'!K24</f>
        <v>72</v>
      </c>
      <c r="D21" s="104" t="n">
        <f aca="false">C21*'Plan vs Actual (סוכן)'!G24</f>
        <v>31680</v>
      </c>
      <c r="F21" s="102" t="str">
        <f aca="false">'Plan vs Actual (סוכן)'!B24</f>
        <v>MSG002S 0</v>
      </c>
      <c r="G21" s="103" t="n">
        <f aca="false">'Plan vs Actual (סוכן)'!R24*'Plan vs Actual (סוכן)'!L24</f>
        <v>6</v>
      </c>
      <c r="H21" s="104" t="n">
        <f aca="false">G21*'Plan vs Actual (סוכן)'!G24</f>
        <v>2640</v>
      </c>
      <c r="J21" s="102" t="str">
        <f aca="false">'Plan vs Actual (סוכן)'!B24</f>
        <v>MSG002S 0</v>
      </c>
      <c r="K21" s="103" t="n">
        <f aca="false">'Plan vs Actual (סוכן)'!R24*'Plan vs Actual (סוכן)'!M24</f>
        <v>60</v>
      </c>
      <c r="L21" s="104" t="n">
        <f aca="false">K21*'Plan vs Actual (סוכן)'!G24</f>
        <v>26400</v>
      </c>
    </row>
    <row r="22" customFormat="false" ht="15" hidden="false" customHeight="true" outlineLevel="0" collapsed="false">
      <c r="B22" s="102" t="str">
        <f aca="false">'Plan vs Actual (סוכן)'!B25</f>
        <v>T-scoop רגל</v>
      </c>
      <c r="C22" s="103" t="n">
        <f aca="false">'Plan vs Actual (סוכן)'!R25*'Plan vs Actual (סוכן)'!K25</f>
        <v>48</v>
      </c>
      <c r="D22" s="104" t="n">
        <f aca="false">C22*'Plan vs Actual (סוכן)'!G25</f>
        <v>10176</v>
      </c>
      <c r="F22" s="102" t="str">
        <f aca="false">'Plan vs Actual (סוכן)'!B25</f>
        <v>T-scoop רגל</v>
      </c>
      <c r="G22" s="103" t="n">
        <f aca="false">'Plan vs Actual (סוכן)'!R25*'Plan vs Actual (סוכן)'!L25</f>
        <v>4</v>
      </c>
      <c r="H22" s="104" t="n">
        <f aca="false">G22*'Plan vs Actual (סוכן)'!G25</f>
        <v>848</v>
      </c>
      <c r="J22" s="102" t="str">
        <f aca="false">'Plan vs Actual (סוכן)'!B25</f>
        <v>T-scoop רגל</v>
      </c>
      <c r="K22" s="103" t="n">
        <f aca="false">'Plan vs Actual (סוכן)'!R25*'Plan vs Actual (סוכן)'!M25</f>
        <v>0</v>
      </c>
      <c r="L22" s="104" t="n">
        <f aca="false">K22*'Plan vs Actual (סוכן)'!G25</f>
        <v>0</v>
      </c>
    </row>
    <row r="23" customFormat="false" ht="15" hidden="false" customHeight="true" outlineLevel="0" collapsed="false">
      <c r="B23" s="102" t="str">
        <f aca="false">'Plan vs Actual (סוכן)'!B26</f>
        <v>T-scoop יד</v>
      </c>
      <c r="C23" s="103" t="n">
        <f aca="false">'Plan vs Actual (סוכן)'!R26*'Plan vs Actual (סוכן)'!K26</f>
        <v>0</v>
      </c>
      <c r="D23" s="104" t="n">
        <f aca="false">C23*'Plan vs Actual (סוכן)'!G26</f>
        <v>0</v>
      </c>
      <c r="F23" s="102" t="str">
        <f aca="false">'Plan vs Actual (סוכן)'!B26</f>
        <v>T-scoop יד</v>
      </c>
      <c r="G23" s="103" t="n">
        <f aca="false">'Plan vs Actual (סוכן)'!R26*'Plan vs Actual (סוכן)'!L26</f>
        <v>0</v>
      </c>
      <c r="H23" s="104" t="n">
        <f aca="false">G23*'Plan vs Actual (סוכן)'!G26</f>
        <v>0</v>
      </c>
      <c r="J23" s="102" t="str">
        <f aca="false">'Plan vs Actual (סוכן)'!B26</f>
        <v>T-scoop יד</v>
      </c>
      <c r="K23" s="103" t="n">
        <f aca="false">'Plan vs Actual (סוכן)'!R26*'Plan vs Actual (סוכן)'!M26</f>
        <v>0</v>
      </c>
      <c r="L23" s="104" t="n">
        <f aca="false">K23*'Plan vs Actual (סוכן)'!G26</f>
        <v>0</v>
      </c>
    </row>
    <row r="24" customFormat="false" ht="15" hidden="false" customHeight="true" outlineLevel="0" collapsed="false">
      <c r="B24" s="102" t="str">
        <f aca="false">'Plan vs Actual (סוכן)'!B27</f>
        <v>SH779 חגורת Jewett</v>
      </c>
      <c r="C24" s="103" t="n">
        <f aca="false">'Plan vs Actual (סוכן)'!R27*'Plan vs Actual (סוכן)'!K27</f>
        <v>120</v>
      </c>
      <c r="D24" s="104" t="n">
        <f aca="false">C24*'Plan vs Actual (סוכן)'!G27</f>
        <v>42240</v>
      </c>
      <c r="F24" s="102" t="str">
        <f aca="false">'Plan vs Actual (סוכן)'!B27</f>
        <v>SH779 חגורת Jewett</v>
      </c>
      <c r="G24" s="103" t="n">
        <f aca="false">'Plan vs Actual (סוכן)'!R27*'Plan vs Actual (סוכן)'!L27</f>
        <v>10</v>
      </c>
      <c r="H24" s="104" t="n">
        <f aca="false">G24*'Plan vs Actual (סוכן)'!G27</f>
        <v>3520</v>
      </c>
      <c r="J24" s="102" t="str">
        <f aca="false">'Plan vs Actual (סוכן)'!B27</f>
        <v>SH779 חגורת Jewett</v>
      </c>
      <c r="K24" s="103" t="n">
        <f aca="false">'Plan vs Actual (סוכן)'!R27*'Plan vs Actual (סוכן)'!M27</f>
        <v>300</v>
      </c>
      <c r="L24" s="104" t="n">
        <f aca="false">K24*'Plan vs Actual (סוכן)'!G27</f>
        <v>105600</v>
      </c>
    </row>
    <row r="25" customFormat="false" ht="15" hidden="false" customHeight="true" outlineLevel="0" collapsed="false">
      <c r="B25" s="102" t="str">
        <f aca="false">'Plan vs Actual (סוכן)'!B28</f>
        <v>מגף (ווקר)</v>
      </c>
      <c r="C25" s="103" t="n">
        <f aca="false">'Plan vs Actual (סוכן)'!R28*'Plan vs Actual (סוכן)'!K28</f>
        <v>48</v>
      </c>
      <c r="D25" s="104" t="n">
        <f aca="false">C25*'Plan vs Actual (סוכן)'!G28</f>
        <v>6144</v>
      </c>
      <c r="F25" s="102" t="str">
        <f aca="false">'Plan vs Actual (סוכן)'!B28</f>
        <v>מגף (ווקר)</v>
      </c>
      <c r="G25" s="103" t="n">
        <f aca="false">'Plan vs Actual (סוכן)'!R28*'Plan vs Actual (סוכן)'!L28</f>
        <v>4</v>
      </c>
      <c r="H25" s="104" t="n">
        <f aca="false">G25*'Plan vs Actual (סוכן)'!G28</f>
        <v>512</v>
      </c>
      <c r="J25" s="102" t="str">
        <f aca="false">'Plan vs Actual (סוכן)'!B28</f>
        <v>מגף (ווקר)</v>
      </c>
      <c r="K25" s="103" t="n">
        <f aca="false">'Plan vs Actual (סוכן)'!R28*'Plan vs Actual (סוכן)'!M28</f>
        <v>40</v>
      </c>
      <c r="L25" s="104" t="n">
        <f aca="false">K25*'Plan vs Actual (סוכן)'!G28</f>
        <v>5120</v>
      </c>
    </row>
    <row r="26" customFormat="false" ht="15" hidden="false" customHeight="true" outlineLevel="0" collapsed="false">
      <c r="B26" s="102" t="str">
        <f aca="false">'Plan vs Actual (סוכן)'!B29</f>
        <v>SH660 cervical collar</v>
      </c>
      <c r="C26" s="103" t="n">
        <f aca="false">'Plan vs Actual (סוכן)'!R29*'Plan vs Actual (סוכן)'!K29</f>
        <v>120</v>
      </c>
      <c r="D26" s="104" t="n">
        <f aca="false">C26*'Plan vs Actual (סוכן)'!G29</f>
        <v>26880</v>
      </c>
      <c r="F26" s="102" t="str">
        <f aca="false">'Plan vs Actual (סוכן)'!B29</f>
        <v>SH660 cervical collar</v>
      </c>
      <c r="G26" s="103" t="n">
        <f aca="false">'Plan vs Actual (סוכן)'!R29*'Plan vs Actual (סוכן)'!L29</f>
        <v>10</v>
      </c>
      <c r="H26" s="104" t="n">
        <f aca="false">G26*'Plan vs Actual (סוכן)'!G29</f>
        <v>2240</v>
      </c>
      <c r="J26" s="102" t="str">
        <f aca="false">'Plan vs Actual (סוכן)'!B29</f>
        <v>SH660 cervical collar</v>
      </c>
      <c r="K26" s="103" t="n">
        <f aca="false">'Plan vs Actual (סוכן)'!R29*'Plan vs Actual (סוכן)'!M29</f>
        <v>100</v>
      </c>
      <c r="L26" s="104" t="n">
        <f aca="false">K26*'Plan vs Actual (סוכן)'!G29</f>
        <v>22400</v>
      </c>
    </row>
    <row r="27" customFormat="false" ht="15" hidden="false" customHeight="true" outlineLevel="0" collapsed="false">
      <c r="B27" s="102" t="str">
        <f aca="false">'Plan vs Actual (סוכן)'!B30</f>
        <v>T36B</v>
      </c>
      <c r="C27" s="103" t="n">
        <f aca="false">'Plan vs Actual (סוכן)'!R30*'Plan vs Actual (סוכן)'!K30</f>
        <v>288</v>
      </c>
      <c r="D27" s="104" t="n">
        <f aca="false">C27*'Plan vs Actual (סוכן)'!G30</f>
        <v>28800</v>
      </c>
      <c r="F27" s="102" t="str">
        <f aca="false">'Plan vs Actual (סוכן)'!B30</f>
        <v>T36B</v>
      </c>
      <c r="G27" s="103" t="n">
        <f aca="false">'Plan vs Actual (סוכן)'!R30*'Plan vs Actual (סוכן)'!L30</f>
        <v>24</v>
      </c>
      <c r="H27" s="104" t="n">
        <f aca="false">G27*'Plan vs Actual (סוכן)'!G30</f>
        <v>2400</v>
      </c>
      <c r="J27" s="102" t="str">
        <f aca="false">'Plan vs Actual (סוכן)'!B30</f>
        <v>T36B</v>
      </c>
      <c r="K27" s="103" t="n">
        <f aca="false">'Plan vs Actual (סוכן)'!R30*'Plan vs Actual (סוכן)'!M30</f>
        <v>840</v>
      </c>
      <c r="L27" s="104" t="n">
        <f aca="false">K27*'Plan vs Actual (סוכן)'!G30</f>
        <v>84000</v>
      </c>
    </row>
    <row r="28" customFormat="false" ht="15" hidden="false" customHeight="true" outlineLevel="0" collapsed="false">
      <c r="B28" s="105" t="s">
        <v>86</v>
      </c>
      <c r="C28" s="106" t="n">
        <f aca="false">SUM(C8:C27)</f>
        <v>4560</v>
      </c>
      <c r="D28" s="107" t="n">
        <f aca="false">SUM(D8:D27)</f>
        <v>578534.4</v>
      </c>
      <c r="F28" s="105" t="s">
        <v>86</v>
      </c>
      <c r="G28" s="106" t="n">
        <f aca="false">SUM(G8:G27)</f>
        <v>390</v>
      </c>
      <c r="H28" s="107" t="n">
        <f aca="false">SUM(H8:H27)</f>
        <v>47057.6</v>
      </c>
      <c r="J28" s="105" t="s">
        <v>86</v>
      </c>
      <c r="K28" s="106" t="n">
        <f aca="false">SUM(K8:K27)</f>
        <v>13050</v>
      </c>
      <c r="L28" s="107" t="n">
        <f aca="false">SUM(L8:L27)</f>
        <v>1307810.4</v>
      </c>
    </row>
    <row r="30" customFormat="false" ht="21.75" hidden="false" customHeight="true" outlineLevel="0" collapsed="false">
      <c r="A30" s="99" t="s">
        <v>175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</row>
    <row r="31" customFormat="false" ht="15" hidden="false" customHeight="true" outlineLevel="0" collapsed="false">
      <c r="B31" s="100" t="s">
        <v>107</v>
      </c>
      <c r="C31" s="100"/>
      <c r="D31" s="100"/>
      <c r="F31" s="100" t="s">
        <v>108</v>
      </c>
      <c r="G31" s="100"/>
      <c r="H31" s="100"/>
      <c r="J31" s="100" t="s">
        <v>19</v>
      </c>
      <c r="K31" s="100"/>
      <c r="L31" s="100"/>
    </row>
    <row r="32" customFormat="false" ht="15" hidden="false" customHeight="true" outlineLevel="0" collapsed="false">
      <c r="B32" s="101" t="s">
        <v>88</v>
      </c>
      <c r="C32" s="101" t="s">
        <v>173</v>
      </c>
      <c r="D32" s="101" t="s">
        <v>174</v>
      </c>
      <c r="F32" s="101" t="s">
        <v>88</v>
      </c>
      <c r="G32" s="101" t="s">
        <v>173</v>
      </c>
      <c r="H32" s="101" t="s">
        <v>174</v>
      </c>
      <c r="J32" s="101" t="s">
        <v>88</v>
      </c>
      <c r="K32" s="101" t="s">
        <v>173</v>
      </c>
      <c r="L32" s="101" t="s">
        <v>174</v>
      </c>
    </row>
    <row r="33" customFormat="false" ht="15" hidden="false" customHeight="true" outlineLevel="0" collapsed="false">
      <c r="B33" s="102" t="str">
        <f aca="false">'Plan vs Actual (סוכן)'!B11</f>
        <v>213 CTS</v>
      </c>
      <c r="C33" s="103" t="n">
        <f aca="false">'Plan vs Actual (סוכן)'!R11*'Plan vs Actual (סוכן)'!V11</f>
        <v>234</v>
      </c>
      <c r="D33" s="104" t="n">
        <f aca="false">C33*'Plan vs Actual (סוכן)'!G11</f>
        <v>16848</v>
      </c>
      <c r="F33" s="102" t="str">
        <f aca="false">'Plan vs Actual (סוכן)'!B11</f>
        <v>213 CTS</v>
      </c>
      <c r="G33" s="103" t="n">
        <f aca="false">'Plan vs Actual (סוכן)'!R11*'Plan vs Actual (סוכן)'!W11</f>
        <v>18</v>
      </c>
      <c r="H33" s="104" t="n">
        <f aca="false">G33*'Plan vs Actual (סוכן)'!G11</f>
        <v>1296</v>
      </c>
      <c r="J33" s="102" t="str">
        <f aca="false">'Plan vs Actual (סוכן)'!B11</f>
        <v>213 CTS</v>
      </c>
      <c r="K33" s="103" t="n">
        <f aca="false">'Plan vs Actual (סוכן)'!R11*'Plan vs Actual (סוכן)'!X11</f>
        <v>918</v>
      </c>
      <c r="L33" s="104" t="n">
        <f aca="false">K33*'Plan vs Actual (סוכן)'!G11</f>
        <v>66096</v>
      </c>
    </row>
    <row r="34" customFormat="false" ht="15" hidden="false" customHeight="true" outlineLevel="0" collapsed="false">
      <c r="B34" s="102" t="str">
        <f aca="false">'Plan vs Actual (סוכן)'!B12</f>
        <v>SH422 </v>
      </c>
      <c r="C34" s="103" t="n">
        <f aca="false">'Plan vs Actual (סוכן)'!R12*'Plan vs Actual (סוכן)'!V12</f>
        <v>195</v>
      </c>
      <c r="D34" s="104" t="n">
        <f aca="false">C34*'Plan vs Actual (סוכן)'!G12</f>
        <v>15600</v>
      </c>
      <c r="F34" s="102" t="str">
        <f aca="false">'Plan vs Actual (סוכן)'!B12</f>
        <v>SH422 </v>
      </c>
      <c r="G34" s="103" t="n">
        <f aca="false">'Plan vs Actual (סוכן)'!R12*'Plan vs Actual (סוכן)'!W12</f>
        <v>15</v>
      </c>
      <c r="H34" s="104" t="n">
        <f aca="false">G34*'Plan vs Actual (סוכן)'!G12</f>
        <v>1200</v>
      </c>
      <c r="J34" s="102" t="str">
        <f aca="false">'Plan vs Actual (סוכן)'!B12</f>
        <v>SH422 </v>
      </c>
      <c r="K34" s="103" t="n">
        <f aca="false">'Plan vs Actual (סוכן)'!R12*'Plan vs Actual (סוכן)'!X12</f>
        <v>765</v>
      </c>
      <c r="L34" s="104" t="n">
        <f aca="false">K34*'Plan vs Actual (סוכן)'!G12</f>
        <v>61200</v>
      </c>
    </row>
    <row r="35" customFormat="false" ht="15" hidden="false" customHeight="true" outlineLevel="0" collapsed="false">
      <c r="B35" s="102" t="str">
        <f aca="false">'Plan vs Actual (סוכן)'!B13</f>
        <v>SH333</v>
      </c>
      <c r="C35" s="103" t="n">
        <f aca="false">'Plan vs Actual (סוכן)'!R13*'Plan vs Actual (סוכן)'!V13</f>
        <v>234</v>
      </c>
      <c r="D35" s="104" t="n">
        <f aca="false">C35*'Plan vs Actual (סוכן)'!G13</f>
        <v>7488</v>
      </c>
      <c r="F35" s="102" t="str">
        <f aca="false">'Plan vs Actual (סוכן)'!B13</f>
        <v>SH333</v>
      </c>
      <c r="G35" s="103" t="n">
        <f aca="false">'Plan vs Actual (סוכן)'!R13*'Plan vs Actual (סוכן)'!W13</f>
        <v>18</v>
      </c>
      <c r="H35" s="104" t="n">
        <f aca="false">G35*'Plan vs Actual (סוכן)'!G13</f>
        <v>576</v>
      </c>
      <c r="J35" s="102" t="str">
        <f aca="false">'Plan vs Actual (סוכן)'!B13</f>
        <v>SH333</v>
      </c>
      <c r="K35" s="103" t="n">
        <f aca="false">'Plan vs Actual (סוכן)'!R13*'Plan vs Actual (סוכן)'!X13</f>
        <v>918</v>
      </c>
      <c r="L35" s="104" t="n">
        <f aca="false">K35*'Plan vs Actual (סוכן)'!G13</f>
        <v>29376</v>
      </c>
    </row>
    <row r="36" customFormat="false" ht="15" hidden="false" customHeight="true" outlineLevel="0" collapsed="false">
      <c r="B36" s="102" t="str">
        <f aca="false">'Plan vs Actual (סוכן)'!B14</f>
        <v>SH776</v>
      </c>
      <c r="C36" s="103" t="n">
        <f aca="false">'Plan vs Actual (סוכן)'!R14*'Plan vs Actual (סוכן)'!V14</f>
        <v>234</v>
      </c>
      <c r="D36" s="104" t="n">
        <f aca="false">C36*'Plan vs Actual (סוכן)'!G14</f>
        <v>56160</v>
      </c>
      <c r="F36" s="102" t="str">
        <f aca="false">'Plan vs Actual (סוכן)'!B14</f>
        <v>SH776</v>
      </c>
      <c r="G36" s="103" t="n">
        <f aca="false">'Plan vs Actual (סוכן)'!R14*'Plan vs Actual (סוכן)'!W14</f>
        <v>18</v>
      </c>
      <c r="H36" s="104" t="n">
        <f aca="false">G36*'Plan vs Actual (סוכן)'!G14</f>
        <v>4320</v>
      </c>
      <c r="J36" s="102" t="str">
        <f aca="false">'Plan vs Actual (סוכן)'!B14</f>
        <v>SH776</v>
      </c>
      <c r="K36" s="103" t="n">
        <f aca="false">'Plan vs Actual (סוכן)'!R14*'Plan vs Actual (סוכן)'!X14</f>
        <v>918</v>
      </c>
      <c r="L36" s="104" t="n">
        <f aca="false">K36*'Plan vs Actual (סוכן)'!G14</f>
        <v>220320</v>
      </c>
    </row>
    <row r="37" customFormat="false" ht="15" hidden="false" customHeight="true" outlineLevel="0" collapsed="false">
      <c r="B37" s="102" t="str">
        <f aca="false">'Plan vs Actual (סוכן)'!B15</f>
        <v>SH322</v>
      </c>
      <c r="C37" s="103" t="n">
        <f aca="false">'Plan vs Actual (סוכן)'!R15*'Plan vs Actual (סוכן)'!V15</f>
        <v>234</v>
      </c>
      <c r="D37" s="104" t="n">
        <f aca="false">C37*'Plan vs Actual (סוכן)'!G15</f>
        <v>13104</v>
      </c>
      <c r="F37" s="102" t="str">
        <f aca="false">'Plan vs Actual (סוכן)'!B15</f>
        <v>SH322</v>
      </c>
      <c r="G37" s="103" t="n">
        <f aca="false">'Plan vs Actual (סוכן)'!R15*'Plan vs Actual (סוכן)'!W15</f>
        <v>18</v>
      </c>
      <c r="H37" s="104" t="n">
        <f aca="false">G37*'Plan vs Actual (סוכן)'!G15</f>
        <v>1008</v>
      </c>
      <c r="J37" s="102" t="str">
        <f aca="false">'Plan vs Actual (סוכן)'!B15</f>
        <v>SH322</v>
      </c>
      <c r="K37" s="103" t="n">
        <f aca="false">'Plan vs Actual (סוכן)'!R15*'Plan vs Actual (סוכן)'!X15</f>
        <v>918</v>
      </c>
      <c r="L37" s="104" t="n">
        <f aca="false">K37*'Plan vs Actual (סוכן)'!G15</f>
        <v>51408</v>
      </c>
    </row>
    <row r="38" customFormat="false" ht="15" hidden="false" customHeight="true" outlineLevel="0" collapsed="false">
      <c r="B38" s="102" t="str">
        <f aca="false">'Plan vs Actual (סוכן)'!B16</f>
        <v>SH922</v>
      </c>
      <c r="C38" s="103" t="n">
        <f aca="false">'Plan vs Actual (סוכן)'!R16*'Plan vs Actual (סוכן)'!V16</f>
        <v>234</v>
      </c>
      <c r="D38" s="104" t="n">
        <f aca="false">C38*'Plan vs Actual (סוכן)'!G16</f>
        <v>14976</v>
      </c>
      <c r="F38" s="102" t="str">
        <f aca="false">'Plan vs Actual (סוכן)'!B16</f>
        <v>SH922</v>
      </c>
      <c r="G38" s="103" t="n">
        <f aca="false">'Plan vs Actual (סוכן)'!R16*'Plan vs Actual (סוכן)'!W16</f>
        <v>18</v>
      </c>
      <c r="H38" s="104" t="n">
        <f aca="false">G38*'Plan vs Actual (סוכן)'!G16</f>
        <v>1152</v>
      </c>
      <c r="J38" s="102" t="str">
        <f aca="false">'Plan vs Actual (סוכן)'!B16</f>
        <v>SH922</v>
      </c>
      <c r="K38" s="103" t="n">
        <f aca="false">'Plan vs Actual (סוכן)'!R16*'Plan vs Actual (סוכן)'!X16</f>
        <v>918</v>
      </c>
      <c r="L38" s="104" t="n">
        <f aca="false">K38*'Plan vs Actual (סוכן)'!G16</f>
        <v>58752</v>
      </c>
    </row>
    <row r="39" customFormat="false" ht="15" hidden="false" customHeight="true" outlineLevel="0" collapsed="false">
      <c r="B39" s="102" t="str">
        <f aca="false">'Plan vs Actual (סוכן)'!B17</f>
        <v>SH423</v>
      </c>
      <c r="C39" s="103" t="n">
        <f aca="false">'Plan vs Actual (סוכן)'!R17*'Plan vs Actual (סוכן)'!V17</f>
        <v>234</v>
      </c>
      <c r="D39" s="104" t="n">
        <f aca="false">C39*'Plan vs Actual (סוכן)'!G17</f>
        <v>48672</v>
      </c>
      <c r="F39" s="102" t="str">
        <f aca="false">'Plan vs Actual (סוכן)'!B17</f>
        <v>SH423</v>
      </c>
      <c r="G39" s="103" t="n">
        <f aca="false">'Plan vs Actual (סוכן)'!R17*'Plan vs Actual (סוכן)'!W17</f>
        <v>18</v>
      </c>
      <c r="H39" s="104" t="n">
        <f aca="false">G39*'Plan vs Actual (סוכן)'!G17</f>
        <v>3744</v>
      </c>
      <c r="J39" s="102" t="str">
        <f aca="false">'Plan vs Actual (סוכן)'!B17</f>
        <v>SH423</v>
      </c>
      <c r="K39" s="103" t="n">
        <f aca="false">'Plan vs Actual (סוכן)'!R17*'Plan vs Actual (סוכן)'!X17</f>
        <v>918</v>
      </c>
      <c r="L39" s="104" t="n">
        <f aca="false">K39*'Plan vs Actual (סוכן)'!G17</f>
        <v>190944</v>
      </c>
    </row>
    <row r="40" customFormat="false" ht="15" hidden="false" customHeight="true" outlineLevel="0" collapsed="false">
      <c r="B40" s="102" t="str">
        <f aca="false">'Plan vs Actual (סוכן)'!B18</f>
        <v>364 XL+</v>
      </c>
      <c r="C40" s="103" t="n">
        <f aca="false">'Plan vs Actual (סוכן)'!R18*'Plan vs Actual (סוכן)'!V18</f>
        <v>0</v>
      </c>
      <c r="D40" s="104" t="n">
        <f aca="false">C40*'Plan vs Actual (סוכן)'!G18</f>
        <v>0</v>
      </c>
      <c r="F40" s="102" t="str">
        <f aca="false">'Plan vs Actual (סוכן)'!B18</f>
        <v>364 XL+</v>
      </c>
      <c r="G40" s="103" t="n">
        <f aca="false">'Plan vs Actual (סוכן)'!R18*'Plan vs Actual (סוכן)'!W18</f>
        <v>0</v>
      </c>
      <c r="H40" s="104" t="n">
        <f aca="false">G40*'Plan vs Actual (סוכן)'!G18</f>
        <v>0</v>
      </c>
      <c r="J40" s="102" t="str">
        <f aca="false">'Plan vs Actual (סוכן)'!B18</f>
        <v>364 XL+</v>
      </c>
      <c r="K40" s="103" t="n">
        <f aca="false">'Plan vs Actual (סוכן)'!R18*'Plan vs Actual (סוכן)'!X18</f>
        <v>767</v>
      </c>
      <c r="L40" s="104" t="n">
        <f aca="false">K40*'Plan vs Actual (סוכן)'!G18</f>
        <v>21046.48</v>
      </c>
    </row>
    <row r="41" customFormat="false" ht="15" hidden="false" customHeight="true" outlineLevel="0" collapsed="false">
      <c r="B41" s="102" t="str">
        <f aca="false">'Plan vs Actual (סוכן)'!B19</f>
        <v>809PW</v>
      </c>
      <c r="C41" s="103" t="n">
        <f aca="false">'Plan vs Actual (סוכן)'!R19*'Plan vs Actual (סוכן)'!V19</f>
        <v>0</v>
      </c>
      <c r="D41" s="104" t="n">
        <f aca="false">C41*'Plan vs Actual (סוכן)'!G19</f>
        <v>0</v>
      </c>
      <c r="F41" s="102" t="str">
        <f aca="false">'Plan vs Actual (סוכן)'!B19</f>
        <v>809PW</v>
      </c>
      <c r="G41" s="103" t="n">
        <f aca="false">'Plan vs Actual (סוכן)'!R19*'Plan vs Actual (סוכן)'!W19</f>
        <v>18</v>
      </c>
      <c r="H41" s="104" t="n">
        <f aca="false">G41*'Plan vs Actual (סוכן)'!G19</f>
        <v>151.2</v>
      </c>
      <c r="J41" s="102" t="str">
        <f aca="false">'Plan vs Actual (סוכן)'!B19</f>
        <v>809PW</v>
      </c>
      <c r="K41" s="103" t="n">
        <f aca="false">'Plan vs Actual (סוכן)'!R19*'Plan vs Actual (סוכן)'!X19</f>
        <v>1062</v>
      </c>
      <c r="L41" s="104" t="n">
        <f aca="false">K41*'Plan vs Actual (סוכן)'!G19</f>
        <v>8920.8</v>
      </c>
    </row>
    <row r="42" customFormat="false" ht="15" hidden="false" customHeight="true" outlineLevel="0" collapsed="false">
      <c r="B42" s="102" t="str">
        <f aca="false">'Plan vs Actual (סוכן)'!B20</f>
        <v>T40B</v>
      </c>
      <c r="C42" s="103" t="n">
        <f aca="false">'Plan vs Actual (סוכן)'!R20*'Plan vs Actual (סוכן)'!V20</f>
        <v>169</v>
      </c>
      <c r="D42" s="104" t="n">
        <f aca="false">C42*'Plan vs Actual (סוכן)'!G20</f>
        <v>9464</v>
      </c>
      <c r="F42" s="102" t="str">
        <f aca="false">'Plan vs Actual (סוכן)'!B20</f>
        <v>T40B</v>
      </c>
      <c r="G42" s="103" t="n">
        <f aca="false">'Plan vs Actual (סוכן)'!R20*'Plan vs Actual (סוכן)'!W20</f>
        <v>0</v>
      </c>
      <c r="H42" s="104" t="n">
        <f aca="false">G42*'Plan vs Actual (סוכן)'!G20</f>
        <v>0</v>
      </c>
      <c r="J42" s="102" t="str">
        <f aca="false">'Plan vs Actual (סוכן)'!B20</f>
        <v>T40B</v>
      </c>
      <c r="K42" s="103" t="n">
        <f aca="false">'Plan vs Actual (סוכן)'!R20*'Plan vs Actual (סוכן)'!X20</f>
        <v>663</v>
      </c>
      <c r="L42" s="104" t="n">
        <f aca="false">K42*'Plan vs Actual (סוכן)'!G20</f>
        <v>37128</v>
      </c>
    </row>
    <row r="43" customFormat="false" ht="15" hidden="false" customHeight="true" outlineLevel="0" collapsed="false">
      <c r="B43" s="102" t="str">
        <f aca="false">'Plan vs Actual (סוכן)'!B21</f>
        <v>T066B</v>
      </c>
      <c r="C43" s="103" t="n">
        <f aca="false">'Plan vs Actual (סוכן)'!R21*'Plan vs Actual (סוכן)'!V21</f>
        <v>65</v>
      </c>
      <c r="D43" s="104" t="n">
        <f aca="false">C43*'Plan vs Actual (סוכן)'!G21</f>
        <v>7280</v>
      </c>
      <c r="F43" s="102" t="str">
        <f aca="false">'Plan vs Actual (סוכן)'!B21</f>
        <v>T066B</v>
      </c>
      <c r="G43" s="103" t="n">
        <f aca="false">'Plan vs Actual (סוכן)'!R21*'Plan vs Actual (סוכן)'!W21</f>
        <v>5</v>
      </c>
      <c r="H43" s="104" t="n">
        <f aca="false">G43*'Plan vs Actual (סוכן)'!G21</f>
        <v>560</v>
      </c>
      <c r="J43" s="102" t="str">
        <f aca="false">'Plan vs Actual (סוכן)'!B21</f>
        <v>T066B</v>
      </c>
      <c r="K43" s="103" t="n">
        <f aca="false">'Plan vs Actual (סוכן)'!R21*'Plan vs Actual (סוכן)'!X21</f>
        <v>255</v>
      </c>
      <c r="L43" s="104" t="n">
        <f aca="false">K43*'Plan vs Actual (סוכן)'!G21</f>
        <v>28560</v>
      </c>
    </row>
    <row r="44" customFormat="false" ht="15" hidden="false" customHeight="true" outlineLevel="0" collapsed="false">
      <c r="B44" s="102" t="n">
        <f aca="false">'Plan vs Actual (סוכן)'!B22</f>
        <v>3051</v>
      </c>
      <c r="C44" s="103" t="n">
        <f aca="false">'Plan vs Actual (סוכן)'!R22*'Plan vs Actual (סוכן)'!V22</f>
        <v>221</v>
      </c>
      <c r="D44" s="104" t="n">
        <f aca="false">C44*'Plan vs Actual (סוכן)'!G22</f>
        <v>27580.8</v>
      </c>
      <c r="F44" s="102" t="n">
        <f aca="false">'Plan vs Actual (סוכן)'!B22</f>
        <v>3051</v>
      </c>
      <c r="G44" s="103" t="n">
        <f aca="false">'Plan vs Actual (סוכן)'!R22*'Plan vs Actual (סוכן)'!W22</f>
        <v>17</v>
      </c>
      <c r="H44" s="104" t="n">
        <f aca="false">G44*'Plan vs Actual (סוכן)'!G22</f>
        <v>2121.6</v>
      </c>
      <c r="J44" s="102" t="n">
        <f aca="false">'Plan vs Actual (סוכן)'!B22</f>
        <v>3051</v>
      </c>
      <c r="K44" s="103" t="n">
        <f aca="false">'Plan vs Actual (סוכן)'!R22*'Plan vs Actual (סוכן)'!X22</f>
        <v>867</v>
      </c>
      <c r="L44" s="104" t="n">
        <f aca="false">K44*'Plan vs Actual (סוכן)'!G22</f>
        <v>108201.6</v>
      </c>
    </row>
    <row r="45" customFormat="false" ht="15" hidden="false" customHeight="true" outlineLevel="0" collapsed="false">
      <c r="B45" s="102" t="str">
        <f aca="false">'Plan vs Actual (סוכן)'!B23</f>
        <v>MSG001F 0</v>
      </c>
      <c r="C45" s="103" t="n">
        <f aca="false">'Plan vs Actual (סוכן)'!R23*'Plan vs Actual (סוכן)'!V23</f>
        <v>39</v>
      </c>
      <c r="D45" s="104" t="n">
        <f aca="false">C45*'Plan vs Actual (סוכן)'!G23</f>
        <v>17160</v>
      </c>
      <c r="F45" s="102" t="str">
        <f aca="false">'Plan vs Actual (סוכן)'!B23</f>
        <v>MSG001F 0</v>
      </c>
      <c r="G45" s="103" t="n">
        <f aca="false">'Plan vs Actual (סוכן)'!R23*'Plan vs Actual (סוכן)'!W23</f>
        <v>3</v>
      </c>
      <c r="H45" s="104" t="n">
        <f aca="false">G45*'Plan vs Actual (סוכן)'!G23</f>
        <v>1320</v>
      </c>
      <c r="J45" s="102" t="str">
        <f aca="false">'Plan vs Actual (סוכן)'!B23</f>
        <v>MSG001F 0</v>
      </c>
      <c r="K45" s="103" t="n">
        <f aca="false">'Plan vs Actual (סוכן)'!R23*'Plan vs Actual (סוכן)'!X23</f>
        <v>90</v>
      </c>
      <c r="L45" s="104" t="n">
        <f aca="false">K45*'Plan vs Actual (סוכן)'!G23</f>
        <v>39600</v>
      </c>
    </row>
    <row r="46" customFormat="false" ht="15" hidden="false" customHeight="true" outlineLevel="0" collapsed="false">
      <c r="B46" s="102" t="str">
        <f aca="false">'Plan vs Actual (סוכן)'!B24</f>
        <v>MSG002S 0</v>
      </c>
      <c r="C46" s="103" t="n">
        <f aca="false">'Plan vs Actual (סוכן)'!R24*'Plan vs Actual (סוכן)'!V24</f>
        <v>39</v>
      </c>
      <c r="D46" s="104" t="n">
        <f aca="false">C46*'Plan vs Actual (סוכן)'!G24</f>
        <v>17160</v>
      </c>
      <c r="F46" s="102" t="str">
        <f aca="false">'Plan vs Actual (סוכן)'!B24</f>
        <v>MSG002S 0</v>
      </c>
      <c r="G46" s="103" t="n">
        <f aca="false">'Plan vs Actual (סוכן)'!R24*'Plan vs Actual (סוכן)'!W24</f>
        <v>3</v>
      </c>
      <c r="H46" s="104" t="n">
        <f aca="false">G46*'Plan vs Actual (סוכן)'!G24</f>
        <v>1320</v>
      </c>
      <c r="J46" s="102" t="str">
        <f aca="false">'Plan vs Actual (סוכן)'!B24</f>
        <v>MSG002S 0</v>
      </c>
      <c r="K46" s="103" t="n">
        <f aca="false">'Plan vs Actual (סוכן)'!R24*'Plan vs Actual (סוכן)'!X24</f>
        <v>90</v>
      </c>
      <c r="L46" s="104" t="n">
        <f aca="false">K46*'Plan vs Actual (סוכן)'!G24</f>
        <v>39600</v>
      </c>
    </row>
    <row r="47" customFormat="false" ht="15" hidden="false" customHeight="true" outlineLevel="0" collapsed="false">
      <c r="B47" s="102" t="str">
        <f aca="false">'Plan vs Actual (סוכן)'!B25</f>
        <v>T-scoop רגל</v>
      </c>
      <c r="C47" s="103" t="n">
        <f aca="false">'Plan vs Actual (סוכן)'!R25*'Plan vs Actual (סוכן)'!V25</f>
        <v>26</v>
      </c>
      <c r="D47" s="104" t="n">
        <f aca="false">C47*'Plan vs Actual (סוכן)'!G25</f>
        <v>5512</v>
      </c>
      <c r="F47" s="102" t="str">
        <f aca="false">'Plan vs Actual (סוכן)'!B25</f>
        <v>T-scoop רגל</v>
      </c>
      <c r="G47" s="103" t="n">
        <f aca="false">'Plan vs Actual (סוכן)'!R25*'Plan vs Actual (סוכן)'!W25</f>
        <v>2</v>
      </c>
      <c r="H47" s="104" t="n">
        <f aca="false">G47*'Plan vs Actual (סוכן)'!G25</f>
        <v>424</v>
      </c>
      <c r="J47" s="102" t="str">
        <f aca="false">'Plan vs Actual (סוכן)'!B25</f>
        <v>T-scoop רגל</v>
      </c>
      <c r="K47" s="103" t="n">
        <f aca="false">'Plan vs Actual (סוכן)'!R25*'Plan vs Actual (סוכן)'!X25</f>
        <v>0</v>
      </c>
      <c r="L47" s="104" t="n">
        <f aca="false">K47*'Plan vs Actual (סוכן)'!G25</f>
        <v>0</v>
      </c>
    </row>
    <row r="48" customFormat="false" ht="15" hidden="false" customHeight="true" outlineLevel="0" collapsed="false">
      <c r="B48" s="102" t="str">
        <f aca="false">'Plan vs Actual (סוכן)'!B26</f>
        <v>T-scoop יד</v>
      </c>
      <c r="C48" s="103" t="n">
        <f aca="false">'Plan vs Actual (סוכן)'!R26*'Plan vs Actual (סוכן)'!V26</f>
        <v>0</v>
      </c>
      <c r="D48" s="104" t="n">
        <f aca="false">C48*'Plan vs Actual (סוכן)'!G26</f>
        <v>0</v>
      </c>
      <c r="F48" s="102" t="str">
        <f aca="false">'Plan vs Actual (סוכן)'!B26</f>
        <v>T-scoop יד</v>
      </c>
      <c r="G48" s="103" t="n">
        <f aca="false">'Plan vs Actual (סוכן)'!R26*'Plan vs Actual (סוכן)'!W26</f>
        <v>0</v>
      </c>
      <c r="H48" s="104" t="n">
        <f aca="false">G48*'Plan vs Actual (סוכן)'!G26</f>
        <v>0</v>
      </c>
      <c r="J48" s="102" t="str">
        <f aca="false">'Plan vs Actual (סוכן)'!B26</f>
        <v>T-scoop יד</v>
      </c>
      <c r="K48" s="103" t="n">
        <f aca="false">'Plan vs Actual (סוכן)'!R26*'Plan vs Actual (סוכן)'!X26</f>
        <v>0</v>
      </c>
      <c r="L48" s="104" t="n">
        <f aca="false">K48*'Plan vs Actual (סוכן)'!G26</f>
        <v>0</v>
      </c>
    </row>
    <row r="49" customFormat="false" ht="15" hidden="false" customHeight="true" outlineLevel="0" collapsed="false">
      <c r="B49" s="102" t="str">
        <f aca="false">'Plan vs Actual (סוכן)'!B27</f>
        <v>SH779 חגורת Jewett</v>
      </c>
      <c r="C49" s="103" t="n">
        <f aca="false">'Plan vs Actual (סוכן)'!R27*'Plan vs Actual (סוכן)'!V27</f>
        <v>65</v>
      </c>
      <c r="D49" s="104" t="n">
        <f aca="false">C49*'Plan vs Actual (סוכן)'!G27</f>
        <v>22880</v>
      </c>
      <c r="F49" s="102" t="str">
        <f aca="false">'Plan vs Actual (סוכן)'!B27</f>
        <v>SH779 חגורת Jewett</v>
      </c>
      <c r="G49" s="103" t="n">
        <f aca="false">'Plan vs Actual (סוכן)'!R27*'Plan vs Actual (סוכן)'!W27</f>
        <v>5</v>
      </c>
      <c r="H49" s="104" t="n">
        <f aca="false">G49*'Plan vs Actual (סוכן)'!G27</f>
        <v>1760</v>
      </c>
      <c r="J49" s="102" t="str">
        <f aca="false">'Plan vs Actual (סוכן)'!B27</f>
        <v>SH779 חגורת Jewett</v>
      </c>
      <c r="K49" s="103" t="n">
        <f aca="false">'Plan vs Actual (סוכן)'!R27*'Plan vs Actual (סוכן)'!X27</f>
        <v>255</v>
      </c>
      <c r="L49" s="104" t="n">
        <f aca="false">K49*'Plan vs Actual (סוכן)'!G27</f>
        <v>89760</v>
      </c>
    </row>
    <row r="50" customFormat="false" ht="15" hidden="false" customHeight="true" outlineLevel="0" collapsed="false">
      <c r="B50" s="102" t="str">
        <f aca="false">'Plan vs Actual (סוכן)'!B28</f>
        <v>מגף (ווקר)</v>
      </c>
      <c r="C50" s="103" t="n">
        <f aca="false">'Plan vs Actual (סוכן)'!R28*'Plan vs Actual (סוכן)'!V28</f>
        <v>26</v>
      </c>
      <c r="D50" s="104" t="n">
        <f aca="false">C50*'Plan vs Actual (סוכן)'!G28</f>
        <v>3328</v>
      </c>
      <c r="F50" s="102" t="str">
        <f aca="false">'Plan vs Actual (סוכן)'!B28</f>
        <v>מגף (ווקר)</v>
      </c>
      <c r="G50" s="103" t="n">
        <f aca="false">'Plan vs Actual (סוכן)'!R28*'Plan vs Actual (סוכן)'!W28</f>
        <v>2</v>
      </c>
      <c r="H50" s="104" t="n">
        <f aca="false">G50*'Plan vs Actual (סוכן)'!G28</f>
        <v>256</v>
      </c>
      <c r="J50" s="102" t="str">
        <f aca="false">'Plan vs Actual (סוכן)'!B28</f>
        <v>מגף (ווקר)</v>
      </c>
      <c r="K50" s="103" t="n">
        <f aca="false">'Plan vs Actual (סוכן)'!R28*'Plan vs Actual (סוכן)'!X28</f>
        <v>40</v>
      </c>
      <c r="L50" s="104" t="n">
        <f aca="false">K50*'Plan vs Actual (סוכן)'!G28</f>
        <v>5120</v>
      </c>
    </row>
    <row r="51" customFormat="false" ht="15" hidden="false" customHeight="true" outlineLevel="0" collapsed="false">
      <c r="B51" s="102" t="str">
        <f aca="false">'Plan vs Actual (סוכן)'!B29</f>
        <v>SH660 cervical collar</v>
      </c>
      <c r="C51" s="103" t="n">
        <f aca="false">'Plan vs Actual (סוכן)'!R29*'Plan vs Actual (סוכן)'!V29</f>
        <v>65</v>
      </c>
      <c r="D51" s="104" t="n">
        <f aca="false">C51*'Plan vs Actual (סוכן)'!G29</f>
        <v>14560</v>
      </c>
      <c r="F51" s="102" t="str">
        <f aca="false">'Plan vs Actual (סוכן)'!B29</f>
        <v>SH660 cervical collar</v>
      </c>
      <c r="G51" s="103" t="n">
        <f aca="false">'Plan vs Actual (סוכן)'!R29*'Plan vs Actual (סוכן)'!W29</f>
        <v>5</v>
      </c>
      <c r="H51" s="104" t="n">
        <f aca="false">G51*'Plan vs Actual (סוכן)'!G29</f>
        <v>1120</v>
      </c>
      <c r="J51" s="102" t="str">
        <f aca="false">'Plan vs Actual (סוכן)'!B29</f>
        <v>SH660 cervical collar</v>
      </c>
      <c r="K51" s="103" t="n">
        <f aca="false">'Plan vs Actual (סוכן)'!R29*'Plan vs Actual (סוכן)'!X29</f>
        <v>100</v>
      </c>
      <c r="L51" s="104" t="n">
        <f aca="false">K51*'Plan vs Actual (סוכן)'!G29</f>
        <v>22400</v>
      </c>
    </row>
    <row r="52" customFormat="false" ht="15" hidden="false" customHeight="true" outlineLevel="0" collapsed="false">
      <c r="B52" s="102" t="str">
        <f aca="false">'Plan vs Actual (סוכן)'!B30</f>
        <v>T36B</v>
      </c>
      <c r="C52" s="103" t="n">
        <f aca="false">'Plan vs Actual (סוכן)'!R30*'Plan vs Actual (סוכן)'!V30</f>
        <v>156</v>
      </c>
      <c r="D52" s="104" t="n">
        <f aca="false">C52*'Plan vs Actual (סוכן)'!G30</f>
        <v>15600</v>
      </c>
      <c r="F52" s="102" t="str">
        <f aca="false">'Plan vs Actual (סוכן)'!B30</f>
        <v>T36B</v>
      </c>
      <c r="G52" s="103" t="n">
        <f aca="false">'Plan vs Actual (סוכן)'!R30*'Plan vs Actual (סוכן)'!W30</f>
        <v>12</v>
      </c>
      <c r="H52" s="104" t="n">
        <f aca="false">G52*'Plan vs Actual (סוכן)'!G30</f>
        <v>1200</v>
      </c>
      <c r="J52" s="102" t="str">
        <f aca="false">'Plan vs Actual (סוכן)'!B30</f>
        <v>T36B</v>
      </c>
      <c r="K52" s="103" t="n">
        <f aca="false">'Plan vs Actual (סוכן)'!R30*'Plan vs Actual (סוכן)'!X30</f>
        <v>612</v>
      </c>
      <c r="L52" s="104" t="n">
        <f aca="false">K52*'Plan vs Actual (סוכן)'!G30</f>
        <v>61200</v>
      </c>
    </row>
    <row r="53" customFormat="false" ht="15" hidden="false" customHeight="true" outlineLevel="0" collapsed="false">
      <c r="B53" s="105" t="s">
        <v>86</v>
      </c>
      <c r="C53" s="106" t="n">
        <f aca="false">SUM(C33:C52)</f>
        <v>2470</v>
      </c>
      <c r="D53" s="107" t="n">
        <f aca="false">SUM(D33:D52)</f>
        <v>313372.8</v>
      </c>
      <c r="F53" s="105" t="s">
        <v>86</v>
      </c>
      <c r="G53" s="106" t="n">
        <f aca="false">SUM(G33:G52)</f>
        <v>195</v>
      </c>
      <c r="H53" s="107" t="n">
        <f aca="false">SUM(H33:H52)</f>
        <v>23528.8</v>
      </c>
      <c r="J53" s="105" t="s">
        <v>86</v>
      </c>
      <c r="K53" s="106" t="n">
        <f aca="false">SUM(K33:K52)</f>
        <v>11074</v>
      </c>
      <c r="L53" s="107" t="n">
        <f aca="false">SUM(L33:L52)</f>
        <v>1139632.88</v>
      </c>
    </row>
    <row r="55" customFormat="false" ht="21.75" hidden="false" customHeight="true" outlineLevel="0" collapsed="false">
      <c r="A55" s="99" t="s">
        <v>176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</row>
    <row r="56" customFormat="false" ht="15" hidden="false" customHeight="true" outlineLevel="0" collapsed="false">
      <c r="B56" s="100" t="s">
        <v>107</v>
      </c>
      <c r="C56" s="100"/>
      <c r="D56" s="100"/>
      <c r="F56" s="100" t="s">
        <v>108</v>
      </c>
      <c r="G56" s="100"/>
      <c r="H56" s="100"/>
      <c r="J56" s="100" t="s">
        <v>19</v>
      </c>
      <c r="K56" s="100"/>
      <c r="L56" s="100"/>
    </row>
    <row r="57" customFormat="false" ht="15" hidden="false" customHeight="true" outlineLevel="0" collapsed="false">
      <c r="B57" s="101" t="s">
        <v>88</v>
      </c>
      <c r="C57" s="101" t="s">
        <v>173</v>
      </c>
      <c r="D57" s="101" t="s">
        <v>174</v>
      </c>
      <c r="F57" s="101" t="s">
        <v>88</v>
      </c>
      <c r="G57" s="101" t="s">
        <v>173</v>
      </c>
      <c r="H57" s="101" t="s">
        <v>174</v>
      </c>
      <c r="J57" s="101" t="s">
        <v>88</v>
      </c>
      <c r="K57" s="101" t="s">
        <v>173</v>
      </c>
      <c r="L57" s="101" t="s">
        <v>174</v>
      </c>
    </row>
    <row r="58" customFormat="false" ht="15" hidden="false" customHeight="true" outlineLevel="0" collapsed="false">
      <c r="B58" s="102" t="str">
        <f aca="false">'Plan vs Actual (סוכן)'!B38</f>
        <v>213 CTS</v>
      </c>
      <c r="C58" s="103" t="n">
        <f aca="false">'Plan vs Actual (סוכן)'!R38*'Plan vs Actual (סוכן)'!K38</f>
        <v>288</v>
      </c>
      <c r="D58" s="104" t="n">
        <f aca="false">C58*'Plan vs Actual (סוכן)'!G38</f>
        <v>20736</v>
      </c>
      <c r="F58" s="102" t="str">
        <f aca="false">'Plan vs Actual (סוכן)'!B38</f>
        <v>213 CTS</v>
      </c>
      <c r="G58" s="103" t="n">
        <f aca="false">'Plan vs Actual (סוכן)'!R38*'Plan vs Actual (סוכן)'!L38</f>
        <v>90</v>
      </c>
      <c r="H58" s="104" t="n">
        <f aca="false">G58*'Plan vs Actual (סוכן)'!G38</f>
        <v>6480</v>
      </c>
      <c r="J58" s="102" t="str">
        <f aca="false">'Plan vs Actual (סוכן)'!B38</f>
        <v>213 CTS</v>
      </c>
      <c r="K58" s="103" t="n">
        <f aca="false">'Plan vs Actual (סוכן)'!R38*'Plan vs Actual (סוכן)'!M38</f>
        <v>972</v>
      </c>
      <c r="L58" s="104" t="n">
        <f aca="false">K58*'Plan vs Actual (סוכן)'!G38</f>
        <v>69984</v>
      </c>
    </row>
    <row r="59" customFormat="false" ht="15" hidden="false" customHeight="true" outlineLevel="0" collapsed="false">
      <c r="B59" s="102" t="str">
        <f aca="false">'Plan vs Actual (סוכן)'!B39</f>
        <v>SH422 </v>
      </c>
      <c r="C59" s="103" t="n">
        <f aca="false">'Plan vs Actual (סוכן)'!R39*'Plan vs Actual (סוכן)'!K39</f>
        <v>240</v>
      </c>
      <c r="D59" s="104" t="n">
        <f aca="false">C59*'Plan vs Actual (סוכן)'!G39</f>
        <v>19200</v>
      </c>
      <c r="F59" s="102" t="str">
        <f aca="false">'Plan vs Actual (סוכן)'!B39</f>
        <v>SH422 </v>
      </c>
      <c r="G59" s="103" t="n">
        <f aca="false">'Plan vs Actual (סוכן)'!R39*'Plan vs Actual (סוכן)'!L39</f>
        <v>75</v>
      </c>
      <c r="H59" s="104" t="n">
        <f aca="false">G59*'Plan vs Actual (סוכן)'!G39</f>
        <v>6000</v>
      </c>
      <c r="J59" s="102" t="str">
        <f aca="false">'Plan vs Actual (סוכן)'!B39</f>
        <v>SH422 </v>
      </c>
      <c r="K59" s="103" t="n">
        <f aca="false">'Plan vs Actual (סוכן)'!R39*'Plan vs Actual (סוכן)'!M39</f>
        <v>810</v>
      </c>
      <c r="L59" s="104" t="n">
        <f aca="false">K59*'Plan vs Actual (סוכן)'!G39</f>
        <v>64800</v>
      </c>
    </row>
    <row r="60" customFormat="false" ht="15" hidden="false" customHeight="true" outlineLevel="0" collapsed="false">
      <c r="B60" s="102" t="str">
        <f aca="false">'Plan vs Actual (סוכן)'!B40</f>
        <v>SH333</v>
      </c>
      <c r="C60" s="103" t="n">
        <f aca="false">'Plan vs Actual (סוכן)'!R40*'Plan vs Actual (סוכן)'!K40</f>
        <v>288</v>
      </c>
      <c r="D60" s="104" t="n">
        <f aca="false">C60*'Plan vs Actual (סוכן)'!G40</f>
        <v>9216</v>
      </c>
      <c r="F60" s="102" t="str">
        <f aca="false">'Plan vs Actual (סוכן)'!B40</f>
        <v>SH333</v>
      </c>
      <c r="G60" s="103" t="n">
        <f aca="false">'Plan vs Actual (סוכן)'!R40*'Plan vs Actual (סוכן)'!L40</f>
        <v>90</v>
      </c>
      <c r="H60" s="104" t="n">
        <f aca="false">G60*'Plan vs Actual (סוכן)'!G40</f>
        <v>2880</v>
      </c>
      <c r="J60" s="102" t="str">
        <f aca="false">'Plan vs Actual (סוכן)'!B40</f>
        <v>SH333</v>
      </c>
      <c r="K60" s="103" t="n">
        <f aca="false">'Plan vs Actual (סוכן)'!R40*'Plan vs Actual (סוכן)'!M40</f>
        <v>972</v>
      </c>
      <c r="L60" s="104" t="n">
        <f aca="false">K60*'Plan vs Actual (סוכן)'!G40</f>
        <v>31104</v>
      </c>
    </row>
    <row r="61" customFormat="false" ht="15" hidden="false" customHeight="true" outlineLevel="0" collapsed="false">
      <c r="B61" s="102" t="str">
        <f aca="false">'Plan vs Actual (סוכן)'!B41</f>
        <v>SH776</v>
      </c>
      <c r="C61" s="103" t="n">
        <f aca="false">'Plan vs Actual (סוכן)'!R41*'Plan vs Actual (סוכן)'!K41</f>
        <v>288</v>
      </c>
      <c r="D61" s="104" t="n">
        <f aca="false">C61*'Plan vs Actual (סוכן)'!G41</f>
        <v>69120</v>
      </c>
      <c r="F61" s="102" t="str">
        <f aca="false">'Plan vs Actual (סוכן)'!B41</f>
        <v>SH776</v>
      </c>
      <c r="G61" s="103" t="n">
        <f aca="false">'Plan vs Actual (סוכן)'!R41*'Plan vs Actual (סוכן)'!L41</f>
        <v>90</v>
      </c>
      <c r="H61" s="104" t="n">
        <f aca="false">G61*'Plan vs Actual (סוכן)'!G41</f>
        <v>21600</v>
      </c>
      <c r="J61" s="102" t="str">
        <f aca="false">'Plan vs Actual (סוכן)'!B41</f>
        <v>SH776</v>
      </c>
      <c r="K61" s="103" t="n">
        <f aca="false">'Plan vs Actual (סוכן)'!R41*'Plan vs Actual (סוכן)'!M41</f>
        <v>972</v>
      </c>
      <c r="L61" s="104" t="n">
        <f aca="false">K61*'Plan vs Actual (סוכן)'!G41</f>
        <v>233280</v>
      </c>
    </row>
    <row r="62" customFormat="false" ht="15" hidden="false" customHeight="true" outlineLevel="0" collapsed="false">
      <c r="B62" s="102" t="str">
        <f aca="false">'Plan vs Actual (סוכן)'!B42</f>
        <v>SH322</v>
      </c>
      <c r="C62" s="103" t="n">
        <f aca="false">'Plan vs Actual (סוכן)'!R42*'Plan vs Actual (סוכן)'!K42</f>
        <v>288</v>
      </c>
      <c r="D62" s="104" t="n">
        <f aca="false">C62*'Plan vs Actual (סוכן)'!G42</f>
        <v>16128</v>
      </c>
      <c r="F62" s="102" t="str">
        <f aca="false">'Plan vs Actual (סוכן)'!B42</f>
        <v>SH322</v>
      </c>
      <c r="G62" s="103" t="n">
        <f aca="false">'Plan vs Actual (סוכן)'!R42*'Plan vs Actual (סוכן)'!L42</f>
        <v>90</v>
      </c>
      <c r="H62" s="104" t="n">
        <f aca="false">G62*'Plan vs Actual (סוכן)'!G42</f>
        <v>5040</v>
      </c>
      <c r="J62" s="102" t="str">
        <f aca="false">'Plan vs Actual (סוכן)'!B42</f>
        <v>SH322</v>
      </c>
      <c r="K62" s="103" t="n">
        <f aca="false">'Plan vs Actual (סוכן)'!R42*'Plan vs Actual (סוכן)'!M42</f>
        <v>972</v>
      </c>
      <c r="L62" s="104" t="n">
        <f aca="false">K62*'Plan vs Actual (סוכן)'!G42</f>
        <v>54432</v>
      </c>
    </row>
    <row r="63" customFormat="false" ht="15" hidden="false" customHeight="true" outlineLevel="0" collapsed="false">
      <c r="B63" s="102" t="str">
        <f aca="false">'Plan vs Actual (סוכן)'!B43</f>
        <v>SH922</v>
      </c>
      <c r="C63" s="103" t="n">
        <f aca="false">'Plan vs Actual (סוכן)'!R43*'Plan vs Actual (סוכן)'!K43</f>
        <v>288</v>
      </c>
      <c r="D63" s="104" t="n">
        <f aca="false">C63*'Plan vs Actual (סוכן)'!G43</f>
        <v>18432</v>
      </c>
      <c r="F63" s="102" t="str">
        <f aca="false">'Plan vs Actual (סוכן)'!B43</f>
        <v>SH922</v>
      </c>
      <c r="G63" s="103" t="n">
        <f aca="false">'Plan vs Actual (סוכן)'!R43*'Plan vs Actual (סוכן)'!L43</f>
        <v>90</v>
      </c>
      <c r="H63" s="104" t="n">
        <f aca="false">G63*'Plan vs Actual (סוכן)'!G43</f>
        <v>5760</v>
      </c>
      <c r="J63" s="102" t="str">
        <f aca="false">'Plan vs Actual (סוכן)'!B43</f>
        <v>SH922</v>
      </c>
      <c r="K63" s="103" t="n">
        <f aca="false">'Plan vs Actual (סוכן)'!R43*'Plan vs Actual (סוכן)'!M43</f>
        <v>972</v>
      </c>
      <c r="L63" s="104" t="n">
        <f aca="false">K63*'Plan vs Actual (סוכן)'!G43</f>
        <v>62208</v>
      </c>
    </row>
    <row r="64" customFormat="false" ht="15" hidden="false" customHeight="true" outlineLevel="0" collapsed="false">
      <c r="B64" s="102" t="str">
        <f aca="false">'Plan vs Actual (סוכן)'!B44</f>
        <v>SH423</v>
      </c>
      <c r="C64" s="103" t="n">
        <f aca="false">'Plan vs Actual (סוכן)'!R44*'Plan vs Actual (סוכן)'!K44</f>
        <v>288</v>
      </c>
      <c r="D64" s="104" t="n">
        <f aca="false">C64*'Plan vs Actual (סוכן)'!G44</f>
        <v>59904</v>
      </c>
      <c r="F64" s="102" t="str">
        <f aca="false">'Plan vs Actual (סוכן)'!B44</f>
        <v>SH423</v>
      </c>
      <c r="G64" s="103" t="n">
        <f aca="false">'Plan vs Actual (סוכן)'!R44*'Plan vs Actual (סוכן)'!L44</f>
        <v>90</v>
      </c>
      <c r="H64" s="104" t="n">
        <f aca="false">G64*'Plan vs Actual (סוכן)'!G44</f>
        <v>18720</v>
      </c>
      <c r="J64" s="102" t="str">
        <f aca="false">'Plan vs Actual (סוכן)'!B44</f>
        <v>SH423</v>
      </c>
      <c r="K64" s="103" t="n">
        <f aca="false">'Plan vs Actual (סוכן)'!R44*'Plan vs Actual (סוכן)'!M44</f>
        <v>972</v>
      </c>
      <c r="L64" s="104" t="n">
        <f aca="false">K64*'Plan vs Actual (סוכן)'!G44</f>
        <v>202176</v>
      </c>
    </row>
    <row r="65" customFormat="false" ht="15" hidden="false" customHeight="true" outlineLevel="0" collapsed="false">
      <c r="B65" s="102" t="str">
        <f aca="false">'Plan vs Actual (סוכן)'!B45</f>
        <v>364 XL+</v>
      </c>
      <c r="C65" s="103" t="n">
        <f aca="false">'Plan vs Actual (סוכן)'!R45*'Plan vs Actual (סוכן)'!K45</f>
        <v>0</v>
      </c>
      <c r="D65" s="104" t="n">
        <f aca="false">C65*'Plan vs Actual (סוכן)'!G45</f>
        <v>0</v>
      </c>
      <c r="F65" s="102" t="str">
        <f aca="false">'Plan vs Actual (סוכן)'!B45</f>
        <v>364 XL+</v>
      </c>
      <c r="G65" s="103" t="n">
        <f aca="false">'Plan vs Actual (סוכן)'!R45*'Plan vs Actual (סוכן)'!L45</f>
        <v>0</v>
      </c>
      <c r="H65" s="104" t="n">
        <f aca="false">G65*'Plan vs Actual (סוכן)'!G45</f>
        <v>0</v>
      </c>
      <c r="J65" s="102" t="str">
        <f aca="false">'Plan vs Actual (סוכן)'!B45</f>
        <v>364 XL+</v>
      </c>
      <c r="K65" s="103" t="n">
        <f aca="false">'Plan vs Actual (סוכן)'!R45*'Plan vs Actual (סוכן)'!M45</f>
        <v>819</v>
      </c>
      <c r="L65" s="104" t="n">
        <f aca="false">K65*'Plan vs Actual (סוכן)'!G45</f>
        <v>22473.36</v>
      </c>
    </row>
    <row r="66" customFormat="false" ht="15" hidden="false" customHeight="true" outlineLevel="0" collapsed="false">
      <c r="B66" s="102" t="str">
        <f aca="false">'Plan vs Actual (סוכן)'!B46</f>
        <v>809PW</v>
      </c>
      <c r="C66" s="103" t="n">
        <f aca="false">'Plan vs Actual (סוכן)'!R46*'Plan vs Actual (סוכן)'!K46</f>
        <v>0</v>
      </c>
      <c r="D66" s="104" t="n">
        <f aca="false">C66*'Plan vs Actual (סוכן)'!G46</f>
        <v>0</v>
      </c>
      <c r="F66" s="102" t="str">
        <f aca="false">'Plan vs Actual (סוכן)'!B46</f>
        <v>809PW</v>
      </c>
      <c r="G66" s="103" t="n">
        <f aca="false">'Plan vs Actual (סוכן)'!R46*'Plan vs Actual (סוכן)'!L46</f>
        <v>90</v>
      </c>
      <c r="H66" s="104" t="n">
        <f aca="false">G66*'Plan vs Actual (סוכן)'!G46</f>
        <v>756</v>
      </c>
      <c r="J66" s="102" t="str">
        <f aca="false">'Plan vs Actual (סוכן)'!B46</f>
        <v>809PW</v>
      </c>
      <c r="K66" s="103" t="n">
        <f aca="false">'Plan vs Actual (סוכן)'!R46*'Plan vs Actual (סוכן)'!M46</f>
        <v>1134</v>
      </c>
      <c r="L66" s="104" t="n">
        <f aca="false">K66*'Plan vs Actual (סוכן)'!G46</f>
        <v>9525.6</v>
      </c>
    </row>
    <row r="67" customFormat="false" ht="15" hidden="false" customHeight="true" outlineLevel="0" collapsed="false">
      <c r="B67" s="102" t="str">
        <f aca="false">'Plan vs Actual (סוכן)'!B47</f>
        <v>T40B</v>
      </c>
      <c r="C67" s="103" t="n">
        <f aca="false">'Plan vs Actual (סוכן)'!R47*'Plan vs Actual (סוכן)'!K47</f>
        <v>208</v>
      </c>
      <c r="D67" s="104" t="n">
        <f aca="false">C67*'Plan vs Actual (סוכן)'!G47</f>
        <v>11648</v>
      </c>
      <c r="F67" s="102" t="str">
        <f aca="false">'Plan vs Actual (סוכן)'!B47</f>
        <v>T40B</v>
      </c>
      <c r="G67" s="103" t="n">
        <f aca="false">'Plan vs Actual (סוכן)'!R47*'Plan vs Actual (סוכן)'!L47</f>
        <v>0</v>
      </c>
      <c r="H67" s="104" t="n">
        <f aca="false">G67*'Plan vs Actual (סוכן)'!G47</f>
        <v>0</v>
      </c>
      <c r="J67" s="102" t="str">
        <f aca="false">'Plan vs Actual (סוכן)'!B47</f>
        <v>T40B</v>
      </c>
      <c r="K67" s="103" t="n">
        <f aca="false">'Plan vs Actual (סוכן)'!R47*'Plan vs Actual (סוכן)'!M47</f>
        <v>702</v>
      </c>
      <c r="L67" s="104" t="n">
        <f aca="false">K67*'Plan vs Actual (סוכן)'!G47</f>
        <v>39312</v>
      </c>
    </row>
    <row r="68" customFormat="false" ht="15" hidden="false" customHeight="true" outlineLevel="0" collapsed="false">
      <c r="B68" s="102" t="str">
        <f aca="false">'Plan vs Actual (סוכן)'!B48</f>
        <v>T066B</v>
      </c>
      <c r="C68" s="103" t="n">
        <f aca="false">'Plan vs Actual (סוכן)'!R48*'Plan vs Actual (סוכן)'!K48</f>
        <v>80</v>
      </c>
      <c r="D68" s="104" t="n">
        <f aca="false">C68*'Plan vs Actual (סוכן)'!G48</f>
        <v>8960</v>
      </c>
      <c r="F68" s="102" t="str">
        <f aca="false">'Plan vs Actual (סוכן)'!B48</f>
        <v>T066B</v>
      </c>
      <c r="G68" s="103" t="n">
        <f aca="false">'Plan vs Actual (סוכן)'!R48*'Plan vs Actual (סוכן)'!L48</f>
        <v>25</v>
      </c>
      <c r="H68" s="104" t="n">
        <f aca="false">G68*'Plan vs Actual (סוכן)'!G48</f>
        <v>2800</v>
      </c>
      <c r="J68" s="102" t="str">
        <f aca="false">'Plan vs Actual (סוכן)'!B48</f>
        <v>T066B</v>
      </c>
      <c r="K68" s="103" t="n">
        <f aca="false">'Plan vs Actual (סוכן)'!R48*'Plan vs Actual (סוכן)'!M48</f>
        <v>270</v>
      </c>
      <c r="L68" s="104" t="n">
        <f aca="false">K68*'Plan vs Actual (סוכן)'!G48</f>
        <v>30240</v>
      </c>
    </row>
    <row r="69" customFormat="false" ht="15" hidden="false" customHeight="true" outlineLevel="0" collapsed="false">
      <c r="B69" s="102" t="n">
        <f aca="false">'Plan vs Actual (סוכן)'!B49</f>
        <v>3051</v>
      </c>
      <c r="C69" s="103" t="n">
        <f aca="false">'Plan vs Actual (סוכן)'!R49*'Plan vs Actual (סוכן)'!K49</f>
        <v>272</v>
      </c>
      <c r="D69" s="104" t="n">
        <f aca="false">C69*'Plan vs Actual (סוכן)'!G49</f>
        <v>33945.6</v>
      </c>
      <c r="F69" s="102" t="n">
        <f aca="false">'Plan vs Actual (סוכן)'!B49</f>
        <v>3051</v>
      </c>
      <c r="G69" s="103" t="n">
        <f aca="false">'Plan vs Actual (סוכן)'!R49*'Plan vs Actual (סוכן)'!L49</f>
        <v>85</v>
      </c>
      <c r="H69" s="104" t="n">
        <f aca="false">G69*'Plan vs Actual (סוכן)'!G49</f>
        <v>10608</v>
      </c>
      <c r="J69" s="102" t="n">
        <f aca="false">'Plan vs Actual (סוכן)'!B49</f>
        <v>3051</v>
      </c>
      <c r="K69" s="103" t="n">
        <f aca="false">'Plan vs Actual (סוכן)'!R49*'Plan vs Actual (סוכן)'!M49</f>
        <v>918</v>
      </c>
      <c r="L69" s="104" t="n">
        <f aca="false">K69*'Plan vs Actual (סוכן)'!G49</f>
        <v>114566.4</v>
      </c>
    </row>
    <row r="70" customFormat="false" ht="15" hidden="false" customHeight="true" outlineLevel="0" collapsed="false">
      <c r="B70" s="102" t="str">
        <f aca="false">'Plan vs Actual (סוכן)'!B50</f>
        <v>MSG001F 0</v>
      </c>
      <c r="C70" s="103" t="n">
        <f aca="false">'Plan vs Actual (סוכן)'!R50*'Plan vs Actual (סוכן)'!K50</f>
        <v>48</v>
      </c>
      <c r="D70" s="104" t="n">
        <f aca="false">C70*'Plan vs Actual (סוכן)'!G50</f>
        <v>21120</v>
      </c>
      <c r="F70" s="102" t="str">
        <f aca="false">'Plan vs Actual (סוכן)'!B50</f>
        <v>MSG001F 0</v>
      </c>
      <c r="G70" s="103" t="n">
        <f aca="false">'Plan vs Actual (סוכן)'!R50*'Plan vs Actual (סוכן)'!L50</f>
        <v>15</v>
      </c>
      <c r="H70" s="104" t="n">
        <f aca="false">G70*'Plan vs Actual (סוכן)'!G50</f>
        <v>6600</v>
      </c>
      <c r="J70" s="102" t="str">
        <f aca="false">'Plan vs Actual (סוכן)'!B50</f>
        <v>MSG001F 0</v>
      </c>
      <c r="K70" s="103" t="n">
        <f aca="false">'Plan vs Actual (סוכן)'!R50*'Plan vs Actual (סוכן)'!M50</f>
        <v>60</v>
      </c>
      <c r="L70" s="104" t="n">
        <f aca="false">K70*'Plan vs Actual (סוכן)'!G50</f>
        <v>26400</v>
      </c>
    </row>
    <row r="71" customFormat="false" ht="15" hidden="false" customHeight="true" outlineLevel="0" collapsed="false">
      <c r="B71" s="102" t="str">
        <f aca="false">'Plan vs Actual (סוכן)'!B51</f>
        <v>MSG002S 0</v>
      </c>
      <c r="C71" s="103" t="n">
        <f aca="false">'Plan vs Actual (סוכן)'!R51*'Plan vs Actual (סוכן)'!K51</f>
        <v>48</v>
      </c>
      <c r="D71" s="104" t="n">
        <f aca="false">C71*'Plan vs Actual (סוכן)'!G51</f>
        <v>21120</v>
      </c>
      <c r="F71" s="102" t="str">
        <f aca="false">'Plan vs Actual (סוכן)'!B51</f>
        <v>MSG002S 0</v>
      </c>
      <c r="G71" s="103" t="n">
        <f aca="false">'Plan vs Actual (סוכן)'!R51*'Plan vs Actual (סוכן)'!L51</f>
        <v>15</v>
      </c>
      <c r="H71" s="104" t="n">
        <f aca="false">G71*'Plan vs Actual (סוכן)'!G51</f>
        <v>6600</v>
      </c>
      <c r="J71" s="102" t="str">
        <f aca="false">'Plan vs Actual (סוכן)'!B51</f>
        <v>MSG002S 0</v>
      </c>
      <c r="K71" s="103" t="n">
        <f aca="false">'Plan vs Actual (סוכן)'!R51*'Plan vs Actual (סוכן)'!M51</f>
        <v>60</v>
      </c>
      <c r="L71" s="104" t="n">
        <f aca="false">K71*'Plan vs Actual (סוכן)'!G51</f>
        <v>26400</v>
      </c>
    </row>
    <row r="72" customFormat="false" ht="15" hidden="false" customHeight="true" outlineLevel="0" collapsed="false">
      <c r="B72" s="102" t="str">
        <f aca="false">'Plan vs Actual (סוכן)'!B52</f>
        <v>T-scoop רגל</v>
      </c>
      <c r="C72" s="103" t="n">
        <f aca="false">'Plan vs Actual (סוכן)'!R52*'Plan vs Actual (סוכן)'!K52</f>
        <v>32</v>
      </c>
      <c r="D72" s="104" t="n">
        <f aca="false">C72*'Plan vs Actual (סוכן)'!G52</f>
        <v>6784</v>
      </c>
      <c r="F72" s="102" t="str">
        <f aca="false">'Plan vs Actual (סוכן)'!B52</f>
        <v>T-scoop רגל</v>
      </c>
      <c r="G72" s="103" t="n">
        <f aca="false">'Plan vs Actual (סוכן)'!R52*'Plan vs Actual (סוכן)'!L52</f>
        <v>10</v>
      </c>
      <c r="H72" s="104" t="n">
        <f aca="false">G72*'Plan vs Actual (סוכן)'!G52</f>
        <v>2120</v>
      </c>
      <c r="J72" s="102" t="str">
        <f aca="false">'Plan vs Actual (סוכן)'!B52</f>
        <v>T-scoop רגל</v>
      </c>
      <c r="K72" s="103" t="n">
        <f aca="false">'Plan vs Actual (סוכן)'!R52*'Plan vs Actual (סוכן)'!M52</f>
        <v>0</v>
      </c>
      <c r="L72" s="104" t="n">
        <f aca="false">K72*'Plan vs Actual (סוכן)'!G52</f>
        <v>0</v>
      </c>
    </row>
    <row r="73" customFormat="false" ht="15" hidden="false" customHeight="true" outlineLevel="0" collapsed="false">
      <c r="B73" s="102" t="str">
        <f aca="false">'Plan vs Actual (סוכן)'!B53</f>
        <v>T-scoop יד</v>
      </c>
      <c r="C73" s="103" t="n">
        <f aca="false">'Plan vs Actual (סוכן)'!R53*'Plan vs Actual (סוכן)'!K53</f>
        <v>0</v>
      </c>
      <c r="D73" s="104" t="n">
        <f aca="false">C73*'Plan vs Actual (סוכן)'!G53</f>
        <v>0</v>
      </c>
      <c r="F73" s="102" t="str">
        <f aca="false">'Plan vs Actual (סוכן)'!B53</f>
        <v>T-scoop יד</v>
      </c>
      <c r="G73" s="103" t="n">
        <f aca="false">'Plan vs Actual (סוכן)'!R53*'Plan vs Actual (סוכן)'!L53</f>
        <v>0</v>
      </c>
      <c r="H73" s="104" t="n">
        <f aca="false">G73*'Plan vs Actual (סוכן)'!G53</f>
        <v>0</v>
      </c>
      <c r="J73" s="102" t="str">
        <f aca="false">'Plan vs Actual (סוכן)'!B53</f>
        <v>T-scoop יד</v>
      </c>
      <c r="K73" s="103" t="n">
        <f aca="false">'Plan vs Actual (סוכן)'!R53*'Plan vs Actual (סוכן)'!M53</f>
        <v>0</v>
      </c>
      <c r="L73" s="104" t="n">
        <f aca="false">K73*'Plan vs Actual (סוכן)'!G53</f>
        <v>0</v>
      </c>
    </row>
    <row r="74" customFormat="false" ht="15" hidden="false" customHeight="true" outlineLevel="0" collapsed="false">
      <c r="B74" s="102" t="str">
        <f aca="false">'Plan vs Actual (סוכן)'!B54</f>
        <v>SH779 חגורת Jewett</v>
      </c>
      <c r="C74" s="103" t="n">
        <f aca="false">'Plan vs Actual (סוכן)'!R54*'Plan vs Actual (סוכן)'!K54</f>
        <v>80</v>
      </c>
      <c r="D74" s="104" t="n">
        <f aca="false">C74*'Plan vs Actual (סוכן)'!G54</f>
        <v>28160</v>
      </c>
      <c r="F74" s="102" t="str">
        <f aca="false">'Plan vs Actual (סוכן)'!B54</f>
        <v>SH779 חגורת Jewett</v>
      </c>
      <c r="G74" s="103" t="n">
        <f aca="false">'Plan vs Actual (סוכן)'!R54*'Plan vs Actual (סוכן)'!L54</f>
        <v>25</v>
      </c>
      <c r="H74" s="104" t="n">
        <f aca="false">G74*'Plan vs Actual (סוכן)'!G54</f>
        <v>8800</v>
      </c>
      <c r="J74" s="102" t="str">
        <f aca="false">'Plan vs Actual (סוכן)'!B54</f>
        <v>SH779 חגורת Jewett</v>
      </c>
      <c r="K74" s="103" t="n">
        <f aca="false">'Plan vs Actual (סוכן)'!R54*'Plan vs Actual (סוכן)'!M54</f>
        <v>270</v>
      </c>
      <c r="L74" s="104" t="n">
        <f aca="false">K74*'Plan vs Actual (סוכן)'!G54</f>
        <v>95040</v>
      </c>
    </row>
    <row r="75" customFormat="false" ht="15" hidden="false" customHeight="true" outlineLevel="0" collapsed="false">
      <c r="B75" s="102" t="str">
        <f aca="false">'Plan vs Actual (סוכן)'!B55</f>
        <v>מגף (ווקר)</v>
      </c>
      <c r="C75" s="103" t="n">
        <f aca="false">'Plan vs Actual (סוכן)'!R55*'Plan vs Actual (סוכן)'!K55</f>
        <v>32</v>
      </c>
      <c r="D75" s="104" t="n">
        <f aca="false">C75*'Plan vs Actual (סוכן)'!G55</f>
        <v>4096</v>
      </c>
      <c r="F75" s="102" t="str">
        <f aca="false">'Plan vs Actual (סוכן)'!B55</f>
        <v>מגף (ווקר)</v>
      </c>
      <c r="G75" s="103" t="n">
        <f aca="false">'Plan vs Actual (סוכן)'!R55*'Plan vs Actual (סוכן)'!L55</f>
        <v>10</v>
      </c>
      <c r="H75" s="104" t="n">
        <f aca="false">G75*'Plan vs Actual (סוכן)'!G55</f>
        <v>1280</v>
      </c>
      <c r="J75" s="102" t="str">
        <f aca="false">'Plan vs Actual (סוכן)'!B55</f>
        <v>מגף (ווקר)</v>
      </c>
      <c r="K75" s="103" t="n">
        <f aca="false">'Plan vs Actual (סוכן)'!R55*'Plan vs Actual (סוכן)'!M55</f>
        <v>40</v>
      </c>
      <c r="L75" s="104" t="n">
        <f aca="false">K75*'Plan vs Actual (סוכן)'!G55</f>
        <v>5120</v>
      </c>
    </row>
    <row r="76" customFormat="false" ht="15" hidden="false" customHeight="true" outlineLevel="0" collapsed="false">
      <c r="B76" s="102" t="str">
        <f aca="false">'Plan vs Actual (סוכן)'!B56</f>
        <v>SH660 cervical collar</v>
      </c>
      <c r="C76" s="103" t="n">
        <f aca="false">'Plan vs Actual (סוכן)'!R56*'Plan vs Actual (סוכן)'!K56</f>
        <v>80</v>
      </c>
      <c r="D76" s="104" t="n">
        <f aca="false">C76*'Plan vs Actual (סוכן)'!G56</f>
        <v>17920</v>
      </c>
      <c r="F76" s="102" t="str">
        <f aca="false">'Plan vs Actual (סוכן)'!B56</f>
        <v>SH660 cervical collar</v>
      </c>
      <c r="G76" s="103" t="n">
        <f aca="false">'Plan vs Actual (סוכן)'!R56*'Plan vs Actual (סוכן)'!L56</f>
        <v>25</v>
      </c>
      <c r="H76" s="104" t="n">
        <f aca="false">G76*'Plan vs Actual (סוכן)'!G56</f>
        <v>5600</v>
      </c>
      <c r="J76" s="102" t="str">
        <f aca="false">'Plan vs Actual (סוכן)'!B56</f>
        <v>SH660 cervical collar</v>
      </c>
      <c r="K76" s="103" t="n">
        <f aca="false">'Plan vs Actual (סוכן)'!R56*'Plan vs Actual (סוכן)'!M56</f>
        <v>100</v>
      </c>
      <c r="L76" s="104" t="n">
        <f aca="false">K76*'Plan vs Actual (סוכן)'!G56</f>
        <v>22400</v>
      </c>
    </row>
    <row r="77" customFormat="false" ht="15" hidden="false" customHeight="true" outlineLevel="0" collapsed="false">
      <c r="B77" s="102" t="str">
        <f aca="false">'Plan vs Actual (סוכן)'!B57</f>
        <v>T36B</v>
      </c>
      <c r="C77" s="103" t="n">
        <f aca="false">'Plan vs Actual (סוכן)'!R57*'Plan vs Actual (סוכן)'!K57</f>
        <v>192</v>
      </c>
      <c r="D77" s="104" t="n">
        <f aca="false">C77*'Plan vs Actual (סוכן)'!G57</f>
        <v>19200</v>
      </c>
      <c r="F77" s="102" t="str">
        <f aca="false">'Plan vs Actual (סוכן)'!B57</f>
        <v>T36B</v>
      </c>
      <c r="G77" s="103" t="n">
        <f aca="false">'Plan vs Actual (סוכן)'!R57*'Plan vs Actual (סוכן)'!L57</f>
        <v>60</v>
      </c>
      <c r="H77" s="104" t="n">
        <f aca="false">G77*'Plan vs Actual (סוכן)'!G57</f>
        <v>6000</v>
      </c>
      <c r="J77" s="102" t="str">
        <f aca="false">'Plan vs Actual (סוכן)'!B57</f>
        <v>T36B</v>
      </c>
      <c r="K77" s="103" t="n">
        <f aca="false">'Plan vs Actual (סוכן)'!R57*'Plan vs Actual (סוכן)'!M57</f>
        <v>648</v>
      </c>
      <c r="L77" s="104" t="n">
        <f aca="false">K77*'Plan vs Actual (סוכן)'!G57</f>
        <v>64800</v>
      </c>
    </row>
    <row r="78" customFormat="false" ht="15" hidden="false" customHeight="true" outlineLevel="0" collapsed="false">
      <c r="B78" s="105" t="s">
        <v>86</v>
      </c>
      <c r="C78" s="106" t="n">
        <f aca="false">SUM(C58:C77)</f>
        <v>3040</v>
      </c>
      <c r="D78" s="107" t="n">
        <f aca="false">SUM(D58:D77)</f>
        <v>385689.6</v>
      </c>
      <c r="F78" s="105" t="s">
        <v>86</v>
      </c>
      <c r="G78" s="106" t="n">
        <f aca="false">SUM(G58:G77)</f>
        <v>975</v>
      </c>
      <c r="H78" s="107" t="n">
        <f aca="false">SUM(H58:H77)</f>
        <v>117644</v>
      </c>
      <c r="J78" s="105" t="s">
        <v>86</v>
      </c>
      <c r="K78" s="106" t="n">
        <f aca="false">SUM(K58:K77)</f>
        <v>11663</v>
      </c>
      <c r="L78" s="107" t="n">
        <f aca="false">SUM(L58:L77)</f>
        <v>1174261.36</v>
      </c>
    </row>
    <row r="80" customFormat="false" ht="21.75" hidden="false" customHeight="true" outlineLevel="0" collapsed="false">
      <c r="A80" s="99" t="s">
        <v>177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</row>
    <row r="81" customFormat="false" ht="15" hidden="false" customHeight="true" outlineLevel="0" collapsed="false">
      <c r="B81" s="100" t="s">
        <v>107</v>
      </c>
      <c r="C81" s="100"/>
      <c r="D81" s="100"/>
      <c r="F81" s="100" t="s">
        <v>108</v>
      </c>
      <c r="G81" s="100"/>
      <c r="H81" s="100"/>
      <c r="J81" s="100" t="s">
        <v>19</v>
      </c>
      <c r="K81" s="100"/>
      <c r="L81" s="100"/>
    </row>
    <row r="82" customFormat="false" ht="15" hidden="false" customHeight="true" outlineLevel="0" collapsed="false">
      <c r="B82" s="101" t="s">
        <v>88</v>
      </c>
      <c r="C82" s="101" t="s">
        <v>173</v>
      </c>
      <c r="D82" s="101" t="s">
        <v>174</v>
      </c>
      <c r="F82" s="101" t="s">
        <v>88</v>
      </c>
      <c r="G82" s="101" t="s">
        <v>173</v>
      </c>
      <c r="H82" s="101" t="s">
        <v>174</v>
      </c>
      <c r="J82" s="101" t="s">
        <v>88</v>
      </c>
      <c r="K82" s="101" t="s">
        <v>173</v>
      </c>
      <c r="L82" s="101" t="s">
        <v>174</v>
      </c>
    </row>
    <row r="83" customFormat="false" ht="15" hidden="false" customHeight="true" outlineLevel="0" collapsed="false">
      <c r="B83" s="102" t="str">
        <f aca="false">'Plan vs Actual (סוכן)'!B38</f>
        <v>213 CTS</v>
      </c>
      <c r="C83" s="103" t="n">
        <f aca="false">'Plan vs Actual (סוכן)'!R38*'Plan vs Actual (סוכן)'!V38</f>
        <v>450</v>
      </c>
      <c r="D83" s="104" t="n">
        <f aca="false">C83*'Plan vs Actual (סוכן)'!G38</f>
        <v>32400</v>
      </c>
      <c r="F83" s="102" t="str">
        <f aca="false">'Plan vs Actual (סוכן)'!B38</f>
        <v>213 CTS</v>
      </c>
      <c r="G83" s="103" t="n">
        <f aca="false">'Plan vs Actual (סוכן)'!R38*'Plan vs Actual (סוכן)'!W38</f>
        <v>198</v>
      </c>
      <c r="H83" s="104" t="n">
        <f aca="false">G83*'Plan vs Actual (סוכן)'!G38</f>
        <v>14256</v>
      </c>
      <c r="J83" s="102" t="str">
        <f aca="false">'Plan vs Actual (סוכן)'!B38</f>
        <v>213 CTS</v>
      </c>
      <c r="K83" s="103" t="n">
        <f aca="false">'Plan vs Actual (סוכן)'!R38*'Plan vs Actual (סוכן)'!X38</f>
        <v>3240</v>
      </c>
      <c r="L83" s="104" t="n">
        <f aca="false">K83*'Plan vs Actual (סוכן)'!G38</f>
        <v>233280</v>
      </c>
    </row>
    <row r="84" customFormat="false" ht="15" hidden="false" customHeight="true" outlineLevel="0" collapsed="false">
      <c r="B84" s="102" t="str">
        <f aca="false">'Plan vs Actual (סוכן)'!B39</f>
        <v>SH422 </v>
      </c>
      <c r="C84" s="103" t="n">
        <f aca="false">'Plan vs Actual (סוכן)'!R39*'Plan vs Actual (סוכן)'!V39</f>
        <v>375</v>
      </c>
      <c r="D84" s="104" t="n">
        <f aca="false">C84*'Plan vs Actual (סוכן)'!G39</f>
        <v>30000</v>
      </c>
      <c r="F84" s="102" t="str">
        <f aca="false">'Plan vs Actual (סוכן)'!B39</f>
        <v>SH422 </v>
      </c>
      <c r="G84" s="103" t="n">
        <f aca="false">'Plan vs Actual (סוכן)'!R39*'Plan vs Actual (סוכן)'!W39</f>
        <v>165</v>
      </c>
      <c r="H84" s="104" t="n">
        <f aca="false">G84*'Plan vs Actual (סוכן)'!G39</f>
        <v>13200</v>
      </c>
      <c r="J84" s="102" t="str">
        <f aca="false">'Plan vs Actual (סוכן)'!B39</f>
        <v>SH422 </v>
      </c>
      <c r="K84" s="103" t="n">
        <f aca="false">'Plan vs Actual (סוכן)'!R39*'Plan vs Actual (סוכן)'!X39</f>
        <v>2700</v>
      </c>
      <c r="L84" s="104" t="n">
        <f aca="false">K84*'Plan vs Actual (סוכן)'!G39</f>
        <v>216000</v>
      </c>
    </row>
    <row r="85" customFormat="false" ht="15" hidden="false" customHeight="true" outlineLevel="0" collapsed="false">
      <c r="B85" s="102" t="str">
        <f aca="false">'Plan vs Actual (סוכן)'!B40</f>
        <v>SH333</v>
      </c>
      <c r="C85" s="103" t="n">
        <f aca="false">'Plan vs Actual (סוכן)'!R40*'Plan vs Actual (סוכן)'!V40</f>
        <v>450</v>
      </c>
      <c r="D85" s="104" t="n">
        <f aca="false">C85*'Plan vs Actual (סוכן)'!G40</f>
        <v>14400</v>
      </c>
      <c r="F85" s="102" t="str">
        <f aca="false">'Plan vs Actual (סוכן)'!B40</f>
        <v>SH333</v>
      </c>
      <c r="G85" s="103" t="n">
        <f aca="false">'Plan vs Actual (סוכן)'!R40*'Plan vs Actual (סוכן)'!W40</f>
        <v>198</v>
      </c>
      <c r="H85" s="104" t="n">
        <f aca="false">G85*'Plan vs Actual (סוכן)'!G40</f>
        <v>6336</v>
      </c>
      <c r="J85" s="102" t="str">
        <f aca="false">'Plan vs Actual (סוכן)'!B40</f>
        <v>SH333</v>
      </c>
      <c r="K85" s="103" t="n">
        <f aca="false">'Plan vs Actual (סוכן)'!R40*'Plan vs Actual (סוכן)'!X40</f>
        <v>3240</v>
      </c>
      <c r="L85" s="104" t="n">
        <f aca="false">K85*'Plan vs Actual (סוכן)'!G40</f>
        <v>103680</v>
      </c>
    </row>
    <row r="86" customFormat="false" ht="15" hidden="false" customHeight="true" outlineLevel="0" collapsed="false">
      <c r="B86" s="102" t="str">
        <f aca="false">'Plan vs Actual (סוכן)'!B41</f>
        <v>SH776</v>
      </c>
      <c r="C86" s="103" t="n">
        <f aca="false">'Plan vs Actual (סוכן)'!R41*'Plan vs Actual (סוכן)'!V41</f>
        <v>450</v>
      </c>
      <c r="D86" s="104" t="n">
        <f aca="false">C86*'Plan vs Actual (סוכן)'!G41</f>
        <v>108000</v>
      </c>
      <c r="F86" s="102" t="str">
        <f aca="false">'Plan vs Actual (סוכן)'!B41</f>
        <v>SH776</v>
      </c>
      <c r="G86" s="103" t="n">
        <f aca="false">'Plan vs Actual (סוכן)'!R41*'Plan vs Actual (סוכן)'!W41</f>
        <v>198</v>
      </c>
      <c r="H86" s="104" t="n">
        <f aca="false">G86*'Plan vs Actual (סוכן)'!G41</f>
        <v>47520</v>
      </c>
      <c r="J86" s="102" t="str">
        <f aca="false">'Plan vs Actual (סוכן)'!B41</f>
        <v>SH776</v>
      </c>
      <c r="K86" s="103" t="n">
        <f aca="false">'Plan vs Actual (סוכן)'!R41*'Plan vs Actual (סוכן)'!X41</f>
        <v>3240</v>
      </c>
      <c r="L86" s="104" t="n">
        <f aca="false">K86*'Plan vs Actual (סוכן)'!G41</f>
        <v>777600</v>
      </c>
    </row>
    <row r="87" customFormat="false" ht="15" hidden="false" customHeight="true" outlineLevel="0" collapsed="false">
      <c r="B87" s="102" t="str">
        <f aca="false">'Plan vs Actual (סוכן)'!B42</f>
        <v>SH322</v>
      </c>
      <c r="C87" s="103" t="n">
        <f aca="false">'Plan vs Actual (סוכן)'!R42*'Plan vs Actual (סוכן)'!V42</f>
        <v>450</v>
      </c>
      <c r="D87" s="104" t="n">
        <f aca="false">C87*'Plan vs Actual (סוכן)'!G42</f>
        <v>25200</v>
      </c>
      <c r="F87" s="102" t="str">
        <f aca="false">'Plan vs Actual (סוכן)'!B42</f>
        <v>SH322</v>
      </c>
      <c r="G87" s="103" t="n">
        <f aca="false">'Plan vs Actual (סוכן)'!R42*'Plan vs Actual (סוכן)'!W42</f>
        <v>198</v>
      </c>
      <c r="H87" s="104" t="n">
        <f aca="false">G87*'Plan vs Actual (סוכן)'!G42</f>
        <v>11088</v>
      </c>
      <c r="J87" s="102" t="str">
        <f aca="false">'Plan vs Actual (סוכן)'!B42</f>
        <v>SH322</v>
      </c>
      <c r="K87" s="103" t="n">
        <f aca="false">'Plan vs Actual (סוכן)'!R42*'Plan vs Actual (סוכן)'!X42</f>
        <v>3240</v>
      </c>
      <c r="L87" s="104" t="n">
        <f aca="false">K87*'Plan vs Actual (סוכן)'!G42</f>
        <v>181440</v>
      </c>
    </row>
    <row r="88" customFormat="false" ht="15" hidden="false" customHeight="true" outlineLevel="0" collapsed="false">
      <c r="B88" s="102" t="str">
        <f aca="false">'Plan vs Actual (סוכן)'!B43</f>
        <v>SH922</v>
      </c>
      <c r="C88" s="103" t="n">
        <f aca="false">'Plan vs Actual (סוכן)'!R43*'Plan vs Actual (סוכן)'!V43</f>
        <v>450</v>
      </c>
      <c r="D88" s="104" t="n">
        <f aca="false">C88*'Plan vs Actual (סוכן)'!G43</f>
        <v>28800</v>
      </c>
      <c r="F88" s="102" t="str">
        <f aca="false">'Plan vs Actual (סוכן)'!B43</f>
        <v>SH922</v>
      </c>
      <c r="G88" s="103" t="n">
        <f aca="false">'Plan vs Actual (סוכן)'!R43*'Plan vs Actual (סוכן)'!W43</f>
        <v>198</v>
      </c>
      <c r="H88" s="104" t="n">
        <f aca="false">G88*'Plan vs Actual (סוכן)'!G43</f>
        <v>12672</v>
      </c>
      <c r="J88" s="102" t="str">
        <f aca="false">'Plan vs Actual (סוכן)'!B43</f>
        <v>SH922</v>
      </c>
      <c r="K88" s="103" t="n">
        <f aca="false">'Plan vs Actual (סוכן)'!R43*'Plan vs Actual (סוכן)'!X43</f>
        <v>3240</v>
      </c>
      <c r="L88" s="104" t="n">
        <f aca="false">K88*'Plan vs Actual (סוכן)'!G43</f>
        <v>207360</v>
      </c>
    </row>
    <row r="89" customFormat="false" ht="15" hidden="false" customHeight="true" outlineLevel="0" collapsed="false">
      <c r="B89" s="102" t="str">
        <f aca="false">'Plan vs Actual (סוכן)'!B44</f>
        <v>SH423</v>
      </c>
      <c r="C89" s="103" t="n">
        <f aca="false">'Plan vs Actual (סוכן)'!R44*'Plan vs Actual (סוכן)'!V44</f>
        <v>450</v>
      </c>
      <c r="D89" s="104" t="n">
        <f aca="false">C89*'Plan vs Actual (סוכן)'!G44</f>
        <v>93600</v>
      </c>
      <c r="F89" s="102" t="str">
        <f aca="false">'Plan vs Actual (סוכן)'!B44</f>
        <v>SH423</v>
      </c>
      <c r="G89" s="103" t="n">
        <f aca="false">'Plan vs Actual (סוכן)'!R44*'Plan vs Actual (סוכן)'!W44</f>
        <v>198</v>
      </c>
      <c r="H89" s="104" t="n">
        <f aca="false">G89*'Plan vs Actual (סוכן)'!G44</f>
        <v>41184</v>
      </c>
      <c r="J89" s="102" t="str">
        <f aca="false">'Plan vs Actual (סוכן)'!B44</f>
        <v>SH423</v>
      </c>
      <c r="K89" s="103" t="n">
        <f aca="false">'Plan vs Actual (סוכן)'!R44*'Plan vs Actual (סוכן)'!X44</f>
        <v>3240</v>
      </c>
      <c r="L89" s="104" t="n">
        <f aca="false">K89*'Plan vs Actual (סוכן)'!G44</f>
        <v>673920</v>
      </c>
    </row>
    <row r="90" customFormat="false" ht="15" hidden="false" customHeight="true" outlineLevel="0" collapsed="false">
      <c r="B90" s="102" t="str">
        <f aca="false">'Plan vs Actual (סוכן)'!B45</f>
        <v>364 XL+</v>
      </c>
      <c r="C90" s="103" t="n">
        <f aca="false">'Plan vs Actual (סוכן)'!R45*'Plan vs Actual (סוכן)'!V45</f>
        <v>0</v>
      </c>
      <c r="D90" s="104" t="n">
        <f aca="false">C90*'Plan vs Actual (סוכן)'!G45</f>
        <v>0</v>
      </c>
      <c r="F90" s="102" t="str">
        <f aca="false">'Plan vs Actual (סוכן)'!B45</f>
        <v>364 XL+</v>
      </c>
      <c r="G90" s="103" t="n">
        <f aca="false">'Plan vs Actual (סוכן)'!R45*'Plan vs Actual (סוכן)'!W45</f>
        <v>0</v>
      </c>
      <c r="H90" s="104" t="n">
        <f aca="false">G90*'Plan vs Actual (סוכן)'!G45</f>
        <v>0</v>
      </c>
      <c r="J90" s="102" t="str">
        <f aca="false">'Plan vs Actual (סוכן)'!B45</f>
        <v>364 XL+</v>
      </c>
      <c r="K90" s="103" t="n">
        <f aca="false">'Plan vs Actual (סוכן)'!R45*'Plan vs Actual (סוכן)'!X45</f>
        <v>2600</v>
      </c>
      <c r="L90" s="104" t="n">
        <f aca="false">K90*'Plan vs Actual (סוכן)'!G45</f>
        <v>71344</v>
      </c>
    </row>
    <row r="91" customFormat="false" ht="15" hidden="false" customHeight="true" outlineLevel="0" collapsed="false">
      <c r="B91" s="102" t="str">
        <f aca="false">'Plan vs Actual (סוכן)'!B46</f>
        <v>809PW</v>
      </c>
      <c r="C91" s="103" t="n">
        <f aca="false">'Plan vs Actual (סוכן)'!R46*'Plan vs Actual (סוכן)'!V46</f>
        <v>0</v>
      </c>
      <c r="D91" s="104" t="n">
        <f aca="false">C91*'Plan vs Actual (סוכן)'!G46</f>
        <v>0</v>
      </c>
      <c r="F91" s="102" t="str">
        <f aca="false">'Plan vs Actual (סוכן)'!B46</f>
        <v>809PW</v>
      </c>
      <c r="G91" s="103" t="n">
        <f aca="false">'Plan vs Actual (סוכן)'!R46*'Plan vs Actual (סוכן)'!W46</f>
        <v>198</v>
      </c>
      <c r="H91" s="104" t="n">
        <f aca="false">G91*'Plan vs Actual (סוכן)'!G46</f>
        <v>1663.2</v>
      </c>
      <c r="J91" s="102" t="str">
        <f aca="false">'Plan vs Actual (סוכן)'!B46</f>
        <v>809PW</v>
      </c>
      <c r="K91" s="103" t="n">
        <f aca="false">'Plan vs Actual (סוכן)'!R46*'Plan vs Actual (סוכן)'!X46</f>
        <v>1800</v>
      </c>
      <c r="L91" s="104" t="n">
        <f aca="false">K91*'Plan vs Actual (סוכן)'!G46</f>
        <v>15120</v>
      </c>
    </row>
    <row r="92" customFormat="false" ht="15" hidden="false" customHeight="true" outlineLevel="0" collapsed="false">
      <c r="B92" s="102" t="str">
        <f aca="false">'Plan vs Actual (סוכן)'!B47</f>
        <v>T40B</v>
      </c>
      <c r="C92" s="103" t="n">
        <f aca="false">'Plan vs Actual (סוכן)'!R47*'Plan vs Actual (סוכן)'!V47</f>
        <v>325</v>
      </c>
      <c r="D92" s="104" t="n">
        <f aca="false">C92*'Plan vs Actual (סוכן)'!G47</f>
        <v>18200</v>
      </c>
      <c r="F92" s="102" t="str">
        <f aca="false">'Plan vs Actual (סוכן)'!B47</f>
        <v>T40B</v>
      </c>
      <c r="G92" s="103" t="n">
        <f aca="false">'Plan vs Actual (סוכן)'!R47*'Plan vs Actual (סוכן)'!W47</f>
        <v>0</v>
      </c>
      <c r="H92" s="104" t="n">
        <f aca="false">G92*'Plan vs Actual (סוכן)'!G47</f>
        <v>0</v>
      </c>
      <c r="J92" s="102" t="str">
        <f aca="false">'Plan vs Actual (סוכן)'!B47</f>
        <v>T40B</v>
      </c>
      <c r="K92" s="103" t="n">
        <f aca="false">'Plan vs Actual (סוכן)'!R47*'Plan vs Actual (סוכן)'!X47</f>
        <v>2340</v>
      </c>
      <c r="L92" s="104" t="n">
        <f aca="false">K92*'Plan vs Actual (סוכן)'!G47</f>
        <v>131040</v>
      </c>
    </row>
    <row r="93" customFormat="false" ht="15" hidden="false" customHeight="true" outlineLevel="0" collapsed="false">
      <c r="B93" s="102" t="str">
        <f aca="false">'Plan vs Actual (סוכן)'!B48</f>
        <v>T066B</v>
      </c>
      <c r="C93" s="103" t="n">
        <f aca="false">'Plan vs Actual (סוכן)'!R48*'Plan vs Actual (סוכן)'!V48</f>
        <v>125</v>
      </c>
      <c r="D93" s="104" t="n">
        <f aca="false">C93*'Plan vs Actual (סוכן)'!G48</f>
        <v>14000</v>
      </c>
      <c r="F93" s="102" t="str">
        <f aca="false">'Plan vs Actual (סוכן)'!B48</f>
        <v>T066B</v>
      </c>
      <c r="G93" s="103" t="n">
        <f aca="false">'Plan vs Actual (סוכן)'!R48*'Plan vs Actual (סוכן)'!W48</f>
        <v>55</v>
      </c>
      <c r="H93" s="104" t="n">
        <f aca="false">G93*'Plan vs Actual (סוכן)'!G48</f>
        <v>6160</v>
      </c>
      <c r="J93" s="102" t="str">
        <f aca="false">'Plan vs Actual (סוכן)'!B48</f>
        <v>T066B</v>
      </c>
      <c r="K93" s="103" t="n">
        <f aca="false">'Plan vs Actual (סוכן)'!R48*'Plan vs Actual (סוכן)'!X48</f>
        <v>900</v>
      </c>
      <c r="L93" s="104" t="n">
        <f aca="false">K93*'Plan vs Actual (סוכן)'!G48</f>
        <v>100800</v>
      </c>
    </row>
    <row r="94" customFormat="false" ht="15" hidden="false" customHeight="true" outlineLevel="0" collapsed="false">
      <c r="B94" s="102" t="n">
        <f aca="false">'Plan vs Actual (סוכן)'!B49</f>
        <v>3051</v>
      </c>
      <c r="C94" s="103" t="n">
        <f aca="false">'Plan vs Actual (סוכן)'!R49*'Plan vs Actual (סוכן)'!V49</f>
        <v>425</v>
      </c>
      <c r="D94" s="104" t="n">
        <f aca="false">C94*'Plan vs Actual (סוכן)'!G49</f>
        <v>53040</v>
      </c>
      <c r="F94" s="102" t="n">
        <f aca="false">'Plan vs Actual (סוכן)'!B49</f>
        <v>3051</v>
      </c>
      <c r="G94" s="103" t="n">
        <f aca="false">'Plan vs Actual (סוכן)'!R49*'Plan vs Actual (סוכן)'!W49</f>
        <v>187</v>
      </c>
      <c r="H94" s="104" t="n">
        <f aca="false">G94*'Plan vs Actual (סוכן)'!G49</f>
        <v>23337.6</v>
      </c>
      <c r="J94" s="102" t="n">
        <f aca="false">'Plan vs Actual (סוכן)'!B49</f>
        <v>3051</v>
      </c>
      <c r="K94" s="103" t="n">
        <f aca="false">'Plan vs Actual (סוכן)'!R49*'Plan vs Actual (סוכן)'!X49</f>
        <v>3060</v>
      </c>
      <c r="L94" s="104" t="n">
        <f aca="false">K94*'Plan vs Actual (סוכן)'!G49</f>
        <v>381888</v>
      </c>
    </row>
    <row r="95" customFormat="false" ht="15" hidden="false" customHeight="true" outlineLevel="0" collapsed="false">
      <c r="B95" s="102" t="str">
        <f aca="false">'Plan vs Actual (סוכן)'!B50</f>
        <v>MSG001F 0</v>
      </c>
      <c r="C95" s="103" t="n">
        <f aca="false">'Plan vs Actual (סוכן)'!R50*'Plan vs Actual (סוכן)'!V50</f>
        <v>75</v>
      </c>
      <c r="D95" s="104" t="n">
        <f aca="false">C95*'Plan vs Actual (סוכן)'!G50</f>
        <v>33000</v>
      </c>
      <c r="F95" s="102" t="str">
        <f aca="false">'Plan vs Actual (סוכן)'!B50</f>
        <v>MSG001F 0</v>
      </c>
      <c r="G95" s="103" t="n">
        <f aca="false">'Plan vs Actual (סוכן)'!R50*'Plan vs Actual (סוכן)'!W50</f>
        <v>33</v>
      </c>
      <c r="H95" s="104" t="n">
        <f aca="false">G95*'Plan vs Actual (סוכן)'!G50</f>
        <v>14520</v>
      </c>
      <c r="J95" s="102" t="str">
        <f aca="false">'Plan vs Actual (סוכן)'!B50</f>
        <v>MSG001F 0</v>
      </c>
      <c r="K95" s="103" t="n">
        <f aca="false">'Plan vs Actual (סוכן)'!R50*'Plan vs Actual (סוכן)'!X50</f>
        <v>150</v>
      </c>
      <c r="L95" s="104" t="n">
        <f aca="false">K95*'Plan vs Actual (סוכן)'!G50</f>
        <v>66000</v>
      </c>
    </row>
    <row r="96" customFormat="false" ht="15" hidden="false" customHeight="true" outlineLevel="0" collapsed="false">
      <c r="B96" s="102" t="str">
        <f aca="false">'Plan vs Actual (סוכן)'!B51</f>
        <v>MSG002S 0</v>
      </c>
      <c r="C96" s="103" t="n">
        <f aca="false">'Plan vs Actual (סוכן)'!R51*'Plan vs Actual (סוכן)'!V51</f>
        <v>75</v>
      </c>
      <c r="D96" s="104" t="n">
        <f aca="false">C96*'Plan vs Actual (סוכן)'!G51</f>
        <v>33000</v>
      </c>
      <c r="F96" s="102" t="str">
        <f aca="false">'Plan vs Actual (סוכן)'!B51</f>
        <v>MSG002S 0</v>
      </c>
      <c r="G96" s="103" t="n">
        <f aca="false">'Plan vs Actual (סוכן)'!R51*'Plan vs Actual (סוכן)'!W51</f>
        <v>33</v>
      </c>
      <c r="H96" s="104" t="n">
        <f aca="false">G96*'Plan vs Actual (סוכן)'!G51</f>
        <v>14520</v>
      </c>
      <c r="J96" s="102" t="str">
        <f aca="false">'Plan vs Actual (סוכן)'!B51</f>
        <v>MSG002S 0</v>
      </c>
      <c r="K96" s="103" t="n">
        <f aca="false">'Plan vs Actual (סוכן)'!R51*'Plan vs Actual (סוכן)'!X51</f>
        <v>150</v>
      </c>
      <c r="L96" s="104" t="n">
        <f aca="false">K96*'Plan vs Actual (סוכן)'!G51</f>
        <v>66000</v>
      </c>
    </row>
    <row r="97" customFormat="false" ht="15" hidden="false" customHeight="true" outlineLevel="0" collapsed="false">
      <c r="B97" s="102" t="str">
        <f aca="false">'Plan vs Actual (סוכן)'!B52</f>
        <v>T-scoop רגל</v>
      </c>
      <c r="C97" s="103" t="n">
        <f aca="false">'Plan vs Actual (סוכן)'!R52*'Plan vs Actual (סוכן)'!V52</f>
        <v>50</v>
      </c>
      <c r="D97" s="104" t="n">
        <f aca="false">C97*'Plan vs Actual (סוכן)'!G52</f>
        <v>10600</v>
      </c>
      <c r="F97" s="102" t="str">
        <f aca="false">'Plan vs Actual (סוכן)'!B52</f>
        <v>T-scoop רגל</v>
      </c>
      <c r="G97" s="103" t="n">
        <f aca="false">'Plan vs Actual (סוכן)'!R52*'Plan vs Actual (סוכן)'!W52</f>
        <v>22</v>
      </c>
      <c r="H97" s="104" t="n">
        <f aca="false">G97*'Plan vs Actual (סוכן)'!G52</f>
        <v>4664</v>
      </c>
      <c r="J97" s="102" t="str">
        <f aca="false">'Plan vs Actual (סוכן)'!B52</f>
        <v>T-scoop רגל</v>
      </c>
      <c r="K97" s="103" t="n">
        <f aca="false">'Plan vs Actual (סוכן)'!R52*'Plan vs Actual (סוכן)'!X52</f>
        <v>0</v>
      </c>
      <c r="L97" s="104" t="n">
        <f aca="false">K97*'Plan vs Actual (סוכן)'!G52</f>
        <v>0</v>
      </c>
    </row>
    <row r="98" customFormat="false" ht="15" hidden="false" customHeight="true" outlineLevel="0" collapsed="false">
      <c r="B98" s="102" t="str">
        <f aca="false">'Plan vs Actual (סוכן)'!B53</f>
        <v>T-scoop יד</v>
      </c>
      <c r="C98" s="103" t="n">
        <f aca="false">'Plan vs Actual (סוכן)'!R53*'Plan vs Actual (סוכן)'!V53</f>
        <v>0</v>
      </c>
      <c r="D98" s="104" t="n">
        <f aca="false">C98*'Plan vs Actual (סוכן)'!G53</f>
        <v>0</v>
      </c>
      <c r="F98" s="102" t="str">
        <f aca="false">'Plan vs Actual (סוכן)'!B53</f>
        <v>T-scoop יד</v>
      </c>
      <c r="G98" s="103" t="n">
        <f aca="false">'Plan vs Actual (סוכן)'!R53*'Plan vs Actual (סוכן)'!W53</f>
        <v>0</v>
      </c>
      <c r="H98" s="104" t="n">
        <f aca="false">G98*'Plan vs Actual (סוכן)'!G53</f>
        <v>0</v>
      </c>
      <c r="J98" s="102" t="str">
        <f aca="false">'Plan vs Actual (סוכן)'!B53</f>
        <v>T-scoop יד</v>
      </c>
      <c r="K98" s="103" t="n">
        <f aca="false">'Plan vs Actual (סוכן)'!R53*'Plan vs Actual (סוכן)'!X53</f>
        <v>0</v>
      </c>
      <c r="L98" s="104" t="n">
        <f aca="false">K98*'Plan vs Actual (סוכן)'!G53</f>
        <v>0</v>
      </c>
    </row>
    <row r="99" customFormat="false" ht="15" hidden="false" customHeight="true" outlineLevel="0" collapsed="false">
      <c r="B99" s="102" t="str">
        <f aca="false">'Plan vs Actual (סוכן)'!B54</f>
        <v>SH779 חגורת Jewett</v>
      </c>
      <c r="C99" s="103" t="n">
        <f aca="false">'Plan vs Actual (סוכן)'!R54*'Plan vs Actual (סוכן)'!V54</f>
        <v>125</v>
      </c>
      <c r="D99" s="104" t="n">
        <f aca="false">C99*'Plan vs Actual (סוכן)'!G54</f>
        <v>44000</v>
      </c>
      <c r="F99" s="102" t="str">
        <f aca="false">'Plan vs Actual (סוכן)'!B54</f>
        <v>SH779 חגורת Jewett</v>
      </c>
      <c r="G99" s="103" t="n">
        <f aca="false">'Plan vs Actual (סוכן)'!R54*'Plan vs Actual (סוכן)'!W54</f>
        <v>55</v>
      </c>
      <c r="H99" s="104" t="n">
        <f aca="false">G99*'Plan vs Actual (סוכן)'!G54</f>
        <v>19360</v>
      </c>
      <c r="J99" s="102" t="str">
        <f aca="false">'Plan vs Actual (סוכן)'!B54</f>
        <v>SH779 חגורת Jewett</v>
      </c>
      <c r="K99" s="103" t="n">
        <f aca="false">'Plan vs Actual (סוכן)'!R54*'Plan vs Actual (סוכן)'!X54</f>
        <v>900</v>
      </c>
      <c r="L99" s="104" t="n">
        <f aca="false">K99*'Plan vs Actual (סוכן)'!G54</f>
        <v>316800</v>
      </c>
    </row>
    <row r="100" customFormat="false" ht="15" hidden="false" customHeight="true" outlineLevel="0" collapsed="false">
      <c r="B100" s="102" t="str">
        <f aca="false">'Plan vs Actual (סוכן)'!B55</f>
        <v>מגף (ווקר)</v>
      </c>
      <c r="C100" s="103" t="n">
        <f aca="false">'Plan vs Actual (סוכן)'!R55*'Plan vs Actual (סוכן)'!V55</f>
        <v>50</v>
      </c>
      <c r="D100" s="104" t="n">
        <f aca="false">C100*'Plan vs Actual (סוכן)'!G55</f>
        <v>6400</v>
      </c>
      <c r="F100" s="102" t="str">
        <f aca="false">'Plan vs Actual (סוכן)'!B55</f>
        <v>מגף (ווקר)</v>
      </c>
      <c r="G100" s="103" t="n">
        <f aca="false">'Plan vs Actual (סוכן)'!R55*'Plan vs Actual (סוכן)'!W55</f>
        <v>22</v>
      </c>
      <c r="H100" s="104" t="n">
        <f aca="false">G100*'Plan vs Actual (סוכן)'!G55</f>
        <v>2816</v>
      </c>
      <c r="J100" s="102" t="str">
        <f aca="false">'Plan vs Actual (סוכן)'!B55</f>
        <v>מגף (ווקר)</v>
      </c>
      <c r="K100" s="103" t="n">
        <f aca="false">'Plan vs Actual (סוכן)'!R55*'Plan vs Actual (סוכן)'!X55</f>
        <v>100</v>
      </c>
      <c r="L100" s="104" t="n">
        <f aca="false">K100*'Plan vs Actual (סוכן)'!G55</f>
        <v>12800</v>
      </c>
    </row>
    <row r="101" customFormat="false" ht="15" hidden="false" customHeight="true" outlineLevel="0" collapsed="false">
      <c r="B101" s="102" t="str">
        <f aca="false">'Plan vs Actual (סוכן)'!B56</f>
        <v>SH660 cervical collar</v>
      </c>
      <c r="C101" s="103" t="n">
        <f aca="false">'Plan vs Actual (סוכן)'!R56*'Plan vs Actual (סוכן)'!V56</f>
        <v>125</v>
      </c>
      <c r="D101" s="104" t="n">
        <f aca="false">C101*'Plan vs Actual (סוכן)'!G56</f>
        <v>28000</v>
      </c>
      <c r="F101" s="102" t="str">
        <f aca="false">'Plan vs Actual (סוכן)'!B56</f>
        <v>SH660 cervical collar</v>
      </c>
      <c r="G101" s="103" t="n">
        <f aca="false">'Plan vs Actual (סוכן)'!R56*'Plan vs Actual (סוכן)'!W56</f>
        <v>55</v>
      </c>
      <c r="H101" s="104" t="n">
        <f aca="false">G101*'Plan vs Actual (סוכן)'!G56</f>
        <v>12320</v>
      </c>
      <c r="J101" s="102" t="str">
        <f aca="false">'Plan vs Actual (סוכן)'!B56</f>
        <v>SH660 cervical collar</v>
      </c>
      <c r="K101" s="103" t="n">
        <f aca="false">'Plan vs Actual (סוכן)'!R56*'Plan vs Actual (סוכן)'!X56</f>
        <v>250</v>
      </c>
      <c r="L101" s="104" t="n">
        <f aca="false">K101*'Plan vs Actual (סוכן)'!G56</f>
        <v>56000</v>
      </c>
    </row>
    <row r="102" customFormat="false" ht="15" hidden="false" customHeight="true" outlineLevel="0" collapsed="false">
      <c r="B102" s="102" t="str">
        <f aca="false">'Plan vs Actual (סוכן)'!B57</f>
        <v>T36B</v>
      </c>
      <c r="C102" s="103" t="n">
        <f aca="false">'Plan vs Actual (סוכן)'!R57*'Plan vs Actual (סוכן)'!V57</f>
        <v>300</v>
      </c>
      <c r="D102" s="104" t="n">
        <f aca="false">C102*'Plan vs Actual (סוכן)'!G57</f>
        <v>30000</v>
      </c>
      <c r="F102" s="102" t="str">
        <f aca="false">'Plan vs Actual (סוכן)'!B57</f>
        <v>T36B</v>
      </c>
      <c r="G102" s="103" t="n">
        <f aca="false">'Plan vs Actual (סוכן)'!R57*'Plan vs Actual (סוכן)'!W57</f>
        <v>132</v>
      </c>
      <c r="H102" s="104" t="n">
        <f aca="false">G102*'Plan vs Actual (סוכן)'!G57</f>
        <v>13200</v>
      </c>
      <c r="J102" s="102" t="str">
        <f aca="false">'Plan vs Actual (סוכן)'!B57</f>
        <v>T36B</v>
      </c>
      <c r="K102" s="103" t="n">
        <f aca="false">'Plan vs Actual (סוכן)'!R57*'Plan vs Actual (סוכן)'!X57</f>
        <v>2160</v>
      </c>
      <c r="L102" s="104" t="n">
        <f aca="false">K102*'Plan vs Actual (סוכן)'!G57</f>
        <v>216000</v>
      </c>
    </row>
    <row r="103" customFormat="false" ht="15" hidden="false" customHeight="true" outlineLevel="0" collapsed="false">
      <c r="B103" s="105" t="s">
        <v>86</v>
      </c>
      <c r="C103" s="106" t="n">
        <f aca="false">SUM(C83:C102)</f>
        <v>4750</v>
      </c>
      <c r="D103" s="107" t="n">
        <f aca="false">SUM(D83:D102)</f>
        <v>602640</v>
      </c>
      <c r="F103" s="105" t="s">
        <v>86</v>
      </c>
      <c r="G103" s="106" t="n">
        <f aca="false">SUM(G83:G102)</f>
        <v>2145</v>
      </c>
      <c r="H103" s="107" t="n">
        <f aca="false">SUM(H83:H102)</f>
        <v>258816.8</v>
      </c>
      <c r="J103" s="105" t="s">
        <v>86</v>
      </c>
      <c r="K103" s="106" t="n">
        <f aca="false">SUM(K83:K102)</f>
        <v>36550</v>
      </c>
      <c r="L103" s="107" t="n">
        <f aca="false">SUM(L83:L102)</f>
        <v>3827072</v>
      </c>
    </row>
    <row r="106" customFormat="false" ht="15" hidden="false" customHeight="true" outlineLevel="0" collapsed="false">
      <c r="A106" s="95" t="s">
        <v>178</v>
      </c>
      <c r="B106" s="95"/>
      <c r="C106" s="95"/>
      <c r="D106" s="95"/>
      <c r="E106" s="95"/>
      <c r="F106" s="95"/>
      <c r="G106" s="95"/>
    </row>
    <row r="107" customFormat="false" ht="79.5" hidden="false" customHeight="true" outlineLevel="0" collapsed="false">
      <c r="A107" s="101" t="s">
        <v>179</v>
      </c>
      <c r="B107" s="101" t="s">
        <v>180</v>
      </c>
      <c r="C107" s="101" t="s">
        <v>181</v>
      </c>
      <c r="D107" s="101" t="s">
        <v>182</v>
      </c>
      <c r="E107" s="101" t="s">
        <v>183</v>
      </c>
      <c r="F107" s="101" t="s">
        <v>184</v>
      </c>
      <c r="G107" s="101" t="s">
        <v>185</v>
      </c>
    </row>
    <row r="108" customFormat="false" ht="15" hidden="false" customHeight="true" outlineLevel="0" collapsed="false">
      <c r="A108" s="102" t="s">
        <v>78</v>
      </c>
      <c r="B108" s="103" t="n">
        <f aca="false">C28+G28+K28</f>
        <v>18000</v>
      </c>
      <c r="C108" s="103" t="n">
        <f aca="false">'Plan vs Actual (סוכן)'!S9</f>
        <v>18000</v>
      </c>
      <c r="D108" s="108" t="str">
        <f aca="false">IF(B108=C108,"TRUE","FALSE")</f>
        <v>TRUE</v>
      </c>
      <c r="E108" s="104" t="n">
        <f aca="false">D28+H28+L28</f>
        <v>1933402.4</v>
      </c>
      <c r="F108" s="104" t="n">
        <f aca="false">'Plan vs Actual (סוכן)'!T9</f>
        <v>1933402.4</v>
      </c>
      <c r="G108" s="108" t="str">
        <f aca="false">IF(E108=F108,"TRUE","FALSE")</f>
        <v>TRUE</v>
      </c>
    </row>
    <row r="109" customFormat="false" ht="15" hidden="false" customHeight="true" outlineLevel="0" collapsed="false">
      <c r="A109" s="102" t="s">
        <v>79</v>
      </c>
      <c r="B109" s="103" t="n">
        <f aca="false">C53+G53+K53</f>
        <v>13739</v>
      </c>
      <c r="C109" s="103" t="n">
        <f aca="false">'Plan vs Actual (סוכן)'!AD9</f>
        <v>13739</v>
      </c>
      <c r="D109" s="108" t="str">
        <f aca="false">IF(B109=C109,"TRUE","FALSE")</f>
        <v>TRUE</v>
      </c>
      <c r="E109" s="104" t="n">
        <f aca="false">D53+H53+L53</f>
        <v>1476534.48</v>
      </c>
      <c r="F109" s="104" t="n">
        <f aca="false">'Plan vs Actual (סוכן)'!AE9</f>
        <v>1476534.48</v>
      </c>
      <c r="G109" s="108" t="str">
        <f aca="false">IF(E109=F109,"TRUE","FALSE")</f>
        <v>TRUE</v>
      </c>
    </row>
    <row r="110" customFormat="false" ht="15" hidden="false" customHeight="true" outlineLevel="0" collapsed="false">
      <c r="A110" s="102" t="s">
        <v>81</v>
      </c>
      <c r="B110" s="103" t="n">
        <f aca="false">C78+G78+K78</f>
        <v>15678</v>
      </c>
      <c r="C110" s="103" t="n">
        <f aca="false">'Plan vs Actual (סוכן)'!S36</f>
        <v>15678</v>
      </c>
      <c r="D110" s="108" t="str">
        <f aca="false">IF(B110=C110,"TRUE","FALSE")</f>
        <v>TRUE</v>
      </c>
      <c r="E110" s="104" t="n">
        <f aca="false">D78+H78+L78</f>
        <v>1677594.96</v>
      </c>
      <c r="F110" s="104" t="n">
        <f aca="false">'Plan vs Actual (סוכן)'!T36</f>
        <v>1677594.96</v>
      </c>
      <c r="G110" s="108" t="str">
        <f aca="false">IF(E110=F110,"TRUE","FALSE")</f>
        <v>TRUE</v>
      </c>
    </row>
    <row r="111" customFormat="false" ht="15" hidden="false" customHeight="true" outlineLevel="0" collapsed="false">
      <c r="A111" s="102" t="s">
        <v>82</v>
      </c>
      <c r="B111" s="103" t="n">
        <f aca="false">C103+G103+K103</f>
        <v>43445</v>
      </c>
      <c r="C111" s="103" t="n">
        <f aca="false">'Plan vs Actual (סוכן)'!AD36</f>
        <v>43445</v>
      </c>
      <c r="D111" s="108" t="str">
        <f aca="false">IF(B111=C111,"TRUE","FALSE")</f>
        <v>TRUE</v>
      </c>
      <c r="E111" s="104" t="n">
        <f aca="false">D103+H103+L103</f>
        <v>4688528.8</v>
      </c>
      <c r="F111" s="104" t="n">
        <f aca="false">'Plan vs Actual (סוכן)'!AE36</f>
        <v>4688528.8</v>
      </c>
      <c r="G111" s="108" t="str">
        <f aca="false">IF(E111=F111,"TRUE","FALSE")</f>
        <v>TRUE</v>
      </c>
    </row>
  </sheetData>
  <mergeCells count="19">
    <mergeCell ref="A1:L1"/>
    <mergeCell ref="A3:L3"/>
    <mergeCell ref="A5:L5"/>
    <mergeCell ref="B6:D6"/>
    <mergeCell ref="F6:H6"/>
    <mergeCell ref="J6:L6"/>
    <mergeCell ref="A30:L30"/>
    <mergeCell ref="B31:D31"/>
    <mergeCell ref="F31:H31"/>
    <mergeCell ref="J31:L31"/>
    <mergeCell ref="A55:L55"/>
    <mergeCell ref="B56:D56"/>
    <mergeCell ref="F56:H56"/>
    <mergeCell ref="J56:L56"/>
    <mergeCell ref="A80:L80"/>
    <mergeCell ref="B81:D81"/>
    <mergeCell ref="F81:H81"/>
    <mergeCell ref="J81:L81"/>
    <mergeCell ref="A106:G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95" t="s">
        <v>186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customFormat="false" ht="15" hidden="false" customHeight="false" outlineLevel="0" collapsed="false">
      <c r="A2" s="96" t="s">
        <v>1</v>
      </c>
      <c r="B2" s="109" t="n">
        <v>46312</v>
      </c>
    </row>
    <row r="3" customFormat="false" ht="11.9" hidden="false" customHeight="false" outlineLevel="0" collapsed="false">
      <c r="A3" s="110" t="s">
        <v>187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5" customFormat="false" ht="15" hidden="false" customHeight="false" outlineLevel="0" collapsed="false">
      <c r="A5" s="99" t="s">
        <v>188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customFormat="false" ht="15" hidden="false" customHeight="true" outlineLevel="0" collapsed="false">
      <c r="B6" s="100" t="s">
        <v>107</v>
      </c>
      <c r="C6" s="100"/>
      <c r="D6" s="100"/>
      <c r="F6" s="100" t="s">
        <v>108</v>
      </c>
      <c r="G6" s="100"/>
      <c r="H6" s="100"/>
      <c r="J6" s="100" t="s">
        <v>19</v>
      </c>
      <c r="K6" s="100"/>
      <c r="L6" s="100"/>
    </row>
    <row r="7" customFormat="false" ht="15" hidden="false" customHeight="false" outlineLevel="0" collapsed="false">
      <c r="B7" s="101" t="s">
        <v>88</v>
      </c>
      <c r="C7" s="101" t="s">
        <v>173</v>
      </c>
      <c r="D7" s="101" t="s">
        <v>174</v>
      </c>
      <c r="F7" s="101" t="s">
        <v>88</v>
      </c>
      <c r="G7" s="101" t="s">
        <v>173</v>
      </c>
      <c r="H7" s="101" t="s">
        <v>174</v>
      </c>
      <c r="J7" s="101" t="s">
        <v>88</v>
      </c>
      <c r="K7" s="101" t="s">
        <v>173</v>
      </c>
      <c r="L7" s="101" t="s">
        <v>174</v>
      </c>
    </row>
    <row r="8" customFormat="false" ht="15" hidden="false" customHeight="false" outlineLevel="0" collapsed="false">
      <c r="B8" s="102" t="str">
        <f aca="false">'פירוט לסוכן'!B8</f>
        <v>213 CTS</v>
      </c>
      <c r="C8" s="111" t="n">
        <f aca="false">'פירוט לסוכן'!C8+'פירוט לסוכן'!C33+'פירוט לסוכן'!C58+'פירוט לסוכן'!C83</f>
        <v>1404</v>
      </c>
      <c r="D8" s="112" t="n">
        <f aca="false">'פירוט לסוכן'!D8+'פירוט לסוכן'!D33+'פירוט לסוכן'!D58+'פירוט לסוכן'!D83</f>
        <v>101088</v>
      </c>
      <c r="F8" s="102" t="str">
        <f aca="false">'פירוט לסוכן'!B8</f>
        <v>213 CTS</v>
      </c>
      <c r="G8" s="111" t="n">
        <f aca="false">'פירוט לסוכן'!G8+'פירוט לסוכן'!G33+'פירוט לסוכן'!G58+'פירוט לסוכן'!G83</f>
        <v>342</v>
      </c>
      <c r="H8" s="112" t="n">
        <f aca="false">'פירוט לסוכן'!H8+'פירוט לסוכן'!H33+'פירוט לסוכן'!H58+'פירוט לסוכן'!H83</f>
        <v>24624</v>
      </c>
      <c r="J8" s="102" t="str">
        <f aca="false">'פירוט לסוכן'!B8</f>
        <v>213 CTS</v>
      </c>
      <c r="K8" s="111" t="n">
        <f aca="false">'פירוט לסוכן'!K8+'פירוט לסוכן'!K33+'פירוט לסוכן'!K58+'פירוט לסוכן'!K83</f>
        <v>6210</v>
      </c>
      <c r="L8" s="112" t="n">
        <f aca="false">'פירוט לסוכן'!L8+'פירוט לסוכן'!L33+'פירוט לסוכן'!L58+'פירוט לסוכן'!L83</f>
        <v>447120</v>
      </c>
    </row>
    <row r="9" customFormat="false" ht="15" hidden="false" customHeight="false" outlineLevel="0" collapsed="false">
      <c r="B9" s="102" t="str">
        <f aca="false">'פירוט לסוכן'!B9</f>
        <v>SH422 </v>
      </c>
      <c r="C9" s="111" t="n">
        <f aca="false">'פירוט לסוכן'!C9+'פירוט לסוכן'!C34+'פירוט לסוכן'!C59+'פירוט לסוכן'!C84</f>
        <v>1170</v>
      </c>
      <c r="D9" s="112" t="n">
        <f aca="false">'פירוט לסוכן'!D9+'פירוט לסוכן'!D34+'פירוט לסוכן'!D59+'פירוט לסוכן'!D84</f>
        <v>93600</v>
      </c>
      <c r="F9" s="102" t="str">
        <f aca="false">'פירוט לסוכן'!B9</f>
        <v>SH422 </v>
      </c>
      <c r="G9" s="111" t="n">
        <f aca="false">'פירוט לסוכן'!G9+'פירוט לסוכן'!G34+'פירוט לסוכן'!G59+'פירוט לסוכן'!G84</f>
        <v>285</v>
      </c>
      <c r="H9" s="112" t="n">
        <f aca="false">'פירוט לסוכן'!H9+'פירוט לסוכן'!H34+'פירוט לסוכן'!H59+'פירוט לסוכן'!H84</f>
        <v>22800</v>
      </c>
      <c r="J9" s="102" t="str">
        <f aca="false">'פירוט לסוכן'!B9</f>
        <v>SH422 </v>
      </c>
      <c r="K9" s="111" t="n">
        <f aca="false">'פירוט לסוכן'!K9+'פירוט לסוכן'!K34+'פירוט לסוכן'!K59+'פירוט לסוכן'!K84</f>
        <v>5175</v>
      </c>
      <c r="L9" s="112" t="n">
        <f aca="false">'פירוט לסוכן'!L9+'פירוט לסוכן'!L34+'פירוט לסוכן'!L59+'פירוט לסוכן'!L84</f>
        <v>414000</v>
      </c>
    </row>
    <row r="10" customFormat="false" ht="15" hidden="false" customHeight="false" outlineLevel="0" collapsed="false">
      <c r="B10" s="102" t="str">
        <f aca="false">'פירוט לסוכן'!B10</f>
        <v>SH333</v>
      </c>
      <c r="C10" s="111" t="n">
        <f aca="false">'פירוט לסוכן'!C10+'פירוט לסוכן'!C35+'פירוט לסוכן'!C60+'פירוט לסוכן'!C85</f>
        <v>1404</v>
      </c>
      <c r="D10" s="112" t="n">
        <f aca="false">'פירוט לסוכן'!D10+'פירוט לסוכן'!D35+'פירוט לסוכן'!D60+'פירוט לסוכן'!D85</f>
        <v>44928</v>
      </c>
      <c r="F10" s="102" t="str">
        <f aca="false">'פירוט לסוכן'!B10</f>
        <v>SH333</v>
      </c>
      <c r="G10" s="111" t="n">
        <f aca="false">'פירוט לסוכן'!G10+'פירוט לסוכן'!G35+'פירוט לסוכן'!G60+'פירוט לסוכן'!G85</f>
        <v>342</v>
      </c>
      <c r="H10" s="112" t="n">
        <f aca="false">'פירוט לסוכן'!H10+'פירוט לסוכן'!H35+'פירוט לסוכן'!H60+'פירוט לסוכן'!H85</f>
        <v>10944</v>
      </c>
      <c r="J10" s="102" t="str">
        <f aca="false">'פירוט לסוכן'!B10</f>
        <v>SH333</v>
      </c>
      <c r="K10" s="111" t="n">
        <f aca="false">'פירוט לסוכן'!K10+'פירוט לסוכן'!K35+'פירוט לסוכן'!K60+'פירוט לסוכן'!K85</f>
        <v>6210</v>
      </c>
      <c r="L10" s="112" t="n">
        <f aca="false">'פירוט לסוכן'!L10+'פירוט לסוכן'!L35+'פירוט לסוכן'!L60+'פירוט לסוכן'!L85</f>
        <v>198720</v>
      </c>
    </row>
    <row r="11" customFormat="false" ht="15" hidden="false" customHeight="false" outlineLevel="0" collapsed="false">
      <c r="B11" s="102" t="str">
        <f aca="false">'פירוט לסוכן'!B11</f>
        <v>SH776</v>
      </c>
      <c r="C11" s="111" t="n">
        <f aca="false">'פירוט לסוכן'!C11+'פירוט לסוכן'!C36+'פירוט לסוכן'!C61+'פירוט לסוכן'!C86</f>
        <v>1404</v>
      </c>
      <c r="D11" s="112" t="n">
        <f aca="false">'פירוט לסוכן'!D11+'פירוט לסוכן'!D36+'פירוט לסוכן'!D61+'פירוט לסוכן'!D86</f>
        <v>336960</v>
      </c>
      <c r="F11" s="102" t="str">
        <f aca="false">'פירוט לסוכן'!B11</f>
        <v>SH776</v>
      </c>
      <c r="G11" s="111" t="n">
        <f aca="false">'פירוט לסוכן'!G11+'פירוט לסוכן'!G36+'פירוט לסוכן'!G61+'פירוט לסוכן'!G86</f>
        <v>342</v>
      </c>
      <c r="H11" s="112" t="n">
        <f aca="false">'פירוט לסוכן'!H11+'פירוט לסוכן'!H36+'פירוט לסוכן'!H61+'פירוט לסוכן'!H86</f>
        <v>82080</v>
      </c>
      <c r="J11" s="102" t="str">
        <f aca="false">'פירוט לסוכן'!B11</f>
        <v>SH776</v>
      </c>
      <c r="K11" s="111" t="n">
        <f aca="false">'פירוט לסוכן'!K11+'פירוט לסוכן'!K36+'פירוט לסוכן'!K61+'פירוט לסוכן'!K86</f>
        <v>6210</v>
      </c>
      <c r="L11" s="112" t="n">
        <f aca="false">'פירוט לסוכן'!L11+'פירוט לסוכן'!L36+'פירוט לסוכן'!L61+'פירוט לסוכן'!L86</f>
        <v>1490400</v>
      </c>
    </row>
    <row r="12" customFormat="false" ht="15" hidden="false" customHeight="false" outlineLevel="0" collapsed="false">
      <c r="B12" s="102" t="str">
        <f aca="false">'פירוט לסוכן'!B12</f>
        <v>SH322</v>
      </c>
      <c r="C12" s="111" t="n">
        <f aca="false">'פירוט לסוכן'!C12+'פירוט לסוכן'!C37+'פירוט לסוכן'!C62+'פירוט לסוכן'!C87</f>
        <v>1404</v>
      </c>
      <c r="D12" s="112" t="n">
        <f aca="false">'פירוט לסוכן'!D12+'פירוט לסוכן'!D37+'פירוט לסוכן'!D62+'פירוט לסוכן'!D87</f>
        <v>78624</v>
      </c>
      <c r="F12" s="102" t="str">
        <f aca="false">'פירוט לסוכן'!B12</f>
        <v>SH322</v>
      </c>
      <c r="G12" s="111" t="n">
        <f aca="false">'פירוט לסוכן'!G12+'פירוט לסוכן'!G37+'פירוט לסוכן'!G62+'פירוט לסוכן'!G87</f>
        <v>342</v>
      </c>
      <c r="H12" s="112" t="n">
        <f aca="false">'פירוט לסוכן'!H12+'פירוט לסוכן'!H37+'פירוט לסוכן'!H62+'פירוט לסוכן'!H87</f>
        <v>19152</v>
      </c>
      <c r="J12" s="102" t="str">
        <f aca="false">'פירוט לסוכן'!B12</f>
        <v>SH322</v>
      </c>
      <c r="K12" s="111" t="n">
        <f aca="false">'פירוט לסוכן'!K12+'פירוט לסוכן'!K37+'פירוט לסוכן'!K62+'פירוט לסוכן'!K87</f>
        <v>6210</v>
      </c>
      <c r="L12" s="112" t="n">
        <f aca="false">'פירוט לסוכן'!L12+'פירוט לסוכן'!L37+'פירוט לסוכן'!L62+'פירוט לסוכן'!L87</f>
        <v>347760</v>
      </c>
    </row>
    <row r="13" customFormat="false" ht="15" hidden="false" customHeight="false" outlineLevel="0" collapsed="false">
      <c r="B13" s="102" t="str">
        <f aca="false">'פירוט לסוכן'!B13</f>
        <v>SH922</v>
      </c>
      <c r="C13" s="111" t="n">
        <f aca="false">'פירוט לסוכן'!C13+'פירוט לסוכן'!C38+'פירוט לסוכן'!C63+'פירוט לסוכן'!C88</f>
        <v>1404</v>
      </c>
      <c r="D13" s="112" t="n">
        <f aca="false">'פירוט לסוכן'!D13+'פירוט לסוכן'!D38+'פירוט לסוכן'!D63+'פירוט לסוכן'!D88</f>
        <v>89856</v>
      </c>
      <c r="F13" s="102" t="str">
        <f aca="false">'פירוט לסוכן'!B13</f>
        <v>SH922</v>
      </c>
      <c r="G13" s="111" t="n">
        <f aca="false">'פירוט לסוכן'!G13+'פירוט לסוכן'!G38+'פירוט לסוכן'!G63+'פירוט לסוכן'!G88</f>
        <v>342</v>
      </c>
      <c r="H13" s="112" t="n">
        <f aca="false">'פירוט לסוכן'!H13+'פירוט לסוכן'!H38+'פירוט לסוכן'!H63+'פירוט לסוכן'!H88</f>
        <v>21888</v>
      </c>
      <c r="J13" s="102" t="str">
        <f aca="false">'פירוט לסוכן'!B13</f>
        <v>SH922</v>
      </c>
      <c r="K13" s="111" t="n">
        <f aca="false">'פירוט לסוכן'!K13+'פירוט לסוכן'!K38+'פירוט לסוכן'!K63+'פירוט לסוכן'!K88</f>
        <v>6210</v>
      </c>
      <c r="L13" s="112" t="n">
        <f aca="false">'פירוט לסוכן'!L13+'פירוט לסוכן'!L38+'פירוט לסוכן'!L63+'פירוט לסוכן'!L88</f>
        <v>397440</v>
      </c>
    </row>
    <row r="14" customFormat="false" ht="15" hidden="false" customHeight="false" outlineLevel="0" collapsed="false">
      <c r="B14" s="102" t="str">
        <f aca="false">'פירוט לסוכן'!B14</f>
        <v>SH423</v>
      </c>
      <c r="C14" s="111" t="n">
        <f aca="false">'פירוט לסוכן'!C14+'פירוט לסוכן'!C39+'פירוט לסוכן'!C64+'פירוט לסוכן'!C89</f>
        <v>1404</v>
      </c>
      <c r="D14" s="112" t="n">
        <f aca="false">'פירוט לסוכן'!D14+'פירוט לסוכן'!D39+'פירוט לסוכן'!D64+'פירוט לסוכן'!D89</f>
        <v>292032</v>
      </c>
      <c r="F14" s="102" t="str">
        <f aca="false">'פירוט לסוכן'!B14</f>
        <v>SH423</v>
      </c>
      <c r="G14" s="111" t="n">
        <f aca="false">'פירוט לסוכן'!G14+'פירוט לסוכן'!G39+'פירוט לסוכן'!G64+'פירוט לסוכן'!G89</f>
        <v>342</v>
      </c>
      <c r="H14" s="112" t="n">
        <f aca="false">'פירוט לסוכן'!H14+'פירוט לסוכן'!H39+'פירוט לסוכן'!H64+'פירוט לסוכן'!H89</f>
        <v>71136</v>
      </c>
      <c r="J14" s="102" t="str">
        <f aca="false">'פירוט לסוכן'!B14</f>
        <v>SH423</v>
      </c>
      <c r="K14" s="111" t="n">
        <f aca="false">'פירוט לסוכן'!K14+'פירוט לסוכן'!K39+'פירוט לסוכן'!K64+'פירוט לסוכן'!K89</f>
        <v>6210</v>
      </c>
      <c r="L14" s="112" t="n">
        <f aca="false">'פירוט לסוכן'!L14+'פירוט לסוכן'!L39+'פירוט לסוכן'!L64+'פירוט לסוכן'!L89</f>
        <v>1291680</v>
      </c>
    </row>
    <row r="15" customFormat="false" ht="15" hidden="false" customHeight="false" outlineLevel="0" collapsed="false">
      <c r="B15" s="102" t="str">
        <f aca="false">'פירוט לסוכן'!B15</f>
        <v>364 XL+</v>
      </c>
      <c r="C15" s="111" t="n">
        <f aca="false">'פירוט לסוכן'!C15+'פירוט לסוכן'!C40+'פירוט לסוכן'!C65+'פירוט לסוכן'!C90</f>
        <v>0</v>
      </c>
      <c r="D15" s="112" t="n">
        <f aca="false">'פירוט לסוכן'!D15+'פירוט לסוכן'!D40+'פירוט לסוכן'!D65+'פירוט לסוכן'!D90</f>
        <v>0</v>
      </c>
      <c r="F15" s="102" t="str">
        <f aca="false">'פירוט לסוכן'!B15</f>
        <v>364 XL+</v>
      </c>
      <c r="G15" s="111" t="n">
        <f aca="false">'פירוט לסוכן'!G15+'פירוט לסוכן'!G40+'פירוט לסוכן'!G65+'פירוט לסוכן'!G90</f>
        <v>0</v>
      </c>
      <c r="H15" s="112" t="n">
        <f aca="false">'פירוט לסוכן'!H15+'פירוט לסוכן'!H40+'פירוט לסוכן'!H65+'פירוט לסוכן'!H90</f>
        <v>0</v>
      </c>
      <c r="J15" s="102" t="str">
        <f aca="false">'פירוט לסוכן'!B15</f>
        <v>364 XL+</v>
      </c>
      <c r="K15" s="111" t="n">
        <f aca="false">'פירוט לסוכן'!K15+'פירוט לסוכן'!K40+'פירוט לסוכן'!K65+'פירוט לסוכן'!K90</f>
        <v>5096</v>
      </c>
      <c r="L15" s="112" t="n">
        <f aca="false">'פירוט לסוכן'!L15+'פירוט לסוכן'!L40+'פירוט לסוכן'!L65+'פירוט לסוכן'!L90</f>
        <v>139834.24</v>
      </c>
    </row>
    <row r="16" customFormat="false" ht="15" hidden="false" customHeight="false" outlineLevel="0" collapsed="false">
      <c r="B16" s="102" t="str">
        <f aca="false">'פירוט לסוכן'!B16</f>
        <v>809PW</v>
      </c>
      <c r="C16" s="111" t="n">
        <f aca="false">'פירוט לסוכן'!C16+'פירוט לסוכן'!C41+'פירוט לסוכן'!C66+'פירוט לסוכן'!C91</f>
        <v>0</v>
      </c>
      <c r="D16" s="112" t="n">
        <f aca="false">'פירוט לסוכן'!D16+'פירוט לסוכן'!D41+'פירוט לסוכן'!D66+'פירוט לסוכן'!D91</f>
        <v>0</v>
      </c>
      <c r="F16" s="102" t="str">
        <f aca="false">'פירוט לסוכן'!B16</f>
        <v>809PW</v>
      </c>
      <c r="G16" s="111" t="n">
        <f aca="false">'פירוט לסוכן'!G16+'פירוט לסוכן'!G41+'פירוט לסוכן'!G66+'פירוט לסוכן'!G91</f>
        <v>342</v>
      </c>
      <c r="H16" s="112" t="n">
        <f aca="false">'פירוט לסוכן'!H16+'פירוט לסוכן'!H41+'פירוט לסוכן'!H66+'פירוט לסוכן'!H91</f>
        <v>2872.8</v>
      </c>
      <c r="J16" s="102" t="str">
        <f aca="false">'פירוט לסוכן'!B16</f>
        <v>809PW</v>
      </c>
      <c r="K16" s="111" t="n">
        <f aca="false">'פירוט לסוכן'!K16+'פירוט לסוכן'!K41+'פירוט לסוכן'!K66+'פירוט לסוכן'!K91</f>
        <v>5256</v>
      </c>
      <c r="L16" s="112" t="n">
        <f aca="false">'פירוט לסוכן'!L16+'פירוט לסוכן'!L41+'פירוט לסוכן'!L66+'פירוט לסוכן'!L91</f>
        <v>44150.4</v>
      </c>
    </row>
    <row r="17" customFormat="false" ht="15" hidden="false" customHeight="false" outlineLevel="0" collapsed="false">
      <c r="B17" s="102" t="str">
        <f aca="false">'פירוט לסוכן'!B17</f>
        <v>T40B</v>
      </c>
      <c r="C17" s="111" t="n">
        <f aca="false">'פירוט לסוכן'!C17+'פירוט לסוכן'!C42+'פירוט לסוכן'!C67+'פירוט לסוכן'!C92</f>
        <v>1014</v>
      </c>
      <c r="D17" s="112" t="n">
        <f aca="false">'פירוט לסוכן'!D17+'פירוט לסוכן'!D42+'פירוט לסוכן'!D67+'פירוט לסוכן'!D92</f>
        <v>56784</v>
      </c>
      <c r="F17" s="102" t="str">
        <f aca="false">'פירוט לסוכן'!B17</f>
        <v>T40B</v>
      </c>
      <c r="G17" s="111" t="n">
        <f aca="false">'פירוט לסוכן'!G17+'פירוט לסוכן'!G42+'פירוט לסוכן'!G67+'פירוט לסוכן'!G92</f>
        <v>0</v>
      </c>
      <c r="H17" s="112" t="n">
        <f aca="false">'פירוט לסוכן'!H17+'פירוט לסוכן'!H42+'פירוט לסוכן'!H67+'פירוט לסוכן'!H92</f>
        <v>0</v>
      </c>
      <c r="J17" s="102" t="str">
        <f aca="false">'פירוט לסוכן'!B17</f>
        <v>T40B</v>
      </c>
      <c r="K17" s="111" t="n">
        <f aca="false">'פירוט לסוכן'!K17+'פירוט לסוכן'!K42+'פירוט לסוכן'!K67+'פירוט לסוכן'!K92</f>
        <v>4485</v>
      </c>
      <c r="L17" s="112" t="n">
        <f aca="false">'פירוט לסוכן'!L17+'פירוט לסוכן'!L42+'פירוט לסוכן'!L67+'פירוט לסוכן'!L92</f>
        <v>251160</v>
      </c>
    </row>
    <row r="18" customFormat="false" ht="15" hidden="false" customHeight="false" outlineLevel="0" collapsed="false">
      <c r="B18" s="102" t="str">
        <f aca="false">'פירוט לסוכן'!B18</f>
        <v>T066B</v>
      </c>
      <c r="C18" s="111" t="n">
        <f aca="false">'פירוט לסוכן'!C18+'פירוט לסוכן'!C43+'פירוט לסוכן'!C68+'פירוט לסוכן'!C93</f>
        <v>390</v>
      </c>
      <c r="D18" s="112" t="n">
        <f aca="false">'פירוט לסוכן'!D18+'פירוט לסוכן'!D43+'פירוט לסוכן'!D68+'פירוט לסוכן'!D93</f>
        <v>43680</v>
      </c>
      <c r="F18" s="102" t="str">
        <f aca="false">'פירוט לסוכן'!B18</f>
        <v>T066B</v>
      </c>
      <c r="G18" s="111" t="n">
        <f aca="false">'פירוט לסוכן'!G18+'פירוט לסוכן'!G43+'פירוט לסוכן'!G68+'פירוט לסוכן'!G93</f>
        <v>95</v>
      </c>
      <c r="H18" s="112" t="n">
        <f aca="false">'פירוט לסוכן'!H18+'פירוט לסוכן'!H43+'פירוט לסוכן'!H68+'פירוט לסוכן'!H93</f>
        <v>10640</v>
      </c>
      <c r="J18" s="102" t="str">
        <f aca="false">'פירוט לסוכן'!B18</f>
        <v>T066B</v>
      </c>
      <c r="K18" s="111" t="n">
        <f aca="false">'פירוט לסוכן'!K18+'פירוט לסוכן'!K43+'פירוט לסוכן'!K68+'פירוט לסוכן'!K93</f>
        <v>1725</v>
      </c>
      <c r="L18" s="112" t="n">
        <f aca="false">'פירוט לסוכן'!L18+'פירוט לסוכן'!L43+'פירוט לסוכן'!L68+'פירוט לסוכן'!L93</f>
        <v>193200</v>
      </c>
    </row>
    <row r="19" customFormat="false" ht="15" hidden="false" customHeight="false" outlineLevel="0" collapsed="false">
      <c r="B19" s="102" t="n">
        <f aca="false">'פירוט לסוכן'!B19</f>
        <v>3051</v>
      </c>
      <c r="C19" s="111" t="n">
        <f aca="false">'פירוט לסוכן'!C19+'פירוט לסוכן'!C44+'פירוט לסוכן'!C69+'פירוט לסוכן'!C94</f>
        <v>1326</v>
      </c>
      <c r="D19" s="112" t="n">
        <f aca="false">'פירוט לסוכן'!D19+'פירוט לסוכן'!D44+'פירוט לסוכן'!D69+'פירוט לסוכן'!D94</f>
        <v>165484.8</v>
      </c>
      <c r="F19" s="102" t="n">
        <f aca="false">'פירוט לסוכן'!B19</f>
        <v>3051</v>
      </c>
      <c r="G19" s="111" t="n">
        <f aca="false">'פירוט לסוכן'!G19+'פירוט לסוכן'!G44+'פירוט לסוכן'!G69+'פירוט לסוכן'!G94</f>
        <v>323</v>
      </c>
      <c r="H19" s="112" t="n">
        <f aca="false">'פירוט לסוכן'!H19+'פירוט לסוכן'!H44+'פירוט לסוכן'!H69+'פירוט לסוכן'!H94</f>
        <v>40310.4</v>
      </c>
      <c r="J19" s="102" t="n">
        <f aca="false">'פירוט לסוכן'!B19</f>
        <v>3051</v>
      </c>
      <c r="K19" s="111" t="n">
        <f aca="false">'פירוט לסוכן'!K19+'פירוט לסוכן'!K44+'פירוט לסוכן'!K69+'פירוט לסוכן'!K94</f>
        <v>5865</v>
      </c>
      <c r="L19" s="112" t="n">
        <f aca="false">'פירוט לסוכן'!L19+'פירוט לסוכן'!L44+'פירוט לסוכן'!L69+'פירוט לסוכן'!L94</f>
        <v>731952</v>
      </c>
    </row>
    <row r="20" customFormat="false" ht="15" hidden="false" customHeight="false" outlineLevel="0" collapsed="false">
      <c r="B20" s="102" t="str">
        <f aca="false">'פירוט לסוכן'!B20</f>
        <v>MSG001F 0</v>
      </c>
      <c r="C20" s="111" t="n">
        <f aca="false">'פירוט לסוכן'!C20+'פירוט לסוכן'!C45+'פירוט לסוכן'!C70+'פירוט לסוכן'!C95</f>
        <v>234</v>
      </c>
      <c r="D20" s="112" t="n">
        <f aca="false">'פירוט לסוכן'!D20+'פירוט לסוכן'!D45+'פירוט לסוכן'!D70+'פירוט לסוכן'!D95</f>
        <v>102960</v>
      </c>
      <c r="F20" s="102" t="str">
        <f aca="false">'פירוט לסוכן'!B20</f>
        <v>MSG001F 0</v>
      </c>
      <c r="G20" s="111" t="n">
        <f aca="false">'פירוט לסוכן'!G20+'פירוט לסוכן'!G45+'פירוט לסוכן'!G70+'פירוט לסוכן'!G95</f>
        <v>57</v>
      </c>
      <c r="H20" s="112" t="n">
        <f aca="false">'פירוט לסוכן'!H20+'פירוט לסוכן'!H45+'פירוט לסוכן'!H70+'פירוט לסוכן'!H95</f>
        <v>25080</v>
      </c>
      <c r="J20" s="102" t="str">
        <f aca="false">'פירוט לסוכן'!B20</f>
        <v>MSG001F 0</v>
      </c>
      <c r="K20" s="111" t="n">
        <f aca="false">'פירוט לסוכן'!K20+'פירוט לסוכן'!K45+'פירוט לסוכן'!K70+'פירוט לסוכן'!K95</f>
        <v>360</v>
      </c>
      <c r="L20" s="112" t="n">
        <f aca="false">'פירוט לסוכן'!L20+'פירוט לסוכן'!L45+'פירוט לסוכן'!L70+'פירוט לסוכן'!L95</f>
        <v>158400</v>
      </c>
    </row>
    <row r="21" customFormat="false" ht="15" hidden="false" customHeight="false" outlineLevel="0" collapsed="false">
      <c r="B21" s="102" t="str">
        <f aca="false">'פירוט לסוכן'!B21</f>
        <v>MSG002S 0</v>
      </c>
      <c r="C21" s="111" t="n">
        <f aca="false">'פירוט לסוכן'!C21+'פירוט לסוכן'!C46+'פירוט לסוכן'!C71+'פירוט לסוכן'!C96</f>
        <v>234</v>
      </c>
      <c r="D21" s="112" t="n">
        <f aca="false">'פירוט לסוכן'!D21+'פירוט לסוכן'!D46+'פירוט לסוכן'!D71+'פירוט לסוכן'!D96</f>
        <v>102960</v>
      </c>
      <c r="F21" s="102" t="str">
        <f aca="false">'פירוט לסוכן'!B21</f>
        <v>MSG002S 0</v>
      </c>
      <c r="G21" s="111" t="n">
        <f aca="false">'פירוט לסוכן'!G21+'פירוט לסוכן'!G46+'פירוט לסוכן'!G71+'פירוט לסוכן'!G96</f>
        <v>57</v>
      </c>
      <c r="H21" s="112" t="n">
        <f aca="false">'פירוט לסוכן'!H21+'פירוט לסוכן'!H46+'פירוט לסוכן'!H71+'פירוט לסוכן'!H96</f>
        <v>25080</v>
      </c>
      <c r="J21" s="102" t="str">
        <f aca="false">'פירוט לסוכן'!B21</f>
        <v>MSG002S 0</v>
      </c>
      <c r="K21" s="111" t="n">
        <f aca="false">'פירוט לסוכן'!K21+'פירוט לסוכן'!K46+'פירוט לסוכן'!K71+'פירוט לסוכן'!K96</f>
        <v>360</v>
      </c>
      <c r="L21" s="112" t="n">
        <f aca="false">'פירוט לסוכן'!L21+'פירוט לסוכן'!L46+'פירוט לסוכן'!L71+'פירוט לסוכן'!L96</f>
        <v>158400</v>
      </c>
    </row>
    <row r="22" customFormat="false" ht="15" hidden="false" customHeight="false" outlineLevel="0" collapsed="false">
      <c r="B22" s="102" t="str">
        <f aca="false">'פירוט לסוכן'!B22</f>
        <v>T-scoop רגל</v>
      </c>
      <c r="C22" s="111" t="n">
        <f aca="false">'פירוט לסוכן'!C22+'פירוט לסוכן'!C47+'פירוט לסוכן'!C72+'פירוט לסוכן'!C97</f>
        <v>156</v>
      </c>
      <c r="D22" s="112" t="n">
        <f aca="false">'פירוט לסוכן'!D22+'פירוט לסוכן'!D47+'פירוט לסוכן'!D72+'פירוט לסוכן'!D97</f>
        <v>33072</v>
      </c>
      <c r="F22" s="102" t="str">
        <f aca="false">'פירוט לסוכן'!B22</f>
        <v>T-scoop רגל</v>
      </c>
      <c r="G22" s="111" t="n">
        <f aca="false">'פירוט לסוכן'!G22+'פירוט לסוכן'!G47+'פירוט לסוכן'!G72+'פירוט לסוכן'!G97</f>
        <v>38</v>
      </c>
      <c r="H22" s="112" t="n">
        <f aca="false">'פירוט לסוכן'!H22+'פירוט לסוכן'!H47+'פירוט לסוכן'!H72+'פירוט לסוכן'!H97</f>
        <v>8056</v>
      </c>
      <c r="J22" s="102" t="str">
        <f aca="false">'פירוט לסוכן'!B22</f>
        <v>T-scoop רגל</v>
      </c>
      <c r="K22" s="111" t="n">
        <f aca="false">'פירוט לסוכן'!K22+'פירוט לסוכן'!K47+'פירוט לסוכן'!K72+'פירוט לסוכן'!K97</f>
        <v>0</v>
      </c>
      <c r="L22" s="112" t="n">
        <f aca="false">'פירוט לסוכן'!L22+'פירוט לסוכן'!L47+'פירוט לסוכן'!L72+'פירוט לסוכן'!L97</f>
        <v>0</v>
      </c>
    </row>
    <row r="23" customFormat="false" ht="15" hidden="false" customHeight="false" outlineLevel="0" collapsed="false">
      <c r="B23" s="102" t="str">
        <f aca="false">'פירוט לסוכן'!B23</f>
        <v>T-scoop יד</v>
      </c>
      <c r="C23" s="111" t="n">
        <f aca="false">'פירוט לסוכן'!C23+'פירוט לסוכן'!C48+'פירוט לסוכן'!C73+'פירוט לסוכן'!C98</f>
        <v>0</v>
      </c>
      <c r="D23" s="112" t="n">
        <f aca="false">'פירוט לסוכן'!D23+'פירוט לסוכן'!D48+'פירוט לסוכן'!D73+'פירוט לסוכן'!D98</f>
        <v>0</v>
      </c>
      <c r="F23" s="102" t="str">
        <f aca="false">'פירוט לסוכן'!B23</f>
        <v>T-scoop יד</v>
      </c>
      <c r="G23" s="111" t="n">
        <f aca="false">'פירוט לסוכן'!G23+'פירוט לסוכן'!G48+'פירוט לסוכן'!G73+'פירוט לסוכן'!G98</f>
        <v>0</v>
      </c>
      <c r="H23" s="112" t="n">
        <f aca="false">'פירוט לסוכן'!H23+'פירוט לסוכן'!H48+'פירוט לסוכן'!H73+'פירוט לסוכן'!H98</f>
        <v>0</v>
      </c>
      <c r="J23" s="102" t="str">
        <f aca="false">'פירוט לסוכן'!B23</f>
        <v>T-scoop יד</v>
      </c>
      <c r="K23" s="111" t="n">
        <f aca="false">'פירוט לסוכן'!K23+'פירוט לסוכן'!K48+'פירוט לסוכן'!K73+'פירוט לסוכן'!K98</f>
        <v>0</v>
      </c>
      <c r="L23" s="112" t="n">
        <f aca="false">'פירוט לסוכן'!L23+'פירוט לסוכן'!L48+'פירוט לסוכן'!L73+'פירוט לסוכן'!L98</f>
        <v>0</v>
      </c>
    </row>
    <row r="24" customFormat="false" ht="15" hidden="false" customHeight="false" outlineLevel="0" collapsed="false">
      <c r="B24" s="102" t="str">
        <f aca="false">'פירוט לסוכן'!B24</f>
        <v>SH779 חגורת Jewett</v>
      </c>
      <c r="C24" s="111" t="n">
        <f aca="false">'פירוט לסוכן'!C24+'פירוט לסוכן'!C49+'פירוט לסוכן'!C74+'פירוט לסוכן'!C99</f>
        <v>390</v>
      </c>
      <c r="D24" s="112" t="n">
        <f aca="false">'פירוט לסוכן'!D24+'פירוט לסוכן'!D49+'פירוט לסוכן'!D74+'פירוט לסוכן'!D99</f>
        <v>137280</v>
      </c>
      <c r="F24" s="102" t="str">
        <f aca="false">'פירוט לסוכן'!B24</f>
        <v>SH779 חגורת Jewett</v>
      </c>
      <c r="G24" s="111" t="n">
        <f aca="false">'פירוט לסוכן'!G24+'פירוט לסוכן'!G49+'פירוט לסוכן'!G74+'פירוט לסוכן'!G99</f>
        <v>95</v>
      </c>
      <c r="H24" s="112" t="n">
        <f aca="false">'פירוט לסוכן'!H24+'פירוט לסוכן'!H49+'פירוט לסוכן'!H74+'פירוט לסוכן'!H99</f>
        <v>33440</v>
      </c>
      <c r="J24" s="102" t="str">
        <f aca="false">'פירוט לסוכן'!B24</f>
        <v>SH779 חגורת Jewett</v>
      </c>
      <c r="K24" s="111" t="n">
        <f aca="false">'פירוט לסוכן'!K24+'פירוט לסוכן'!K49+'פירוט לסוכן'!K74+'פירוט לסוכן'!K99</f>
        <v>1725</v>
      </c>
      <c r="L24" s="112" t="n">
        <f aca="false">'פירוט לסוכן'!L24+'פירוט לסוכן'!L49+'פירוט לסוכן'!L74+'פירוט לסוכן'!L99</f>
        <v>607200</v>
      </c>
    </row>
    <row r="25" customFormat="false" ht="15" hidden="false" customHeight="false" outlineLevel="0" collapsed="false">
      <c r="B25" s="102" t="str">
        <f aca="false">'פירוט לסוכן'!B25</f>
        <v>מגף (ווקר)</v>
      </c>
      <c r="C25" s="111" t="n">
        <f aca="false">'פירוט לסוכן'!C25+'פירוט לסוכן'!C50+'פירוט לסוכן'!C75+'פירוט לסוכן'!C100</f>
        <v>156</v>
      </c>
      <c r="D25" s="112" t="n">
        <f aca="false">'פירוט לסוכן'!D25+'פירוט לסוכן'!D50+'פירוט לסוכן'!D75+'פירוט לסוכן'!D100</f>
        <v>19968</v>
      </c>
      <c r="F25" s="102" t="str">
        <f aca="false">'פירוט לסוכן'!B25</f>
        <v>מגף (ווקר)</v>
      </c>
      <c r="G25" s="111" t="n">
        <f aca="false">'פירוט לסוכן'!G25+'פירוט לסוכן'!G50+'פירוט לסוכן'!G75+'פירוט לסוכן'!G100</f>
        <v>38</v>
      </c>
      <c r="H25" s="112" t="n">
        <f aca="false">'פירוט לסוכן'!H25+'פירוט לסוכן'!H50+'פירוט לסוכן'!H75+'פירוט לסוכן'!H100</f>
        <v>4864</v>
      </c>
      <c r="J25" s="102" t="str">
        <f aca="false">'פירוט לסוכן'!B25</f>
        <v>מגף (ווקר)</v>
      </c>
      <c r="K25" s="111" t="n">
        <f aca="false">'פירוט לסוכן'!K25+'פירוט לסוכן'!K50+'פירוט לסוכן'!K75+'פירוט לסוכן'!K100</f>
        <v>220</v>
      </c>
      <c r="L25" s="112" t="n">
        <f aca="false">'פירוט לסוכן'!L25+'פירוט לסוכן'!L50+'פירוט לסוכן'!L75+'פירוט לסוכן'!L100</f>
        <v>28160</v>
      </c>
    </row>
    <row r="26" customFormat="false" ht="15" hidden="false" customHeight="false" outlineLevel="0" collapsed="false">
      <c r="B26" s="102" t="str">
        <f aca="false">'פירוט לסוכן'!B26</f>
        <v>SH660 cervical collar</v>
      </c>
      <c r="C26" s="111" t="n">
        <f aca="false">'פירוט לסוכן'!C26+'פירוט לסוכן'!C51+'פירוט לסוכן'!C76+'פירוט לסוכן'!C101</f>
        <v>390</v>
      </c>
      <c r="D26" s="112" t="n">
        <f aca="false">'פירוט לסוכן'!D26+'פירוט לסוכן'!D51+'פירוט לסוכן'!D76+'פירוט לסוכן'!D101</f>
        <v>87360</v>
      </c>
      <c r="F26" s="102" t="str">
        <f aca="false">'פירוט לסוכן'!B26</f>
        <v>SH660 cervical collar</v>
      </c>
      <c r="G26" s="111" t="n">
        <f aca="false">'פירוט לסוכן'!G26+'פירוט לסוכן'!G51+'פירוט לסוכן'!G76+'פירוט לסוכן'!G101</f>
        <v>95</v>
      </c>
      <c r="H26" s="112" t="n">
        <f aca="false">'פירוט לסוכן'!H26+'פירוט לסוכן'!H51+'פירוט לסוכן'!H76+'פירוט לסוכן'!H101</f>
        <v>21280</v>
      </c>
      <c r="J26" s="102" t="str">
        <f aca="false">'פירוט לסוכן'!B26</f>
        <v>SH660 cervical collar</v>
      </c>
      <c r="K26" s="111" t="n">
        <f aca="false">'פירוט לסוכן'!K26+'פירוט לסוכן'!K51+'פירוט לסוכן'!K76+'פירוט לסוכן'!K101</f>
        <v>550</v>
      </c>
      <c r="L26" s="112" t="n">
        <f aca="false">'פירוט לסוכן'!L26+'פירוט לסוכן'!L51+'פירוט לסוכן'!L76+'פירוט לסוכן'!L101</f>
        <v>123200</v>
      </c>
    </row>
    <row r="27" customFormat="false" ht="15" hidden="false" customHeight="false" outlineLevel="0" collapsed="false">
      <c r="B27" s="102" t="str">
        <f aca="false">'פירוט לסוכן'!B27</f>
        <v>T36B</v>
      </c>
      <c r="C27" s="111" t="n">
        <f aca="false">'פירוט לסוכן'!C27+'פירוט לסוכן'!C52+'פירוט לסוכן'!C77+'פירוט לסוכן'!C102</f>
        <v>936</v>
      </c>
      <c r="D27" s="112" t="n">
        <f aca="false">'פירוט לסוכן'!D27+'פירוט לסוכן'!D52+'פירוט לסוכן'!D77+'פירוט לסוכן'!D102</f>
        <v>93600</v>
      </c>
      <c r="F27" s="102" t="str">
        <f aca="false">'פירוט לסוכן'!B27</f>
        <v>T36B</v>
      </c>
      <c r="G27" s="111" t="n">
        <f aca="false">'פירוט לסוכן'!G27+'פירוט לסוכן'!G52+'פירוט לסוכן'!G77+'פירוט לסוכן'!G102</f>
        <v>228</v>
      </c>
      <c r="H27" s="112" t="n">
        <f aca="false">'פירוט לסוכן'!H27+'פירוט לסוכן'!H52+'פירוט לסוכן'!H77+'פירוט לסוכן'!H102</f>
        <v>22800</v>
      </c>
      <c r="J27" s="102" t="str">
        <f aca="false">'פירוט לסוכן'!B27</f>
        <v>T36B</v>
      </c>
      <c r="K27" s="111" t="n">
        <f aca="false">'פירוט לסוכן'!K27+'פירוט לסוכן'!K52+'פירוט לסוכן'!K77+'פירוט לסוכן'!K102</f>
        <v>4260</v>
      </c>
      <c r="L27" s="112" t="n">
        <f aca="false">'פירוט לסוכן'!L27+'פירוט לסוכן'!L52+'פירוט לסוכן'!L77+'פירוט לסוכן'!L102</f>
        <v>426000</v>
      </c>
    </row>
    <row r="28" customFormat="false" ht="15" hidden="false" customHeight="false" outlineLevel="0" collapsed="false">
      <c r="B28" s="105" t="s">
        <v>86</v>
      </c>
      <c r="C28" s="113" t="n">
        <f aca="false">SUM(C8:C27)</f>
        <v>14820</v>
      </c>
      <c r="D28" s="114" t="n">
        <f aca="false">SUM(D8:D27)</f>
        <v>1880236.8</v>
      </c>
      <c r="F28" s="105" t="s">
        <v>86</v>
      </c>
      <c r="G28" s="113" t="n">
        <f aca="false">SUM(G8:G27)</f>
        <v>3705</v>
      </c>
      <c r="H28" s="114" t="n">
        <f aca="false">SUM(H8:H27)</f>
        <v>447047.2</v>
      </c>
      <c r="J28" s="105" t="s">
        <v>86</v>
      </c>
      <c r="K28" s="113" t="n">
        <f aca="false">SUM(K8:K27)</f>
        <v>72337</v>
      </c>
      <c r="L28" s="114" t="n">
        <f aca="false">SUM(L8:L27)</f>
        <v>7448776.64</v>
      </c>
    </row>
    <row r="30" customFormat="false" ht="15" hidden="false" customHeight="false" outlineLevel="0" collapsed="false">
      <c r="A30" s="115" t="s">
        <v>189</v>
      </c>
      <c r="B30" s="115"/>
      <c r="C30" s="115"/>
      <c r="D30" s="115"/>
      <c r="E30" s="115"/>
      <c r="F30" s="115"/>
      <c r="G30" s="115"/>
    </row>
    <row r="31" customFormat="false" ht="79.85" hidden="false" customHeight="false" outlineLevel="0" collapsed="false">
      <c r="A31" s="101" t="s">
        <v>190</v>
      </c>
      <c r="B31" s="101" t="s">
        <v>180</v>
      </c>
      <c r="C31" s="101" t="s">
        <v>191</v>
      </c>
      <c r="D31" s="101" t="s">
        <v>182</v>
      </c>
      <c r="E31" s="101" t="s">
        <v>183</v>
      </c>
      <c r="F31" s="101" t="s">
        <v>192</v>
      </c>
      <c r="G31" s="101" t="s">
        <v>185</v>
      </c>
    </row>
    <row r="32" customFormat="false" ht="15" hidden="false" customHeight="false" outlineLevel="0" collapsed="false">
      <c r="A32" s="116" t="s">
        <v>107</v>
      </c>
      <c r="B32" s="111" t="n">
        <f aca="false">C28</f>
        <v>14820</v>
      </c>
      <c r="C32" s="111" t="n">
        <f aca="false">'פירוט לסוכן'!C28+'פירוט לסוכן'!C53+'פירוט לסוכן'!C78+'פירוט לסוכן'!C103</f>
        <v>14820</v>
      </c>
      <c r="D32" s="116" t="str">
        <f aca="false">IF(B32=C32,"TRUE","FALSE")</f>
        <v>TRUE</v>
      </c>
      <c r="E32" s="112" t="n">
        <f aca="false">D28</f>
        <v>1880236.8</v>
      </c>
      <c r="F32" s="112" t="n">
        <f aca="false">'פירוט לסוכן'!D28+'פירוט לסוכן'!D53+'פירוט לסוכן'!D78+'פירוט לסוכן'!D103</f>
        <v>1880236.8</v>
      </c>
      <c r="G32" s="116" t="str">
        <f aca="false">IF(E32=F32,"TRUE","FALSE")</f>
        <v>TRUE</v>
      </c>
    </row>
    <row r="33" customFormat="false" ht="15" hidden="false" customHeight="false" outlineLevel="0" collapsed="false">
      <c r="A33" s="116" t="s">
        <v>108</v>
      </c>
      <c r="B33" s="111" t="n">
        <f aca="false">G28</f>
        <v>3705</v>
      </c>
      <c r="C33" s="111" t="n">
        <f aca="false">'פירוט לסוכן'!G28+'פירוט לסוכן'!G53+'פירוט לסוכן'!G78+'פירוט לסוכן'!G103</f>
        <v>3705</v>
      </c>
      <c r="D33" s="116" t="str">
        <f aca="false">IF(B33=C33,"TRUE","FALSE")</f>
        <v>TRUE</v>
      </c>
      <c r="E33" s="112" t="n">
        <f aca="false">H28</f>
        <v>447047.2</v>
      </c>
      <c r="F33" s="112" t="n">
        <f aca="false">'פירוט לסוכן'!H28+'פירוט לסוכן'!H53+'פירוט לסוכן'!H78+'פירוט לסוכן'!H103</f>
        <v>447047.2</v>
      </c>
      <c r="G33" s="116" t="str">
        <f aca="false">IF(E33=F33,"TRUE","FALSE")</f>
        <v>TRUE</v>
      </c>
    </row>
    <row r="34" customFormat="false" ht="15" hidden="false" customHeight="false" outlineLevel="0" collapsed="false">
      <c r="A34" s="116" t="s">
        <v>19</v>
      </c>
      <c r="B34" s="111" t="n">
        <f aca="false">K28</f>
        <v>72337</v>
      </c>
      <c r="C34" s="111" t="n">
        <f aca="false">'פירוט לסוכן'!K28+'פירוט לסוכן'!K53+'פירוט לסוכן'!K78+'פירוט לסוכן'!K103</f>
        <v>72337</v>
      </c>
      <c r="D34" s="116" t="str">
        <f aca="false">IF(B34=C34,"TRUE","FALSE")</f>
        <v>TRUE</v>
      </c>
      <c r="E34" s="112" t="n">
        <f aca="false">L28</f>
        <v>7448776.64</v>
      </c>
      <c r="F34" s="112" t="n">
        <f aca="false">'פירוט לסוכן'!L28+'פירוט לסוכן'!L53+'פירוט לסוכן'!L78+'פירוט לסוכן'!L103</f>
        <v>7448776.64</v>
      </c>
      <c r="G34" s="116" t="str">
        <f aca="false">IF(E34=F34,"TRUE","FALSE")</f>
        <v>TRUE</v>
      </c>
    </row>
    <row r="35" customFormat="false" ht="15" hidden="false" customHeight="false" outlineLevel="0" collapsed="false">
      <c r="A35" s="117" t="s">
        <v>193</v>
      </c>
      <c r="B35" s="118" t="n">
        <f aca="false">SUM(B32:B34)</f>
        <v>90862</v>
      </c>
      <c r="C35" s="118" t="n">
        <f aca="false">SUM(C32:C34)</f>
        <v>90862</v>
      </c>
      <c r="D35" s="117" t="str">
        <f aca="false">IF(B35=C35,"TRUE","FALSE")</f>
        <v>TRUE</v>
      </c>
      <c r="E35" s="119" t="n">
        <f aca="false">SUM(E32:E34)</f>
        <v>9776060.64</v>
      </c>
      <c r="F35" s="119" t="n">
        <f aca="false">SUM(F32:F34)</f>
        <v>9776060.64</v>
      </c>
      <c r="G35" s="117" t="str">
        <f aca="false">IF(E35=F35,"TRUE","FALSE")</f>
        <v>TRUE</v>
      </c>
    </row>
    <row r="36" customFormat="false" ht="15" hidden="false" customHeight="false" outlineLevel="0" collapsed="false">
      <c r="A36" s="116" t="s">
        <v>194</v>
      </c>
      <c r="B36" s="111" t="n">
        <f aca="false">'פירוט לסוכן'!B108+'פירוט לסוכן'!B109+'פירוט לסוכן'!B110+'פירוט לסוכן'!B111</f>
        <v>90862</v>
      </c>
      <c r="E36" s="112" t="n">
        <f aca="false">'פירוט לסוכן'!E108+'פירוט לסוכן'!E109+'פירוט לסוכן'!E110+'פירוט לסוכן'!E111</f>
        <v>9776060.64</v>
      </c>
    </row>
    <row r="37" customFormat="false" ht="15" hidden="false" customHeight="false" outlineLevel="0" collapsed="false">
      <c r="A37" s="117" t="s">
        <v>195</v>
      </c>
      <c r="B37" s="117" t="str">
        <f aca="false">IF(B35=B36,"TRUE","FALSE")</f>
        <v>TRUE</v>
      </c>
      <c r="E37" s="117" t="str">
        <f aca="false">IF(E35=E36,"TRUE","FALSE")</f>
        <v>TRUE</v>
      </c>
    </row>
  </sheetData>
  <mergeCells count="7">
    <mergeCell ref="A1:L1"/>
    <mergeCell ref="A3:L3"/>
    <mergeCell ref="A5:L5"/>
    <mergeCell ref="B6:D6"/>
    <mergeCell ref="F6:H6"/>
    <mergeCell ref="J6:L6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2026-09-24T18:46:11Z</dcterms:created>
  <dc:creator>Eyal Sadot</dc:creator>
  <dc:description/>
  <dc:language>en-US</dc:language>
  <cp:lastModifiedBy>Eyal Sadot</cp:lastModifiedBy>
  <dcterms:modified xsi:type="dcterms:W3CDTF">2026-10-17T13:32:42Z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