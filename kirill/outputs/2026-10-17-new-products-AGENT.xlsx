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1156658meditex-my.sharepoint.com/personal/eyals_uriel_co_il/Documents/שולחן העבודה/תקציב 2027/קבצי עבודה/"/>
    </mc:Choice>
  </mc:AlternateContent>
  <xr:revisionPtr revIDLastSave="0" documentId="8_{43C63BF9-3FE8-4706-98B9-20D541E25D48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גיליון1" sheetId="1" r:id="rId1"/>
    <sheet name="Plan vs Actual" sheetId="2" r:id="rId2"/>
    <sheet name="Plan vs Actual (סוכן)" sheetId="3" r:id="rId3"/>
  </sheets>
  <externalReferences>
    <externalReference r:id="rId4"/>
  </externalReferences>
  <definedNames>
    <definedName name="_xlnm._FilterDatabase" localSheetId="1" hidden="1">'Plan vs Actual'!$A$8:$M$39</definedName>
    <definedName name="_xlnm._FilterDatabase" localSheetId="2" hidden="1">'Plan vs Actual (סוכן)'!$A$10:$E$31</definedName>
    <definedName name="_xlnm._FilterDatabase" localSheetId="0" hidden="1">גיליון1!$A$5:$G$122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1" i="3" l="1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82" i="3" s="1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X57" i="3"/>
  <c r="Y57" i="3" s="1"/>
  <c r="X54" i="3"/>
  <c r="X49" i="3"/>
  <c r="X48" i="3"/>
  <c r="X47" i="3"/>
  <c r="X44" i="3"/>
  <c r="X43" i="3"/>
  <c r="X42" i="3"/>
  <c r="X41" i="3"/>
  <c r="X40" i="3"/>
  <c r="X39" i="3"/>
  <c r="W57" i="3"/>
  <c r="W56" i="3"/>
  <c r="W55" i="3"/>
  <c r="W54" i="3"/>
  <c r="W53" i="3"/>
  <c r="W52" i="3"/>
  <c r="W51" i="3"/>
  <c r="W50" i="3"/>
  <c r="W49" i="3"/>
  <c r="W48" i="3"/>
  <c r="W46" i="3"/>
  <c r="Y46" i="3" s="1"/>
  <c r="AD46" i="3" s="1"/>
  <c r="AE46" i="3" s="1"/>
  <c r="W44" i="3"/>
  <c r="W43" i="3"/>
  <c r="W42" i="3"/>
  <c r="W41" i="3"/>
  <c r="W40" i="3"/>
  <c r="W39" i="3"/>
  <c r="W38" i="3"/>
  <c r="V57" i="3"/>
  <c r="V56" i="3"/>
  <c r="V55" i="3"/>
  <c r="V54" i="3"/>
  <c r="V53" i="3"/>
  <c r="V52" i="3"/>
  <c r="V51" i="3"/>
  <c r="V50" i="3"/>
  <c r="V49" i="3"/>
  <c r="V48" i="3"/>
  <c r="V47" i="3"/>
  <c r="V44" i="3"/>
  <c r="V43" i="3"/>
  <c r="V42" i="3"/>
  <c r="V41" i="3"/>
  <c r="V40" i="3"/>
  <c r="V39" i="3"/>
  <c r="X38" i="3"/>
  <c r="V38" i="3"/>
  <c r="X36" i="3"/>
  <c r="W36" i="3"/>
  <c r="V36" i="3"/>
  <c r="M57" i="3"/>
  <c r="M54" i="3"/>
  <c r="N54" i="3" s="1"/>
  <c r="M49" i="3"/>
  <c r="M48" i="3"/>
  <c r="N48" i="3" s="1"/>
  <c r="M47" i="3"/>
  <c r="M44" i="3"/>
  <c r="M43" i="3"/>
  <c r="M42" i="3"/>
  <c r="M41" i="3"/>
  <c r="M40" i="3"/>
  <c r="M39" i="3"/>
  <c r="K57" i="3"/>
  <c r="K56" i="3"/>
  <c r="K55" i="3"/>
  <c r="K54" i="3"/>
  <c r="K53" i="3"/>
  <c r="K52" i="3"/>
  <c r="K51" i="3"/>
  <c r="K50" i="3"/>
  <c r="K49" i="3"/>
  <c r="K48" i="3"/>
  <c r="K47" i="3"/>
  <c r="K44" i="3"/>
  <c r="K43" i="3"/>
  <c r="K42" i="3"/>
  <c r="K41" i="3"/>
  <c r="K40" i="3"/>
  <c r="K39" i="3"/>
  <c r="M38" i="3"/>
  <c r="K38" i="3"/>
  <c r="M36" i="3"/>
  <c r="L36" i="3"/>
  <c r="K36" i="3"/>
  <c r="AC57" i="3"/>
  <c r="R57" i="3"/>
  <c r="N57" i="3"/>
  <c r="G57" i="3"/>
  <c r="AC56" i="3"/>
  <c r="Y56" i="3"/>
  <c r="R56" i="3"/>
  <c r="N56" i="3"/>
  <c r="G56" i="3"/>
  <c r="AC55" i="3"/>
  <c r="Y55" i="3"/>
  <c r="R55" i="3"/>
  <c r="N55" i="3"/>
  <c r="G55" i="3"/>
  <c r="AC54" i="3"/>
  <c r="Y54" i="3"/>
  <c r="R54" i="3"/>
  <c r="G54" i="3"/>
  <c r="AC53" i="3"/>
  <c r="Y53" i="3"/>
  <c r="R53" i="3"/>
  <c r="N53" i="3"/>
  <c r="G53" i="3"/>
  <c r="AC52" i="3"/>
  <c r="Y52" i="3"/>
  <c r="R52" i="3"/>
  <c r="N52" i="3"/>
  <c r="G52" i="3"/>
  <c r="AC51" i="3"/>
  <c r="Y51" i="3"/>
  <c r="R51" i="3"/>
  <c r="N51" i="3"/>
  <c r="G51" i="3"/>
  <c r="AC50" i="3"/>
  <c r="Y50" i="3"/>
  <c r="R50" i="3"/>
  <c r="N50" i="3"/>
  <c r="G50" i="3"/>
  <c r="AC49" i="3"/>
  <c r="Y49" i="3"/>
  <c r="R49" i="3"/>
  <c r="N49" i="3"/>
  <c r="G49" i="3"/>
  <c r="AC48" i="3"/>
  <c r="Y48" i="3"/>
  <c r="R48" i="3"/>
  <c r="G48" i="3"/>
  <c r="AC47" i="3"/>
  <c r="Y47" i="3"/>
  <c r="R47" i="3"/>
  <c r="N47" i="3"/>
  <c r="G47" i="3"/>
  <c r="AC46" i="3"/>
  <c r="R46" i="3"/>
  <c r="N46" i="3"/>
  <c r="G46" i="3"/>
  <c r="AC45" i="3"/>
  <c r="Y45" i="3"/>
  <c r="R45" i="3"/>
  <c r="N45" i="3"/>
  <c r="G45" i="3"/>
  <c r="AC44" i="3"/>
  <c r="Y44" i="3"/>
  <c r="R44" i="3"/>
  <c r="N44" i="3"/>
  <c r="G44" i="3"/>
  <c r="AC43" i="3"/>
  <c r="Y43" i="3"/>
  <c r="R43" i="3"/>
  <c r="N43" i="3"/>
  <c r="G43" i="3"/>
  <c r="AC42" i="3"/>
  <c r="Y42" i="3"/>
  <c r="R42" i="3"/>
  <c r="N42" i="3"/>
  <c r="S42" i="3" s="1"/>
  <c r="T42" i="3" s="1"/>
  <c r="G42" i="3"/>
  <c r="AC41" i="3"/>
  <c r="Y41" i="3"/>
  <c r="R41" i="3"/>
  <c r="N41" i="3"/>
  <c r="S41" i="3" s="1"/>
  <c r="T41" i="3" s="1"/>
  <c r="G41" i="3"/>
  <c r="AC40" i="3"/>
  <c r="Y40" i="3"/>
  <c r="R40" i="3"/>
  <c r="N40" i="3"/>
  <c r="G40" i="3"/>
  <c r="AC39" i="3"/>
  <c r="Y39" i="3"/>
  <c r="R39" i="3"/>
  <c r="N39" i="3"/>
  <c r="G39" i="3"/>
  <c r="AC38" i="3"/>
  <c r="R38" i="3"/>
  <c r="G38" i="3"/>
  <c r="AE30" i="3"/>
  <c r="AE29" i="3"/>
  <c r="AE28" i="3"/>
  <c r="AE27" i="3"/>
  <c r="AE25" i="3"/>
  <c r="AE24" i="3"/>
  <c r="AE23" i="3"/>
  <c r="AE22" i="3"/>
  <c r="AE21" i="3"/>
  <c r="AE20" i="3"/>
  <c r="AE19" i="3"/>
  <c r="AE18" i="3"/>
  <c r="AE17" i="3"/>
  <c r="AE16" i="3"/>
  <c r="AE15" i="3"/>
  <c r="AE14" i="3"/>
  <c r="AE13" i="3"/>
  <c r="AE12" i="3"/>
  <c r="AE11" i="3"/>
  <c r="T30" i="3"/>
  <c r="T29" i="3"/>
  <c r="T28" i="3"/>
  <c r="T27" i="3"/>
  <c r="T25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T11" i="3"/>
  <c r="X30" i="3"/>
  <c r="X27" i="3"/>
  <c r="X22" i="3"/>
  <c r="Y22" i="3" s="1"/>
  <c r="X21" i="3"/>
  <c r="X20" i="3"/>
  <c r="X17" i="3"/>
  <c r="X16" i="3"/>
  <c r="X15" i="3"/>
  <c r="X14" i="3"/>
  <c r="X13" i="3"/>
  <c r="X12" i="3"/>
  <c r="V30" i="3"/>
  <c r="V29" i="3"/>
  <c r="V28" i="3"/>
  <c r="V27" i="3"/>
  <c r="V26" i="3"/>
  <c r="V25" i="3"/>
  <c r="V24" i="3"/>
  <c r="V23" i="3"/>
  <c r="V22" i="3"/>
  <c r="V21" i="3"/>
  <c r="V20" i="3"/>
  <c r="V17" i="3"/>
  <c r="V16" i="3"/>
  <c r="V15" i="3"/>
  <c r="V14" i="3"/>
  <c r="V13" i="3"/>
  <c r="V12" i="3"/>
  <c r="X11" i="3"/>
  <c r="V11" i="3"/>
  <c r="Y11" i="3" s="1"/>
  <c r="X9" i="3"/>
  <c r="W9" i="3"/>
  <c r="V9" i="3"/>
  <c r="M9" i="3"/>
  <c r="L9" i="3"/>
  <c r="K9" i="3"/>
  <c r="AC30" i="3"/>
  <c r="AC29" i="3"/>
  <c r="AC28" i="3"/>
  <c r="AC27" i="3"/>
  <c r="AC26" i="3"/>
  <c r="Y26" i="3"/>
  <c r="AC25" i="3"/>
  <c r="Y25" i="3"/>
  <c r="AC24" i="3"/>
  <c r="Y24" i="3"/>
  <c r="AC23" i="3"/>
  <c r="Y23" i="3"/>
  <c r="AC22" i="3"/>
  <c r="AC21" i="3"/>
  <c r="Y21" i="3"/>
  <c r="AC20" i="3"/>
  <c r="Y20" i="3"/>
  <c r="AC19" i="3"/>
  <c r="Y19" i="3"/>
  <c r="AC18" i="3"/>
  <c r="Y18" i="3"/>
  <c r="AC17" i="3"/>
  <c r="Y17" i="3"/>
  <c r="AC16" i="3"/>
  <c r="Y16" i="3"/>
  <c r="AC15" i="3"/>
  <c r="Y15" i="3"/>
  <c r="AC14" i="3"/>
  <c r="Y14" i="3"/>
  <c r="AC13" i="3"/>
  <c r="Y13" i="3"/>
  <c r="AC12" i="3"/>
  <c r="Y12" i="3"/>
  <c r="AC11" i="3"/>
  <c r="S19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S18" i="3" s="1"/>
  <c r="K30" i="3"/>
  <c r="K29" i="3"/>
  <c r="N29" i="3" s="1"/>
  <c r="S29" i="3" s="1"/>
  <c r="K28" i="3"/>
  <c r="M27" i="3"/>
  <c r="K27" i="3"/>
  <c r="K26" i="3"/>
  <c r="K25" i="3"/>
  <c r="K24" i="3"/>
  <c r="K23" i="3"/>
  <c r="M22" i="3"/>
  <c r="K22" i="3"/>
  <c r="M21" i="3"/>
  <c r="K21" i="3"/>
  <c r="M20" i="3"/>
  <c r="K20" i="3"/>
  <c r="M17" i="3"/>
  <c r="M16" i="3"/>
  <c r="M15" i="3"/>
  <c r="M14" i="3"/>
  <c r="M13" i="3"/>
  <c r="M12" i="3"/>
  <c r="M11" i="3"/>
  <c r="K17" i="3"/>
  <c r="K16" i="3"/>
  <c r="K15" i="3"/>
  <c r="K14" i="3"/>
  <c r="K13" i="3"/>
  <c r="K12" i="3"/>
  <c r="K11" i="3"/>
  <c r="N30" i="3"/>
  <c r="S30" i="3" s="1"/>
  <c r="N28" i="3"/>
  <c r="S28" i="3" s="1"/>
  <c r="N26" i="3"/>
  <c r="N25" i="3"/>
  <c r="S25" i="3" s="1"/>
  <c r="N24" i="3"/>
  <c r="S24" i="3" s="1"/>
  <c r="N23" i="3"/>
  <c r="S23" i="3" s="1"/>
  <c r="N20" i="3"/>
  <c r="S20" i="3" s="1"/>
  <c r="N19" i="3"/>
  <c r="N18" i="3"/>
  <c r="R17" i="3"/>
  <c r="R16" i="3"/>
  <c r="R15" i="3"/>
  <c r="R14" i="3"/>
  <c r="R13" i="3"/>
  <c r="R12" i="3"/>
  <c r="R1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I7" i="3"/>
  <c r="H7" i="3"/>
  <c r="G7" i="3"/>
  <c r="J5" i="3"/>
  <c r="J4" i="3"/>
  <c r="J3" i="3"/>
  <c r="J2" i="3"/>
  <c r="AJ9" i="2"/>
  <c r="AL5" i="2"/>
  <c r="AK5" i="2"/>
  <c r="AL32" i="2"/>
  <c r="AL31" i="2"/>
  <c r="AL30" i="2"/>
  <c r="AL29" i="2"/>
  <c r="AL28" i="2"/>
  <c r="AL27" i="2"/>
  <c r="AL25" i="2"/>
  <c r="AL23" i="2"/>
  <c r="AL22" i="2"/>
  <c r="AL19" i="2"/>
  <c r="AL16" i="2"/>
  <c r="AL15" i="2"/>
  <c r="AL14" i="2"/>
  <c r="AL13" i="2"/>
  <c r="AL12" i="2"/>
  <c r="AL10" i="2"/>
  <c r="AL9" i="2"/>
  <c r="AK32" i="2"/>
  <c r="AK31" i="2"/>
  <c r="AK30" i="2"/>
  <c r="AK29" i="2"/>
  <c r="AK28" i="2"/>
  <c r="AK27" i="2"/>
  <c r="AK25" i="2"/>
  <c r="AK23" i="2"/>
  <c r="AK22" i="2"/>
  <c r="AK19" i="2"/>
  <c r="AK16" i="2"/>
  <c r="AK15" i="2"/>
  <c r="AK14" i="2"/>
  <c r="AK13" i="2"/>
  <c r="AK12" i="2"/>
  <c r="AK10" i="2"/>
  <c r="AK9" i="2"/>
  <c r="AJ32" i="2"/>
  <c r="AJ31" i="2"/>
  <c r="AJ30" i="2"/>
  <c r="AJ29" i="2"/>
  <c r="AJ28" i="2"/>
  <c r="AJ27" i="2"/>
  <c r="AJ25" i="2"/>
  <c r="AJ23" i="2"/>
  <c r="AJ22" i="2"/>
  <c r="AJ19" i="2"/>
  <c r="AJ16" i="2"/>
  <c r="AJ15" i="2"/>
  <c r="AJ14" i="2"/>
  <c r="AJ13" i="2"/>
  <c r="AJ12" i="2"/>
  <c r="AJ10" i="2"/>
  <c r="AJ7" i="2"/>
  <c r="AG49" i="2"/>
  <c r="Q40" i="2"/>
  <c r="Q45" i="2" s="1"/>
  <c r="W43" i="2"/>
  <c r="W42" i="2"/>
  <c r="W41" i="2"/>
  <c r="W32" i="2"/>
  <c r="W31" i="2"/>
  <c r="W25" i="2"/>
  <c r="W23" i="2"/>
  <c r="W22" i="2"/>
  <c r="W19" i="2"/>
  <c r="W16" i="2"/>
  <c r="W15" i="2"/>
  <c r="W14" i="2"/>
  <c r="W13" i="2"/>
  <c r="W12" i="2"/>
  <c r="W10" i="2"/>
  <c r="W9" i="2"/>
  <c r="AC32" i="2"/>
  <c r="AD32" i="2" s="1"/>
  <c r="AF32" i="2" s="1"/>
  <c r="AG32" i="2" s="1"/>
  <c r="AC31" i="2"/>
  <c r="AD31" i="2" s="1"/>
  <c r="AF31" i="2" s="1"/>
  <c r="AG31" i="2" s="1"/>
  <c r="AC30" i="2"/>
  <c r="AD30" i="2" s="1"/>
  <c r="AF30" i="2" s="1"/>
  <c r="AG30" i="2" s="1"/>
  <c r="AC29" i="2"/>
  <c r="AD29" i="2" s="1"/>
  <c r="AF29" i="2" s="1"/>
  <c r="AG29" i="2" s="1"/>
  <c r="AC28" i="2"/>
  <c r="AD28" i="2" s="1"/>
  <c r="AF28" i="2" s="1"/>
  <c r="AG28" i="2" s="1"/>
  <c r="AC27" i="2"/>
  <c r="AD27" i="2" s="1"/>
  <c r="AF27" i="2" s="1"/>
  <c r="AG27" i="2" s="1"/>
  <c r="AC25" i="2"/>
  <c r="AD25" i="2" s="1"/>
  <c r="AF25" i="2" s="1"/>
  <c r="AG25" i="2" s="1"/>
  <c r="AC23" i="2"/>
  <c r="AD23" i="2" s="1"/>
  <c r="AF23" i="2" s="1"/>
  <c r="AG23" i="2" s="1"/>
  <c r="AC22" i="2"/>
  <c r="AD22" i="2" s="1"/>
  <c r="AF22" i="2" s="1"/>
  <c r="AG22" i="2" s="1"/>
  <c r="AC19" i="2"/>
  <c r="AD19" i="2" s="1"/>
  <c r="AF19" i="2" s="1"/>
  <c r="AG19" i="2" s="1"/>
  <c r="AC16" i="2"/>
  <c r="AD16" i="2" s="1"/>
  <c r="AF16" i="2" s="1"/>
  <c r="AG16" i="2" s="1"/>
  <c r="AC15" i="2"/>
  <c r="AD15" i="2" s="1"/>
  <c r="AF15" i="2" s="1"/>
  <c r="AG15" i="2" s="1"/>
  <c r="AC14" i="2"/>
  <c r="AD14" i="2" s="1"/>
  <c r="AF14" i="2" s="1"/>
  <c r="AG14" i="2" s="1"/>
  <c r="AC13" i="2"/>
  <c r="AD13" i="2" s="1"/>
  <c r="AF13" i="2" s="1"/>
  <c r="AG13" i="2" s="1"/>
  <c r="AC12" i="2"/>
  <c r="AD12" i="2" s="1"/>
  <c r="AF12" i="2" s="1"/>
  <c r="AG12" i="2" s="1"/>
  <c r="AC10" i="2"/>
  <c r="AD10" i="2" s="1"/>
  <c r="AF10" i="2" s="1"/>
  <c r="AG10" i="2" s="1"/>
  <c r="AC5" i="2"/>
  <c r="AC4" i="2"/>
  <c r="AC3" i="2"/>
  <c r="AC2" i="2"/>
  <c r="AA7" i="2"/>
  <c r="AB7" i="2"/>
  <c r="Y7" i="2"/>
  <c r="Z7" i="2"/>
  <c r="AC9" i="2"/>
  <c r="AD9" i="2" s="1"/>
  <c r="AF9" i="2" s="1"/>
  <c r="AG9" i="2" s="1"/>
  <c r="T44" i="2"/>
  <c r="T43" i="2"/>
  <c r="T42" i="2"/>
  <c r="T41" i="2"/>
  <c r="T32" i="2"/>
  <c r="T31" i="2"/>
  <c r="T30" i="2"/>
  <c r="T29" i="2"/>
  <c r="T28" i="2"/>
  <c r="T27" i="2"/>
  <c r="T25" i="2"/>
  <c r="T23" i="2"/>
  <c r="T22" i="2"/>
  <c r="T19" i="2"/>
  <c r="T16" i="2"/>
  <c r="T15" i="2"/>
  <c r="T14" i="2"/>
  <c r="T13" i="2"/>
  <c r="T12" i="2"/>
  <c r="T10" i="2"/>
  <c r="T9" i="2"/>
  <c r="T40" i="2" s="1"/>
  <c r="AD45" i="3" l="1"/>
  <c r="AE45" i="3" s="1"/>
  <c r="S26" i="3"/>
  <c r="T26" i="3" s="1"/>
  <c r="AD48" i="3"/>
  <c r="AE48" i="3" s="1"/>
  <c r="Y38" i="3"/>
  <c r="AD40" i="3"/>
  <c r="AE40" i="3" s="1"/>
  <c r="AD44" i="3"/>
  <c r="AE44" i="3" s="1"/>
  <c r="AD42" i="3"/>
  <c r="AE42" i="3" s="1"/>
  <c r="J66" i="3" s="1"/>
  <c r="AD39" i="3"/>
  <c r="AE39" i="3" s="1"/>
  <c r="S45" i="3"/>
  <c r="T45" i="3" s="1"/>
  <c r="J69" i="3" s="1"/>
  <c r="S46" i="3"/>
  <c r="T46" i="3" s="1"/>
  <c r="J70" i="3" s="1"/>
  <c r="S57" i="3"/>
  <c r="T57" i="3" s="1"/>
  <c r="N38" i="3"/>
  <c r="S38" i="3" s="1"/>
  <c r="AD57" i="3"/>
  <c r="AE57" i="3" s="1"/>
  <c r="AD56" i="3"/>
  <c r="AE56" i="3" s="1"/>
  <c r="S56" i="3"/>
  <c r="T56" i="3" s="1"/>
  <c r="J80" i="3" s="1"/>
  <c r="AD55" i="3"/>
  <c r="AE55" i="3" s="1"/>
  <c r="S55" i="3"/>
  <c r="T55" i="3" s="1"/>
  <c r="J79" i="3" s="1"/>
  <c r="AD54" i="3"/>
  <c r="AE54" i="3" s="1"/>
  <c r="S54" i="3"/>
  <c r="T54" i="3" s="1"/>
  <c r="J78" i="3" s="1"/>
  <c r="AD53" i="3"/>
  <c r="AE53" i="3" s="1"/>
  <c r="S53" i="3"/>
  <c r="T53" i="3" s="1"/>
  <c r="AD52" i="3"/>
  <c r="AE52" i="3" s="1"/>
  <c r="S52" i="3"/>
  <c r="T52" i="3" s="1"/>
  <c r="J76" i="3" s="1"/>
  <c r="AD51" i="3"/>
  <c r="AE51" i="3" s="1"/>
  <c r="S51" i="3"/>
  <c r="T51" i="3" s="1"/>
  <c r="J75" i="3" s="1"/>
  <c r="AD50" i="3"/>
  <c r="AE50" i="3" s="1"/>
  <c r="S50" i="3"/>
  <c r="T50" i="3" s="1"/>
  <c r="J74" i="3" s="1"/>
  <c r="AD49" i="3"/>
  <c r="AE49" i="3" s="1"/>
  <c r="S49" i="3"/>
  <c r="T49" i="3" s="1"/>
  <c r="J73" i="3" s="1"/>
  <c r="S48" i="3"/>
  <c r="T48" i="3" s="1"/>
  <c r="J72" i="3" s="1"/>
  <c r="AD47" i="3"/>
  <c r="AE47" i="3" s="1"/>
  <c r="S47" i="3"/>
  <c r="T47" i="3" s="1"/>
  <c r="J71" i="3" s="1"/>
  <c r="S44" i="3"/>
  <c r="T44" i="3" s="1"/>
  <c r="J68" i="3" s="1"/>
  <c r="AD43" i="3"/>
  <c r="AE43" i="3" s="1"/>
  <c r="S43" i="3"/>
  <c r="T43" i="3" s="1"/>
  <c r="J67" i="3" s="1"/>
  <c r="AD41" i="3"/>
  <c r="AE41" i="3" s="1"/>
  <c r="J65" i="3" s="1"/>
  <c r="S40" i="3"/>
  <c r="T40" i="3" s="1"/>
  <c r="J64" i="3" s="1"/>
  <c r="S39" i="3"/>
  <c r="T39" i="3" s="1"/>
  <c r="J63" i="3" s="1"/>
  <c r="AD38" i="3"/>
  <c r="AD18" i="3"/>
  <c r="AD19" i="3"/>
  <c r="N21" i="3"/>
  <c r="S21" i="3" s="1"/>
  <c r="AD26" i="3"/>
  <c r="AE26" i="3" s="1"/>
  <c r="N22" i="3"/>
  <c r="S22" i="3" s="1"/>
  <c r="Y30" i="3"/>
  <c r="AD30" i="3" s="1"/>
  <c r="Y27" i="3"/>
  <c r="AD27" i="3" s="1"/>
  <c r="Y29" i="3"/>
  <c r="AD29" i="3" s="1"/>
  <c r="Y28" i="3"/>
  <c r="AD28" i="3" s="1"/>
  <c r="AD25" i="3"/>
  <c r="AD24" i="3"/>
  <c r="AD23" i="3"/>
  <c r="AD22" i="3"/>
  <c r="AD21" i="3"/>
  <c r="AD20" i="3"/>
  <c r="AD17" i="3"/>
  <c r="AD16" i="3"/>
  <c r="AD15" i="3"/>
  <c r="AD14" i="3"/>
  <c r="AD13" i="3"/>
  <c r="AD12" i="3"/>
  <c r="AD11" i="3"/>
  <c r="N27" i="3"/>
  <c r="S27" i="3" s="1"/>
  <c r="N11" i="3"/>
  <c r="S11" i="3" s="1"/>
  <c r="N15" i="3"/>
  <c r="S15" i="3" s="1"/>
  <c r="N12" i="3"/>
  <c r="S12" i="3" s="1"/>
  <c r="N17" i="3"/>
  <c r="S17" i="3" s="1"/>
  <c r="N13" i="3"/>
  <c r="S13" i="3" s="1"/>
  <c r="N16" i="3"/>
  <c r="S16" i="3" s="1"/>
  <c r="J7" i="3"/>
  <c r="AL7" i="2"/>
  <c r="AL3" i="2" s="1"/>
  <c r="AK7" i="2"/>
  <c r="AK3" i="2" s="1"/>
  <c r="AF7" i="2"/>
  <c r="AG7" i="2"/>
  <c r="AC7" i="2"/>
  <c r="T45" i="2"/>
  <c r="N38" i="2"/>
  <c r="N40" i="2" s="1"/>
  <c r="O37" i="2"/>
  <c r="O32" i="2"/>
  <c r="O31" i="2"/>
  <c r="O30" i="2"/>
  <c r="O29" i="2"/>
  <c r="O28" i="2"/>
  <c r="O27" i="2"/>
  <c r="O25" i="2"/>
  <c r="O23" i="2"/>
  <c r="O22" i="2"/>
  <c r="O19" i="2"/>
  <c r="O16" i="2"/>
  <c r="O15" i="2"/>
  <c r="O14" i="2"/>
  <c r="O13" i="2"/>
  <c r="O12" i="2"/>
  <c r="O10" i="2"/>
  <c r="O9" i="2"/>
  <c r="J81" i="3" l="1"/>
  <c r="J77" i="3"/>
  <c r="AE38" i="3"/>
  <c r="AE36" i="3" s="1"/>
  <c r="AD36" i="3"/>
  <c r="S36" i="3"/>
  <c r="T38" i="3"/>
  <c r="AE9" i="3"/>
  <c r="AD9" i="3"/>
  <c r="N14" i="3"/>
  <c r="S14" i="3" s="1"/>
  <c r="AM7" i="2"/>
  <c r="O38" i="2"/>
  <c r="O40" i="2" s="1"/>
  <c r="T36" i="3" l="1"/>
  <c r="J62" i="3"/>
  <c r="J82" i="3" s="1"/>
  <c r="T9" i="3"/>
  <c r="S9" i="3"/>
  <c r="AJ5" i="2" l="1"/>
  <c r="AJ3" i="2" l="1"/>
  <c r="AM3" i="2" s="1"/>
  <c r="AM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000-000001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קרסול</t>
        </r>
      </text>
    </comment>
    <comment ref="A7" authorId="0" shapeId="0" xr:uid="{00000000-0006-0000-0000-000002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מרפק</t>
        </r>
      </text>
    </comment>
  </commentList>
</comments>
</file>

<file path=xl/sharedStrings.xml><?xml version="1.0" encoding="utf-8"?>
<sst xmlns="http://schemas.openxmlformats.org/spreadsheetml/2006/main" count="664" uniqueCount="170">
  <si>
    <t>מוצרים חדשים - התאמת כמות/כסף 2026 בפועל (YTD) לפי ערוץ מכירה - גרסה סופית (כל 5 אי-הוודאויות הוכרעו ע"י המשתמש)</t>
  </si>
  <si>
    <t>תאריך חישוב:</t>
  </si>
  <si>
    <t>תיקון (25/09/2026): בגרסה הקודמת נעשה שימוש בקוד CHEMIPAL המספרי (כמו 4411030) כמפתח חיפוש עבור דגמים שהותאמו דרך TRANS/הקטלוג (213 CTS, SH422, 397A, SH333) - זה תפס נכון מול 5 גיליונות CEMIUP0.9 (שם עמודת הקוד היא באמת הקוד המספרי), אבל פספס לגמרי את 29 גיליונות ה-SALES הישירים (שם עמודת "Product Code" מכילה את הקוד הטקסטואלי הגולמי כמו "213CTSR L", לא את הקוד המספרי) - בעיית אי-התאמת סוג-מפתח, לא בדיוק בעיית רווחים כפי שהועלתה. התיקון: סריקה חדשה לגמרי שמחפשת את קידומת-הבסיס הטקסטואלית (עם נרמול רווחים/מקפים/פלוס) ישירות מול עמודת הקוד הגולמית + שם המוצר בכל 34 המקורות (5 CEMIUP0.9 + 29 SALES, ללא 107/113 שכבר כלולות בתוך בתי מרקחת/מאוחדת - מניעת כפל ספירה). כמות/כסף = 2026 בפועל עד היום (YTD), לא מנורמל. כאשר דגם כלל וריאנטים (מידות/צדדים) - מסוכם לכל ערוץ. שורות בצבע אדום = התאמה לא-ודאית (T40B "רצועה לפיקה" - קוד דומה בלבד, סומן ולא הוכרע). עדכון 26/09/2026: כל 5 אי-הוודאויות שעלו בסריקה המורחבת (59 / 3051 x3 / MSG001F 0 / cervical collar) הוכרעו במפורש ע"י המשתמש ועודכנו בטבלה הראשית: "59", "3051" (×3) ו-"cervical collar" נקבעו כ-0 יחידות/NA (לא אותו מוצר, לא מוזג); "MSG001F 0" מוזג כעת מכל 3 גווני הצבע (שחור/קרם/לבן) יחד לשורה אחת מאוחדת, כולל שורת הזיכוי השלילית בגוון הלבן כפי שהיא בנתונים.</t>
  </si>
  <si>
    <t>#</t>
  </si>
  <si>
    <t>דגם (מקור)</t>
  </si>
  <si>
    <t>ערוץ מכירה</t>
  </si>
  <si>
    <t>כמות 2026 (בפועל, YTD)</t>
  </si>
  <si>
    <t>כסף 2026 (בפועל, YTD, ₪)</t>
  </si>
  <si>
    <t># וריאנטים ממוזגים</t>
  </si>
  <si>
    <t>הערה</t>
  </si>
  <si>
    <t>213 CTS</t>
  </si>
  <si>
    <t>114 - IL online</t>
  </si>
  <si>
    <t>203 - Ortho-Partner SWITZERLAND</t>
  </si>
  <si>
    <t>סופר פארם</t>
  </si>
  <si>
    <t>209 - Ortoprofil Prod ROMANIA</t>
  </si>
  <si>
    <t>216 - Max Konnaris CYPRUS</t>
  </si>
  <si>
    <t>מאוחדת</t>
  </si>
  <si>
    <t>102 - Orthopedic institutes</t>
  </si>
  <si>
    <t>214 - Alfred Gera Sons MALTA</t>
  </si>
  <si>
    <t>בתי מרקחת</t>
  </si>
  <si>
    <t>103 - Physiotherapy institutes</t>
  </si>
  <si>
    <t>101 - Factory customers</t>
  </si>
  <si>
    <t>204 - Sanaflex Anatomic GREECE</t>
  </si>
  <si>
    <t>-- סה"כ 213 CTS --</t>
  </si>
  <si>
    <t xml:space="preserve">SH422 </t>
  </si>
  <si>
    <t>210 - Oy. Ea. Ab. FINLAND</t>
  </si>
  <si>
    <t>-- סה"כ SH422  --</t>
  </si>
  <si>
    <t>397A</t>
  </si>
  <si>
    <t>202 - Super-Pharm POLAND</t>
  </si>
  <si>
    <t>201- Seven Gear FINLAND oy</t>
  </si>
  <si>
    <t>109 - Private Shops</t>
  </si>
  <si>
    <t>301 - Amazon</t>
  </si>
  <si>
    <t>-- סה"כ 397A --</t>
  </si>
  <si>
    <t>SH333</t>
  </si>
  <si>
    <t>-- סה"כ SH333 --</t>
  </si>
  <si>
    <t>SH776</t>
  </si>
  <si>
    <t>-- סה"כ SH776 --</t>
  </si>
  <si>
    <t>SH322</t>
  </si>
  <si>
    <t>207 - Salus HUNGARY</t>
  </si>
  <si>
    <t>-- סה"כ SH322 --</t>
  </si>
  <si>
    <t>SH922</t>
  </si>
  <si>
    <t>-</t>
  </si>
  <si>
    <t>NA</t>
  </si>
  <si>
    <t>לא נמצאה התאמה באף ערוץ, גם בסריקה המורחבת (NA)</t>
  </si>
  <si>
    <t>SH423</t>
  </si>
  <si>
    <t>-- סה"כ SH423 --</t>
  </si>
  <si>
    <t>364 xl+</t>
  </si>
  <si>
    <t>-- סה"כ 364 xl+ --</t>
  </si>
  <si>
    <t>SC34+</t>
  </si>
  <si>
    <t>809PW</t>
  </si>
  <si>
    <t>-- סה"כ 809PW --</t>
  </si>
  <si>
    <t>הוכרע ע"י המשתמש (26/09/2026): 0 יחידות ב-2026 - אף אחת מ-41 זהויות-הווריאנט שנמצאו עבור "59" אינה המוצר המבוקש, לא מוזג.</t>
  </si>
  <si>
    <t>T40B</t>
  </si>
  <si>
    <t>בתי מרקחת (קוד 4420039)</t>
  </si>
  <si>
    <t>לא ודאי אם זהה ל-T40B - שם דומה בלבד ("T40B רצועה לפיקה"), לא מאושר כאותו מוצר</t>
  </si>
  <si>
    <t>-- סה"כ T40B (מופע 1 ברשימת המקור) --</t>
  </si>
  <si>
    <t>-- סה"כ T40B (מופע 2 ברשימת המקור) --</t>
  </si>
  <si>
    <t>T066</t>
  </si>
  <si>
    <t>-- סה"כ T066 --</t>
  </si>
  <si>
    <t>הוכרע ע"י המשתמש (26/09/2026): 0 יחידות ב-2026 - קוד CHEMIPAL 4413051 ("35 XXL מגן קרסול לבן") אינו אותו מוצר כמו "3051", לא מוזג.</t>
  </si>
  <si>
    <t>הוכרע ע"י המשתמש (26/09/2026): זהה לשורה 16 (כפילות ברשימת המקור) - 0 יחידות, לא מוזג.</t>
  </si>
  <si>
    <t>MSG001F 0</t>
  </si>
  <si>
    <t>הוכרע ע"י המשתמש (26/09/2026): מוזג סה"כ כל 3 גווני MSG001F (שחור/קרם/לבן) יחד, ללא הבחנה בצבע, כולל שורת הזיכוי השלילית בגוון הלבן כפי שהיא.</t>
  </si>
  <si>
    <t>-- סה"כ MSG001F 0 --</t>
  </si>
  <si>
    <t>MSG002S 0</t>
  </si>
  <si>
    <t>-- סה"כ MSG002S 0 --</t>
  </si>
  <si>
    <t>T-scoop רגל</t>
  </si>
  <si>
    <t>T-scoop יד</t>
  </si>
  <si>
    <t>חגורת Jewett</t>
  </si>
  <si>
    <t>מגף (ווקר)</t>
  </si>
  <si>
    <t>cervical collar</t>
  </si>
  <si>
    <t>הוכרע ע"י המשתמש (26/09/2026): 0 יחידות ב-2026 - אף אחת מ-3 משפחות ה"צווארון" שנמצאו (621B / 61BL / 60B) אינה ה-"cervical collar" המבוקש, לא מוזג.</t>
  </si>
  <si>
    <t>Miami brace</t>
  </si>
  <si>
    <t>T46B</t>
  </si>
  <si>
    <t>-- סה"כ T46B --</t>
  </si>
  <si>
    <t>T36B</t>
  </si>
  <si>
    <t>-- סה"כ T36B --</t>
  </si>
  <si>
    <t>Plan vs Actual - תוכנית 2026 מול ביצוע בפועל (YTD) למוצרים חדשים</t>
  </si>
  <si>
    <t>אזהרה מתודולוגית חשובה: עמודות התוכנית (C-F) הן יעד ל-2026 המלאה (12 חודשים). עמודות הבפועל (G-I) הן YTD חלקי בלבד (כפי שמחושב בגיליון "גיליון1" - מבוסס על ~9.5 חודשי נתונים בפועל, לא מנורמל לשנה מלאה כאן בכוונה, כדי להשוות "מה כבר נמכר בפועל" מול "היעד השנתי" ישירות). % הביצוע (K-L) הוא לכן ביחס ליעד שנתי מלא בעוד שהמונה הוא רק חלק מהשנה - לכן % נמוך (למשל 30-60%) בשלב הזה של השנה אינו בהכרח "פיגור", אלא צפוי אם קצב המכירות המנורמל עדיין תואם/עולה על היעד. T40B ו-3051 מופיעים כל אחד 2-3 פעמים ברשימת המקור (מופעים נפרדים עם ערוצי-יעד שונים) - ה-actual זהה בשני מופעי T40B (הנתון הגולמי לא ניתן לפיצול בין המופעים) ולכן בשורת הסה"כ הכללי בתחתית, ה-actual של T40B נספר פעם אחת בלבד (לא כפול) כדי לא לנפח את הביצוע בפועל - הפלאן עדיין מסוכם משני המופעים כפי שהם. 3051 = 0 בפועל בכל 3 המופעים (הוכרע ע"י המשתמש כמוצר לא-זהה) - לא רלוונטי לכפל.</t>
  </si>
  <si>
    <t>Orthopedic institutes</t>
  </si>
  <si>
    <t>דגם</t>
  </si>
  <si>
    <t>כמות מתוכננת (שנתי)</t>
  </si>
  <si>
    <t>מחיר ליח' (₪)</t>
  </si>
  <si>
    <t>מכירות מתוכננות (שנתי, ₪)</t>
  </si>
  <si>
    <t>ערוץ מתוכנן</t>
  </si>
  <si>
    <t>כמות בפועל (YTD)</t>
  </si>
  <si>
    <t>כסף בפועל (YTD, ₪)</t>
  </si>
  <si>
    <t>ערוץ מוביל בפועל (Top Source)</t>
  </si>
  <si>
    <t>ערוץ תואם?</t>
  </si>
  <si>
    <t>% ביצוע כמות (YTD/יעד שנתי)</t>
  </si>
  <si>
    <t>% ביצוע כסף (YTD/יעד שנתי)</t>
  </si>
  <si>
    <t>הערות</t>
  </si>
  <si>
    <t xml:space="preserve">Units </t>
  </si>
  <si>
    <t xml:space="preserve">Amount </t>
  </si>
  <si>
    <t>חנה</t>
  </si>
  <si>
    <t xml:space="preserve">חודשים </t>
  </si>
  <si>
    <t xml:space="preserve">מחיר מטרה </t>
  </si>
  <si>
    <t>סה"כ</t>
  </si>
  <si>
    <t>מכוני אורטופדיה</t>
  </si>
  <si>
    <t>שונה</t>
  </si>
  <si>
    <t xml:space="preserve">גיבוי </t>
  </si>
  <si>
    <t>סופרפארם</t>
  </si>
  <si>
    <t>כמעט תיקו מול סופר פארם ישראל (1552, הפרש 18 יח' בלבד)</t>
  </si>
  <si>
    <t>תואם</t>
  </si>
  <si>
    <t>NA (0 בפועל)</t>
  </si>
  <si>
    <t>אין בפועל (0%)</t>
  </si>
  <si>
    <t>—</t>
  </si>
  <si>
    <t>אין ערוץ מתוכנן</t>
  </si>
  <si>
    <t>T40B (מופע 1)</t>
  </si>
  <si>
    <t>כולל 8 יח'/588.13 ש"ח משורה לא-ודאית ("T40B רצועה לפיקה")</t>
  </si>
  <si>
    <t>T40B (מופע 2)</t>
  </si>
  <si>
    <t>3051 (מופע 1)</t>
  </si>
  <si>
    <t>3051 (מופע 2)</t>
  </si>
  <si>
    <t>3051 (מופע 3)</t>
  </si>
  <si>
    <t>101-Factory customers / 207-Salus HUNGARY (תיקו)</t>
  </si>
  <si>
    <t>תיקו בין 2 ערוצים - 1 יח' כל אחד, אין ערוץ מוביל יחיד</t>
  </si>
  <si>
    <t>-- סה"כ (כל 28 שורות התוכנית, plan ללא כפל) --</t>
  </si>
  <si>
    <t>-- סה"כ מתוקן (T40B נספר פעם אחת - לא כפול) --</t>
  </si>
  <si>
    <t>SPD28</t>
  </si>
  <si>
    <t>11P3C/4</t>
  </si>
  <si>
    <t>32B</t>
  </si>
  <si>
    <t>אורט</t>
  </si>
  <si>
    <t>פיזט</t>
  </si>
  <si>
    <t>פרטיים</t>
  </si>
  <si>
    <t xml:space="preserve">בתי מרקחת </t>
  </si>
  <si>
    <t xml:space="preserve">הזמנה </t>
  </si>
  <si>
    <t xml:space="preserve">חנויות סה"כ </t>
  </si>
  <si>
    <t xml:space="preserve">יחידות סה"כ </t>
  </si>
  <si>
    <t>כסף סה"כ</t>
  </si>
  <si>
    <t>דודו</t>
  </si>
  <si>
    <t>חיים</t>
  </si>
  <si>
    <t>חזאם</t>
  </si>
  <si>
    <t>סטאס</t>
  </si>
  <si>
    <t xml:space="preserve">גלגול </t>
  </si>
  <si>
    <t>חודשים</t>
  </si>
  <si>
    <t xml:space="preserve">סה"כ יחידות </t>
  </si>
  <si>
    <t xml:space="preserve">תקציב </t>
  </si>
  <si>
    <t xml:space="preserve">חדש </t>
  </si>
  <si>
    <t xml:space="preserve">תוספת </t>
  </si>
  <si>
    <t>בתי</t>
  </si>
  <si>
    <t>אור</t>
  </si>
  <si>
    <t>SH779 חגורת Jewett</t>
  </si>
  <si>
    <t>SH660 cervical collar</t>
  </si>
  <si>
    <t>364 XL+</t>
  </si>
  <si>
    <t>מידות</t>
  </si>
  <si>
    <t>כפפה</t>
  </si>
  <si>
    <t>מקבע קרסול מתנפח</t>
  </si>
  <si>
    <t xml:space="preserve">גנו תומך ברק </t>
  </si>
  <si>
    <t>SpinaShield | חגורת תיקון יציבה לעמוד שדרה וכתפיים</t>
  </si>
  <si>
    <t>מגיני קרסול</t>
  </si>
  <si>
    <t>תומך מרפק עם כריות ג'ל</t>
  </si>
  <si>
    <t>גנו פרו מייצב ברך עם צירים- שמאל/ימין</t>
  </si>
  <si>
    <t>מפריד בוהן עם רצועה</t>
  </si>
  <si>
    <t>רצועת רטייה לפיקת הברך</t>
  </si>
  <si>
    <t>טייפ</t>
  </si>
  <si>
    <t xml:space="preserve">חגורה לגב </t>
  </si>
  <si>
    <t xml:space="preserve">מדרסים </t>
  </si>
  <si>
    <t>מכשיר עיסוי</t>
  </si>
  <si>
    <t xml:space="preserve">כרית עיסוי </t>
  </si>
  <si>
    <t>T066B</t>
  </si>
  <si>
    <t>חגורת קיבוע מתקדמת לעמוד השדרה העליון והתחתון</t>
  </si>
  <si>
    <t>תומך קרסול תרמי לתמיכה</t>
  </si>
  <si>
    <t>מקבע צוואר קשיח מתכוונן</t>
  </si>
  <si>
    <t xml:space="preserve">הנחה </t>
  </si>
  <si>
    <t xml:space="preserve">הזמנה ראשונה </t>
  </si>
  <si>
    <t xml:space="preserve">השלמה </t>
  </si>
  <si>
    <t>מכירות</t>
  </si>
  <si>
    <t xml:space="preserve">כמות </t>
  </si>
  <si>
    <t xml:space="preserve">כסף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</si>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</sst>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₪&quot;\ * #,##0.00_ ;_ &quot;₪&quot;\ * \-#,##0.00_ ;_ &quot;₪&quot;\ * &quot;-&quot;??_ ;_ @_ "/>
    <numFmt numFmtId="43" formatCode="_ * #,##0.00_ ;_ * \-#,##0.00_ ;_ * &quot;-&quot;??_ ;_ @_ "/>
    <numFmt numFmtId="164" formatCode="dd/mm/yy"/>
    <numFmt numFmtId="165" formatCode="0.0%"/>
    <numFmt numFmtId="166" formatCode="_ * #,##0_ ;_ * \-#,##0_ ;_ * &quot;-&quot;??_ ;_ @_ "/>
    <numFmt numFmtId="167" formatCode="_ [$₪-40D]\ * #,##0.00_ ;_ [$₪-40D]\ * \-#,##0.00_ ;_ [$₪-40D]\ * &quot;-&quot;??_ ;_ @_ "/>
    <numFmt numFmtId="168" formatCode="_ [$₪-40D]\ * #,##0_ ;_ [$₪-40D]\ * \-#,##0_ ;_ [$₪-40D]\ * &quot;-&quot;??_ ;_ @_ "/>
    <numFmt numFmtId="169" formatCode="_ &quot;₪&quot;\ * #,##0_ ;_ &quot;₪&quot;\ * \-#,##0_ ;_ &quot;₪&quot;\ * &quot;-&quot;??_ ;_ @_ "/>
  </numFmts>
  <fonts count="19">
    <font>
      <sz val="11"/>
      <color theme="1"/>
      <name val="Arial"/>
      <family val="2"/>
      <charset val="177"/>
    </font>
    <font>
      <b/>
      <sz val="13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b/>
      <sz val="8"/>
      <name val="Arial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color rgb="FF999999"/>
      <name val="Arial"/>
      <family val="2"/>
    </font>
    <font>
      <sz val="10"/>
      <color rgb="FFC00000"/>
      <name val="Arial"/>
      <family val="2"/>
    </font>
    <font>
      <sz val="10"/>
      <color rgb="FF7F6000"/>
      <name val="Arial"/>
      <family val="2"/>
    </font>
    <font>
      <sz val="10"/>
      <name val="FreeSans"/>
      <family val="2"/>
    </font>
    <font>
      <b/>
      <sz val="10"/>
      <color rgb="FFFFFFFF"/>
      <name val="Arial"/>
      <family val="2"/>
    </font>
    <font>
      <sz val="11"/>
      <color theme="1"/>
      <name val="Arial"/>
      <family val="2"/>
      <charset val="177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i/>
      <sz val="11"/>
      <color theme="1"/>
      <name val="Arial"/>
      <family val="2"/>
    </font>
    <font>
      <sz val="11"/>
      <color rgb="FF242424"/>
      <name val="Aptos Narrow"/>
      <family val="2"/>
    </font>
    <font>
      <sz val="10"/>
      <color rgb="FFFF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E7E6E6"/>
        <bgColor rgb="FFEDEDED"/>
      </patternFill>
    </fill>
    <fill>
      <patternFill patternType="solid">
        <fgColor rgb="FFF8CBAD"/>
        <bgColor rgb="FFE7E6E6"/>
      </patternFill>
    </fill>
    <fill>
      <patternFill patternType="solid">
        <fgColor rgb="FFC6E0B4"/>
        <bgColor rgb="FFE7E6E6"/>
      </patternFill>
    </fill>
    <fill>
      <patternFill patternType="solid">
        <fgColor rgb="FFEDEDED"/>
        <bgColor rgb="FFE7E6E6"/>
      </patternFill>
    </fill>
    <fill>
      <patternFill patternType="solid">
        <fgColor theme="9" tint="0.39997558519241921"/>
        <bgColor rgb="FF666699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rgb="FF66669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44" fontId="13" fillId="0" borderId="0" applyFont="0" applyFill="0" applyBorder="0" applyAlignment="0" applyProtection="0"/>
  </cellStyleXfs>
  <cellXfs count="97">
    <xf numFmtId="0" fontId="0" fillId="0" borderId="0" xfId="0"/>
    <xf numFmtId="0" fontId="5" fillId="2" borderId="0" xfId="0" applyFont="1" applyFill="1" applyAlignment="1">
      <alignment horizontal="center" vertical="center" wrapText="1"/>
    </xf>
    <xf numFmtId="4" fontId="6" fillId="0" borderId="0" xfId="0" applyNumberFormat="1" applyFont="1"/>
    <xf numFmtId="0" fontId="6" fillId="0" borderId="0" xfId="0" applyFont="1" applyAlignment="1">
      <alignment vertical="top" wrapText="1"/>
    </xf>
    <xf numFmtId="3" fontId="6" fillId="0" borderId="0" xfId="0" applyNumberFormat="1" applyFont="1"/>
    <xf numFmtId="0" fontId="6" fillId="0" borderId="0" xfId="0" applyFont="1"/>
    <xf numFmtId="4" fontId="7" fillId="3" borderId="0" xfId="0" applyNumberFormat="1" applyFont="1" applyFill="1"/>
    <xf numFmtId="0" fontId="6" fillId="3" borderId="0" xfId="0" applyFont="1" applyFill="1" applyAlignment="1">
      <alignment vertical="top" wrapText="1"/>
    </xf>
    <xf numFmtId="3" fontId="7" fillId="3" borderId="0" xfId="0" applyNumberFormat="1" applyFont="1" applyFill="1"/>
    <xf numFmtId="0" fontId="6" fillId="3" borderId="0" xfId="0" applyFont="1" applyFill="1"/>
    <xf numFmtId="0" fontId="0" fillId="3" borderId="0" xfId="0" applyFill="1"/>
    <xf numFmtId="3" fontId="6" fillId="0" borderId="0" xfId="0" applyNumberFormat="1" applyFont="1" applyAlignment="1">
      <alignment horizontal="center"/>
    </xf>
    <xf numFmtId="4" fontId="6" fillId="0" borderId="0" xfId="0" applyNumberFormat="1" applyFont="1" applyAlignment="1">
      <alignment horizontal="center"/>
    </xf>
    <xf numFmtId="0" fontId="7" fillId="3" borderId="0" xfId="0" applyFont="1" applyFill="1"/>
    <xf numFmtId="0" fontId="8" fillId="0" borderId="0" xfId="0" applyFont="1" applyAlignment="1">
      <alignment horizontal="center"/>
    </xf>
    <xf numFmtId="3" fontId="7" fillId="3" borderId="0" xfId="0" applyNumberFormat="1" applyFont="1" applyFill="1" applyAlignment="1">
      <alignment horizontal="center"/>
    </xf>
    <xf numFmtId="4" fontId="7" fillId="3" borderId="0" xfId="0" applyNumberFormat="1" applyFont="1" applyFill="1" applyAlignment="1">
      <alignment horizontal="center"/>
    </xf>
    <xf numFmtId="3" fontId="8" fillId="0" borderId="0" xfId="0" applyNumberFormat="1" applyFont="1" applyAlignment="1">
      <alignment horizontal="center"/>
    </xf>
    <xf numFmtId="4" fontId="8" fillId="0" borderId="0" xfId="0" applyNumberFormat="1" applyFont="1" applyAlignment="1">
      <alignment horizontal="center"/>
    </xf>
    <xf numFmtId="0" fontId="6" fillId="4" borderId="0" xfId="0" applyFont="1" applyFill="1"/>
    <xf numFmtId="3" fontId="9" fillId="4" borderId="0" xfId="0" applyNumberFormat="1" applyFont="1" applyFill="1"/>
    <xf numFmtId="4" fontId="9" fillId="4" borderId="0" xfId="0" applyNumberFormat="1" applyFont="1" applyFill="1"/>
    <xf numFmtId="0" fontId="9" fillId="4" borderId="0" xfId="0" applyFont="1" applyFill="1" applyAlignment="1">
      <alignment vertical="top" wrapText="1"/>
    </xf>
    <xf numFmtId="0" fontId="1" fillId="0" borderId="0" xfId="0" applyFont="1"/>
    <xf numFmtId="0" fontId="2" fillId="0" borderId="0" xfId="0" applyFont="1"/>
    <xf numFmtId="0" fontId="12" fillId="2" borderId="0" xfId="0" applyFont="1" applyFill="1" applyAlignment="1">
      <alignment horizontal="center" vertical="center" wrapText="1"/>
    </xf>
    <xf numFmtId="165" fontId="6" fillId="0" borderId="0" xfId="0" applyNumberFormat="1" applyFont="1"/>
    <xf numFmtId="0" fontId="6" fillId="5" borderId="0" xfId="0" applyFont="1" applyFill="1"/>
    <xf numFmtId="0" fontId="8" fillId="0" borderId="0" xfId="0" applyFont="1"/>
    <xf numFmtId="0" fontId="6" fillId="6" borderId="0" xfId="0" applyFont="1" applyFill="1"/>
    <xf numFmtId="165" fontId="7" fillId="3" borderId="0" xfId="0" applyNumberFormat="1" applyFont="1" applyFill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64" fontId="0" fillId="0" borderId="0" xfId="0" applyNumberFormat="1" applyAlignment="1">
      <alignment horizontal="right"/>
    </xf>
    <xf numFmtId="0" fontId="4" fillId="0" borderId="0" xfId="0" applyFont="1" applyAlignment="1">
      <alignment horizontal="right"/>
    </xf>
    <xf numFmtId="0" fontId="5" fillId="2" borderId="0" xfId="0" applyFont="1" applyFill="1" applyAlignment="1">
      <alignment horizontal="right" vertical="center" wrapText="1"/>
    </xf>
    <xf numFmtId="0" fontId="6" fillId="0" borderId="0" xfId="0" applyFont="1" applyAlignment="1">
      <alignment horizontal="right"/>
    </xf>
    <xf numFmtId="4" fontId="6" fillId="0" borderId="0" xfId="0" applyNumberFormat="1" applyFont="1" applyAlignment="1">
      <alignment horizontal="right"/>
    </xf>
    <xf numFmtId="0" fontId="6" fillId="3" borderId="0" xfId="0" applyFont="1" applyFill="1" applyAlignment="1">
      <alignment horizontal="right"/>
    </xf>
    <xf numFmtId="4" fontId="7" fillId="3" borderId="0" xfId="0" applyNumberFormat="1" applyFont="1" applyFill="1" applyAlignment="1">
      <alignment horizontal="right"/>
    </xf>
    <xf numFmtId="0" fontId="7" fillId="3" borderId="0" xfId="0" applyFont="1" applyFill="1" applyAlignment="1">
      <alignment horizontal="right"/>
    </xf>
    <xf numFmtId="0" fontId="0" fillId="3" borderId="0" xfId="0" applyFill="1" applyAlignment="1">
      <alignment horizontal="right"/>
    </xf>
    <xf numFmtId="0" fontId="6" fillId="4" borderId="0" xfId="0" applyFont="1" applyFill="1" applyAlignment="1">
      <alignment horizontal="right"/>
    </xf>
    <xf numFmtId="0" fontId="10" fillId="3" borderId="0" xfId="0" applyFont="1" applyFill="1" applyAlignment="1">
      <alignment horizontal="right"/>
    </xf>
    <xf numFmtId="0" fontId="10" fillId="0" borderId="0" xfId="0" applyFont="1" applyAlignment="1">
      <alignment horizontal="right"/>
    </xf>
    <xf numFmtId="0" fontId="6" fillId="0" borderId="0" xfId="0" applyFont="1" applyAlignment="1">
      <alignment horizontal="right" vertical="top" wrapText="1"/>
    </xf>
    <xf numFmtId="0" fontId="6" fillId="3" borderId="0" xfId="0" applyFont="1" applyFill="1" applyAlignment="1">
      <alignment horizontal="right" vertical="top" wrapText="1"/>
    </xf>
    <xf numFmtId="0" fontId="9" fillId="4" borderId="0" xfId="0" applyFont="1" applyFill="1" applyAlignment="1">
      <alignment horizontal="right"/>
    </xf>
    <xf numFmtId="0" fontId="10" fillId="3" borderId="0" xfId="0" applyFont="1" applyFill="1" applyAlignment="1">
      <alignment horizontal="right" vertical="top" wrapText="1"/>
    </xf>
    <xf numFmtId="0" fontId="10" fillId="0" borderId="0" xfId="0" applyFont="1" applyAlignment="1">
      <alignment horizontal="right" vertical="top" wrapText="1"/>
    </xf>
    <xf numFmtId="166" fontId="0" fillId="0" borderId="0" xfId="1" applyNumberFormat="1" applyFont="1"/>
    <xf numFmtId="0" fontId="7" fillId="7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12" fillId="2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167" fontId="0" fillId="0" borderId="0" xfId="0" applyNumberFormat="1"/>
    <xf numFmtId="0" fontId="0" fillId="0" borderId="0" xfId="0" applyAlignment="1">
      <alignment horizontal="center"/>
    </xf>
    <xf numFmtId="168" fontId="0" fillId="0" borderId="0" xfId="0" applyNumberFormat="1"/>
    <xf numFmtId="168" fontId="14" fillId="0" borderId="0" xfId="0" applyNumberFormat="1" applyFont="1"/>
    <xf numFmtId="166" fontId="14" fillId="0" borderId="0" xfId="1" applyNumberFormat="1" applyFont="1"/>
    <xf numFmtId="3" fontId="6" fillId="0" borderId="0" xfId="0" applyNumberFormat="1" applyFont="1" applyAlignment="1">
      <alignment horizontal="right"/>
    </xf>
    <xf numFmtId="1" fontId="0" fillId="0" borderId="0" xfId="0" applyNumberFormat="1" applyAlignment="1">
      <alignment horizontal="center"/>
    </xf>
    <xf numFmtId="0" fontId="0" fillId="8" borderId="0" xfId="0" applyFill="1" applyAlignment="1">
      <alignment horizontal="center"/>
    </xf>
    <xf numFmtId="0" fontId="14" fillId="0" borderId="0" xfId="0" applyFont="1" applyAlignment="1">
      <alignment horizontal="center"/>
    </xf>
    <xf numFmtId="164" fontId="0" fillId="0" borderId="0" xfId="0" applyNumberFormat="1" applyAlignment="1">
      <alignment horizontal="left"/>
    </xf>
    <xf numFmtId="0" fontId="15" fillId="0" borderId="0" xfId="0" applyFont="1" applyAlignment="1">
      <alignment horizontal="center"/>
    </xf>
    <xf numFmtId="3" fontId="14" fillId="0" borderId="0" xfId="0" applyNumberFormat="1" applyFont="1"/>
    <xf numFmtId="0" fontId="14" fillId="0" borderId="0" xfId="0" applyFont="1"/>
    <xf numFmtId="169" fontId="14" fillId="0" borderId="0" xfId="2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6" fillId="9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17" fillId="0" borderId="0" xfId="0" applyFont="1"/>
    <xf numFmtId="9" fontId="0" fillId="0" borderId="0" xfId="0" applyNumberForma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17" fillId="0" borderId="0" xfId="0" applyFont="1" applyAlignment="1">
      <alignment horizontal="right"/>
    </xf>
    <xf numFmtId="9" fontId="14" fillId="0" borderId="0" xfId="0" applyNumberFormat="1" applyFont="1" applyAlignment="1">
      <alignment horizontal="center"/>
    </xf>
    <xf numFmtId="0" fontId="15" fillId="0" borderId="0" xfId="0" applyFont="1" applyFill="1" applyAlignment="1">
      <alignment horizontal="center"/>
    </xf>
    <xf numFmtId="1" fontId="15" fillId="0" borderId="0" xfId="0" applyNumberFormat="1" applyFont="1" applyAlignment="1">
      <alignment horizontal="center"/>
    </xf>
    <xf numFmtId="166" fontId="0" fillId="0" borderId="0" xfId="1" applyNumberFormat="1" applyFont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8" fillId="0" borderId="0" xfId="0" applyFont="1"/>
    <xf numFmtId="0" fontId="7" fillId="10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left" vertical="center" wrapText="1"/>
    </xf>
    <xf numFmtId="0" fontId="14" fillId="11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0" fillId="11" borderId="0" xfId="0" applyFill="1"/>
    <xf numFmtId="168" fontId="14" fillId="11" borderId="0" xfId="0" applyNumberFormat="1" applyFont="1" applyFill="1"/>
    <xf numFmtId="166" fontId="14" fillId="11" borderId="0" xfId="1" applyNumberFormat="1" applyFont="1" applyFill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0" fontId="14" fillId="12" borderId="0" xfId="0" applyFont="1" applyFill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6E0B4"/>
      <rgbColor rgb="FF808080"/>
      <rgbColor rgb="FF9999FF"/>
      <rgbColor rgb="FF993366"/>
      <rgbColor rgb="FFEDEDED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1156658meditex-my.sharepoint.com/personal/eyals_uriel_co_il/Documents/&#1513;&#1493;&#1500;&#1495;&#1503;%20&#1492;&#1506;&#1489;&#1493;&#1491;&#1492;/&#1514;&#1511;&#1510;&#1497;&#1489;%202027/&#1511;&#1489;&#1510;&#1497;%20&#1506;&#1489;&#1493;&#1491;&#1492;/2026-09-20-budget-2027%20(8).xlsx" TargetMode="External"/><Relationship Id="rId1" Type="http://schemas.openxmlformats.org/officeDocument/2006/relationships/externalLinkPath" Target="2026-09-20-budget-2027%20(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תקציב 2026  "/>
      <sheetName val="2027"/>
      <sheetName val="השקות 2027 "/>
      <sheetName val="השקות 2026"/>
      <sheetName val="Life 2027"/>
      <sheetName val="Clalit 2027"/>
      <sheetName val="יעדי סוכנים 2027"/>
      <sheetName val="Dis 2027"/>
    </sheetNames>
    <sheetDataSet>
      <sheetData sheetId="0"/>
      <sheetData sheetId="1">
        <row r="6">
          <cell r="AG6">
            <v>439462.34817813768</v>
          </cell>
        </row>
        <row r="10">
          <cell r="AG10">
            <v>356500</v>
          </cell>
        </row>
        <row r="16">
          <cell r="AG16">
            <v>100000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126"/>
  <sheetViews>
    <sheetView rightToLeft="1" zoomScale="85" zoomScaleNormal="85" workbookViewId="0">
      <pane ySplit="5" topLeftCell="A12" activePane="bottomLeft" state="frozen"/>
      <selection pane="bottomLeft" activeCell="D12" sqref="D12:D106"/>
    </sheetView>
  </sheetViews>
  <sheetFormatPr defaultColWidth="8.625" defaultRowHeight="14.25"/>
  <cols>
    <col min="1" max="1" width="5" style="32" customWidth="1"/>
    <col min="2" max="2" width="18" style="32" customWidth="1"/>
    <col min="3" max="3" width="32" style="32" customWidth="1"/>
    <col min="4" max="4" width="20" customWidth="1"/>
    <col min="5" max="5" width="22" customWidth="1"/>
    <col min="6" max="6" width="14" customWidth="1"/>
    <col min="7" max="7" width="60" customWidth="1"/>
  </cols>
  <sheetData>
    <row r="1" spans="1:7" ht="15" customHeight="1">
      <c r="A1" s="31" t="s">
        <v>0</v>
      </c>
    </row>
    <row r="2" spans="1:7" ht="14.25" customHeight="1">
      <c r="A2" s="33" t="s">
        <v>1</v>
      </c>
      <c r="B2" s="34">
        <v>46290</v>
      </c>
    </row>
    <row r="3" spans="1:7" ht="42.75" customHeight="1">
      <c r="A3" s="71" t="s">
        <v>2</v>
      </c>
      <c r="B3" s="71"/>
      <c r="C3" s="71"/>
      <c r="D3" s="71"/>
      <c r="E3" s="71"/>
      <c r="F3" s="71"/>
      <c r="G3" s="71"/>
    </row>
    <row r="4" spans="1:7" ht="14.25" customHeight="1">
      <c r="A4" s="35"/>
    </row>
    <row r="5" spans="1:7" ht="26.25" customHeight="1">
      <c r="A5" s="36" t="s">
        <v>3</v>
      </c>
      <c r="B5" s="36" t="s">
        <v>4</v>
      </c>
      <c r="C5" s="36" t="s">
        <v>5</v>
      </c>
      <c r="D5" s="1" t="s">
        <v>6</v>
      </c>
      <c r="E5" s="1" t="s">
        <v>7</v>
      </c>
      <c r="F5" s="1" t="s">
        <v>8</v>
      </c>
      <c r="G5" s="1" t="s">
        <v>9</v>
      </c>
    </row>
    <row r="6" spans="1:7" hidden="1">
      <c r="A6" s="37">
        <v>1</v>
      </c>
      <c r="B6" s="38" t="s">
        <v>10</v>
      </c>
      <c r="C6" s="46" t="s">
        <v>11</v>
      </c>
      <c r="D6" s="4">
        <v>337</v>
      </c>
      <c r="E6" s="2">
        <v>66538.17</v>
      </c>
      <c r="F6" s="5">
        <v>6</v>
      </c>
      <c r="G6" s="3"/>
    </row>
    <row r="7" spans="1:7" hidden="1">
      <c r="A7" s="37">
        <v>1</v>
      </c>
      <c r="B7" s="38" t="s">
        <v>10</v>
      </c>
      <c r="C7" s="46" t="s">
        <v>12</v>
      </c>
      <c r="D7" s="4">
        <v>200</v>
      </c>
      <c r="E7" s="2">
        <v>7216.87</v>
      </c>
      <c r="F7" s="5">
        <v>6</v>
      </c>
      <c r="G7" s="3"/>
    </row>
    <row r="8" spans="1:7" hidden="1">
      <c r="A8" s="37">
        <v>1</v>
      </c>
      <c r="B8" s="38" t="s">
        <v>10</v>
      </c>
      <c r="C8" s="46" t="s">
        <v>13</v>
      </c>
      <c r="D8" s="4">
        <v>188</v>
      </c>
      <c r="E8" s="2">
        <v>17187.810000000001</v>
      </c>
      <c r="F8" s="5">
        <v>6</v>
      </c>
      <c r="G8" s="3"/>
    </row>
    <row r="9" spans="1:7" hidden="1">
      <c r="A9" s="37">
        <v>1</v>
      </c>
      <c r="B9" s="38" t="s">
        <v>10</v>
      </c>
      <c r="C9" s="46" t="s">
        <v>14</v>
      </c>
      <c r="D9" s="4">
        <v>178</v>
      </c>
      <c r="E9" s="2">
        <v>7746.15</v>
      </c>
      <c r="F9" s="5">
        <v>6</v>
      </c>
      <c r="G9" s="3"/>
    </row>
    <row r="10" spans="1:7" hidden="1">
      <c r="A10" s="37">
        <v>1</v>
      </c>
      <c r="B10" s="38" t="s">
        <v>10</v>
      </c>
      <c r="C10" s="46" t="s">
        <v>15</v>
      </c>
      <c r="D10" s="4">
        <v>100</v>
      </c>
      <c r="E10" s="2">
        <v>4317.2</v>
      </c>
      <c r="F10" s="5">
        <v>6</v>
      </c>
      <c r="G10" s="3"/>
    </row>
    <row r="11" spans="1:7" hidden="1">
      <c r="A11" s="37">
        <v>1</v>
      </c>
      <c r="B11" s="38" t="s">
        <v>10</v>
      </c>
      <c r="C11" s="46" t="s">
        <v>16</v>
      </c>
      <c r="D11" s="4">
        <v>53</v>
      </c>
      <c r="E11" s="2">
        <v>3424.33</v>
      </c>
      <c r="F11" s="5">
        <v>6</v>
      </c>
      <c r="G11" s="3"/>
    </row>
    <row r="12" spans="1:7">
      <c r="A12" s="37">
        <v>1</v>
      </c>
      <c r="B12" s="37" t="s">
        <v>10</v>
      </c>
      <c r="C12" s="46" t="s">
        <v>17</v>
      </c>
      <c r="D12" s="62">
        <v>44</v>
      </c>
      <c r="E12" s="62">
        <v>3960.01</v>
      </c>
      <c r="F12" s="5">
        <v>6</v>
      </c>
      <c r="G12" s="3"/>
    </row>
    <row r="13" spans="1:7" hidden="1">
      <c r="A13" s="37">
        <v>1</v>
      </c>
      <c r="B13" s="38" t="s">
        <v>10</v>
      </c>
      <c r="C13" s="46" t="s">
        <v>18</v>
      </c>
      <c r="D13" s="4">
        <v>14</v>
      </c>
      <c r="E13" s="2">
        <v>578.88</v>
      </c>
      <c r="F13" s="5">
        <v>6</v>
      </c>
      <c r="G13" s="3"/>
    </row>
    <row r="14" spans="1:7" hidden="1">
      <c r="A14" s="37">
        <v>1</v>
      </c>
      <c r="B14" s="38" t="s">
        <v>10</v>
      </c>
      <c r="C14" s="46" t="s">
        <v>19</v>
      </c>
      <c r="D14" s="4">
        <v>8</v>
      </c>
      <c r="E14" s="2">
        <v>852.67</v>
      </c>
      <c r="F14" s="5">
        <v>6</v>
      </c>
      <c r="G14" s="3"/>
    </row>
    <row r="15" spans="1:7" hidden="1">
      <c r="A15" s="37">
        <v>1</v>
      </c>
      <c r="B15" s="37" t="s">
        <v>10</v>
      </c>
      <c r="C15" s="46" t="s">
        <v>20</v>
      </c>
      <c r="D15" s="4">
        <v>8</v>
      </c>
      <c r="E15" s="2">
        <v>882.78</v>
      </c>
      <c r="F15" s="5">
        <v>6</v>
      </c>
      <c r="G15" s="3"/>
    </row>
    <row r="16" spans="1:7" hidden="1">
      <c r="A16" s="37">
        <v>1</v>
      </c>
      <c r="B16" s="38" t="s">
        <v>10</v>
      </c>
      <c r="C16" s="46" t="s">
        <v>21</v>
      </c>
      <c r="D16" s="4">
        <v>3</v>
      </c>
      <c r="E16" s="2">
        <v>47.64</v>
      </c>
      <c r="F16" s="5">
        <v>6</v>
      </c>
      <c r="G16" s="3"/>
    </row>
    <row r="17" spans="1:7" hidden="1">
      <c r="A17" s="37">
        <v>1</v>
      </c>
      <c r="B17" s="37" t="s">
        <v>10</v>
      </c>
      <c r="C17" s="46" t="s">
        <v>22</v>
      </c>
      <c r="D17" s="4">
        <v>2</v>
      </c>
      <c r="E17" s="2">
        <v>0.06</v>
      </c>
      <c r="F17" s="5">
        <v>2</v>
      </c>
      <c r="G17" s="3"/>
    </row>
    <row r="18" spans="1:7" hidden="1">
      <c r="A18" s="39"/>
      <c r="B18" s="40" t="s">
        <v>23</v>
      </c>
      <c r="C18" s="47"/>
      <c r="D18" s="8">
        <v>1135</v>
      </c>
      <c r="E18" s="6">
        <v>112752.57</v>
      </c>
      <c r="F18" s="9"/>
      <c r="G18" s="7"/>
    </row>
    <row r="19" spans="1:7" hidden="1">
      <c r="A19" s="37">
        <v>2</v>
      </c>
      <c r="B19" s="38" t="s">
        <v>24</v>
      </c>
      <c r="C19" s="46" t="s">
        <v>13</v>
      </c>
      <c r="D19" s="4">
        <v>149</v>
      </c>
      <c r="E19" s="2">
        <v>24472.720000000001</v>
      </c>
      <c r="F19" s="5">
        <v>6</v>
      </c>
      <c r="G19" s="3"/>
    </row>
    <row r="20" spans="1:7" hidden="1">
      <c r="A20" s="37">
        <v>2</v>
      </c>
      <c r="B20" s="38" t="s">
        <v>24</v>
      </c>
      <c r="C20" s="46" t="s">
        <v>19</v>
      </c>
      <c r="D20" s="4">
        <v>137</v>
      </c>
      <c r="E20" s="2">
        <v>24853.25</v>
      </c>
      <c r="F20" s="5">
        <v>6</v>
      </c>
      <c r="G20" s="3"/>
    </row>
    <row r="21" spans="1:7">
      <c r="A21" s="37">
        <v>2</v>
      </c>
      <c r="B21" s="37" t="s">
        <v>24</v>
      </c>
      <c r="C21" s="46" t="s">
        <v>17</v>
      </c>
      <c r="D21" s="62">
        <v>135</v>
      </c>
      <c r="E21" s="62">
        <v>15120.04</v>
      </c>
      <c r="F21" s="5">
        <v>6</v>
      </c>
      <c r="G21" s="3"/>
    </row>
    <row r="22" spans="1:7" hidden="1">
      <c r="A22" s="37">
        <v>2</v>
      </c>
      <c r="B22" s="37" t="s">
        <v>24</v>
      </c>
      <c r="C22" s="46" t="s">
        <v>12</v>
      </c>
      <c r="D22" s="4">
        <v>122</v>
      </c>
      <c r="E22" s="2">
        <v>9832.3799999999992</v>
      </c>
      <c r="F22" s="5">
        <v>6</v>
      </c>
      <c r="G22" s="3"/>
    </row>
    <row r="23" spans="1:7" hidden="1">
      <c r="A23" s="37">
        <v>2</v>
      </c>
      <c r="B23" s="37" t="s">
        <v>24</v>
      </c>
      <c r="C23" s="46" t="s">
        <v>16</v>
      </c>
      <c r="D23" s="4">
        <v>97</v>
      </c>
      <c r="E23" s="2">
        <v>11033.75</v>
      </c>
      <c r="F23" s="5">
        <v>5</v>
      </c>
      <c r="G23" s="3"/>
    </row>
    <row r="24" spans="1:7" hidden="1">
      <c r="A24" s="37">
        <v>2</v>
      </c>
      <c r="B24" s="37" t="s">
        <v>24</v>
      </c>
      <c r="C24" s="46" t="s">
        <v>11</v>
      </c>
      <c r="D24" s="4">
        <v>78</v>
      </c>
      <c r="E24" s="2">
        <v>27763.17</v>
      </c>
      <c r="F24" s="5">
        <v>6</v>
      </c>
      <c r="G24" s="3"/>
    </row>
    <row r="25" spans="1:7" hidden="1">
      <c r="A25" s="37">
        <v>2</v>
      </c>
      <c r="B25" s="38" t="s">
        <v>24</v>
      </c>
      <c r="C25" s="46" t="s">
        <v>15</v>
      </c>
      <c r="D25" s="4">
        <v>70</v>
      </c>
      <c r="E25" s="2">
        <v>6892.81</v>
      </c>
      <c r="F25" s="5">
        <v>5</v>
      </c>
      <c r="G25" s="3"/>
    </row>
    <row r="26" spans="1:7" hidden="1">
      <c r="A26" s="37">
        <v>2</v>
      </c>
      <c r="B26" s="37" t="s">
        <v>24</v>
      </c>
      <c r="C26" s="46" t="s">
        <v>20</v>
      </c>
      <c r="D26" s="4">
        <v>33</v>
      </c>
      <c r="E26" s="2">
        <v>3570.9</v>
      </c>
      <c r="F26" s="5">
        <v>6</v>
      </c>
      <c r="G26" s="3"/>
    </row>
    <row r="27" spans="1:7" hidden="1">
      <c r="A27" s="37">
        <v>2</v>
      </c>
      <c r="B27" s="37" t="s">
        <v>24</v>
      </c>
      <c r="C27" s="46" t="s">
        <v>25</v>
      </c>
      <c r="D27" s="4">
        <v>30</v>
      </c>
      <c r="E27" s="2">
        <v>2674.35</v>
      </c>
      <c r="F27" s="5">
        <v>5</v>
      </c>
      <c r="G27" s="3"/>
    </row>
    <row r="28" spans="1:7" hidden="1">
      <c r="A28" s="37">
        <v>2</v>
      </c>
      <c r="B28" s="37" t="s">
        <v>24</v>
      </c>
      <c r="C28" s="46" t="s">
        <v>21</v>
      </c>
      <c r="D28" s="4">
        <v>10</v>
      </c>
      <c r="E28" s="2">
        <v>1742.17</v>
      </c>
      <c r="F28" s="5">
        <v>6</v>
      </c>
      <c r="G28" s="3"/>
    </row>
    <row r="29" spans="1:7" hidden="1">
      <c r="A29" s="37">
        <v>2</v>
      </c>
      <c r="B29" s="37" t="s">
        <v>24</v>
      </c>
      <c r="C29" s="46" t="s">
        <v>22</v>
      </c>
      <c r="D29" s="4">
        <v>1</v>
      </c>
      <c r="E29" s="2">
        <v>0.03</v>
      </c>
      <c r="F29" s="5">
        <v>1</v>
      </c>
      <c r="G29" s="3"/>
    </row>
    <row r="30" spans="1:7" hidden="1">
      <c r="A30" s="39"/>
      <c r="B30" s="41" t="s">
        <v>26</v>
      </c>
      <c r="C30" s="47"/>
      <c r="D30" s="8">
        <v>862</v>
      </c>
      <c r="E30" s="6">
        <v>127955.57</v>
      </c>
      <c r="F30" s="10"/>
      <c r="G30" s="10"/>
    </row>
    <row r="31" spans="1:7" hidden="1">
      <c r="A31" s="37">
        <v>3</v>
      </c>
      <c r="B31" s="37" t="s">
        <v>27</v>
      </c>
      <c r="C31" s="46" t="s">
        <v>28</v>
      </c>
      <c r="D31" s="11">
        <v>1570</v>
      </c>
      <c r="E31" s="12">
        <v>46938.98</v>
      </c>
      <c r="F31" s="5">
        <v>3</v>
      </c>
      <c r="G31" s="3"/>
    </row>
    <row r="32" spans="1:7" hidden="1">
      <c r="A32" s="37">
        <v>3</v>
      </c>
      <c r="B32" s="38" t="s">
        <v>27</v>
      </c>
      <c r="C32" s="46" t="s">
        <v>13</v>
      </c>
      <c r="D32" s="4">
        <v>1552</v>
      </c>
      <c r="E32" s="2">
        <v>77132.509999999995</v>
      </c>
      <c r="F32" s="5">
        <v>3</v>
      </c>
      <c r="G32" s="3"/>
    </row>
    <row r="33" spans="1:7" hidden="1">
      <c r="A33" s="37">
        <v>3</v>
      </c>
      <c r="B33" s="38" t="s">
        <v>27</v>
      </c>
      <c r="C33" s="46" t="s">
        <v>11</v>
      </c>
      <c r="D33" s="4">
        <v>1052</v>
      </c>
      <c r="E33" s="2">
        <v>109316.76</v>
      </c>
      <c r="F33" s="5">
        <v>3</v>
      </c>
      <c r="G33" s="3"/>
    </row>
    <row r="34" spans="1:7" hidden="1">
      <c r="A34" s="37">
        <v>3</v>
      </c>
      <c r="B34" s="37" t="s">
        <v>27</v>
      </c>
      <c r="C34" s="37" t="s">
        <v>19</v>
      </c>
      <c r="D34" s="4">
        <v>544</v>
      </c>
      <c r="E34" s="2">
        <v>30153.11</v>
      </c>
      <c r="F34" s="5">
        <v>3</v>
      </c>
      <c r="G34" s="3"/>
    </row>
    <row r="35" spans="1:7" hidden="1">
      <c r="A35" s="37">
        <v>3</v>
      </c>
      <c r="B35" s="37" t="s">
        <v>27</v>
      </c>
      <c r="C35" s="37" t="s">
        <v>16</v>
      </c>
      <c r="D35" s="4">
        <v>411</v>
      </c>
      <c r="E35" s="2">
        <v>15276.06</v>
      </c>
      <c r="F35" s="5">
        <v>3</v>
      </c>
      <c r="G35" s="3"/>
    </row>
    <row r="36" spans="1:7" hidden="1">
      <c r="A36" s="37">
        <v>3</v>
      </c>
      <c r="B36" s="37" t="s">
        <v>27</v>
      </c>
      <c r="C36" s="37" t="s">
        <v>29</v>
      </c>
      <c r="D36" s="4">
        <v>370</v>
      </c>
      <c r="E36" s="2">
        <v>10606.85</v>
      </c>
      <c r="F36" s="5">
        <v>3</v>
      </c>
      <c r="G36" s="3"/>
    </row>
    <row r="37" spans="1:7">
      <c r="A37" s="37">
        <v>3</v>
      </c>
      <c r="B37" s="37" t="s">
        <v>27</v>
      </c>
      <c r="C37" s="37" t="s">
        <v>17</v>
      </c>
      <c r="D37" s="62">
        <v>159</v>
      </c>
      <c r="E37" s="62">
        <v>9944.26</v>
      </c>
      <c r="F37" s="5">
        <v>3</v>
      </c>
      <c r="G37" s="3"/>
    </row>
    <row r="38" spans="1:7" hidden="1">
      <c r="A38" s="37">
        <v>3</v>
      </c>
      <c r="B38" s="37" t="s">
        <v>27</v>
      </c>
      <c r="C38" s="37" t="s">
        <v>15</v>
      </c>
      <c r="D38" s="11">
        <v>80</v>
      </c>
      <c r="E38" s="12">
        <v>2291.1799999999998</v>
      </c>
      <c r="F38" s="5">
        <v>3</v>
      </c>
      <c r="G38" s="3"/>
    </row>
    <row r="39" spans="1:7" hidden="1">
      <c r="A39" s="37">
        <v>3</v>
      </c>
      <c r="B39" s="37" t="s">
        <v>27</v>
      </c>
      <c r="C39" s="37" t="s">
        <v>21</v>
      </c>
      <c r="D39" s="4">
        <v>48</v>
      </c>
      <c r="E39" s="2">
        <v>2982.65</v>
      </c>
      <c r="F39" s="5">
        <v>3</v>
      </c>
      <c r="G39" s="3"/>
    </row>
    <row r="40" spans="1:7" hidden="1">
      <c r="A40" s="37">
        <v>3</v>
      </c>
      <c r="B40" s="37" t="s">
        <v>27</v>
      </c>
      <c r="C40" s="37" t="s">
        <v>30</v>
      </c>
      <c r="D40" s="4">
        <v>19</v>
      </c>
      <c r="E40" s="2">
        <v>1074.92</v>
      </c>
      <c r="F40" s="5">
        <v>3</v>
      </c>
      <c r="G40" s="3"/>
    </row>
    <row r="41" spans="1:7" hidden="1">
      <c r="A41" s="37">
        <v>3</v>
      </c>
      <c r="B41" s="37" t="s">
        <v>27</v>
      </c>
      <c r="C41" s="37" t="s">
        <v>31</v>
      </c>
      <c r="D41" s="4">
        <v>13</v>
      </c>
      <c r="E41" s="2">
        <v>727.07</v>
      </c>
      <c r="F41" s="5">
        <v>3</v>
      </c>
      <c r="G41" s="3"/>
    </row>
    <row r="42" spans="1:7" hidden="1">
      <c r="A42" s="37">
        <v>3</v>
      </c>
      <c r="B42" s="37" t="s">
        <v>27</v>
      </c>
      <c r="C42" s="37" t="s">
        <v>20</v>
      </c>
      <c r="D42" s="4">
        <v>5</v>
      </c>
      <c r="E42" s="2">
        <v>316.16000000000003</v>
      </c>
      <c r="F42" s="5">
        <v>2</v>
      </c>
      <c r="G42" s="3"/>
    </row>
    <row r="43" spans="1:7" hidden="1">
      <c r="A43" s="42"/>
      <c r="B43" s="41" t="s">
        <v>32</v>
      </c>
      <c r="C43" s="42"/>
      <c r="D43" s="8">
        <v>5823</v>
      </c>
      <c r="E43" s="6">
        <v>306760.51</v>
      </c>
      <c r="F43" s="10"/>
      <c r="G43" s="10"/>
    </row>
    <row r="44" spans="1:7" hidden="1">
      <c r="A44" s="37">
        <v>4</v>
      </c>
      <c r="B44" s="37" t="s">
        <v>33</v>
      </c>
      <c r="C44" s="37" t="s">
        <v>13</v>
      </c>
      <c r="D44" s="11">
        <v>40</v>
      </c>
      <c r="E44" s="12">
        <v>5128.58</v>
      </c>
      <c r="F44" s="5">
        <v>1</v>
      </c>
      <c r="G44" s="3"/>
    </row>
    <row r="45" spans="1:7" hidden="1">
      <c r="A45" s="37">
        <v>4</v>
      </c>
      <c r="B45" s="37" t="s">
        <v>33</v>
      </c>
      <c r="C45" s="37" t="s">
        <v>16</v>
      </c>
      <c r="D45" s="4">
        <v>21</v>
      </c>
      <c r="E45" s="2">
        <v>1758.12</v>
      </c>
      <c r="F45" s="5">
        <v>1</v>
      </c>
      <c r="G45" s="3"/>
    </row>
    <row r="46" spans="1:7">
      <c r="A46" s="37">
        <v>4</v>
      </c>
      <c r="B46" s="37" t="s">
        <v>33</v>
      </c>
      <c r="C46" s="37" t="s">
        <v>17</v>
      </c>
      <c r="D46" s="62">
        <v>21</v>
      </c>
      <c r="E46" s="62">
        <v>1468.02</v>
      </c>
      <c r="F46" s="5">
        <v>1</v>
      </c>
      <c r="G46" s="3"/>
    </row>
    <row r="47" spans="1:7" hidden="1">
      <c r="A47" s="37">
        <v>4</v>
      </c>
      <c r="B47" s="37" t="s">
        <v>33</v>
      </c>
      <c r="C47" s="37" t="s">
        <v>15</v>
      </c>
      <c r="D47" s="4">
        <v>20</v>
      </c>
      <c r="E47" s="2">
        <v>1124.31</v>
      </c>
      <c r="F47" s="5">
        <v>1</v>
      </c>
      <c r="G47" s="3"/>
    </row>
    <row r="48" spans="1:7" hidden="1">
      <c r="A48" s="37">
        <v>4</v>
      </c>
      <c r="B48" s="37" t="s">
        <v>33</v>
      </c>
      <c r="C48" s="37" t="s">
        <v>20</v>
      </c>
      <c r="D48" s="4">
        <v>11</v>
      </c>
      <c r="E48" s="2">
        <v>1086.43</v>
      </c>
      <c r="F48" s="5">
        <v>1</v>
      </c>
      <c r="G48" s="3"/>
    </row>
    <row r="49" spans="1:7" hidden="1">
      <c r="A49" s="37">
        <v>4</v>
      </c>
      <c r="B49" s="37" t="s">
        <v>33</v>
      </c>
      <c r="C49" s="37" t="s">
        <v>19</v>
      </c>
      <c r="D49" s="4">
        <v>8</v>
      </c>
      <c r="E49" s="2">
        <v>1184</v>
      </c>
      <c r="F49" s="5">
        <v>1</v>
      </c>
      <c r="G49" s="3"/>
    </row>
    <row r="50" spans="1:7" hidden="1">
      <c r="A50" s="37">
        <v>4</v>
      </c>
      <c r="B50" s="37" t="s">
        <v>33</v>
      </c>
      <c r="C50" s="37" t="s">
        <v>11</v>
      </c>
      <c r="D50" s="4">
        <v>7</v>
      </c>
      <c r="E50" s="2">
        <v>1976.39</v>
      </c>
      <c r="F50" s="5">
        <v>1</v>
      </c>
      <c r="G50" s="3"/>
    </row>
    <row r="51" spans="1:7" hidden="1">
      <c r="A51" s="37">
        <v>4</v>
      </c>
      <c r="B51" s="37" t="s">
        <v>33</v>
      </c>
      <c r="C51" s="37" t="s">
        <v>21</v>
      </c>
      <c r="D51" s="4">
        <v>2</v>
      </c>
      <c r="E51" s="2">
        <v>164.02</v>
      </c>
      <c r="F51" s="5">
        <v>1</v>
      </c>
      <c r="G51" s="3"/>
    </row>
    <row r="52" spans="1:7" hidden="1">
      <c r="A52" s="37">
        <v>4</v>
      </c>
      <c r="B52" s="37" t="s">
        <v>33</v>
      </c>
      <c r="C52" s="37" t="s">
        <v>22</v>
      </c>
      <c r="D52" s="4">
        <v>1</v>
      </c>
      <c r="E52" s="2">
        <v>0.03</v>
      </c>
      <c r="F52" s="5">
        <v>1</v>
      </c>
      <c r="G52" s="3"/>
    </row>
    <row r="53" spans="1:7" hidden="1">
      <c r="A53" s="39"/>
      <c r="B53" s="41" t="s">
        <v>34</v>
      </c>
      <c r="C53" s="39"/>
      <c r="D53" s="8">
        <v>131</v>
      </c>
      <c r="E53" s="6">
        <v>13889.9</v>
      </c>
      <c r="F53" s="9"/>
      <c r="G53" s="7"/>
    </row>
    <row r="54" spans="1:7">
      <c r="A54" s="37">
        <v>5</v>
      </c>
      <c r="B54" s="37" t="s">
        <v>35</v>
      </c>
      <c r="C54" s="37" t="s">
        <v>17</v>
      </c>
      <c r="D54" s="62">
        <v>68</v>
      </c>
      <c r="E54" s="62">
        <v>23850.13</v>
      </c>
      <c r="F54" s="5">
        <v>5</v>
      </c>
      <c r="G54" s="3"/>
    </row>
    <row r="55" spans="1:7" hidden="1">
      <c r="A55" s="37">
        <v>5</v>
      </c>
      <c r="B55" s="37" t="s">
        <v>35</v>
      </c>
      <c r="C55" s="37" t="s">
        <v>11</v>
      </c>
      <c r="D55" s="4">
        <v>15</v>
      </c>
      <c r="E55" s="2">
        <v>12075.07</v>
      </c>
      <c r="F55" s="5">
        <v>4</v>
      </c>
      <c r="G55" s="3"/>
    </row>
    <row r="56" spans="1:7" hidden="1">
      <c r="A56" s="37">
        <v>5</v>
      </c>
      <c r="B56" s="37" t="s">
        <v>35</v>
      </c>
      <c r="C56" s="37" t="s">
        <v>15</v>
      </c>
      <c r="D56" s="4">
        <v>13</v>
      </c>
      <c r="E56" s="2">
        <v>2006.11</v>
      </c>
      <c r="F56" s="5">
        <v>5</v>
      </c>
      <c r="G56" s="3"/>
    </row>
    <row r="57" spans="1:7" hidden="1">
      <c r="A57" s="37">
        <v>5</v>
      </c>
      <c r="B57" s="37" t="s">
        <v>35</v>
      </c>
      <c r="C57" s="37" t="s">
        <v>20</v>
      </c>
      <c r="D57" s="4">
        <v>5</v>
      </c>
      <c r="E57" s="2">
        <v>1751.06</v>
      </c>
      <c r="F57" s="5">
        <v>3</v>
      </c>
      <c r="G57" s="3"/>
    </row>
    <row r="58" spans="1:7" hidden="1">
      <c r="A58" s="37">
        <v>5</v>
      </c>
      <c r="B58" s="37" t="s">
        <v>35</v>
      </c>
      <c r="C58" s="37" t="s">
        <v>19</v>
      </c>
      <c r="D58" s="4">
        <v>1</v>
      </c>
      <c r="E58" s="2">
        <v>350</v>
      </c>
      <c r="F58" s="5">
        <v>1</v>
      </c>
      <c r="G58" s="3"/>
    </row>
    <row r="59" spans="1:7" hidden="1">
      <c r="A59" s="37">
        <v>5</v>
      </c>
      <c r="B59" s="37" t="s">
        <v>35</v>
      </c>
      <c r="C59" s="37" t="s">
        <v>21</v>
      </c>
      <c r="D59" s="4">
        <v>1</v>
      </c>
      <c r="E59" s="2">
        <v>468.68</v>
      </c>
      <c r="F59" s="5">
        <v>1</v>
      </c>
      <c r="G59" s="3"/>
    </row>
    <row r="60" spans="1:7" hidden="1">
      <c r="A60" s="39"/>
      <c r="B60" s="41" t="s">
        <v>36</v>
      </c>
      <c r="C60" s="39"/>
      <c r="D60" s="8">
        <v>103</v>
      </c>
      <c r="E60" s="6">
        <v>40501.050000000003</v>
      </c>
      <c r="F60" s="9"/>
      <c r="G60" s="7"/>
    </row>
    <row r="61" spans="1:7" hidden="1">
      <c r="A61" s="37">
        <v>6</v>
      </c>
      <c r="B61" s="37" t="s">
        <v>37</v>
      </c>
      <c r="C61" s="37" t="s">
        <v>38</v>
      </c>
      <c r="D61" s="4">
        <v>1</v>
      </c>
      <c r="E61" s="2">
        <v>0.03</v>
      </c>
      <c r="F61" s="5">
        <v>1</v>
      </c>
      <c r="G61" s="3"/>
    </row>
    <row r="62" spans="1:7" hidden="1">
      <c r="A62" s="42"/>
      <c r="B62" s="41" t="s">
        <v>39</v>
      </c>
      <c r="C62" s="42"/>
      <c r="D62" s="8">
        <v>1</v>
      </c>
      <c r="E62" s="6">
        <v>0.03</v>
      </c>
      <c r="F62" s="10"/>
      <c r="G62" s="10"/>
    </row>
    <row r="63" spans="1:7" hidden="1">
      <c r="A63" s="37">
        <v>7</v>
      </c>
      <c r="B63" s="37" t="s">
        <v>40</v>
      </c>
      <c r="C63" s="37" t="s">
        <v>41</v>
      </c>
      <c r="D63" s="14" t="s">
        <v>42</v>
      </c>
      <c r="E63" s="14" t="s">
        <v>42</v>
      </c>
      <c r="F63" s="5"/>
      <c r="G63" s="3" t="s">
        <v>43</v>
      </c>
    </row>
    <row r="64" spans="1:7" hidden="1">
      <c r="A64" s="37">
        <v>8</v>
      </c>
      <c r="B64" s="37" t="s">
        <v>44</v>
      </c>
      <c r="C64" s="37" t="s">
        <v>38</v>
      </c>
      <c r="D64" s="11">
        <v>1</v>
      </c>
      <c r="E64" s="12">
        <v>0.03</v>
      </c>
      <c r="F64" s="5">
        <v>1</v>
      </c>
      <c r="G64" s="3"/>
    </row>
    <row r="65" spans="1:7" hidden="1">
      <c r="A65" s="39"/>
      <c r="B65" s="41" t="s">
        <v>45</v>
      </c>
      <c r="C65" s="39"/>
      <c r="D65" s="15">
        <v>1</v>
      </c>
      <c r="E65" s="16">
        <v>0.03</v>
      </c>
      <c r="F65" s="9"/>
      <c r="G65" s="7"/>
    </row>
    <row r="66" spans="1:7" hidden="1">
      <c r="A66" s="37">
        <v>9</v>
      </c>
      <c r="B66" s="37" t="s">
        <v>46</v>
      </c>
      <c r="C66" s="37" t="s">
        <v>20</v>
      </c>
      <c r="D66" s="11">
        <v>4</v>
      </c>
      <c r="E66" s="12">
        <v>50.21</v>
      </c>
      <c r="F66" s="5">
        <v>1</v>
      </c>
      <c r="G66" s="3"/>
    </row>
    <row r="67" spans="1:7" hidden="1">
      <c r="A67" s="37">
        <v>9</v>
      </c>
      <c r="B67" s="37" t="s">
        <v>46</v>
      </c>
      <c r="C67" s="37" t="s">
        <v>21</v>
      </c>
      <c r="D67" s="4">
        <v>1</v>
      </c>
      <c r="E67" s="2">
        <v>0.01</v>
      </c>
      <c r="F67" s="5">
        <v>1</v>
      </c>
      <c r="G67" s="3"/>
    </row>
    <row r="68" spans="1:7" hidden="1">
      <c r="A68" s="37">
        <v>9</v>
      </c>
      <c r="B68" s="37" t="s">
        <v>46</v>
      </c>
      <c r="C68" s="37" t="s">
        <v>22</v>
      </c>
      <c r="D68" s="4">
        <v>1</v>
      </c>
      <c r="E68" s="2">
        <v>0.03</v>
      </c>
      <c r="F68" s="5">
        <v>1</v>
      </c>
      <c r="G68" s="3"/>
    </row>
    <row r="69" spans="1:7" hidden="1">
      <c r="A69" s="39"/>
      <c r="B69" s="41" t="s">
        <v>47</v>
      </c>
      <c r="C69" s="39"/>
      <c r="D69" s="8">
        <v>6</v>
      </c>
      <c r="E69" s="6">
        <v>50.25</v>
      </c>
      <c r="F69" s="9"/>
      <c r="G69" s="7"/>
    </row>
    <row r="70" spans="1:7" hidden="1">
      <c r="A70" s="37">
        <v>10</v>
      </c>
      <c r="B70" s="37" t="s">
        <v>48</v>
      </c>
      <c r="C70" s="37" t="s">
        <v>41</v>
      </c>
      <c r="D70" s="17" t="s">
        <v>42</v>
      </c>
      <c r="E70" s="18" t="s">
        <v>42</v>
      </c>
      <c r="F70" s="5"/>
      <c r="G70" s="3" t="s">
        <v>43</v>
      </c>
    </row>
    <row r="71" spans="1:7" hidden="1">
      <c r="A71" s="37">
        <v>11</v>
      </c>
      <c r="B71" s="37" t="s">
        <v>49</v>
      </c>
      <c r="C71" s="37" t="s">
        <v>20</v>
      </c>
      <c r="D71" s="4">
        <v>12</v>
      </c>
      <c r="E71" s="2">
        <v>170.12</v>
      </c>
      <c r="F71" s="5">
        <v>1</v>
      </c>
      <c r="G71" s="3"/>
    </row>
    <row r="72" spans="1:7" hidden="1">
      <c r="A72" s="37">
        <v>11</v>
      </c>
      <c r="B72" s="37" t="s">
        <v>49</v>
      </c>
      <c r="C72" s="37" t="s">
        <v>21</v>
      </c>
      <c r="D72" s="11">
        <v>2</v>
      </c>
      <c r="E72" s="12">
        <v>0.02</v>
      </c>
      <c r="F72" s="5">
        <v>1</v>
      </c>
      <c r="G72" s="3"/>
    </row>
    <row r="73" spans="1:7" hidden="1">
      <c r="A73" s="37">
        <v>11</v>
      </c>
      <c r="B73" s="37" t="s">
        <v>49</v>
      </c>
      <c r="C73" s="37" t="s">
        <v>22</v>
      </c>
      <c r="D73" s="11">
        <v>1</v>
      </c>
      <c r="E73" s="12">
        <v>0.03</v>
      </c>
      <c r="F73" s="5">
        <v>1</v>
      </c>
      <c r="G73" s="3"/>
    </row>
    <row r="74" spans="1:7" hidden="1">
      <c r="A74" s="37">
        <v>11</v>
      </c>
      <c r="B74" s="37" t="s">
        <v>49</v>
      </c>
      <c r="C74" s="37" t="s">
        <v>38</v>
      </c>
      <c r="D74" s="11">
        <v>1</v>
      </c>
      <c r="E74" s="12">
        <v>0.03</v>
      </c>
      <c r="F74" s="5">
        <v>1</v>
      </c>
      <c r="G74" s="3"/>
    </row>
    <row r="75" spans="1:7" hidden="1">
      <c r="A75" s="39"/>
      <c r="B75" s="41" t="s">
        <v>50</v>
      </c>
      <c r="C75" s="39"/>
      <c r="D75" s="15">
        <v>16</v>
      </c>
      <c r="E75" s="16">
        <v>170.2</v>
      </c>
      <c r="F75" s="9"/>
      <c r="G75" s="7"/>
    </row>
    <row r="76" spans="1:7" ht="25.5" hidden="1">
      <c r="A76" s="37">
        <v>12</v>
      </c>
      <c r="B76" s="37">
        <v>59</v>
      </c>
      <c r="C76" s="37" t="s">
        <v>41</v>
      </c>
      <c r="D76" s="14" t="s">
        <v>42</v>
      </c>
      <c r="E76" s="14" t="s">
        <v>42</v>
      </c>
      <c r="F76" s="5"/>
      <c r="G76" s="3" t="s">
        <v>51</v>
      </c>
    </row>
    <row r="77" spans="1:7" hidden="1">
      <c r="A77" s="37">
        <v>13</v>
      </c>
      <c r="B77" s="37" t="s">
        <v>52</v>
      </c>
      <c r="C77" s="37" t="s">
        <v>11</v>
      </c>
      <c r="D77" s="11">
        <v>22</v>
      </c>
      <c r="E77" s="12">
        <v>3198.69</v>
      </c>
      <c r="F77" s="5">
        <v>1</v>
      </c>
      <c r="G77" s="3"/>
    </row>
    <row r="78" spans="1:7" hidden="1">
      <c r="A78" s="37">
        <v>13</v>
      </c>
      <c r="B78" s="37" t="s">
        <v>52</v>
      </c>
      <c r="C78" s="37" t="s">
        <v>38</v>
      </c>
      <c r="D78" s="4">
        <v>10</v>
      </c>
      <c r="E78" s="2">
        <v>333.98</v>
      </c>
      <c r="F78" s="5">
        <v>1</v>
      </c>
      <c r="G78" s="3"/>
    </row>
    <row r="79" spans="1:7" hidden="1">
      <c r="A79" s="37">
        <v>13</v>
      </c>
      <c r="B79" s="37" t="s">
        <v>52</v>
      </c>
      <c r="C79" s="37" t="s">
        <v>19</v>
      </c>
      <c r="D79" s="4">
        <v>8</v>
      </c>
      <c r="E79" s="2">
        <v>588.13</v>
      </c>
      <c r="F79" s="5">
        <v>1</v>
      </c>
      <c r="G79" s="3"/>
    </row>
    <row r="80" spans="1:7">
      <c r="A80" s="37">
        <v>13</v>
      </c>
      <c r="B80" s="37" t="s">
        <v>52</v>
      </c>
      <c r="C80" s="37" t="s">
        <v>17</v>
      </c>
      <c r="D80" s="62">
        <v>1</v>
      </c>
      <c r="E80" s="62">
        <v>85.26</v>
      </c>
      <c r="F80" s="5">
        <v>1</v>
      </c>
      <c r="G80" s="3"/>
    </row>
    <row r="81" spans="1:7" hidden="1">
      <c r="A81" s="37">
        <v>13</v>
      </c>
      <c r="B81" s="37" t="s">
        <v>52</v>
      </c>
      <c r="C81" s="37" t="s">
        <v>21</v>
      </c>
      <c r="D81" s="4">
        <v>1</v>
      </c>
      <c r="E81" s="2">
        <v>0.01</v>
      </c>
      <c r="F81" s="5">
        <v>1</v>
      </c>
      <c r="G81" s="3"/>
    </row>
    <row r="82" spans="1:7" hidden="1">
      <c r="A82" s="37">
        <v>13</v>
      </c>
      <c r="B82" s="37" t="s">
        <v>52</v>
      </c>
      <c r="C82" s="37" t="s">
        <v>22</v>
      </c>
      <c r="D82" s="4">
        <v>1</v>
      </c>
      <c r="E82" s="2">
        <v>0.03</v>
      </c>
      <c r="F82" s="5">
        <v>1</v>
      </c>
      <c r="G82" s="3"/>
    </row>
    <row r="83" spans="1:7" hidden="1">
      <c r="A83" s="43">
        <v>13</v>
      </c>
      <c r="B83" s="43" t="s">
        <v>52</v>
      </c>
      <c r="C83" s="48" t="s">
        <v>53</v>
      </c>
      <c r="D83" s="20">
        <v>8</v>
      </c>
      <c r="E83" s="21">
        <v>588.13</v>
      </c>
      <c r="F83" s="19"/>
      <c r="G83" s="22" t="s">
        <v>54</v>
      </c>
    </row>
    <row r="84" spans="1:7" hidden="1">
      <c r="A84" s="42"/>
      <c r="B84" s="41" t="s">
        <v>55</v>
      </c>
      <c r="C84" s="42"/>
      <c r="D84" s="8">
        <v>51</v>
      </c>
      <c r="E84" s="6">
        <v>4794.24</v>
      </c>
      <c r="F84" s="10"/>
      <c r="G84" s="10"/>
    </row>
    <row r="85" spans="1:7" hidden="1">
      <c r="A85" s="37">
        <v>14</v>
      </c>
      <c r="B85" s="37" t="s">
        <v>52</v>
      </c>
      <c r="C85" s="37" t="s">
        <v>11</v>
      </c>
      <c r="D85" s="4">
        <v>22</v>
      </c>
      <c r="E85" s="2">
        <v>3198.69</v>
      </c>
      <c r="F85" s="5">
        <v>1</v>
      </c>
      <c r="G85" s="3"/>
    </row>
    <row r="86" spans="1:7" hidden="1">
      <c r="A86" s="37">
        <v>14</v>
      </c>
      <c r="B86" s="37" t="s">
        <v>52</v>
      </c>
      <c r="C86" s="37" t="s">
        <v>38</v>
      </c>
      <c r="D86" s="4">
        <v>10</v>
      </c>
      <c r="E86" s="2">
        <v>333.98</v>
      </c>
      <c r="F86" s="5">
        <v>1</v>
      </c>
      <c r="G86" s="3"/>
    </row>
    <row r="87" spans="1:7" hidden="1">
      <c r="A87" s="37">
        <v>14</v>
      </c>
      <c r="B87" s="37" t="s">
        <v>52</v>
      </c>
      <c r="C87" s="37" t="s">
        <v>19</v>
      </c>
      <c r="D87" s="4">
        <v>8</v>
      </c>
      <c r="E87" s="2">
        <v>588.13</v>
      </c>
      <c r="F87" s="5">
        <v>1</v>
      </c>
      <c r="G87" s="3"/>
    </row>
    <row r="88" spans="1:7">
      <c r="A88" s="37">
        <v>14</v>
      </c>
      <c r="B88" s="37" t="s">
        <v>52</v>
      </c>
      <c r="C88" s="37" t="s">
        <v>17</v>
      </c>
      <c r="D88" s="62">
        <v>1</v>
      </c>
      <c r="E88" s="62">
        <v>85.26</v>
      </c>
      <c r="F88" s="5">
        <v>1</v>
      </c>
      <c r="G88" s="3"/>
    </row>
    <row r="89" spans="1:7" hidden="1">
      <c r="A89" s="37">
        <v>14</v>
      </c>
      <c r="B89" s="37" t="s">
        <v>52</v>
      </c>
      <c r="C89" s="37" t="s">
        <v>21</v>
      </c>
      <c r="D89" s="4">
        <v>1</v>
      </c>
      <c r="E89" s="2">
        <v>0.01</v>
      </c>
      <c r="F89" s="5">
        <v>1</v>
      </c>
      <c r="G89" s="3"/>
    </row>
    <row r="90" spans="1:7" hidden="1">
      <c r="A90" s="37">
        <v>14</v>
      </c>
      <c r="B90" s="37" t="s">
        <v>52</v>
      </c>
      <c r="C90" s="37" t="s">
        <v>22</v>
      </c>
      <c r="D90" s="4">
        <v>1</v>
      </c>
      <c r="E90" s="2">
        <v>0.03</v>
      </c>
      <c r="F90" s="5">
        <v>1</v>
      </c>
      <c r="G90" s="3"/>
    </row>
    <row r="91" spans="1:7" hidden="1">
      <c r="A91" s="43">
        <v>14</v>
      </c>
      <c r="B91" s="43" t="s">
        <v>52</v>
      </c>
      <c r="C91" s="48" t="s">
        <v>53</v>
      </c>
      <c r="D91" s="20">
        <v>8</v>
      </c>
      <c r="E91" s="21">
        <v>588.13</v>
      </c>
      <c r="F91" s="19"/>
      <c r="G91" s="22" t="s">
        <v>54</v>
      </c>
    </row>
    <row r="92" spans="1:7" hidden="1">
      <c r="A92" s="42"/>
      <c r="B92" s="41" t="s">
        <v>56</v>
      </c>
      <c r="C92" s="42"/>
      <c r="D92" s="8">
        <v>51</v>
      </c>
      <c r="E92" s="6">
        <v>4794.24</v>
      </c>
      <c r="F92" s="10"/>
      <c r="G92" s="10"/>
    </row>
    <row r="93" spans="1:7" hidden="1">
      <c r="A93" s="37">
        <v>15</v>
      </c>
      <c r="B93" s="37" t="s">
        <v>57</v>
      </c>
      <c r="C93" s="37" t="s">
        <v>20</v>
      </c>
      <c r="D93" s="4">
        <v>4</v>
      </c>
      <c r="E93" s="2">
        <v>568.55999999999995</v>
      </c>
      <c r="F93" s="5">
        <v>2</v>
      </c>
      <c r="G93" s="3"/>
    </row>
    <row r="94" spans="1:7" hidden="1">
      <c r="A94" s="37">
        <v>15</v>
      </c>
      <c r="B94" s="37" t="s">
        <v>57</v>
      </c>
      <c r="C94" s="37" t="s">
        <v>21</v>
      </c>
      <c r="D94" s="4">
        <v>1</v>
      </c>
      <c r="E94" s="2">
        <v>0.01</v>
      </c>
      <c r="F94" s="5">
        <v>1</v>
      </c>
      <c r="G94" s="3"/>
    </row>
    <row r="95" spans="1:7" hidden="1">
      <c r="A95" s="37">
        <v>15</v>
      </c>
      <c r="B95" s="37" t="s">
        <v>57</v>
      </c>
      <c r="C95" s="37" t="s">
        <v>38</v>
      </c>
      <c r="D95" s="4">
        <v>1</v>
      </c>
      <c r="E95" s="2">
        <v>0.03</v>
      </c>
      <c r="F95" s="5">
        <v>1</v>
      </c>
      <c r="G95" s="3"/>
    </row>
    <row r="96" spans="1:7" hidden="1">
      <c r="A96" s="42"/>
      <c r="B96" s="41" t="s">
        <v>58</v>
      </c>
      <c r="C96" s="42"/>
      <c r="D96" s="8">
        <v>6</v>
      </c>
      <c r="E96" s="6">
        <v>568.6</v>
      </c>
      <c r="F96" s="10"/>
      <c r="G96" s="10"/>
    </row>
    <row r="97" spans="1:7" ht="25.5" hidden="1">
      <c r="A97" s="37">
        <v>16</v>
      </c>
      <c r="B97" s="37">
        <v>3051</v>
      </c>
      <c r="C97" s="37" t="s">
        <v>41</v>
      </c>
      <c r="D97" s="14" t="s">
        <v>42</v>
      </c>
      <c r="E97" s="14" t="s">
        <v>42</v>
      </c>
      <c r="F97" s="5"/>
      <c r="G97" s="3" t="s">
        <v>59</v>
      </c>
    </row>
    <row r="98" spans="1:7" ht="25.5" hidden="1">
      <c r="A98" s="37">
        <v>17</v>
      </c>
      <c r="B98" s="37">
        <v>3051</v>
      </c>
      <c r="C98" s="37" t="s">
        <v>41</v>
      </c>
      <c r="D98" s="14" t="s">
        <v>42</v>
      </c>
      <c r="E98" s="14" t="s">
        <v>42</v>
      </c>
      <c r="F98" s="5"/>
      <c r="G98" s="3" t="s">
        <v>60</v>
      </c>
    </row>
    <row r="99" spans="1:7" ht="25.5" hidden="1">
      <c r="A99" s="37">
        <v>18</v>
      </c>
      <c r="B99" s="37">
        <v>3051</v>
      </c>
      <c r="C99" s="37" t="s">
        <v>41</v>
      </c>
      <c r="D99" s="14" t="s">
        <v>42</v>
      </c>
      <c r="E99" s="14" t="s">
        <v>42</v>
      </c>
      <c r="F99" s="5"/>
      <c r="G99" s="3" t="s">
        <v>60</v>
      </c>
    </row>
    <row r="100" spans="1:7" ht="25.5" hidden="1">
      <c r="A100" s="37">
        <v>19</v>
      </c>
      <c r="B100" s="37" t="s">
        <v>61</v>
      </c>
      <c r="C100" s="37" t="s">
        <v>11</v>
      </c>
      <c r="D100" s="11">
        <v>37</v>
      </c>
      <c r="E100" s="12">
        <v>34302.36</v>
      </c>
      <c r="F100" s="5">
        <v>2</v>
      </c>
      <c r="G100" s="3" t="s">
        <v>62</v>
      </c>
    </row>
    <row r="101" spans="1:7">
      <c r="A101" s="37">
        <v>19</v>
      </c>
      <c r="B101" s="37" t="s">
        <v>61</v>
      </c>
      <c r="C101" s="37" t="s">
        <v>17</v>
      </c>
      <c r="D101" s="62">
        <v>5</v>
      </c>
      <c r="E101" s="62">
        <v>2624.65</v>
      </c>
      <c r="F101" s="5">
        <v>3</v>
      </c>
      <c r="G101" s="3"/>
    </row>
    <row r="102" spans="1:7" hidden="1">
      <c r="A102" s="37">
        <v>19</v>
      </c>
      <c r="B102" s="37" t="s">
        <v>61</v>
      </c>
      <c r="C102" s="37" t="s">
        <v>21</v>
      </c>
      <c r="D102" s="4">
        <v>3</v>
      </c>
      <c r="E102" s="2">
        <v>508.43</v>
      </c>
      <c r="F102" s="5">
        <v>1</v>
      </c>
      <c r="G102" s="3"/>
    </row>
    <row r="103" spans="1:7" hidden="1">
      <c r="A103" s="37">
        <v>19</v>
      </c>
      <c r="B103" s="37" t="s">
        <v>61</v>
      </c>
      <c r="C103" s="37" t="s">
        <v>20</v>
      </c>
      <c r="D103" s="4">
        <v>1</v>
      </c>
      <c r="E103" s="2">
        <v>487.44</v>
      </c>
      <c r="F103" s="5">
        <v>1</v>
      </c>
      <c r="G103" s="3"/>
    </row>
    <row r="104" spans="1:7" hidden="1">
      <c r="A104" s="39"/>
      <c r="B104" s="41" t="s">
        <v>63</v>
      </c>
      <c r="C104" s="39"/>
      <c r="D104" s="8">
        <v>46</v>
      </c>
      <c r="E104" s="6">
        <v>37922.879999999997</v>
      </c>
      <c r="F104" s="9"/>
      <c r="G104" s="7"/>
    </row>
    <row r="105" spans="1:7" hidden="1">
      <c r="A105" s="37">
        <v>20</v>
      </c>
      <c r="B105" s="37" t="s">
        <v>64</v>
      </c>
      <c r="C105" s="37" t="s">
        <v>11</v>
      </c>
      <c r="D105" s="4">
        <v>18</v>
      </c>
      <c r="E105" s="2">
        <v>16626.439999999999</v>
      </c>
      <c r="F105" s="5">
        <v>1</v>
      </c>
      <c r="G105" s="3"/>
    </row>
    <row r="106" spans="1:7">
      <c r="A106" s="37">
        <v>20</v>
      </c>
      <c r="B106" s="37" t="s">
        <v>64</v>
      </c>
      <c r="C106" s="37" t="s">
        <v>17</v>
      </c>
      <c r="D106" s="62">
        <v>8</v>
      </c>
      <c r="E106" s="62">
        <v>4199.4399999999996</v>
      </c>
      <c r="F106" s="5">
        <v>1</v>
      </c>
      <c r="G106" s="3"/>
    </row>
    <row r="107" spans="1:7" hidden="1">
      <c r="A107" s="37">
        <v>20</v>
      </c>
      <c r="B107" s="37" t="s">
        <v>64</v>
      </c>
      <c r="C107" s="37" t="s">
        <v>21</v>
      </c>
      <c r="D107" s="11">
        <v>2</v>
      </c>
      <c r="E107" s="12">
        <v>0</v>
      </c>
      <c r="F107" s="5">
        <v>1</v>
      </c>
      <c r="G107" s="3"/>
    </row>
    <row r="108" spans="1:7" hidden="1">
      <c r="A108" s="37">
        <v>20</v>
      </c>
      <c r="B108" s="37" t="s">
        <v>64</v>
      </c>
      <c r="C108" s="37" t="s">
        <v>20</v>
      </c>
      <c r="D108" s="11">
        <v>2</v>
      </c>
      <c r="E108" s="12">
        <v>1012.36</v>
      </c>
      <c r="F108" s="5">
        <v>1</v>
      </c>
      <c r="G108" s="3"/>
    </row>
    <row r="109" spans="1:7" hidden="1">
      <c r="A109" s="39"/>
      <c r="B109" s="41" t="s">
        <v>65</v>
      </c>
      <c r="C109" s="39"/>
      <c r="D109" s="15">
        <v>30</v>
      </c>
      <c r="E109" s="16">
        <v>21838.240000000002</v>
      </c>
      <c r="F109" s="9"/>
      <c r="G109" s="7"/>
    </row>
    <row r="110" spans="1:7" hidden="1">
      <c r="A110" s="37">
        <v>21</v>
      </c>
      <c r="B110" s="37" t="s">
        <v>66</v>
      </c>
      <c r="C110" s="37" t="s">
        <v>41</v>
      </c>
      <c r="D110" s="14" t="s">
        <v>42</v>
      </c>
      <c r="E110" s="14" t="s">
        <v>42</v>
      </c>
      <c r="F110" s="5"/>
      <c r="G110" s="3" t="s">
        <v>43</v>
      </c>
    </row>
    <row r="111" spans="1:7" hidden="1">
      <c r="A111" s="37">
        <v>22</v>
      </c>
      <c r="B111" s="37" t="s">
        <v>67</v>
      </c>
      <c r="C111" s="37" t="s">
        <v>41</v>
      </c>
      <c r="D111" s="14" t="s">
        <v>42</v>
      </c>
      <c r="E111" s="14" t="s">
        <v>42</v>
      </c>
      <c r="F111" s="5"/>
      <c r="G111" s="3" t="s">
        <v>43</v>
      </c>
    </row>
    <row r="112" spans="1:7" hidden="1">
      <c r="A112" s="37">
        <v>23</v>
      </c>
      <c r="B112" s="37" t="s">
        <v>68</v>
      </c>
      <c r="C112" s="37" t="s">
        <v>41</v>
      </c>
      <c r="D112" s="17" t="s">
        <v>42</v>
      </c>
      <c r="E112" s="18" t="s">
        <v>42</v>
      </c>
      <c r="F112" s="5"/>
      <c r="G112" s="3" t="s">
        <v>43</v>
      </c>
    </row>
    <row r="113" spans="1:7" hidden="1">
      <c r="A113" s="37">
        <v>24</v>
      </c>
      <c r="B113" s="37" t="s">
        <v>69</v>
      </c>
      <c r="C113" s="37" t="s">
        <v>41</v>
      </c>
      <c r="D113" s="17" t="s">
        <v>42</v>
      </c>
      <c r="E113" s="18" t="s">
        <v>42</v>
      </c>
      <c r="F113" s="5"/>
      <c r="G113" s="3" t="s">
        <v>43</v>
      </c>
    </row>
    <row r="114" spans="1:7" ht="25.5" hidden="1">
      <c r="A114" s="37">
        <v>25</v>
      </c>
      <c r="B114" s="37" t="s">
        <v>70</v>
      </c>
      <c r="C114" s="37" t="s">
        <v>41</v>
      </c>
      <c r="D114" s="17" t="s">
        <v>42</v>
      </c>
      <c r="E114" s="18" t="s">
        <v>42</v>
      </c>
      <c r="F114" s="5"/>
      <c r="G114" s="3" t="s">
        <v>71</v>
      </c>
    </row>
    <row r="115" spans="1:7" hidden="1">
      <c r="A115" s="37">
        <v>26</v>
      </c>
      <c r="B115" s="37" t="s">
        <v>72</v>
      </c>
      <c r="C115" s="37" t="s">
        <v>41</v>
      </c>
      <c r="D115" s="17" t="s">
        <v>42</v>
      </c>
      <c r="E115" s="18" t="s">
        <v>42</v>
      </c>
      <c r="F115" s="5"/>
      <c r="G115" s="3" t="s">
        <v>43</v>
      </c>
    </row>
    <row r="116" spans="1:7" hidden="1">
      <c r="A116" s="37">
        <v>27</v>
      </c>
      <c r="B116" s="37" t="s">
        <v>73</v>
      </c>
      <c r="C116" s="37" t="s">
        <v>20</v>
      </c>
      <c r="D116" s="4">
        <v>5</v>
      </c>
      <c r="E116" s="2">
        <v>406.01</v>
      </c>
      <c r="F116" s="5">
        <v>5</v>
      </c>
      <c r="G116" s="3"/>
    </row>
    <row r="117" spans="1:7" hidden="1">
      <c r="A117" s="37">
        <v>27</v>
      </c>
      <c r="B117" s="37" t="s">
        <v>73</v>
      </c>
      <c r="C117" s="37" t="s">
        <v>21</v>
      </c>
      <c r="D117" s="4">
        <v>1</v>
      </c>
      <c r="E117" s="2">
        <v>0.01</v>
      </c>
      <c r="F117" s="5">
        <v>1</v>
      </c>
      <c r="G117" s="3"/>
    </row>
    <row r="118" spans="1:7" hidden="1">
      <c r="A118" s="37">
        <v>27</v>
      </c>
      <c r="B118" s="37" t="s">
        <v>73</v>
      </c>
      <c r="C118" s="37" t="s">
        <v>38</v>
      </c>
      <c r="D118" s="4">
        <v>1</v>
      </c>
      <c r="E118" s="2">
        <v>0.03</v>
      </c>
      <c r="F118" s="5">
        <v>1</v>
      </c>
      <c r="G118" s="3"/>
    </row>
    <row r="119" spans="1:7" hidden="1">
      <c r="A119" s="42"/>
      <c r="B119" s="41" t="s">
        <v>74</v>
      </c>
      <c r="C119" s="42"/>
      <c r="D119" s="8">
        <v>7</v>
      </c>
      <c r="E119" s="6">
        <v>406.05</v>
      </c>
      <c r="F119" s="10"/>
      <c r="G119" s="10"/>
    </row>
    <row r="120" spans="1:7" hidden="1">
      <c r="A120" s="37">
        <v>28</v>
      </c>
      <c r="B120" s="37" t="s">
        <v>75</v>
      </c>
      <c r="C120" s="37" t="s">
        <v>21</v>
      </c>
      <c r="D120" s="4">
        <v>1</v>
      </c>
      <c r="E120" s="2">
        <v>0.01</v>
      </c>
      <c r="F120" s="5">
        <v>1</v>
      </c>
      <c r="G120" s="3"/>
    </row>
    <row r="121" spans="1:7" hidden="1">
      <c r="A121" s="37">
        <v>28</v>
      </c>
      <c r="B121" s="37" t="s">
        <v>75</v>
      </c>
      <c r="C121" s="46" t="s">
        <v>38</v>
      </c>
      <c r="D121" s="4">
        <v>1</v>
      </c>
      <c r="E121" s="2">
        <v>0.03</v>
      </c>
      <c r="F121" s="5">
        <v>1</v>
      </c>
      <c r="G121" s="3"/>
    </row>
    <row r="122" spans="1:7" hidden="1">
      <c r="A122" s="44"/>
      <c r="B122" s="41" t="s">
        <v>76</v>
      </c>
      <c r="C122" s="49"/>
      <c r="D122" s="8">
        <v>2</v>
      </c>
      <c r="E122" s="6">
        <v>0.04</v>
      </c>
      <c r="F122" s="10"/>
      <c r="G122" s="10"/>
    </row>
    <row r="123" spans="1:7" ht="60" customHeight="1">
      <c r="A123" s="45"/>
      <c r="B123" s="45"/>
      <c r="C123" s="50"/>
    </row>
    <row r="124" spans="1:7" ht="60" customHeight="1">
      <c r="A124" s="45"/>
      <c r="B124" s="45"/>
      <c r="C124" s="50"/>
    </row>
    <row r="125" spans="1:7" ht="60" customHeight="1">
      <c r="A125" s="45"/>
      <c r="B125" s="45"/>
      <c r="C125" s="50"/>
    </row>
    <row r="126" spans="1:7" ht="60" customHeight="1">
      <c r="A126" s="45"/>
      <c r="B126" s="45"/>
      <c r="C126" s="50"/>
    </row>
  </sheetData>
  <autoFilter ref="A5:G122" xr:uid="{00000000-0001-0000-0000-000000000000}">
    <filterColumn colId="2">
      <filters>
        <filter val="102 - Orthopedic institutes"/>
      </filters>
    </filterColumn>
  </autoFilter>
  <mergeCells count="1">
    <mergeCell ref="A3:G3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M67"/>
  <sheetViews>
    <sheetView zoomScale="85" zoomScaleNormal="85" workbookViewId="0">
      <pane xSplit="2" ySplit="8" topLeftCell="C9" activePane="bottomRight" state="frozen"/>
      <selection pane="topRight" activeCell="C1" sqref="C1"/>
      <selection pane="bottomLeft" activeCell="A6" sqref="A6"/>
      <selection pane="bottomRight" activeCell="H36" sqref="H36"/>
    </sheetView>
  </sheetViews>
  <sheetFormatPr defaultColWidth="8.625" defaultRowHeight="14.25"/>
  <cols>
    <col min="1" max="1" width="4" customWidth="1"/>
    <col min="2" max="2" width="16" style="53" customWidth="1"/>
    <col min="3" max="3" width="9.75" customWidth="1"/>
    <col min="4" max="4" width="12" customWidth="1"/>
    <col min="5" max="5" width="18" customWidth="1"/>
    <col min="6" max="6" width="11.625" customWidth="1"/>
    <col min="7" max="7" width="14" customWidth="1"/>
    <col min="8" max="8" width="16" customWidth="1"/>
    <col min="9" max="9" width="24" style="53" customWidth="1"/>
    <col min="10" max="12" width="14" customWidth="1"/>
    <col min="13" max="13" width="40" customWidth="1"/>
    <col min="14" max="14" width="8.875" customWidth="1"/>
    <col min="15" max="15" width="17.875" customWidth="1"/>
    <col min="16" max="16" width="8.625" customWidth="1"/>
    <col min="17" max="17" width="8.875" customWidth="1"/>
    <col min="18" max="18" width="8.625" style="58" customWidth="1"/>
    <col min="19" max="19" width="9.75" customWidth="1"/>
    <col min="20" max="20" width="14" customWidth="1"/>
    <col min="25" max="28" width="8.625" style="58"/>
    <col min="30" max="31" width="8.625" style="58"/>
    <col min="32" max="32" width="10" style="58" bestFit="1" customWidth="1"/>
    <col min="33" max="33" width="12.75" bestFit="1" customWidth="1"/>
    <col min="36" max="37" width="14.5" customWidth="1"/>
    <col min="38" max="38" width="15.625" bestFit="1" customWidth="1"/>
    <col min="39" max="39" width="14.5" bestFit="1" customWidth="1"/>
  </cols>
  <sheetData>
    <row r="1" spans="1:39" ht="16.5">
      <c r="A1" s="23" t="s">
        <v>77</v>
      </c>
    </row>
    <row r="2" spans="1:39" ht="16.5">
      <c r="A2" s="23"/>
      <c r="X2" s="58" t="s">
        <v>129</v>
      </c>
      <c r="Y2" s="73">
        <v>26</v>
      </c>
      <c r="Z2" s="73">
        <v>2</v>
      </c>
      <c r="AA2" s="73">
        <v>3</v>
      </c>
      <c r="AB2" s="73">
        <v>70</v>
      </c>
      <c r="AC2" s="58">
        <f t="shared" ref="AC2:AC5" si="0">SUM(Y2:AB2)</f>
        <v>101</v>
      </c>
    </row>
    <row r="3" spans="1:39" ht="16.5">
      <c r="A3" s="23"/>
      <c r="X3" s="58" t="s">
        <v>130</v>
      </c>
      <c r="Y3" s="73">
        <v>14</v>
      </c>
      <c r="Z3" s="73">
        <v>1</v>
      </c>
      <c r="AA3" s="73">
        <v>5</v>
      </c>
      <c r="AB3" s="73">
        <v>59</v>
      </c>
      <c r="AC3" s="58">
        <f t="shared" si="0"/>
        <v>79</v>
      </c>
      <c r="AI3" s="69" t="s">
        <v>138</v>
      </c>
      <c r="AJ3" s="59">
        <f>AJ7-AJ5</f>
        <v>941750</v>
      </c>
      <c r="AK3" s="59">
        <f t="shared" ref="AK3:AL3" si="1">AK7-AK5</f>
        <v>199916</v>
      </c>
      <c r="AL3" s="59">
        <f t="shared" si="1"/>
        <v>2518537.6518218624</v>
      </c>
      <c r="AM3" s="70">
        <f>SUBTOTAL(9,AJ3:AL3)</f>
        <v>3660203.6518218624</v>
      </c>
    </row>
    <row r="4" spans="1:39" ht="16.5">
      <c r="A4" s="23"/>
      <c r="X4" s="58" t="s">
        <v>132</v>
      </c>
      <c r="Y4" s="73">
        <v>17</v>
      </c>
      <c r="Z4" s="73">
        <v>5</v>
      </c>
      <c r="AA4" s="73">
        <v>2</v>
      </c>
      <c r="AB4" s="73">
        <v>63</v>
      </c>
      <c r="AC4" s="58">
        <f t="shared" si="0"/>
        <v>87</v>
      </c>
      <c r="AM4" s="70"/>
    </row>
    <row r="5" spans="1:39" ht="15">
      <c r="A5" s="24" t="s">
        <v>1</v>
      </c>
      <c r="B5" s="66">
        <v>46290</v>
      </c>
      <c r="X5" s="58" t="s">
        <v>131</v>
      </c>
      <c r="Y5" s="73">
        <v>27</v>
      </c>
      <c r="Z5" s="73">
        <v>12</v>
      </c>
      <c r="AA5" s="73">
        <v>5</v>
      </c>
      <c r="AB5" s="73">
        <v>211</v>
      </c>
      <c r="AC5" s="58">
        <f t="shared" si="0"/>
        <v>255</v>
      </c>
      <c r="AI5" t="s">
        <v>136</v>
      </c>
      <c r="AJ5" s="60">
        <f>'[1]2027'!$AG$10</f>
        <v>356500</v>
      </c>
      <c r="AK5" s="60">
        <f>'[1]2027'!$AG$16</f>
        <v>100000</v>
      </c>
      <c r="AL5" s="60">
        <f>'[1]2027'!$AG$6</f>
        <v>439462.34817813768</v>
      </c>
      <c r="AM5" s="70">
        <f>SUBTOTAL(9,AJ5:AL5)</f>
        <v>895962.34817813768</v>
      </c>
    </row>
    <row r="6" spans="1:39" ht="43.35" hidden="1" customHeight="1">
      <c r="A6" s="71" t="s">
        <v>78</v>
      </c>
      <c r="B6" s="71"/>
      <c r="C6" s="71"/>
      <c r="D6" s="71"/>
      <c r="E6" s="71"/>
      <c r="F6" s="71"/>
      <c r="G6" s="71"/>
      <c r="H6" s="71"/>
      <c r="I6" s="72"/>
      <c r="J6" s="71"/>
      <c r="K6" s="71"/>
      <c r="L6" s="71"/>
      <c r="Y6"/>
      <c r="Z6"/>
      <c r="AA6"/>
      <c r="AB6"/>
      <c r="AD6"/>
      <c r="AE6"/>
      <c r="AF6"/>
    </row>
    <row r="7" spans="1:39" ht="15">
      <c r="C7" s="61">
        <v>10780</v>
      </c>
      <c r="N7" s="52">
        <v>2027</v>
      </c>
      <c r="O7" s="52" t="s">
        <v>79</v>
      </c>
      <c r="W7" s="58"/>
      <c r="X7" s="65" t="s">
        <v>97</v>
      </c>
      <c r="Y7" s="65">
        <f>SUBTOTAL(9,Y2:Y5)</f>
        <v>84</v>
      </c>
      <c r="Z7" s="65">
        <f>SUBTOTAL(9,Z2:Z5)</f>
        <v>20</v>
      </c>
      <c r="AA7" s="65">
        <f>SUBTOTAL(9,AA2:AA5)</f>
        <v>15</v>
      </c>
      <c r="AB7" s="65">
        <f>SUBTOTAL(9,AB2:AB5)</f>
        <v>403</v>
      </c>
      <c r="AC7" s="65">
        <f>SUM(Y7:AB7)</f>
        <v>522</v>
      </c>
      <c r="AF7" s="61">
        <f>SUM(AF9:AF32)</f>
        <v>35557.5</v>
      </c>
      <c r="AG7" s="60">
        <f>SUM(AG9:AG32)</f>
        <v>4556166</v>
      </c>
      <c r="AI7" t="s">
        <v>137</v>
      </c>
      <c r="AJ7" s="60">
        <f>SUM(AJ9:AJ32)</f>
        <v>1298250</v>
      </c>
      <c r="AK7" s="60">
        <f t="shared" ref="AK7:AL7" si="2">SUM(AK9:AK32)</f>
        <v>299916</v>
      </c>
      <c r="AL7" s="60">
        <f t="shared" si="2"/>
        <v>2958000</v>
      </c>
      <c r="AM7" s="70">
        <f>SUBTOTAL(9,AJ7:AL7)</f>
        <v>4556166</v>
      </c>
    </row>
    <row r="8" spans="1:39" ht="38.25">
      <c r="A8" s="25" t="s">
        <v>3</v>
      </c>
      <c r="B8" s="54" t="s">
        <v>80</v>
      </c>
      <c r="C8" s="25" t="s">
        <v>81</v>
      </c>
      <c r="D8" s="25" t="s">
        <v>82</v>
      </c>
      <c r="E8" s="25" t="s">
        <v>83</v>
      </c>
      <c r="F8" s="25" t="s">
        <v>84</v>
      </c>
      <c r="G8" s="25" t="s">
        <v>85</v>
      </c>
      <c r="H8" s="25" t="s">
        <v>86</v>
      </c>
      <c r="I8" s="54" t="s">
        <v>87</v>
      </c>
      <c r="J8" s="25" t="s">
        <v>88</v>
      </c>
      <c r="K8" s="25" t="s">
        <v>89</v>
      </c>
      <c r="L8" s="25" t="s">
        <v>90</v>
      </c>
      <c r="M8" s="25" t="s">
        <v>91</v>
      </c>
      <c r="N8" s="52" t="s">
        <v>92</v>
      </c>
      <c r="O8" s="52" t="s">
        <v>93</v>
      </c>
      <c r="P8" s="25"/>
      <c r="Q8" s="25" t="s">
        <v>94</v>
      </c>
      <c r="R8" s="25" t="s">
        <v>95</v>
      </c>
      <c r="S8" s="25" t="s">
        <v>96</v>
      </c>
      <c r="T8" s="25" t="s">
        <v>97</v>
      </c>
      <c r="W8" s="25" t="s">
        <v>134</v>
      </c>
      <c r="X8" s="25" t="s">
        <v>125</v>
      </c>
      <c r="Y8" s="25" t="s">
        <v>121</v>
      </c>
      <c r="Z8" s="25" t="s">
        <v>122</v>
      </c>
      <c r="AA8" s="25" t="s">
        <v>123</v>
      </c>
      <c r="AB8" s="25" t="s">
        <v>124</v>
      </c>
      <c r="AC8" s="25" t="s">
        <v>126</v>
      </c>
      <c r="AD8" s="25" t="s">
        <v>127</v>
      </c>
      <c r="AE8" s="25" t="s">
        <v>133</v>
      </c>
      <c r="AF8" s="25" t="s">
        <v>135</v>
      </c>
      <c r="AG8" s="25" t="s">
        <v>128</v>
      </c>
      <c r="AJ8" s="25" t="s">
        <v>121</v>
      </c>
      <c r="AK8" s="25" t="s">
        <v>122</v>
      </c>
      <c r="AL8" s="25" t="s">
        <v>19</v>
      </c>
    </row>
    <row r="9" spans="1:39">
      <c r="A9" s="5">
        <v>1</v>
      </c>
      <c r="B9" s="55" t="s">
        <v>10</v>
      </c>
      <c r="C9" s="4">
        <v>2160</v>
      </c>
      <c r="D9" s="2">
        <v>90</v>
      </c>
      <c r="E9" s="2">
        <v>194400</v>
      </c>
      <c r="F9" s="5" t="s">
        <v>98</v>
      </c>
      <c r="G9" s="4">
        <v>1135</v>
      </c>
      <c r="H9" s="11">
        <v>112752.57</v>
      </c>
      <c r="I9" s="55" t="s">
        <v>11</v>
      </c>
      <c r="J9" s="19" t="s">
        <v>99</v>
      </c>
      <c r="K9" s="26">
        <v>0.52546296296296302</v>
      </c>
      <c r="L9" s="26">
        <v>0.58000293209876597</v>
      </c>
      <c r="M9" s="3"/>
      <c r="N9">
        <v>500</v>
      </c>
      <c r="O9" s="51">
        <f>N9*D9</f>
        <v>45000</v>
      </c>
      <c r="Q9">
        <v>300</v>
      </c>
      <c r="R9" s="58">
        <v>12</v>
      </c>
      <c r="S9" s="57">
        <v>90</v>
      </c>
      <c r="T9" s="59">
        <f>S9*Q9</f>
        <v>27000</v>
      </c>
      <c r="U9" t="s">
        <v>100</v>
      </c>
      <c r="W9" s="58">
        <f>R9</f>
        <v>12</v>
      </c>
      <c r="X9" s="63">
        <v>4</v>
      </c>
      <c r="Y9" s="64">
        <v>75</v>
      </c>
      <c r="Z9" s="64">
        <v>18</v>
      </c>
      <c r="AA9" s="64"/>
      <c r="AB9" s="64">
        <v>300</v>
      </c>
      <c r="AC9" s="58">
        <f>SUM(Y9:AB9)</f>
        <v>393</v>
      </c>
      <c r="AD9" s="58">
        <f>(AC9*X9)</f>
        <v>1572</v>
      </c>
      <c r="AE9" s="58">
        <v>4</v>
      </c>
      <c r="AF9" s="58">
        <f>AE9*AD9</f>
        <v>6288</v>
      </c>
      <c r="AG9" s="59">
        <f>AF9*S9</f>
        <v>565920</v>
      </c>
      <c r="AJ9" s="59">
        <f>Y9*X9*AE9*S9</f>
        <v>108000</v>
      </c>
      <c r="AK9" s="59">
        <f>Z9*X9*AE9*S9</f>
        <v>25920</v>
      </c>
      <c r="AL9" s="59">
        <f>AB9*AE9*X9*S9</f>
        <v>432000</v>
      </c>
    </row>
    <row r="10" spans="1:39">
      <c r="A10" s="5">
        <v>2</v>
      </c>
      <c r="B10" s="55" t="s">
        <v>24</v>
      </c>
      <c r="C10" s="4">
        <v>2880</v>
      </c>
      <c r="D10" s="2">
        <v>100</v>
      </c>
      <c r="E10" s="2">
        <v>288000</v>
      </c>
      <c r="F10" s="5" t="s">
        <v>98</v>
      </c>
      <c r="G10" s="4">
        <v>862</v>
      </c>
      <c r="H10" s="11">
        <v>127955.57</v>
      </c>
      <c r="I10" s="55" t="s">
        <v>13</v>
      </c>
      <c r="J10" s="19" t="s">
        <v>99</v>
      </c>
      <c r="K10" s="26">
        <v>0.29930555555555599</v>
      </c>
      <c r="L10" s="26">
        <v>0.44429017361111101</v>
      </c>
      <c r="M10" s="3"/>
      <c r="N10">
        <v>500</v>
      </c>
      <c r="O10" s="51">
        <f t="shared" ref="O10" si="3">N10*D10</f>
        <v>50000</v>
      </c>
      <c r="Q10">
        <v>400</v>
      </c>
      <c r="R10" s="58">
        <v>12</v>
      </c>
      <c r="S10" s="57">
        <v>100</v>
      </c>
      <c r="T10" s="59">
        <f t="shared" ref="T10" si="4">S10*Q10</f>
        <v>40000</v>
      </c>
      <c r="W10" s="58">
        <f t="shared" ref="W10" si="5">R10</f>
        <v>12</v>
      </c>
      <c r="X10" s="63">
        <v>3</v>
      </c>
      <c r="Y10" s="64">
        <v>75</v>
      </c>
      <c r="Z10" s="64">
        <v>18</v>
      </c>
      <c r="AA10" s="64"/>
      <c r="AB10" s="64">
        <v>300</v>
      </c>
      <c r="AC10" s="58">
        <f>SUM(Y10:AB10)</f>
        <v>393</v>
      </c>
      <c r="AD10" s="58">
        <f t="shared" ref="AD10" si="6">(AC10*X10)</f>
        <v>1179</v>
      </c>
      <c r="AE10" s="58">
        <v>4</v>
      </c>
      <c r="AF10" s="58">
        <f t="shared" ref="AF10" si="7">AE10*AD10</f>
        <v>4716</v>
      </c>
      <c r="AG10" s="59">
        <f t="shared" ref="AG10" si="8">AF10*S10</f>
        <v>471600</v>
      </c>
      <c r="AJ10" s="59">
        <f t="shared" ref="AJ10" si="9">Y10*X10*AE10*S10</f>
        <v>90000</v>
      </c>
      <c r="AK10" s="59">
        <f t="shared" ref="AK10" si="10">Z10*X10*AE10*S10</f>
        <v>21600</v>
      </c>
      <c r="AL10" s="59">
        <f t="shared" ref="AL10" si="11">AB10*AE10*X10*S10</f>
        <v>360000</v>
      </c>
    </row>
    <row r="11" spans="1:39" ht="25.5">
      <c r="A11" s="5">
        <v>3</v>
      </c>
      <c r="B11" s="5" t="s">
        <v>27</v>
      </c>
      <c r="C11" s="4">
        <v>2000</v>
      </c>
      <c r="D11" s="2">
        <v>50</v>
      </c>
      <c r="E11" s="2">
        <v>100000</v>
      </c>
      <c r="F11" s="5" t="s">
        <v>101</v>
      </c>
      <c r="G11" s="4">
        <v>5823</v>
      </c>
      <c r="H11" s="2">
        <v>306760.51</v>
      </c>
      <c r="I11" s="5" t="s">
        <v>28</v>
      </c>
      <c r="J11" s="19" t="s">
        <v>99</v>
      </c>
      <c r="K11" s="26">
        <v>2.9115000000000002</v>
      </c>
      <c r="L11" s="26">
        <v>3.0676051000000002</v>
      </c>
      <c r="M11" s="3" t="s">
        <v>102</v>
      </c>
      <c r="R11"/>
      <c r="W11" s="58">
        <v>12</v>
      </c>
      <c r="Y11"/>
      <c r="Z11"/>
      <c r="AA11"/>
      <c r="AB11"/>
      <c r="AD11"/>
      <c r="AE11"/>
      <c r="AF11"/>
    </row>
    <row r="12" spans="1:39">
      <c r="A12" s="5">
        <v>4</v>
      </c>
      <c r="B12" s="55" t="s">
        <v>33</v>
      </c>
      <c r="C12" s="4">
        <v>1000</v>
      </c>
      <c r="D12" s="2">
        <v>70</v>
      </c>
      <c r="E12" s="2">
        <v>70000</v>
      </c>
      <c r="F12" s="5" t="s">
        <v>98</v>
      </c>
      <c r="G12" s="4">
        <v>131</v>
      </c>
      <c r="H12" s="11">
        <v>13889.9</v>
      </c>
      <c r="I12" s="55" t="s">
        <v>13</v>
      </c>
      <c r="J12" s="19" t="s">
        <v>99</v>
      </c>
      <c r="K12" s="26">
        <v>0.13100000000000001</v>
      </c>
      <c r="L12" s="26">
        <v>0.198427142857143</v>
      </c>
      <c r="M12" s="3"/>
      <c r="N12">
        <v>300</v>
      </c>
      <c r="O12" s="51">
        <f t="shared" ref="O12:O16" si="12">N12*D12</f>
        <v>21000</v>
      </c>
      <c r="Q12">
        <v>300</v>
      </c>
      <c r="R12" s="58">
        <v>12</v>
      </c>
      <c r="S12" s="57">
        <v>40</v>
      </c>
      <c r="T12" s="59">
        <f t="shared" ref="T12:T16" si="13">S12*Q12</f>
        <v>12000</v>
      </c>
      <c r="W12" s="58">
        <f t="shared" ref="W12:W16" si="14">R12</f>
        <v>12</v>
      </c>
      <c r="X12" s="63">
        <v>3</v>
      </c>
      <c r="Y12" s="64">
        <v>75</v>
      </c>
      <c r="Z12" s="64">
        <v>18</v>
      </c>
      <c r="AA12" s="64"/>
      <c r="AB12" s="64"/>
      <c r="AC12" s="58">
        <f>SUM(Y12:AB12)</f>
        <v>93</v>
      </c>
      <c r="AD12" s="58">
        <f t="shared" ref="AD12:AD16" si="15">(AC12*X12)</f>
        <v>279</v>
      </c>
      <c r="AE12" s="58">
        <v>4</v>
      </c>
      <c r="AF12" s="58">
        <f t="shared" ref="AF12:AF16" si="16">AE12*AD12</f>
        <v>1116</v>
      </c>
      <c r="AG12" s="59">
        <f t="shared" ref="AG12:AG16" si="17">AF12*S12</f>
        <v>44640</v>
      </c>
      <c r="AJ12" s="59">
        <f t="shared" ref="AJ12:AJ16" si="18">Y12*X12*AE12*S12</f>
        <v>36000</v>
      </c>
      <c r="AK12" s="59">
        <f t="shared" ref="AK12:AK16" si="19">Z12*X12*AE12*S12</f>
        <v>8640</v>
      </c>
      <c r="AL12" s="59">
        <f t="shared" ref="AL12:AL16" si="20">AB12*AE12*X12*S12</f>
        <v>0</v>
      </c>
    </row>
    <row r="13" spans="1:39">
      <c r="A13" s="5">
        <v>5</v>
      </c>
      <c r="B13" s="55" t="s">
        <v>35</v>
      </c>
      <c r="C13" s="4">
        <v>220</v>
      </c>
      <c r="D13" s="2">
        <v>350</v>
      </c>
      <c r="E13" s="2">
        <v>77000</v>
      </c>
      <c r="F13" s="5" t="s">
        <v>98</v>
      </c>
      <c r="G13" s="4">
        <v>103</v>
      </c>
      <c r="H13" s="11">
        <v>40501.050000000003</v>
      </c>
      <c r="I13" s="55" t="s">
        <v>17</v>
      </c>
      <c r="J13" s="27" t="s">
        <v>103</v>
      </c>
      <c r="K13" s="26">
        <v>0.46818181818181798</v>
      </c>
      <c r="L13" s="26">
        <v>0.52598766233766203</v>
      </c>
      <c r="M13" s="3"/>
      <c r="N13">
        <v>200</v>
      </c>
      <c r="O13" s="51">
        <f t="shared" si="12"/>
        <v>70000</v>
      </c>
      <c r="Q13">
        <v>200</v>
      </c>
      <c r="R13" s="58">
        <v>12</v>
      </c>
      <c r="S13" s="57">
        <v>300</v>
      </c>
      <c r="T13" s="59">
        <f t="shared" si="13"/>
        <v>60000</v>
      </c>
      <c r="W13" s="58">
        <f t="shared" si="14"/>
        <v>12</v>
      </c>
      <c r="X13" s="63">
        <v>3</v>
      </c>
      <c r="Y13" s="64">
        <v>75</v>
      </c>
      <c r="Z13" s="64">
        <v>18</v>
      </c>
      <c r="AA13" s="64"/>
      <c r="AB13" s="64">
        <v>300</v>
      </c>
      <c r="AC13" s="58">
        <f>SUM(Y13:AB13)</f>
        <v>393</v>
      </c>
      <c r="AD13" s="58">
        <f t="shared" si="15"/>
        <v>1179</v>
      </c>
      <c r="AE13" s="58">
        <v>4</v>
      </c>
      <c r="AF13" s="58">
        <f t="shared" si="16"/>
        <v>4716</v>
      </c>
      <c r="AG13" s="59">
        <f t="shared" si="17"/>
        <v>1414800</v>
      </c>
      <c r="AJ13" s="59">
        <f t="shared" si="18"/>
        <v>270000</v>
      </c>
      <c r="AK13" s="59">
        <f t="shared" si="19"/>
        <v>64800</v>
      </c>
      <c r="AL13" s="59">
        <f t="shared" si="20"/>
        <v>1080000</v>
      </c>
    </row>
    <row r="14" spans="1:39">
      <c r="A14" s="5">
        <v>6</v>
      </c>
      <c r="B14" s="55" t="s">
        <v>37</v>
      </c>
      <c r="C14" s="4">
        <v>280</v>
      </c>
      <c r="D14" s="2">
        <v>70</v>
      </c>
      <c r="E14" s="2">
        <v>19600</v>
      </c>
      <c r="F14" s="5" t="s">
        <v>98</v>
      </c>
      <c r="G14" s="4">
        <v>1</v>
      </c>
      <c r="H14" s="11">
        <v>0.03</v>
      </c>
      <c r="I14" s="55" t="s">
        <v>38</v>
      </c>
      <c r="J14" s="19" t="s">
        <v>99</v>
      </c>
      <c r="K14" s="26">
        <v>3.57142857142857E-3</v>
      </c>
      <c r="L14" s="26">
        <v>1.5306122448979599E-6</v>
      </c>
      <c r="M14" s="3"/>
      <c r="N14">
        <v>200</v>
      </c>
      <c r="O14" s="51">
        <f t="shared" si="12"/>
        <v>14000</v>
      </c>
      <c r="Q14">
        <v>300</v>
      </c>
      <c r="R14" s="58">
        <v>12</v>
      </c>
      <c r="S14" s="57">
        <v>70</v>
      </c>
      <c r="T14" s="59">
        <f t="shared" si="13"/>
        <v>21000</v>
      </c>
      <c r="W14" s="58">
        <f t="shared" si="14"/>
        <v>12</v>
      </c>
      <c r="X14" s="63">
        <v>3</v>
      </c>
      <c r="Y14" s="64">
        <v>75</v>
      </c>
      <c r="Z14" s="64">
        <v>18</v>
      </c>
      <c r="AA14" s="64"/>
      <c r="AB14" s="64">
        <v>300</v>
      </c>
      <c r="AC14" s="58">
        <f>SUM(Y14:AB14)</f>
        <v>393</v>
      </c>
      <c r="AD14" s="58">
        <f t="shared" si="15"/>
        <v>1179</v>
      </c>
      <c r="AE14" s="58">
        <v>4</v>
      </c>
      <c r="AF14" s="58">
        <f t="shared" si="16"/>
        <v>4716</v>
      </c>
      <c r="AG14" s="59">
        <f t="shared" si="17"/>
        <v>330120</v>
      </c>
      <c r="AJ14" s="59">
        <f t="shared" si="18"/>
        <v>63000</v>
      </c>
      <c r="AK14" s="59">
        <f t="shared" si="19"/>
        <v>15120</v>
      </c>
      <c r="AL14" s="59">
        <f t="shared" si="20"/>
        <v>252000</v>
      </c>
    </row>
    <row r="15" spans="1:39">
      <c r="A15" s="5">
        <v>7</v>
      </c>
      <c r="B15" s="55" t="s">
        <v>40</v>
      </c>
      <c r="C15" s="4">
        <v>280</v>
      </c>
      <c r="D15" s="2">
        <v>80</v>
      </c>
      <c r="E15" s="2">
        <v>22400</v>
      </c>
      <c r="F15" s="5" t="s">
        <v>98</v>
      </c>
      <c r="G15" s="4">
        <v>0</v>
      </c>
      <c r="H15" s="11">
        <v>0</v>
      </c>
      <c r="I15" s="56" t="s">
        <v>104</v>
      </c>
      <c r="J15" s="29" t="s">
        <v>105</v>
      </c>
      <c r="K15" s="26">
        <v>0</v>
      </c>
      <c r="L15" s="26">
        <v>0</v>
      </c>
      <c r="M15" s="3"/>
      <c r="N15">
        <v>200</v>
      </c>
      <c r="O15" s="51">
        <f t="shared" si="12"/>
        <v>16000</v>
      </c>
      <c r="Q15">
        <v>150</v>
      </c>
      <c r="R15" s="58">
        <v>6</v>
      </c>
      <c r="S15" s="57">
        <v>80</v>
      </c>
      <c r="T15" s="59">
        <f t="shared" si="13"/>
        <v>12000</v>
      </c>
      <c r="W15" s="58">
        <f t="shared" si="14"/>
        <v>6</v>
      </c>
      <c r="X15" s="63">
        <v>3</v>
      </c>
      <c r="Y15" s="64">
        <v>75</v>
      </c>
      <c r="Z15" s="64">
        <v>18</v>
      </c>
      <c r="AA15" s="64"/>
      <c r="AB15" s="64">
        <v>300</v>
      </c>
      <c r="AC15" s="58">
        <f>SUM(Y15:AB15)</f>
        <v>393</v>
      </c>
      <c r="AD15" s="58">
        <f t="shared" si="15"/>
        <v>1179</v>
      </c>
      <c r="AE15" s="58">
        <v>2</v>
      </c>
      <c r="AF15" s="58">
        <f t="shared" si="16"/>
        <v>2358</v>
      </c>
      <c r="AG15" s="59">
        <f t="shared" si="17"/>
        <v>188640</v>
      </c>
      <c r="AJ15" s="59">
        <f t="shared" si="18"/>
        <v>36000</v>
      </c>
      <c r="AK15" s="59">
        <f t="shared" si="19"/>
        <v>8640</v>
      </c>
      <c r="AL15" s="59">
        <f t="shared" si="20"/>
        <v>144000</v>
      </c>
    </row>
    <row r="16" spans="1:39">
      <c r="A16" s="5">
        <v>8</v>
      </c>
      <c r="B16" s="55" t="s">
        <v>44</v>
      </c>
      <c r="C16" s="4">
        <v>200</v>
      </c>
      <c r="D16" s="2">
        <v>260</v>
      </c>
      <c r="E16" s="2">
        <v>52000</v>
      </c>
      <c r="F16" s="5" t="s">
        <v>98</v>
      </c>
      <c r="G16" s="4">
        <v>1</v>
      </c>
      <c r="H16" s="11">
        <v>0.03</v>
      </c>
      <c r="I16" s="55" t="s">
        <v>38</v>
      </c>
      <c r="J16" s="19" t="s">
        <v>99</v>
      </c>
      <c r="K16" s="26">
        <v>5.0000000000000001E-3</v>
      </c>
      <c r="L16" s="26">
        <v>5.7692307692307702E-7</v>
      </c>
      <c r="M16" s="3"/>
      <c r="N16">
        <v>200</v>
      </c>
      <c r="O16" s="51">
        <f t="shared" si="12"/>
        <v>52000</v>
      </c>
      <c r="Q16">
        <v>200</v>
      </c>
      <c r="R16" s="58">
        <v>10</v>
      </c>
      <c r="S16" s="57">
        <v>260</v>
      </c>
      <c r="T16" s="59">
        <f t="shared" si="13"/>
        <v>52000</v>
      </c>
      <c r="W16" s="58">
        <f t="shared" si="14"/>
        <v>10</v>
      </c>
      <c r="X16" s="63">
        <v>4</v>
      </c>
      <c r="Y16" s="64">
        <v>75</v>
      </c>
      <c r="Z16" s="64">
        <v>18</v>
      </c>
      <c r="AA16" s="64"/>
      <c r="AB16" s="64"/>
      <c r="AC16" s="58">
        <f>SUM(Y16:AB16)</f>
        <v>93</v>
      </c>
      <c r="AD16" s="58">
        <f t="shared" si="15"/>
        <v>372</v>
      </c>
      <c r="AE16" s="58">
        <v>3</v>
      </c>
      <c r="AF16" s="58">
        <f t="shared" si="16"/>
        <v>1116</v>
      </c>
      <c r="AG16" s="59">
        <f t="shared" si="17"/>
        <v>290160</v>
      </c>
      <c r="AJ16" s="59">
        <f t="shared" si="18"/>
        <v>234000</v>
      </c>
      <c r="AK16" s="59">
        <f t="shared" si="19"/>
        <v>56160</v>
      </c>
      <c r="AL16" s="59">
        <f t="shared" si="20"/>
        <v>0</v>
      </c>
    </row>
    <row r="17" spans="1:38">
      <c r="A17" s="5">
        <v>9</v>
      </c>
      <c r="B17" s="5" t="s">
        <v>46</v>
      </c>
      <c r="C17" s="4">
        <v>1000</v>
      </c>
      <c r="D17" s="2">
        <v>24</v>
      </c>
      <c r="E17" s="2">
        <v>24000</v>
      </c>
      <c r="F17" s="5" t="s">
        <v>19</v>
      </c>
      <c r="G17" s="4">
        <v>6</v>
      </c>
      <c r="H17" s="2">
        <v>50.25</v>
      </c>
      <c r="I17" s="5" t="s">
        <v>20</v>
      </c>
      <c r="J17" s="19" t="s">
        <v>99</v>
      </c>
      <c r="K17" s="26">
        <v>6.0000000000000001E-3</v>
      </c>
      <c r="L17" s="26">
        <v>2.0937500000000001E-3</v>
      </c>
      <c r="M17" s="3"/>
      <c r="R17"/>
      <c r="W17" s="58">
        <v>12</v>
      </c>
      <c r="Y17"/>
      <c r="Z17"/>
      <c r="AA17"/>
      <c r="AB17"/>
      <c r="AD17"/>
      <c r="AE17"/>
      <c r="AF17"/>
    </row>
    <row r="18" spans="1:38">
      <c r="A18" s="5">
        <v>10</v>
      </c>
      <c r="B18" s="5" t="s">
        <v>48</v>
      </c>
      <c r="C18" s="14" t="s">
        <v>106</v>
      </c>
      <c r="D18" s="2">
        <v>130</v>
      </c>
      <c r="E18" s="2">
        <v>0</v>
      </c>
      <c r="F18" s="5" t="s">
        <v>101</v>
      </c>
      <c r="G18" s="4">
        <v>0</v>
      </c>
      <c r="H18" s="2">
        <v>0</v>
      </c>
      <c r="I18" s="28" t="s">
        <v>104</v>
      </c>
      <c r="J18" s="29" t="s">
        <v>105</v>
      </c>
      <c r="K18" s="14" t="s">
        <v>106</v>
      </c>
      <c r="L18" s="14" t="s">
        <v>106</v>
      </c>
      <c r="M18" s="3"/>
      <c r="R18"/>
      <c r="W18" s="58">
        <v>12</v>
      </c>
      <c r="Y18"/>
      <c r="Z18"/>
      <c r="AA18"/>
      <c r="AB18"/>
      <c r="AD18"/>
      <c r="AE18"/>
      <c r="AF18"/>
    </row>
    <row r="19" spans="1:38">
      <c r="A19" s="5">
        <v>11</v>
      </c>
      <c r="B19" s="55" t="s">
        <v>49</v>
      </c>
      <c r="C19" s="4">
        <v>2000</v>
      </c>
      <c r="D19" s="2">
        <v>12</v>
      </c>
      <c r="E19" s="2">
        <v>24000</v>
      </c>
      <c r="F19" s="5" t="s">
        <v>98</v>
      </c>
      <c r="G19" s="4">
        <v>16</v>
      </c>
      <c r="H19" s="11">
        <v>170.2</v>
      </c>
      <c r="I19" s="55" t="s">
        <v>20</v>
      </c>
      <c r="J19" s="19" t="s">
        <v>99</v>
      </c>
      <c r="K19" s="26">
        <v>8.0000000000000002E-3</v>
      </c>
      <c r="L19" s="26">
        <v>7.0916666666666697E-3</v>
      </c>
      <c r="M19" s="3"/>
      <c r="N19">
        <v>1000</v>
      </c>
      <c r="O19" s="51">
        <f>N19*D19</f>
        <v>12000</v>
      </c>
      <c r="Q19">
        <v>500</v>
      </c>
      <c r="R19" s="58">
        <v>12</v>
      </c>
      <c r="S19" s="57">
        <v>10.5</v>
      </c>
      <c r="T19" s="59">
        <f>S19*Q19</f>
        <v>5250</v>
      </c>
      <c r="W19" s="58">
        <f>R19</f>
        <v>12</v>
      </c>
      <c r="X19" s="63">
        <v>6</v>
      </c>
      <c r="Y19" s="64"/>
      <c r="Z19" s="64">
        <v>18</v>
      </c>
      <c r="AA19" s="64"/>
      <c r="AB19" s="64"/>
      <c r="AC19" s="58">
        <f>SUM(Y19:AB19)</f>
        <v>18</v>
      </c>
      <c r="AD19" s="58">
        <f>(AC19*X19)</f>
        <v>108</v>
      </c>
      <c r="AE19" s="58">
        <v>4</v>
      </c>
      <c r="AF19" s="58">
        <f>AE19*AD19</f>
        <v>432</v>
      </c>
      <c r="AG19" s="59">
        <f>AF19*S19</f>
        <v>4536</v>
      </c>
      <c r="AJ19" s="59">
        <f>Y19*X19*AE19*S19</f>
        <v>0</v>
      </c>
      <c r="AK19" s="59">
        <f>Z19*X19*AE19*S19</f>
        <v>4536</v>
      </c>
      <c r="AL19" s="59">
        <f>AB19*AE19*X19*S19</f>
        <v>0</v>
      </c>
    </row>
    <row r="20" spans="1:38">
      <c r="A20" s="5">
        <v>12</v>
      </c>
      <c r="B20" s="5">
        <v>59</v>
      </c>
      <c r="C20" s="4">
        <v>500</v>
      </c>
      <c r="D20" s="2">
        <v>150</v>
      </c>
      <c r="E20" s="2">
        <v>75000</v>
      </c>
      <c r="F20" s="28" t="s">
        <v>106</v>
      </c>
      <c r="G20" s="4">
        <v>0</v>
      </c>
      <c r="H20" s="2">
        <v>0</v>
      </c>
      <c r="I20" s="28" t="s">
        <v>104</v>
      </c>
      <c r="J20" s="29" t="s">
        <v>107</v>
      </c>
      <c r="K20" s="26">
        <v>0</v>
      </c>
      <c r="L20" s="26">
        <v>0</v>
      </c>
      <c r="M20" s="3"/>
      <c r="R20"/>
      <c r="W20" s="58"/>
      <c r="Y20"/>
      <c r="Z20"/>
      <c r="AA20"/>
      <c r="AB20"/>
      <c r="AD20"/>
      <c r="AE20"/>
      <c r="AF20"/>
    </row>
    <row r="21" spans="1:38" ht="25.5">
      <c r="A21" s="5">
        <v>13</v>
      </c>
      <c r="B21" s="5" t="s">
        <v>108</v>
      </c>
      <c r="C21" s="4">
        <v>1000</v>
      </c>
      <c r="D21" s="2">
        <v>60.61</v>
      </c>
      <c r="E21" s="2">
        <v>60606</v>
      </c>
      <c r="F21" s="5" t="s">
        <v>101</v>
      </c>
      <c r="G21" s="4">
        <v>51</v>
      </c>
      <c r="H21" s="2">
        <v>4794.24</v>
      </c>
      <c r="I21" s="5" t="s">
        <v>11</v>
      </c>
      <c r="J21" s="19" t="s">
        <v>99</v>
      </c>
      <c r="K21" s="26">
        <v>5.0999999999999997E-2</v>
      </c>
      <c r="L21" s="26">
        <v>7.9105039105039104E-2</v>
      </c>
      <c r="M21" s="3" t="s">
        <v>109</v>
      </c>
      <c r="R21"/>
      <c r="W21" s="58"/>
      <c r="Y21"/>
      <c r="Z21"/>
      <c r="AA21"/>
      <c r="AB21"/>
      <c r="AD21"/>
      <c r="AE21"/>
      <c r="AF21"/>
    </row>
    <row r="22" spans="1:38" ht="25.5">
      <c r="A22" s="5">
        <v>14</v>
      </c>
      <c r="B22" s="55" t="s">
        <v>110</v>
      </c>
      <c r="C22" s="4">
        <v>300</v>
      </c>
      <c r="D22" s="2">
        <v>70</v>
      </c>
      <c r="E22" s="2">
        <v>21000</v>
      </c>
      <c r="F22" s="5" t="s">
        <v>98</v>
      </c>
      <c r="G22" s="4">
        <v>51</v>
      </c>
      <c r="H22" s="11">
        <v>4794.24</v>
      </c>
      <c r="I22" s="55" t="s">
        <v>11</v>
      </c>
      <c r="J22" s="19" t="s">
        <v>99</v>
      </c>
      <c r="K22" s="26">
        <v>0.17</v>
      </c>
      <c r="L22" s="26">
        <v>0.228297142857143</v>
      </c>
      <c r="M22" s="3" t="s">
        <v>109</v>
      </c>
      <c r="O22" s="51">
        <f t="shared" ref="O22:O23" si="21">N22*D22</f>
        <v>0</v>
      </c>
      <c r="Q22">
        <v>300</v>
      </c>
      <c r="R22" s="58">
        <v>12</v>
      </c>
      <c r="S22" s="57">
        <v>70</v>
      </c>
      <c r="T22" s="59">
        <f t="shared" ref="T22:T23" si="22">S22*Q22</f>
        <v>21000</v>
      </c>
      <c r="W22" s="58">
        <f t="shared" ref="W22:W23" si="23">R22</f>
        <v>12</v>
      </c>
      <c r="X22" s="63">
        <v>1</v>
      </c>
      <c r="Y22" s="64">
        <v>75</v>
      </c>
      <c r="Z22" s="64">
        <v>18</v>
      </c>
      <c r="AA22" s="64"/>
      <c r="AB22" s="64">
        <v>300</v>
      </c>
      <c r="AC22" s="58">
        <f>SUM(Y22:AB22)</f>
        <v>393</v>
      </c>
      <c r="AD22" s="58">
        <f t="shared" ref="AD22:AD23" si="24">(AC22*X22)</f>
        <v>393</v>
      </c>
      <c r="AE22" s="58">
        <v>4</v>
      </c>
      <c r="AF22" s="58">
        <f t="shared" ref="AF22:AF23" si="25">AE22*AD22</f>
        <v>1572</v>
      </c>
      <c r="AG22" s="59">
        <f t="shared" ref="AG22:AG23" si="26">AF22*S22</f>
        <v>110040</v>
      </c>
      <c r="AJ22" s="59">
        <f t="shared" ref="AJ22:AJ23" si="27">Y22*X22*AE22*S22</f>
        <v>21000</v>
      </c>
      <c r="AK22" s="59">
        <f t="shared" ref="AK22:AK23" si="28">Z22*X22*AE22*S22</f>
        <v>5040</v>
      </c>
      <c r="AL22" s="59">
        <f t="shared" ref="AL22:AL23" si="29">AB22*AE22*X22*S22</f>
        <v>84000</v>
      </c>
    </row>
    <row r="23" spans="1:38">
      <c r="A23" s="5">
        <v>15</v>
      </c>
      <c r="B23" s="55" t="s">
        <v>57</v>
      </c>
      <c r="C23" s="4">
        <v>300</v>
      </c>
      <c r="D23" s="2">
        <v>140</v>
      </c>
      <c r="E23" s="2">
        <v>42000</v>
      </c>
      <c r="F23" s="5" t="s">
        <v>98</v>
      </c>
      <c r="G23" s="4">
        <v>6</v>
      </c>
      <c r="H23" s="11">
        <v>568.6</v>
      </c>
      <c r="I23" s="55" t="s">
        <v>20</v>
      </c>
      <c r="J23" s="19" t="s">
        <v>99</v>
      </c>
      <c r="K23" s="26">
        <v>0.02</v>
      </c>
      <c r="L23" s="26">
        <v>1.35380952380952E-2</v>
      </c>
      <c r="M23" s="3"/>
      <c r="N23">
        <v>200</v>
      </c>
      <c r="O23" s="51">
        <f t="shared" si="21"/>
        <v>28000</v>
      </c>
      <c r="Q23">
        <v>300</v>
      </c>
      <c r="R23" s="58">
        <v>12</v>
      </c>
      <c r="S23" s="57">
        <v>140</v>
      </c>
      <c r="T23" s="59">
        <f t="shared" si="22"/>
        <v>42000</v>
      </c>
      <c r="W23" s="58">
        <f t="shared" si="23"/>
        <v>12</v>
      </c>
      <c r="X23" s="63">
        <v>2</v>
      </c>
      <c r="Y23" s="64">
        <v>75</v>
      </c>
      <c r="Z23" s="64">
        <v>18</v>
      </c>
      <c r="AA23" s="64"/>
      <c r="AB23" s="64">
        <v>300</v>
      </c>
      <c r="AC23" s="58">
        <f>SUM(Y23:AB23)</f>
        <v>393</v>
      </c>
      <c r="AD23" s="58">
        <f t="shared" si="24"/>
        <v>786</v>
      </c>
      <c r="AE23" s="58">
        <v>4</v>
      </c>
      <c r="AF23" s="58">
        <f t="shared" si="25"/>
        <v>3144</v>
      </c>
      <c r="AG23" s="59">
        <f t="shared" si="26"/>
        <v>440160</v>
      </c>
      <c r="AJ23" s="59">
        <f t="shared" si="27"/>
        <v>84000</v>
      </c>
      <c r="AK23" s="59">
        <f t="shared" si="28"/>
        <v>20160</v>
      </c>
      <c r="AL23" s="59">
        <f t="shared" si="29"/>
        <v>336000</v>
      </c>
    </row>
    <row r="24" spans="1:38">
      <c r="A24" s="5">
        <v>16</v>
      </c>
      <c r="B24" s="5" t="s">
        <v>111</v>
      </c>
      <c r="C24" s="4">
        <v>500</v>
      </c>
      <c r="D24" s="2">
        <v>75</v>
      </c>
      <c r="E24" s="2">
        <v>37500</v>
      </c>
      <c r="F24" s="5" t="s">
        <v>101</v>
      </c>
      <c r="G24" s="4">
        <v>0</v>
      </c>
      <c r="H24" s="2">
        <v>0</v>
      </c>
      <c r="I24" s="28" t="s">
        <v>104</v>
      </c>
      <c r="J24" s="29" t="s">
        <v>105</v>
      </c>
      <c r="K24" s="26">
        <v>0</v>
      </c>
      <c r="L24" s="26">
        <v>0</v>
      </c>
      <c r="M24" s="3"/>
      <c r="R24"/>
      <c r="W24" s="58">
        <v>12</v>
      </c>
      <c r="Y24"/>
      <c r="Z24"/>
      <c r="AA24"/>
      <c r="AB24"/>
      <c r="AD24"/>
      <c r="AE24"/>
      <c r="AF24"/>
    </row>
    <row r="25" spans="1:38">
      <c r="A25" s="5">
        <v>17</v>
      </c>
      <c r="B25" s="55" t="s">
        <v>112</v>
      </c>
      <c r="C25" s="4">
        <v>300</v>
      </c>
      <c r="D25" s="2">
        <v>75</v>
      </c>
      <c r="E25" s="2">
        <v>22500</v>
      </c>
      <c r="F25" s="5" t="s">
        <v>98</v>
      </c>
      <c r="G25" s="4">
        <v>0</v>
      </c>
      <c r="H25" s="11">
        <v>0</v>
      </c>
      <c r="I25" s="56" t="s">
        <v>104</v>
      </c>
      <c r="J25" s="29" t="s">
        <v>105</v>
      </c>
      <c r="K25" s="26">
        <v>0</v>
      </c>
      <c r="L25" s="26">
        <v>0</v>
      </c>
      <c r="M25" s="3"/>
      <c r="N25">
        <v>300</v>
      </c>
      <c r="O25" s="51">
        <f>N25*D25</f>
        <v>22500</v>
      </c>
      <c r="Q25">
        <v>200</v>
      </c>
      <c r="R25" s="58">
        <v>9</v>
      </c>
      <c r="S25" s="57">
        <v>75</v>
      </c>
      <c r="T25" s="59">
        <f>S25*Q25</f>
        <v>15000</v>
      </c>
      <c r="W25" s="58">
        <f>R25</f>
        <v>9</v>
      </c>
      <c r="X25" s="63">
        <v>4</v>
      </c>
      <c r="Y25" s="64">
        <v>75</v>
      </c>
      <c r="Z25" s="64"/>
      <c r="AA25" s="64"/>
      <c r="AB25" s="64">
        <v>300</v>
      </c>
      <c r="AC25" s="58">
        <f>SUM(Y25:AB25)</f>
        <v>375</v>
      </c>
      <c r="AD25" s="58">
        <f>(AC25*X25)</f>
        <v>1500</v>
      </c>
      <c r="AE25" s="58">
        <v>3</v>
      </c>
      <c r="AF25" s="58">
        <f>AE25*AD25</f>
        <v>4500</v>
      </c>
      <c r="AG25" s="59">
        <f>AF25*S25</f>
        <v>337500</v>
      </c>
      <c r="AJ25" s="59">
        <f>Y25*X25*AE25*S25</f>
        <v>67500</v>
      </c>
      <c r="AK25" s="59">
        <f>Z25*X25*AE25*S25</f>
        <v>0</v>
      </c>
      <c r="AL25" s="59">
        <f>AB25*AE25*X25*S25</f>
        <v>270000</v>
      </c>
    </row>
    <row r="26" spans="1:38">
      <c r="A26" s="5">
        <v>18</v>
      </c>
      <c r="B26" s="5" t="s">
        <v>113</v>
      </c>
      <c r="C26" s="4">
        <v>200</v>
      </c>
      <c r="D26" s="2">
        <v>75</v>
      </c>
      <c r="E26" s="2">
        <v>15000</v>
      </c>
      <c r="F26" s="5" t="s">
        <v>19</v>
      </c>
      <c r="G26" s="4">
        <v>0</v>
      </c>
      <c r="H26" s="2">
        <v>0</v>
      </c>
      <c r="I26" s="28" t="s">
        <v>104</v>
      </c>
      <c r="J26" s="29" t="s">
        <v>105</v>
      </c>
      <c r="K26" s="26">
        <v>0</v>
      </c>
      <c r="L26" s="26">
        <v>0</v>
      </c>
      <c r="M26" s="3"/>
      <c r="R26"/>
      <c r="W26" s="58">
        <v>12</v>
      </c>
      <c r="Y26"/>
      <c r="Z26"/>
      <c r="AA26"/>
      <c r="AB26"/>
      <c r="AD26"/>
      <c r="AE26"/>
      <c r="AF26"/>
    </row>
    <row r="27" spans="1:38">
      <c r="A27" s="5">
        <v>19</v>
      </c>
      <c r="B27" s="55" t="s">
        <v>61</v>
      </c>
      <c r="C27" s="4">
        <v>100</v>
      </c>
      <c r="D27" s="2">
        <v>550</v>
      </c>
      <c r="E27" s="2">
        <v>55000</v>
      </c>
      <c r="F27" s="5" t="s">
        <v>98</v>
      </c>
      <c r="G27" s="4">
        <v>46</v>
      </c>
      <c r="H27" s="11">
        <v>37922.879999999997</v>
      </c>
      <c r="I27" s="55" t="s">
        <v>11</v>
      </c>
      <c r="J27" s="19" t="s">
        <v>99</v>
      </c>
      <c r="K27" s="26">
        <v>0.46</v>
      </c>
      <c r="L27" s="26">
        <v>0.68950690909090895</v>
      </c>
      <c r="M27" s="3"/>
      <c r="N27">
        <v>50</v>
      </c>
      <c r="O27" s="51">
        <f t="shared" ref="O27:O32" si="30">N27*D27</f>
        <v>27500</v>
      </c>
      <c r="S27" s="2">
        <v>550</v>
      </c>
      <c r="T27" s="59">
        <f t="shared" ref="T27:T32" si="31">S27*Q27</f>
        <v>0</v>
      </c>
      <c r="U27" t="s">
        <v>100</v>
      </c>
      <c r="W27" s="58">
        <v>12</v>
      </c>
      <c r="X27" s="63">
        <v>1</v>
      </c>
      <c r="Y27" s="64">
        <v>75</v>
      </c>
      <c r="Z27" s="64">
        <v>18</v>
      </c>
      <c r="AA27" s="64"/>
      <c r="AB27" s="64"/>
      <c r="AC27" s="58">
        <f t="shared" ref="AC27:AC28" si="32">SUM(Y27:AB27)</f>
        <v>93</v>
      </c>
      <c r="AD27" s="58">
        <f t="shared" ref="AD27:AD32" si="33">(AC27*X27)</f>
        <v>93</v>
      </c>
      <c r="AE27" s="58">
        <v>2</v>
      </c>
      <c r="AF27" s="58">
        <f t="shared" ref="AF27:AF32" si="34">AE27*AD27</f>
        <v>186</v>
      </c>
      <c r="AG27" s="59">
        <f t="shared" ref="AG27:AG32" si="35">AF27*S27</f>
        <v>102300</v>
      </c>
      <c r="AJ27" s="59">
        <f t="shared" ref="AJ27:AJ32" si="36">Y27*X27*AE27*S27</f>
        <v>82500</v>
      </c>
      <c r="AK27" s="59">
        <f t="shared" ref="AK27:AK32" si="37">Z27*X27*AE27*S27</f>
        <v>19800</v>
      </c>
      <c r="AL27" s="59">
        <f t="shared" ref="AL27:AL32" si="38">AB27*AE27*X27*S27</f>
        <v>0</v>
      </c>
    </row>
    <row r="28" spans="1:38">
      <c r="A28" s="5">
        <v>20</v>
      </c>
      <c r="B28" s="55" t="s">
        <v>64</v>
      </c>
      <c r="C28" s="4">
        <v>100</v>
      </c>
      <c r="D28" s="2">
        <v>550</v>
      </c>
      <c r="E28" s="2">
        <v>55000</v>
      </c>
      <c r="F28" s="5" t="s">
        <v>98</v>
      </c>
      <c r="G28" s="4">
        <v>30</v>
      </c>
      <c r="H28" s="11">
        <v>21838.240000000002</v>
      </c>
      <c r="I28" s="55" t="s">
        <v>11</v>
      </c>
      <c r="J28" s="19" t="s">
        <v>99</v>
      </c>
      <c r="K28" s="26">
        <v>0.3</v>
      </c>
      <c r="L28" s="26">
        <v>0.39705890909090902</v>
      </c>
      <c r="M28" s="3"/>
      <c r="N28">
        <v>50</v>
      </c>
      <c r="O28" s="51">
        <f t="shared" si="30"/>
        <v>27500</v>
      </c>
      <c r="S28" s="2">
        <v>550</v>
      </c>
      <c r="T28" s="59">
        <f t="shared" si="31"/>
        <v>0</v>
      </c>
      <c r="U28" t="s">
        <v>100</v>
      </c>
      <c r="W28" s="58">
        <v>12</v>
      </c>
      <c r="X28" s="63">
        <v>1</v>
      </c>
      <c r="Y28" s="64">
        <v>75</v>
      </c>
      <c r="Z28" s="64">
        <v>18</v>
      </c>
      <c r="AA28" s="64"/>
      <c r="AB28" s="64"/>
      <c r="AC28" s="58">
        <f t="shared" si="32"/>
        <v>93</v>
      </c>
      <c r="AD28" s="58">
        <f t="shared" si="33"/>
        <v>93</v>
      </c>
      <c r="AE28" s="58">
        <v>2</v>
      </c>
      <c r="AF28" s="58">
        <f t="shared" si="34"/>
        <v>186</v>
      </c>
      <c r="AG28" s="59">
        <f t="shared" si="35"/>
        <v>102300</v>
      </c>
      <c r="AJ28" s="59">
        <f t="shared" si="36"/>
        <v>82500</v>
      </c>
      <c r="AK28" s="59">
        <f t="shared" si="37"/>
        <v>19800</v>
      </c>
      <c r="AL28" s="59">
        <f t="shared" si="38"/>
        <v>0</v>
      </c>
    </row>
    <row r="29" spans="1:38">
      <c r="A29" s="5">
        <v>21</v>
      </c>
      <c r="B29" s="55" t="s">
        <v>66</v>
      </c>
      <c r="C29" s="4">
        <v>200</v>
      </c>
      <c r="D29" s="2">
        <v>265</v>
      </c>
      <c r="E29" s="2">
        <v>53000</v>
      </c>
      <c r="F29" s="5" t="s">
        <v>98</v>
      </c>
      <c r="G29" s="4">
        <v>0</v>
      </c>
      <c r="H29" s="11">
        <v>0</v>
      </c>
      <c r="I29" s="56" t="s">
        <v>104</v>
      </c>
      <c r="J29" s="29" t="s">
        <v>105</v>
      </c>
      <c r="K29" s="26">
        <v>0</v>
      </c>
      <c r="L29" s="26">
        <v>0</v>
      </c>
      <c r="M29" s="3"/>
      <c r="N29">
        <v>100</v>
      </c>
      <c r="O29" s="51">
        <f t="shared" si="30"/>
        <v>26500</v>
      </c>
      <c r="S29" s="2">
        <v>265</v>
      </c>
      <c r="T29" s="59">
        <f t="shared" si="31"/>
        <v>0</v>
      </c>
      <c r="W29" s="58">
        <v>3</v>
      </c>
      <c r="X29" s="63">
        <v>1</v>
      </c>
      <c r="Y29" s="64">
        <v>75</v>
      </c>
      <c r="Z29" s="64">
        <v>18</v>
      </c>
      <c r="AA29" s="64"/>
      <c r="AB29" s="64"/>
      <c r="AC29" s="58">
        <f t="shared" ref="AC29" si="39">SUM(Y29:AB29)</f>
        <v>93</v>
      </c>
      <c r="AD29" s="58">
        <f t="shared" si="33"/>
        <v>93</v>
      </c>
      <c r="AE29" s="58">
        <v>2</v>
      </c>
      <c r="AF29" s="58">
        <f t="shared" si="34"/>
        <v>186</v>
      </c>
      <c r="AG29" s="59">
        <f t="shared" si="35"/>
        <v>49290</v>
      </c>
      <c r="AJ29" s="59">
        <f t="shared" si="36"/>
        <v>39750</v>
      </c>
      <c r="AK29" s="59">
        <f t="shared" si="37"/>
        <v>9540</v>
      </c>
      <c r="AL29" s="59">
        <f t="shared" si="38"/>
        <v>0</v>
      </c>
    </row>
    <row r="30" spans="1:38" ht="15">
      <c r="A30" s="5">
        <v>22</v>
      </c>
      <c r="B30" s="55" t="s">
        <v>67</v>
      </c>
      <c r="C30" s="4">
        <v>50</v>
      </c>
      <c r="D30" s="2">
        <v>350</v>
      </c>
      <c r="E30" s="2">
        <v>17500</v>
      </c>
      <c r="F30" s="5" t="s">
        <v>98</v>
      </c>
      <c r="G30" s="4">
        <v>0</v>
      </c>
      <c r="H30" s="11">
        <v>0</v>
      </c>
      <c r="I30" s="56" t="s">
        <v>104</v>
      </c>
      <c r="J30" s="29" t="s">
        <v>105</v>
      </c>
      <c r="K30" s="26">
        <v>0</v>
      </c>
      <c r="L30" s="26">
        <v>0</v>
      </c>
      <c r="M30" s="3"/>
      <c r="N30">
        <v>50</v>
      </c>
      <c r="O30" s="51">
        <f t="shared" si="30"/>
        <v>17500</v>
      </c>
      <c r="Q30">
        <v>50</v>
      </c>
      <c r="R30" s="58">
        <v>3</v>
      </c>
      <c r="S30" s="57">
        <v>265</v>
      </c>
      <c r="T30" s="59">
        <f t="shared" si="31"/>
        <v>13250</v>
      </c>
      <c r="W30" s="67">
        <v>0</v>
      </c>
      <c r="X30" s="63">
        <v>0</v>
      </c>
      <c r="Y30" s="64">
        <v>0</v>
      </c>
      <c r="Z30" s="64">
        <v>0</v>
      </c>
      <c r="AA30" s="64"/>
      <c r="AB30" s="64"/>
      <c r="AC30" s="58">
        <f t="shared" ref="AC30" si="40">SUM(Y30:AB30)</f>
        <v>0</v>
      </c>
      <c r="AD30" s="58">
        <f t="shared" si="33"/>
        <v>0</v>
      </c>
      <c r="AE30" s="58">
        <v>2</v>
      </c>
      <c r="AF30" s="58">
        <f t="shared" si="34"/>
        <v>0</v>
      </c>
      <c r="AG30" s="59">
        <f t="shared" si="35"/>
        <v>0</v>
      </c>
      <c r="AJ30" s="59">
        <f t="shared" si="36"/>
        <v>0</v>
      </c>
      <c r="AK30" s="59">
        <f t="shared" si="37"/>
        <v>0</v>
      </c>
      <c r="AL30" s="59">
        <f t="shared" si="38"/>
        <v>0</v>
      </c>
    </row>
    <row r="31" spans="1:38">
      <c r="A31" s="5">
        <v>23</v>
      </c>
      <c r="B31" s="55" t="s">
        <v>68</v>
      </c>
      <c r="C31" s="4">
        <v>60</v>
      </c>
      <c r="D31" s="2">
        <v>440</v>
      </c>
      <c r="E31" s="2">
        <v>26400</v>
      </c>
      <c r="F31" s="5" t="s">
        <v>98</v>
      </c>
      <c r="G31" s="4">
        <v>0</v>
      </c>
      <c r="H31" s="11">
        <v>0</v>
      </c>
      <c r="I31" s="56" t="s">
        <v>104</v>
      </c>
      <c r="J31" s="29" t="s">
        <v>105</v>
      </c>
      <c r="K31" s="26">
        <v>0</v>
      </c>
      <c r="L31" s="26">
        <v>0</v>
      </c>
      <c r="M31" s="3"/>
      <c r="N31">
        <v>50</v>
      </c>
      <c r="O31" s="51">
        <f t="shared" si="30"/>
        <v>22000</v>
      </c>
      <c r="Q31">
        <v>60</v>
      </c>
      <c r="R31" s="58">
        <v>12</v>
      </c>
      <c r="S31" s="57">
        <v>440</v>
      </c>
      <c r="T31" s="59">
        <f t="shared" si="31"/>
        <v>26400</v>
      </c>
      <c r="W31" s="58">
        <f t="shared" ref="W31:W32" si="41">R31</f>
        <v>12</v>
      </c>
      <c r="X31" s="63">
        <v>1</v>
      </c>
      <c r="Y31" s="64">
        <v>75</v>
      </c>
      <c r="Z31" s="64">
        <v>18</v>
      </c>
      <c r="AA31" s="64"/>
      <c r="AB31" s="64"/>
      <c r="AC31" s="58">
        <f t="shared" ref="AC31" si="42">SUM(Y31:AB31)</f>
        <v>93</v>
      </c>
      <c r="AD31" s="58">
        <f t="shared" si="33"/>
        <v>93</v>
      </c>
      <c r="AE31" s="58">
        <v>2</v>
      </c>
      <c r="AF31" s="58">
        <f t="shared" si="34"/>
        <v>186</v>
      </c>
      <c r="AG31" s="59">
        <f t="shared" si="35"/>
        <v>81840</v>
      </c>
      <c r="AJ31" s="59">
        <f t="shared" si="36"/>
        <v>66000</v>
      </c>
      <c r="AK31" s="59">
        <f t="shared" si="37"/>
        <v>15840</v>
      </c>
      <c r="AL31" s="59">
        <f t="shared" si="38"/>
        <v>0</v>
      </c>
    </row>
    <row r="32" spans="1:38">
      <c r="A32" s="5">
        <v>24</v>
      </c>
      <c r="B32" s="55" t="s">
        <v>69</v>
      </c>
      <c r="C32" s="4">
        <v>350</v>
      </c>
      <c r="D32" s="2">
        <v>160</v>
      </c>
      <c r="E32" s="2">
        <v>56000</v>
      </c>
      <c r="F32" s="5" t="s">
        <v>98</v>
      </c>
      <c r="G32" s="4">
        <v>0</v>
      </c>
      <c r="H32" s="11">
        <v>0</v>
      </c>
      <c r="I32" s="56" t="s">
        <v>104</v>
      </c>
      <c r="J32" s="29" t="s">
        <v>105</v>
      </c>
      <c r="K32" s="26">
        <v>0</v>
      </c>
      <c r="L32" s="26">
        <v>0</v>
      </c>
      <c r="M32" s="3"/>
      <c r="N32">
        <v>50</v>
      </c>
      <c r="O32" s="51">
        <f t="shared" si="30"/>
        <v>8000</v>
      </c>
      <c r="Q32">
        <v>60</v>
      </c>
      <c r="R32" s="58">
        <v>4</v>
      </c>
      <c r="S32" s="57">
        <v>160</v>
      </c>
      <c r="T32" s="59">
        <f t="shared" si="31"/>
        <v>9600</v>
      </c>
      <c r="W32" s="58">
        <f t="shared" si="41"/>
        <v>4</v>
      </c>
      <c r="X32" s="63">
        <v>1</v>
      </c>
      <c r="Y32" s="64">
        <v>75</v>
      </c>
      <c r="Z32" s="64">
        <v>18</v>
      </c>
      <c r="AA32" s="64"/>
      <c r="AB32" s="64"/>
      <c r="AC32" s="58">
        <f t="shared" ref="AC32" si="43">SUM(Y32:AB32)</f>
        <v>93</v>
      </c>
      <c r="AD32" s="58">
        <f t="shared" si="33"/>
        <v>93</v>
      </c>
      <c r="AE32" s="58">
        <v>1.5</v>
      </c>
      <c r="AF32" s="58">
        <f t="shared" si="34"/>
        <v>139.5</v>
      </c>
      <c r="AG32" s="59">
        <f t="shared" si="35"/>
        <v>22320</v>
      </c>
      <c r="AJ32" s="59">
        <f t="shared" si="36"/>
        <v>18000</v>
      </c>
      <c r="AK32" s="59">
        <f t="shared" si="37"/>
        <v>4320</v>
      </c>
      <c r="AL32" s="59">
        <f t="shared" si="38"/>
        <v>0</v>
      </c>
    </row>
    <row r="33" spans="1:32">
      <c r="A33" s="5">
        <v>25</v>
      </c>
      <c r="B33" s="5" t="s">
        <v>70</v>
      </c>
      <c r="C33" s="14" t="s">
        <v>106</v>
      </c>
      <c r="D33" s="14" t="s">
        <v>106</v>
      </c>
      <c r="E33" s="2">
        <v>0</v>
      </c>
      <c r="F33" s="28" t="s">
        <v>106</v>
      </c>
      <c r="G33" s="4">
        <v>0</v>
      </c>
      <c r="H33" s="2">
        <v>0</v>
      </c>
      <c r="I33" s="28" t="s">
        <v>104</v>
      </c>
      <c r="J33" s="29" t="s">
        <v>107</v>
      </c>
      <c r="K33" s="14" t="s">
        <v>106</v>
      </c>
      <c r="L33" s="14" t="s">
        <v>106</v>
      </c>
      <c r="M33" s="3"/>
      <c r="R33"/>
      <c r="Y33"/>
      <c r="Z33"/>
      <c r="AA33"/>
      <c r="AB33"/>
      <c r="AD33"/>
      <c r="AE33"/>
      <c r="AF33"/>
    </row>
    <row r="34" spans="1:32">
      <c r="A34" s="5">
        <v>26</v>
      </c>
      <c r="B34" s="5" t="s">
        <v>72</v>
      </c>
      <c r="C34" s="14" t="s">
        <v>106</v>
      </c>
      <c r="D34" s="14" t="s">
        <v>106</v>
      </c>
      <c r="E34" s="14" t="s">
        <v>106</v>
      </c>
      <c r="F34" s="28" t="s">
        <v>106</v>
      </c>
      <c r="G34" s="4">
        <v>0</v>
      </c>
      <c r="H34" s="2">
        <v>0</v>
      </c>
      <c r="I34" s="28" t="s">
        <v>104</v>
      </c>
      <c r="J34" s="29" t="s">
        <v>107</v>
      </c>
      <c r="K34" s="14" t="s">
        <v>106</v>
      </c>
      <c r="L34" s="14" t="s">
        <v>106</v>
      </c>
      <c r="M34" s="3"/>
      <c r="R34"/>
      <c r="Y34"/>
      <c r="Z34"/>
      <c r="AA34"/>
      <c r="AB34"/>
      <c r="AD34"/>
      <c r="AE34"/>
      <c r="AF34"/>
    </row>
    <row r="35" spans="1:32">
      <c r="A35" s="5">
        <v>27</v>
      </c>
      <c r="B35" s="5" t="s">
        <v>73</v>
      </c>
      <c r="C35" s="4">
        <v>300</v>
      </c>
      <c r="D35" s="2">
        <v>65</v>
      </c>
      <c r="E35" s="2">
        <v>19500</v>
      </c>
      <c r="F35" s="5" t="s">
        <v>101</v>
      </c>
      <c r="G35" s="4">
        <v>7</v>
      </c>
      <c r="H35" s="2">
        <v>406.05</v>
      </c>
      <c r="I35" s="5" t="s">
        <v>20</v>
      </c>
      <c r="J35" s="19" t="s">
        <v>99</v>
      </c>
      <c r="K35" s="26">
        <v>2.33333333333333E-2</v>
      </c>
      <c r="L35" s="26">
        <v>2.0823076923076899E-2</v>
      </c>
      <c r="M35" s="3"/>
      <c r="R35"/>
      <c r="Y35"/>
      <c r="Z35"/>
      <c r="AA35"/>
      <c r="AB35"/>
      <c r="AD35"/>
      <c r="AE35"/>
      <c r="AF35"/>
    </row>
    <row r="36" spans="1:32">
      <c r="A36" s="5">
        <v>28</v>
      </c>
      <c r="B36" s="5" t="s">
        <v>75</v>
      </c>
      <c r="C36" s="4">
        <v>100</v>
      </c>
      <c r="D36" s="2">
        <v>75</v>
      </c>
      <c r="E36" s="2">
        <v>7500</v>
      </c>
      <c r="F36" s="5" t="s">
        <v>19</v>
      </c>
      <c r="G36" s="4">
        <v>2</v>
      </c>
      <c r="H36" s="2">
        <v>0.04</v>
      </c>
      <c r="I36" s="5" t="s">
        <v>114</v>
      </c>
      <c r="J36" s="19" t="s">
        <v>99</v>
      </c>
      <c r="K36" s="26">
        <v>0.02</v>
      </c>
      <c r="L36" s="26">
        <v>5.3333333333333303E-6</v>
      </c>
      <c r="M36" s="3" t="s">
        <v>115</v>
      </c>
      <c r="R36"/>
      <c r="Y36"/>
      <c r="Z36"/>
      <c r="AA36"/>
      <c r="AB36"/>
      <c r="AD36"/>
      <c r="AE36"/>
      <c r="AF36"/>
    </row>
    <row r="37" spans="1:32">
      <c r="B37"/>
      <c r="I37"/>
      <c r="O37" s="51">
        <f>N37*D37</f>
        <v>0</v>
      </c>
      <c r="R37"/>
      <c r="Y37"/>
      <c r="Z37"/>
      <c r="AA37"/>
      <c r="AB37"/>
      <c r="AD37"/>
      <c r="AE37"/>
      <c r="AF37"/>
    </row>
    <row r="38" spans="1:32">
      <c r="A38" s="10"/>
      <c r="B38" s="13" t="s">
        <v>116</v>
      </c>
      <c r="C38" s="8">
        <v>16380</v>
      </c>
      <c r="D38" s="10"/>
      <c r="E38" s="6">
        <v>1434906</v>
      </c>
      <c r="F38" s="10"/>
      <c r="G38" s="8">
        <v>8271</v>
      </c>
      <c r="H38" s="6">
        <v>672404.4</v>
      </c>
      <c r="I38" s="10"/>
      <c r="J38" s="10"/>
      <c r="K38" s="10"/>
      <c r="L38" s="30">
        <v>0.46860519086267699</v>
      </c>
      <c r="M38" s="10"/>
      <c r="N38">
        <f>SUBTOTAL(9,N9:N37)</f>
        <v>3950</v>
      </c>
      <c r="O38">
        <f>SUBTOTAL(9,O9:O37)</f>
        <v>459500</v>
      </c>
      <c r="R38"/>
      <c r="Y38"/>
      <c r="Z38"/>
      <c r="AA38"/>
      <c r="AB38"/>
      <c r="AD38"/>
      <c r="AE38"/>
      <c r="AF38"/>
    </row>
    <row r="39" spans="1:32">
      <c r="A39" s="10"/>
      <c r="B39" s="13" t="s">
        <v>117</v>
      </c>
      <c r="C39" s="8">
        <v>16380</v>
      </c>
      <c r="D39" s="10"/>
      <c r="E39" s="6">
        <v>1434906</v>
      </c>
      <c r="F39" s="10"/>
      <c r="G39" s="8">
        <v>8220</v>
      </c>
      <c r="H39" s="6">
        <v>667610.16</v>
      </c>
      <c r="I39" s="10"/>
      <c r="J39" s="10"/>
      <c r="K39" s="30">
        <v>0.50183150183150205</v>
      </c>
      <c r="L39" s="30">
        <v>0.46526403820180601</v>
      </c>
      <c r="M39" s="10"/>
      <c r="R39"/>
      <c r="Y39"/>
      <c r="Z39"/>
      <c r="AA39"/>
      <c r="AB39"/>
      <c r="AD39"/>
      <c r="AE39"/>
      <c r="AF39"/>
    </row>
    <row r="40" spans="1:32" ht="15">
      <c r="C40" s="68"/>
      <c r="N40" s="61">
        <f>SUBTOTAL(9,N9:N38)</f>
        <v>3950</v>
      </c>
      <c r="O40" s="60">
        <f>SUBTOTAL(9,O9:O38)</f>
        <v>459500</v>
      </c>
      <c r="Q40" s="61">
        <f>SUBTOTAL(9,Q9:Q38)</f>
        <v>3320</v>
      </c>
      <c r="T40" s="60">
        <f>SUBTOTAL(9,T9:T38)</f>
        <v>356500</v>
      </c>
      <c r="W40" s="58"/>
      <c r="Y40"/>
      <c r="Z40"/>
      <c r="AA40"/>
      <c r="AB40"/>
      <c r="AD40"/>
      <c r="AE40"/>
      <c r="AF40"/>
    </row>
    <row r="41" spans="1:32" hidden="1">
      <c r="B41" s="55" t="s">
        <v>118</v>
      </c>
      <c r="Q41">
        <v>100</v>
      </c>
      <c r="R41" s="58">
        <v>12</v>
      </c>
      <c r="S41" s="57">
        <v>150</v>
      </c>
      <c r="T41" s="59">
        <f t="shared" ref="T41:T44" si="44">S41*Q41</f>
        <v>15000</v>
      </c>
      <c r="W41" s="58">
        <f>R42</f>
        <v>12</v>
      </c>
      <c r="Y41"/>
      <c r="Z41"/>
      <c r="AA41"/>
      <c r="AB41"/>
      <c r="AD41"/>
      <c r="AE41"/>
      <c r="AF41"/>
    </row>
    <row r="42" spans="1:32" hidden="1">
      <c r="B42" s="55">
        <v>841</v>
      </c>
      <c r="Q42">
        <v>100</v>
      </c>
      <c r="R42" s="58">
        <v>12</v>
      </c>
      <c r="S42" s="57">
        <v>140</v>
      </c>
      <c r="T42" s="59">
        <f t="shared" si="44"/>
        <v>14000</v>
      </c>
      <c r="W42" s="58">
        <f>R43</f>
        <v>12</v>
      </c>
      <c r="Y42"/>
      <c r="Z42"/>
      <c r="AA42"/>
      <c r="AB42"/>
      <c r="AD42"/>
      <c r="AE42"/>
      <c r="AF42"/>
    </row>
    <row r="43" spans="1:32" hidden="1">
      <c r="B43" s="55" t="s">
        <v>119</v>
      </c>
      <c r="Q43">
        <v>50</v>
      </c>
      <c r="R43" s="58">
        <v>12</v>
      </c>
      <c r="S43" s="57">
        <v>90</v>
      </c>
      <c r="T43" s="59">
        <f t="shared" si="44"/>
        <v>4500</v>
      </c>
      <c r="W43" s="58">
        <f>R44</f>
        <v>9</v>
      </c>
      <c r="Y43"/>
      <c r="Z43"/>
      <c r="AA43"/>
      <c r="AB43"/>
      <c r="AD43"/>
      <c r="AE43"/>
      <c r="AF43"/>
    </row>
    <row r="44" spans="1:32" hidden="1">
      <c r="B44" s="55" t="s">
        <v>120</v>
      </c>
      <c r="Q44">
        <v>100</v>
      </c>
      <c r="R44" s="58">
        <v>9</v>
      </c>
      <c r="S44" s="57">
        <v>162</v>
      </c>
      <c r="T44" s="59">
        <f t="shared" si="44"/>
        <v>16200</v>
      </c>
      <c r="Y44"/>
      <c r="Z44"/>
      <c r="AA44"/>
      <c r="AB44"/>
      <c r="AD44"/>
      <c r="AE44"/>
      <c r="AF44"/>
    </row>
    <row r="45" spans="1:32" ht="15" hidden="1">
      <c r="B45"/>
      <c r="Q45" s="61">
        <f>SUBTOTAL(9,Q9:Q44)</f>
        <v>3320</v>
      </c>
      <c r="S45" s="57"/>
      <c r="T45" s="60">
        <f>SUBTOTAL(9,T9:T44)</f>
        <v>356500</v>
      </c>
    </row>
    <row r="46" spans="1:32">
      <c r="S46" s="57"/>
    </row>
    <row r="49" spans="1:33" ht="15">
      <c r="AG49" s="60">
        <f>SUM(AG51:AG67)</f>
        <v>1436540</v>
      </c>
    </row>
    <row r="50" spans="1:33" ht="25.5">
      <c r="A50" s="25" t="s">
        <v>3</v>
      </c>
      <c r="B50" s="54" t="s">
        <v>80</v>
      </c>
      <c r="W50" s="25" t="s">
        <v>134</v>
      </c>
      <c r="X50" s="25" t="s">
        <v>125</v>
      </c>
      <c r="Y50" s="25" t="s">
        <v>121</v>
      </c>
      <c r="Z50" s="25" t="s">
        <v>122</v>
      </c>
      <c r="AA50" s="25" t="s">
        <v>123</v>
      </c>
      <c r="AB50" s="25" t="s">
        <v>124</v>
      </c>
      <c r="AC50" s="25" t="s">
        <v>126</v>
      </c>
      <c r="AD50" s="25" t="s">
        <v>127</v>
      </c>
      <c r="AE50" s="25" t="s">
        <v>133</v>
      </c>
      <c r="AF50" s="25" t="s">
        <v>135</v>
      </c>
      <c r="AG50" s="25" t="s">
        <v>128</v>
      </c>
    </row>
    <row r="51" spans="1:33">
      <c r="A51" s="5">
        <v>1</v>
      </c>
      <c r="B51" s="55" t="s">
        <v>10</v>
      </c>
      <c r="W51" s="58">
        <v>12</v>
      </c>
      <c r="X51" s="63">
        <v>4</v>
      </c>
      <c r="Y51" s="64">
        <v>20</v>
      </c>
      <c r="Z51" s="64">
        <v>20</v>
      </c>
      <c r="AA51" s="64"/>
      <c r="AB51" s="64">
        <v>40</v>
      </c>
      <c r="AC51" s="58">
        <v>80</v>
      </c>
      <c r="AD51" s="58">
        <v>320</v>
      </c>
      <c r="AE51" s="58">
        <v>4</v>
      </c>
      <c r="AF51" s="58">
        <v>1280</v>
      </c>
      <c r="AG51" s="59">
        <v>115200</v>
      </c>
    </row>
    <row r="52" spans="1:33">
      <c r="A52" s="5">
        <v>2</v>
      </c>
      <c r="B52" s="55" t="s">
        <v>24</v>
      </c>
      <c r="W52" s="58">
        <v>12</v>
      </c>
      <c r="X52" s="63">
        <v>3</v>
      </c>
      <c r="Y52" s="64">
        <v>50</v>
      </c>
      <c r="Z52" s="64">
        <v>10</v>
      </c>
      <c r="AA52" s="64"/>
      <c r="AB52" s="64">
        <v>80</v>
      </c>
      <c r="AC52" s="58">
        <v>140</v>
      </c>
      <c r="AD52" s="58">
        <v>420</v>
      </c>
      <c r="AE52" s="58">
        <v>4</v>
      </c>
      <c r="AF52" s="58">
        <v>1680</v>
      </c>
      <c r="AG52" s="59">
        <v>168000</v>
      </c>
    </row>
    <row r="53" spans="1:33">
      <c r="A53" s="5">
        <v>4</v>
      </c>
      <c r="B53" s="55" t="s">
        <v>33</v>
      </c>
      <c r="W53" s="58">
        <v>12</v>
      </c>
      <c r="X53" s="63">
        <v>3</v>
      </c>
      <c r="Y53" s="64">
        <v>30</v>
      </c>
      <c r="Z53" s="64">
        <v>10</v>
      </c>
      <c r="AA53" s="64"/>
      <c r="AB53" s="64"/>
      <c r="AC53" s="58">
        <v>40</v>
      </c>
      <c r="AD53" s="58">
        <v>120</v>
      </c>
      <c r="AE53" s="58">
        <v>4</v>
      </c>
      <c r="AF53" s="58">
        <v>480</v>
      </c>
      <c r="AG53" s="59">
        <v>19200</v>
      </c>
    </row>
    <row r="54" spans="1:33">
      <c r="A54" s="5">
        <v>5</v>
      </c>
      <c r="B54" s="55" t="s">
        <v>35</v>
      </c>
      <c r="W54" s="58">
        <v>12</v>
      </c>
      <c r="X54" s="63">
        <v>3</v>
      </c>
      <c r="Y54" s="64">
        <v>60</v>
      </c>
      <c r="Z54" s="64">
        <v>10</v>
      </c>
      <c r="AA54" s="64"/>
      <c r="AB54" s="64">
        <v>5</v>
      </c>
      <c r="AC54" s="58">
        <v>75</v>
      </c>
      <c r="AD54" s="58">
        <v>225</v>
      </c>
      <c r="AE54" s="58">
        <v>4</v>
      </c>
      <c r="AF54" s="58">
        <v>900</v>
      </c>
      <c r="AG54" s="59">
        <v>270000</v>
      </c>
    </row>
    <row r="55" spans="1:33">
      <c r="A55" s="5">
        <v>6</v>
      </c>
      <c r="B55" s="55" t="s">
        <v>37</v>
      </c>
      <c r="W55" s="58">
        <v>12</v>
      </c>
      <c r="X55" s="63">
        <v>3</v>
      </c>
      <c r="Y55" s="64">
        <v>80</v>
      </c>
      <c r="Z55" s="64">
        <v>10</v>
      </c>
      <c r="AA55" s="64"/>
      <c r="AB55" s="64">
        <v>50</v>
      </c>
      <c r="AC55" s="58">
        <v>140</v>
      </c>
      <c r="AD55" s="58">
        <v>420</v>
      </c>
      <c r="AE55" s="58">
        <v>4</v>
      </c>
      <c r="AF55" s="58">
        <v>1680</v>
      </c>
      <c r="AG55" s="59">
        <v>117600</v>
      </c>
    </row>
    <row r="56" spans="1:33">
      <c r="A56" s="5">
        <v>7</v>
      </c>
      <c r="B56" s="55" t="s">
        <v>40</v>
      </c>
      <c r="W56" s="58">
        <v>6</v>
      </c>
      <c r="X56" s="63">
        <v>3</v>
      </c>
      <c r="Y56" s="64">
        <v>80</v>
      </c>
      <c r="Z56" s="64">
        <v>10</v>
      </c>
      <c r="AA56" s="64"/>
      <c r="AB56" s="64">
        <v>50</v>
      </c>
      <c r="AC56" s="58">
        <v>140</v>
      </c>
      <c r="AD56" s="58">
        <v>420</v>
      </c>
      <c r="AE56" s="58">
        <v>2</v>
      </c>
      <c r="AF56" s="58">
        <v>840</v>
      </c>
      <c r="AG56" s="59">
        <v>67200</v>
      </c>
    </row>
    <row r="57" spans="1:33">
      <c r="A57" s="5">
        <v>8</v>
      </c>
      <c r="B57" s="55" t="s">
        <v>44</v>
      </c>
      <c r="W57" s="58">
        <v>10</v>
      </c>
      <c r="X57" s="63">
        <v>4</v>
      </c>
      <c r="Y57" s="64">
        <v>80</v>
      </c>
      <c r="Z57" s="64">
        <v>10</v>
      </c>
      <c r="AA57" s="64"/>
      <c r="AB57" s="64"/>
      <c r="AC57" s="58">
        <v>90</v>
      </c>
      <c r="AD57" s="58">
        <v>360</v>
      </c>
      <c r="AE57" s="58">
        <v>3</v>
      </c>
      <c r="AF57" s="58">
        <v>1080</v>
      </c>
      <c r="AG57" s="59">
        <v>280800</v>
      </c>
    </row>
    <row r="58" spans="1:33">
      <c r="A58" s="5">
        <v>11</v>
      </c>
      <c r="B58" s="55" t="s">
        <v>49</v>
      </c>
      <c r="W58" s="58">
        <v>12</v>
      </c>
      <c r="X58" s="63">
        <v>6</v>
      </c>
      <c r="Y58" s="64"/>
      <c r="Z58" s="64">
        <v>20</v>
      </c>
      <c r="AA58" s="64"/>
      <c r="AB58" s="64"/>
      <c r="AC58" s="58">
        <v>20</v>
      </c>
      <c r="AD58" s="58">
        <v>120</v>
      </c>
      <c r="AE58" s="58">
        <v>4</v>
      </c>
      <c r="AF58" s="58">
        <v>480</v>
      </c>
      <c r="AG58" s="59">
        <v>5040</v>
      </c>
    </row>
    <row r="59" spans="1:33">
      <c r="A59" s="5">
        <v>14</v>
      </c>
      <c r="B59" s="55" t="s">
        <v>110</v>
      </c>
      <c r="W59" s="58">
        <v>12</v>
      </c>
      <c r="X59" s="63">
        <v>1</v>
      </c>
      <c r="Y59" s="64">
        <v>80</v>
      </c>
      <c r="Z59" s="64">
        <v>20</v>
      </c>
      <c r="AA59" s="64"/>
      <c r="AB59" s="64">
        <v>100</v>
      </c>
      <c r="AC59" s="58">
        <v>200</v>
      </c>
      <c r="AD59" s="58">
        <v>200</v>
      </c>
      <c r="AE59" s="58">
        <v>4</v>
      </c>
      <c r="AF59" s="58">
        <v>800</v>
      </c>
      <c r="AG59" s="59">
        <v>56000</v>
      </c>
    </row>
    <row r="60" spans="1:33">
      <c r="A60" s="5">
        <v>15</v>
      </c>
      <c r="B60" s="55" t="s">
        <v>57</v>
      </c>
      <c r="W60" s="58">
        <v>12</v>
      </c>
      <c r="X60" s="63">
        <v>2</v>
      </c>
      <c r="Y60" s="64">
        <v>80</v>
      </c>
      <c r="Z60" s="64">
        <v>20</v>
      </c>
      <c r="AA60" s="64"/>
      <c r="AB60" s="64">
        <v>50</v>
      </c>
      <c r="AC60" s="58">
        <v>150</v>
      </c>
      <c r="AD60" s="58">
        <v>300</v>
      </c>
      <c r="AE60" s="58">
        <v>4</v>
      </c>
      <c r="AF60" s="58">
        <v>1200</v>
      </c>
      <c r="AG60" s="59">
        <v>168000</v>
      </c>
    </row>
    <row r="61" spans="1:33">
      <c r="A61" s="5">
        <v>17</v>
      </c>
      <c r="B61" s="55" t="s">
        <v>112</v>
      </c>
      <c r="W61" s="58">
        <v>9</v>
      </c>
      <c r="X61" s="63">
        <v>4</v>
      </c>
      <c r="Y61" s="64">
        <v>10</v>
      </c>
      <c r="Z61" s="64"/>
      <c r="AA61" s="64"/>
      <c r="AB61" s="64">
        <v>50</v>
      </c>
      <c r="AC61" s="58">
        <v>60</v>
      </c>
      <c r="AD61" s="58">
        <v>240</v>
      </c>
      <c r="AE61" s="58">
        <v>3</v>
      </c>
      <c r="AF61" s="58">
        <v>720</v>
      </c>
      <c r="AG61" s="59">
        <v>54000</v>
      </c>
    </row>
    <row r="62" spans="1:33">
      <c r="A62" s="5">
        <v>19</v>
      </c>
      <c r="B62" s="55" t="s">
        <v>61</v>
      </c>
      <c r="W62" s="58">
        <v>12</v>
      </c>
      <c r="X62" s="63">
        <v>1</v>
      </c>
      <c r="Y62" s="64">
        <v>20</v>
      </c>
      <c r="Z62" s="64">
        <v>10</v>
      </c>
      <c r="AA62" s="64"/>
      <c r="AB62" s="64"/>
      <c r="AC62" s="58">
        <v>30</v>
      </c>
      <c r="AD62" s="58">
        <v>30</v>
      </c>
      <c r="AE62" s="58">
        <v>2</v>
      </c>
      <c r="AF62" s="58">
        <v>60</v>
      </c>
      <c r="AG62" s="59">
        <v>33000</v>
      </c>
    </row>
    <row r="63" spans="1:33">
      <c r="A63" s="5">
        <v>20</v>
      </c>
      <c r="B63" s="55" t="s">
        <v>64</v>
      </c>
      <c r="W63" s="58">
        <v>12</v>
      </c>
      <c r="X63" s="63">
        <v>1</v>
      </c>
      <c r="Y63" s="64">
        <v>20</v>
      </c>
      <c r="Z63" s="64">
        <v>10</v>
      </c>
      <c r="AA63" s="64"/>
      <c r="AB63" s="64"/>
      <c r="AC63" s="58">
        <v>30</v>
      </c>
      <c r="AD63" s="58">
        <v>30</v>
      </c>
      <c r="AE63" s="58">
        <v>2</v>
      </c>
      <c r="AF63" s="58">
        <v>60</v>
      </c>
      <c r="AG63" s="59">
        <v>33000</v>
      </c>
    </row>
    <row r="64" spans="1:33">
      <c r="A64" s="5">
        <v>21</v>
      </c>
      <c r="B64" s="55" t="s">
        <v>66</v>
      </c>
      <c r="W64" s="58">
        <v>3</v>
      </c>
      <c r="X64" s="63">
        <v>1</v>
      </c>
      <c r="Y64" s="64">
        <v>20</v>
      </c>
      <c r="Z64" s="64">
        <v>10</v>
      </c>
      <c r="AA64" s="64"/>
      <c r="AB64" s="64"/>
      <c r="AC64" s="58">
        <v>30</v>
      </c>
      <c r="AD64" s="58">
        <v>30</v>
      </c>
      <c r="AE64" s="58">
        <v>2</v>
      </c>
      <c r="AF64" s="58">
        <v>60</v>
      </c>
      <c r="AG64" s="59">
        <v>15900</v>
      </c>
    </row>
    <row r="65" spans="1:33" ht="15">
      <c r="A65" s="5">
        <v>22</v>
      </c>
      <c r="B65" s="55" t="s">
        <v>67</v>
      </c>
      <c r="W65" s="67">
        <v>0</v>
      </c>
      <c r="X65" s="63">
        <v>0</v>
      </c>
      <c r="Y65" s="64">
        <v>0</v>
      </c>
      <c r="Z65" s="64">
        <v>0</v>
      </c>
      <c r="AA65" s="64"/>
      <c r="AB65" s="64"/>
      <c r="AC65" s="58">
        <v>0</v>
      </c>
      <c r="AD65" s="58">
        <v>0</v>
      </c>
      <c r="AE65" s="58">
        <v>2</v>
      </c>
      <c r="AF65" s="58">
        <v>0</v>
      </c>
      <c r="AG65" s="59">
        <v>0</v>
      </c>
    </row>
    <row r="66" spans="1:33">
      <c r="A66" s="5">
        <v>23</v>
      </c>
      <c r="B66" s="55" t="s">
        <v>68</v>
      </c>
      <c r="W66" s="58">
        <v>12</v>
      </c>
      <c r="X66" s="63">
        <v>1</v>
      </c>
      <c r="Y66" s="64">
        <v>20</v>
      </c>
      <c r="Z66" s="64">
        <v>10</v>
      </c>
      <c r="AA66" s="64"/>
      <c r="AB66" s="64"/>
      <c r="AC66" s="58">
        <v>30</v>
      </c>
      <c r="AD66" s="58">
        <v>30</v>
      </c>
      <c r="AE66" s="58">
        <v>2</v>
      </c>
      <c r="AF66" s="58">
        <v>60</v>
      </c>
      <c r="AG66" s="59">
        <v>26400</v>
      </c>
    </row>
    <row r="67" spans="1:33">
      <c r="A67" s="5">
        <v>24</v>
      </c>
      <c r="B67" s="55" t="s">
        <v>69</v>
      </c>
      <c r="W67" s="58">
        <v>4</v>
      </c>
      <c r="X67" s="63">
        <v>1</v>
      </c>
      <c r="Y67" s="64">
        <v>20</v>
      </c>
      <c r="Z67" s="64">
        <v>10</v>
      </c>
      <c r="AA67" s="64"/>
      <c r="AB67" s="64"/>
      <c r="AC67" s="58">
        <v>30</v>
      </c>
      <c r="AD67" s="58">
        <v>30</v>
      </c>
      <c r="AE67" s="58">
        <v>1.5</v>
      </c>
      <c r="AF67" s="58">
        <v>45</v>
      </c>
      <c r="AG67" s="59">
        <v>7200</v>
      </c>
    </row>
  </sheetData>
  <autoFilter ref="A8:M39" xr:uid="{00000000-0001-0000-0100-000000000000}">
    <filterColumn colId="5">
      <filters>
        <filter val="מכוני אורטופדיה"/>
      </filters>
    </filterColumn>
  </autoFilter>
  <mergeCells count="1">
    <mergeCell ref="A6:L6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482A-E12A-4422-9CE1-4D3E9EC76261}">
  <dimension ref="A1:AE82"/>
  <sheetViews>
    <sheetView tabSelected="1" zoomScale="85" zoomScaleNormal="85" workbookViewId="0">
      <pane xSplit="2" ySplit="10" topLeftCell="C11" activePane="bottomRight" state="frozen"/>
      <selection pane="topRight" activeCell="C1" sqref="C1"/>
      <selection pane="bottomLeft" activeCell="A6" sqref="A6"/>
      <selection pane="bottomRight" activeCell="Q30" sqref="Q30"/>
    </sheetView>
  </sheetViews>
  <sheetFormatPr defaultColWidth="8.625" defaultRowHeight="14.25"/>
  <cols>
    <col min="1" max="1" width="4" customWidth="1"/>
    <col min="2" max="2" width="16" style="53" customWidth="1"/>
    <col min="3" max="3" width="37.625" style="53" bestFit="1" customWidth="1"/>
    <col min="4" max="4" width="12" customWidth="1"/>
    <col min="5" max="5" width="18" hidden="1" customWidth="1"/>
    <col min="6" max="7" width="9.75" customWidth="1"/>
    <col min="9" max="9" width="10" bestFit="1" customWidth="1"/>
    <col min="10" max="10" width="11.875" bestFit="1" customWidth="1"/>
    <col min="11" max="13" width="10.5" style="58" customWidth="1"/>
    <col min="19" max="19" width="10" style="58" bestFit="1" customWidth="1"/>
    <col min="20" max="20" width="11.875" style="58" bestFit="1" customWidth="1"/>
    <col min="31" max="31" width="11.875" bestFit="1" customWidth="1"/>
  </cols>
  <sheetData>
    <row r="1" spans="1:31" ht="16.5">
      <c r="A1" s="23" t="s">
        <v>77</v>
      </c>
    </row>
    <row r="2" spans="1:31" ht="16.5">
      <c r="A2" s="23"/>
      <c r="F2" s="58" t="s">
        <v>129</v>
      </c>
      <c r="G2" s="73">
        <v>26</v>
      </c>
      <c r="H2" s="73">
        <v>2</v>
      </c>
      <c r="I2" s="73">
        <v>70</v>
      </c>
      <c r="J2" s="58">
        <f>SUM(G2:I2)</f>
        <v>98</v>
      </c>
      <c r="O2" s="58"/>
      <c r="P2" s="58"/>
      <c r="Q2" s="58"/>
      <c r="R2" s="58"/>
    </row>
    <row r="3" spans="1:31" ht="16.5">
      <c r="A3" s="23"/>
      <c r="F3" s="58" t="s">
        <v>130</v>
      </c>
      <c r="G3" s="73">
        <v>14</v>
      </c>
      <c r="H3" s="73">
        <v>1</v>
      </c>
      <c r="I3" s="73">
        <v>59</v>
      </c>
      <c r="J3" s="58">
        <f>SUM(G3:I3)</f>
        <v>74</v>
      </c>
      <c r="O3" s="58"/>
      <c r="P3" s="58"/>
      <c r="Q3" s="58"/>
      <c r="R3" s="58"/>
    </row>
    <row r="4" spans="1:31" ht="16.5">
      <c r="A4" s="23"/>
      <c r="F4" s="58" t="s">
        <v>132</v>
      </c>
      <c r="G4" s="73">
        <v>17</v>
      </c>
      <c r="H4" s="73">
        <v>5</v>
      </c>
      <c r="I4" s="73">
        <v>63</v>
      </c>
      <c r="J4" s="58">
        <f>SUM(G4:I4)</f>
        <v>85</v>
      </c>
      <c r="O4" s="58"/>
      <c r="P4" s="58"/>
      <c r="Q4" s="58"/>
      <c r="R4" s="58"/>
    </row>
    <row r="5" spans="1:31" ht="15">
      <c r="A5" s="24" t="s">
        <v>1</v>
      </c>
      <c r="B5" s="66">
        <v>46290</v>
      </c>
      <c r="C5" s="66"/>
      <c r="F5" s="58" t="s">
        <v>131</v>
      </c>
      <c r="G5" s="73">
        <v>27</v>
      </c>
      <c r="H5" s="73">
        <v>12</v>
      </c>
      <c r="I5" s="73">
        <v>211</v>
      </c>
      <c r="J5" s="58">
        <f>SUM(G5:I5)</f>
        <v>250</v>
      </c>
      <c r="O5" s="58"/>
      <c r="P5" s="58"/>
      <c r="Q5" s="58"/>
      <c r="R5" s="58"/>
    </row>
    <row r="6" spans="1:31" ht="43.35" hidden="1" customHeight="1">
      <c r="A6" s="71" t="s">
        <v>78</v>
      </c>
      <c r="B6" s="71"/>
      <c r="C6" s="71"/>
      <c r="D6" s="71"/>
      <c r="E6" s="71"/>
      <c r="S6"/>
      <c r="T6"/>
    </row>
    <row r="7" spans="1:31" ht="15">
      <c r="F7" s="65" t="s">
        <v>97</v>
      </c>
      <c r="G7" s="65">
        <f>SUBTOTAL(9,G2:G5)</f>
        <v>84</v>
      </c>
      <c r="H7" s="65">
        <f>SUBTOTAL(9,H2:H5)</f>
        <v>20</v>
      </c>
      <c r="I7" s="65">
        <f>SUBTOTAL(9,I2:I5)</f>
        <v>403</v>
      </c>
      <c r="J7" s="65">
        <f>SUM(G7:I7)</f>
        <v>507</v>
      </c>
      <c r="K7" s="96" t="s">
        <v>129</v>
      </c>
      <c r="O7" s="65"/>
      <c r="P7" s="65"/>
      <c r="Q7" s="65"/>
      <c r="R7" s="65"/>
      <c r="V7" s="96" t="s">
        <v>130</v>
      </c>
      <c r="W7" s="58"/>
      <c r="X7" s="58"/>
      <c r="Z7" s="65"/>
      <c r="AA7" s="65"/>
      <c r="AB7" s="65"/>
      <c r="AC7" s="65"/>
      <c r="AD7" s="58"/>
      <c r="AE7" s="58"/>
    </row>
    <row r="8" spans="1:31" ht="15">
      <c r="H8" s="58"/>
      <c r="I8" s="58"/>
      <c r="J8" s="58"/>
      <c r="K8" s="80">
        <v>0.9</v>
      </c>
      <c r="L8" s="80">
        <v>1</v>
      </c>
      <c r="M8" s="80">
        <v>0.85</v>
      </c>
      <c r="N8" s="65"/>
      <c r="O8" s="65"/>
      <c r="P8" s="65"/>
      <c r="Q8" s="65"/>
      <c r="R8" s="65"/>
      <c r="V8" s="80">
        <v>0.9</v>
      </c>
      <c r="W8" s="80">
        <v>1</v>
      </c>
      <c r="X8" s="80">
        <v>0.85</v>
      </c>
      <c r="Y8" s="65"/>
      <c r="Z8" s="65"/>
      <c r="AA8" s="65"/>
      <c r="AB8" s="65"/>
      <c r="AC8" s="65"/>
      <c r="AD8" s="58"/>
      <c r="AE8" s="58"/>
    </row>
    <row r="9" spans="1:31" ht="15">
      <c r="G9" s="76">
        <v>0.2</v>
      </c>
      <c r="H9" s="58"/>
      <c r="I9" s="58"/>
      <c r="J9" s="58"/>
      <c r="K9" s="65">
        <f>G2</f>
        <v>26</v>
      </c>
      <c r="L9" s="65">
        <f>H2</f>
        <v>2</v>
      </c>
      <c r="M9" s="65">
        <f>I2</f>
        <v>70</v>
      </c>
      <c r="N9" s="65"/>
      <c r="O9" s="65"/>
      <c r="P9" s="65"/>
      <c r="Q9" s="65"/>
      <c r="R9" s="65"/>
      <c r="S9" s="83">
        <f>SUM(S11:S30)</f>
        <v>18000</v>
      </c>
      <c r="T9" s="78">
        <f>SUM(T11:T30)</f>
        <v>1933402.4</v>
      </c>
      <c r="V9" s="65">
        <f>G3</f>
        <v>14</v>
      </c>
      <c r="W9" s="65">
        <f>H3</f>
        <v>1</v>
      </c>
      <c r="X9" s="65">
        <f>I3</f>
        <v>59</v>
      </c>
      <c r="Y9" s="65"/>
      <c r="Z9" s="65"/>
      <c r="AA9" s="65"/>
      <c r="AB9" s="65"/>
      <c r="AC9" s="65"/>
      <c r="AD9" s="83">
        <f>SUM(AD11:AD30)</f>
        <v>13739</v>
      </c>
      <c r="AE9" s="78">
        <f>SUM(AE11:AE30)</f>
        <v>1476534.48</v>
      </c>
    </row>
    <row r="10" spans="1:31" ht="25.5">
      <c r="A10" s="25" t="s">
        <v>3</v>
      </c>
      <c r="B10" s="54" t="s">
        <v>80</v>
      </c>
      <c r="C10" s="54"/>
      <c r="D10" s="25" t="s">
        <v>82</v>
      </c>
      <c r="E10" s="25" t="s">
        <v>83</v>
      </c>
      <c r="F10" s="25" t="s">
        <v>96</v>
      </c>
      <c r="G10" s="25" t="s">
        <v>163</v>
      </c>
      <c r="H10" s="25" t="s">
        <v>134</v>
      </c>
      <c r="I10" s="25" t="s">
        <v>144</v>
      </c>
      <c r="J10" s="58"/>
      <c r="K10" s="25" t="s">
        <v>121</v>
      </c>
      <c r="L10" s="25" t="s">
        <v>122</v>
      </c>
      <c r="M10" s="25" t="s">
        <v>124</v>
      </c>
      <c r="N10" s="84" t="s">
        <v>126</v>
      </c>
      <c r="O10" s="25" t="s">
        <v>164</v>
      </c>
      <c r="P10" s="25" t="s">
        <v>165</v>
      </c>
      <c r="Q10" s="25" t="s">
        <v>133</v>
      </c>
      <c r="R10" s="25" t="s">
        <v>97</v>
      </c>
      <c r="S10" s="84" t="s">
        <v>127</v>
      </c>
      <c r="T10" s="25" t="s">
        <v>166</v>
      </c>
      <c r="V10" s="25" t="s">
        <v>121</v>
      </c>
      <c r="W10" s="25" t="s">
        <v>122</v>
      </c>
      <c r="X10" s="25" t="s">
        <v>124</v>
      </c>
      <c r="Y10" s="84" t="s">
        <v>126</v>
      </c>
      <c r="Z10" s="25" t="s">
        <v>164</v>
      </c>
      <c r="AA10" s="25" t="s">
        <v>165</v>
      </c>
      <c r="AB10" s="25" t="s">
        <v>133</v>
      </c>
      <c r="AC10" s="25" t="s">
        <v>97</v>
      </c>
      <c r="AD10" s="84" t="s">
        <v>127</v>
      </c>
      <c r="AE10" s="25" t="s">
        <v>166</v>
      </c>
    </row>
    <row r="11" spans="1:31" ht="15">
      <c r="A11" s="5"/>
      <c r="B11" s="55" t="s">
        <v>10</v>
      </c>
      <c r="C11" s="75" t="s">
        <v>145</v>
      </c>
      <c r="D11" s="2">
        <v>90</v>
      </c>
      <c r="E11" s="2">
        <v>194400</v>
      </c>
      <c r="F11" s="57">
        <v>90</v>
      </c>
      <c r="G11" s="57">
        <f>F11*(100%-$G$9)</f>
        <v>72</v>
      </c>
      <c r="H11" s="58">
        <v>12</v>
      </c>
      <c r="I11" s="58">
        <v>3</v>
      </c>
      <c r="J11" s="58"/>
      <c r="K11" s="74">
        <f>ROUNDUP($K$9*$K$8,0)</f>
        <v>24</v>
      </c>
      <c r="L11" s="74">
        <v>2</v>
      </c>
      <c r="M11" s="74">
        <f>ROUNDUP($M$9*$M$8,0)</f>
        <v>60</v>
      </c>
      <c r="N11" s="85">
        <f>SUM(K11:M11)</f>
        <v>86</v>
      </c>
      <c r="O11" s="63">
        <v>6</v>
      </c>
      <c r="P11" s="58">
        <v>4</v>
      </c>
      <c r="Q11" s="58">
        <v>3</v>
      </c>
      <c r="R11" s="58">
        <f>O11+(P11*Q11)</f>
        <v>18</v>
      </c>
      <c r="S11" s="95">
        <f>R11*N11</f>
        <v>1548</v>
      </c>
      <c r="T11" s="78">
        <f>S11*$G11</f>
        <v>111456</v>
      </c>
      <c r="V11" s="74">
        <f>ROUNDUP($V$9*$V$8,0)</f>
        <v>13</v>
      </c>
      <c r="W11" s="74">
        <v>1</v>
      </c>
      <c r="X11" s="74">
        <f>ROUNDUP($X$9*$X$8,0)</f>
        <v>51</v>
      </c>
      <c r="Y11" s="85">
        <f>SUM(V11:X11)</f>
        <v>65</v>
      </c>
      <c r="Z11" s="63">
        <v>6</v>
      </c>
      <c r="AA11" s="58">
        <v>4</v>
      </c>
      <c r="AB11" s="58">
        <v>3</v>
      </c>
      <c r="AC11" s="58">
        <f>Z11+(AA11*AB11)</f>
        <v>18</v>
      </c>
      <c r="AD11" s="95">
        <f>AC11*Y11</f>
        <v>1170</v>
      </c>
      <c r="AE11" s="78">
        <f>AD11*$G11</f>
        <v>84240</v>
      </c>
    </row>
    <row r="12" spans="1:31" ht="15">
      <c r="A12" s="5"/>
      <c r="B12" s="55" t="s">
        <v>24</v>
      </c>
      <c r="C12" s="75" t="s">
        <v>147</v>
      </c>
      <c r="D12" s="2">
        <v>100</v>
      </c>
      <c r="E12" s="2">
        <v>288000</v>
      </c>
      <c r="F12" s="57">
        <v>100</v>
      </c>
      <c r="G12" s="57">
        <f t="shared" ref="G12:G30" si="0">F12*(100%-$G$9)</f>
        <v>80</v>
      </c>
      <c r="H12" s="58">
        <v>12</v>
      </c>
      <c r="I12" s="58">
        <v>3</v>
      </c>
      <c r="J12" s="58"/>
      <c r="K12" s="74">
        <f t="shared" ref="K12:K17" si="1">ROUNDUP($K$9*$K$8,0)</f>
        <v>24</v>
      </c>
      <c r="L12" s="74">
        <v>2</v>
      </c>
      <c r="M12" s="74">
        <f t="shared" ref="M12:M22" si="2">ROUNDUP($M$9*$M$8,0)</f>
        <v>60</v>
      </c>
      <c r="N12" s="85">
        <f t="shared" ref="N12:N30" si="3">SUM(K12:M12)</f>
        <v>86</v>
      </c>
      <c r="O12" s="63">
        <v>6</v>
      </c>
      <c r="P12" s="58">
        <v>3</v>
      </c>
      <c r="Q12" s="58">
        <v>3</v>
      </c>
      <c r="R12" s="58">
        <f t="shared" ref="R12:R30" si="4">O12+(P12*Q12)</f>
        <v>15</v>
      </c>
      <c r="S12" s="95">
        <f t="shared" ref="S12:S30" si="5">R12*N12</f>
        <v>1290</v>
      </c>
      <c r="T12" s="78">
        <f t="shared" ref="T12:T30" si="6">S12*$G12</f>
        <v>103200</v>
      </c>
      <c r="V12" s="74">
        <f t="shared" ref="V12:V17" si="7">ROUNDUP($V$9*$V$8,0)</f>
        <v>13</v>
      </c>
      <c r="W12" s="74">
        <v>1</v>
      </c>
      <c r="X12" s="74">
        <f t="shared" ref="X12:X17" si="8">ROUNDUP($X$9*$X$8,0)</f>
        <v>51</v>
      </c>
      <c r="Y12" s="85">
        <f t="shared" ref="Y12:Y30" si="9">SUM(V12:X12)</f>
        <v>65</v>
      </c>
      <c r="Z12" s="63">
        <v>6</v>
      </c>
      <c r="AA12" s="58">
        <v>3</v>
      </c>
      <c r="AB12" s="58">
        <v>3</v>
      </c>
      <c r="AC12" s="58">
        <f t="shared" ref="AC12:AC30" si="10">Z12+(AA12*AB12)</f>
        <v>15</v>
      </c>
      <c r="AD12" s="95">
        <f t="shared" ref="AD12:AD30" si="11">AC12*Y12</f>
        <v>975</v>
      </c>
      <c r="AE12" s="78">
        <f t="shared" ref="AE12:AE30" si="12">AD12*$G12</f>
        <v>78000</v>
      </c>
    </row>
    <row r="13" spans="1:31" ht="15">
      <c r="A13" s="5"/>
      <c r="B13" s="55" t="s">
        <v>33</v>
      </c>
      <c r="C13" s="75" t="s">
        <v>146</v>
      </c>
      <c r="D13" s="2">
        <v>70</v>
      </c>
      <c r="E13" s="2">
        <v>70000</v>
      </c>
      <c r="F13" s="57">
        <v>40</v>
      </c>
      <c r="G13" s="57">
        <f t="shared" si="0"/>
        <v>32</v>
      </c>
      <c r="H13" s="58">
        <v>12</v>
      </c>
      <c r="I13" s="58">
        <v>1</v>
      </c>
      <c r="J13" s="58"/>
      <c r="K13" s="74">
        <f t="shared" si="1"/>
        <v>24</v>
      </c>
      <c r="L13" s="74">
        <v>2</v>
      </c>
      <c r="M13" s="74">
        <f t="shared" si="2"/>
        <v>60</v>
      </c>
      <c r="N13" s="85">
        <f t="shared" si="3"/>
        <v>86</v>
      </c>
      <c r="O13" s="63">
        <v>6</v>
      </c>
      <c r="P13" s="58">
        <v>4</v>
      </c>
      <c r="Q13" s="58">
        <v>3</v>
      </c>
      <c r="R13" s="58">
        <f t="shared" si="4"/>
        <v>18</v>
      </c>
      <c r="S13" s="95">
        <f t="shared" si="5"/>
        <v>1548</v>
      </c>
      <c r="T13" s="78">
        <f t="shared" si="6"/>
        <v>49536</v>
      </c>
      <c r="V13" s="74">
        <f t="shared" si="7"/>
        <v>13</v>
      </c>
      <c r="W13" s="74">
        <v>1</v>
      </c>
      <c r="X13" s="74">
        <f t="shared" si="8"/>
        <v>51</v>
      </c>
      <c r="Y13" s="85">
        <f t="shared" si="9"/>
        <v>65</v>
      </c>
      <c r="Z13" s="63">
        <v>6</v>
      </c>
      <c r="AA13" s="58">
        <v>4</v>
      </c>
      <c r="AB13" s="58">
        <v>3</v>
      </c>
      <c r="AC13" s="58">
        <f t="shared" si="10"/>
        <v>18</v>
      </c>
      <c r="AD13" s="95">
        <f t="shared" si="11"/>
        <v>1170</v>
      </c>
      <c r="AE13" s="78">
        <f t="shared" si="12"/>
        <v>37440</v>
      </c>
    </row>
    <row r="14" spans="1:31" ht="15">
      <c r="A14" s="5"/>
      <c r="B14" s="55" t="s">
        <v>35</v>
      </c>
      <c r="C14" s="79" t="s">
        <v>148</v>
      </c>
      <c r="D14" s="2">
        <v>350</v>
      </c>
      <c r="E14" s="2">
        <v>77000</v>
      </c>
      <c r="F14" s="57">
        <v>300</v>
      </c>
      <c r="G14" s="57">
        <f t="shared" si="0"/>
        <v>240</v>
      </c>
      <c r="H14" s="58">
        <v>12</v>
      </c>
      <c r="I14" s="58">
        <v>5</v>
      </c>
      <c r="J14" s="58"/>
      <c r="K14" s="74">
        <f t="shared" si="1"/>
        <v>24</v>
      </c>
      <c r="L14" s="74">
        <v>2</v>
      </c>
      <c r="M14" s="74">
        <f t="shared" si="2"/>
        <v>60</v>
      </c>
      <c r="N14" s="85">
        <f t="shared" si="3"/>
        <v>86</v>
      </c>
      <c r="O14" s="63">
        <v>6</v>
      </c>
      <c r="P14" s="58">
        <v>4</v>
      </c>
      <c r="Q14" s="58">
        <v>3</v>
      </c>
      <c r="R14" s="58">
        <f t="shared" si="4"/>
        <v>18</v>
      </c>
      <c r="S14" s="95">
        <f t="shared" si="5"/>
        <v>1548</v>
      </c>
      <c r="T14" s="78">
        <f t="shared" si="6"/>
        <v>371520</v>
      </c>
      <c r="V14" s="74">
        <f t="shared" si="7"/>
        <v>13</v>
      </c>
      <c r="W14" s="74">
        <v>1</v>
      </c>
      <c r="X14" s="74">
        <f t="shared" si="8"/>
        <v>51</v>
      </c>
      <c r="Y14" s="85">
        <f t="shared" si="9"/>
        <v>65</v>
      </c>
      <c r="Z14" s="63">
        <v>6</v>
      </c>
      <c r="AA14" s="58">
        <v>4</v>
      </c>
      <c r="AB14" s="58">
        <v>3</v>
      </c>
      <c r="AC14" s="58">
        <f t="shared" si="10"/>
        <v>18</v>
      </c>
      <c r="AD14" s="95">
        <f t="shared" si="11"/>
        <v>1170</v>
      </c>
      <c r="AE14" s="78">
        <f t="shared" si="12"/>
        <v>280800</v>
      </c>
    </row>
    <row r="15" spans="1:31" ht="15">
      <c r="A15" s="5"/>
      <c r="B15" s="55" t="s">
        <v>37</v>
      </c>
      <c r="C15" s="75" t="s">
        <v>149</v>
      </c>
      <c r="D15" s="2">
        <v>70</v>
      </c>
      <c r="E15" s="2">
        <v>19600</v>
      </c>
      <c r="F15" s="57">
        <v>70</v>
      </c>
      <c r="G15" s="57">
        <f t="shared" si="0"/>
        <v>56</v>
      </c>
      <c r="H15" s="58">
        <v>12</v>
      </c>
      <c r="I15" s="58">
        <v>6</v>
      </c>
      <c r="J15" s="58"/>
      <c r="K15" s="74">
        <f t="shared" si="1"/>
        <v>24</v>
      </c>
      <c r="L15" s="74">
        <v>2</v>
      </c>
      <c r="M15" s="74">
        <f t="shared" si="2"/>
        <v>60</v>
      </c>
      <c r="N15" s="85">
        <f t="shared" si="3"/>
        <v>86</v>
      </c>
      <c r="O15" s="63">
        <v>6</v>
      </c>
      <c r="P15" s="58">
        <v>4</v>
      </c>
      <c r="Q15" s="58">
        <v>3</v>
      </c>
      <c r="R15" s="58">
        <f t="shared" si="4"/>
        <v>18</v>
      </c>
      <c r="S15" s="95">
        <f t="shared" si="5"/>
        <v>1548</v>
      </c>
      <c r="T15" s="78">
        <f t="shared" si="6"/>
        <v>86688</v>
      </c>
      <c r="V15" s="74">
        <f t="shared" si="7"/>
        <v>13</v>
      </c>
      <c r="W15" s="74">
        <v>1</v>
      </c>
      <c r="X15" s="74">
        <f t="shared" si="8"/>
        <v>51</v>
      </c>
      <c r="Y15" s="85">
        <f t="shared" si="9"/>
        <v>65</v>
      </c>
      <c r="Z15" s="63">
        <v>6</v>
      </c>
      <c r="AA15" s="58">
        <v>4</v>
      </c>
      <c r="AB15" s="58">
        <v>3</v>
      </c>
      <c r="AC15" s="58">
        <f t="shared" si="10"/>
        <v>18</v>
      </c>
      <c r="AD15" s="95">
        <f t="shared" si="11"/>
        <v>1170</v>
      </c>
      <c r="AE15" s="78">
        <f t="shared" si="12"/>
        <v>65520</v>
      </c>
    </row>
    <row r="16" spans="1:31" ht="15">
      <c r="A16" s="5"/>
      <c r="B16" s="55" t="s">
        <v>40</v>
      </c>
      <c r="C16" s="75" t="s">
        <v>150</v>
      </c>
      <c r="D16" s="2">
        <v>80</v>
      </c>
      <c r="E16" s="2">
        <v>22400</v>
      </c>
      <c r="F16" s="57">
        <v>80</v>
      </c>
      <c r="G16" s="57">
        <f t="shared" si="0"/>
        <v>64</v>
      </c>
      <c r="H16" s="58">
        <v>6</v>
      </c>
      <c r="I16" s="58">
        <v>6</v>
      </c>
      <c r="J16" s="58"/>
      <c r="K16" s="74">
        <f t="shared" si="1"/>
        <v>24</v>
      </c>
      <c r="L16" s="74">
        <v>2</v>
      </c>
      <c r="M16" s="74">
        <f t="shared" si="2"/>
        <v>60</v>
      </c>
      <c r="N16" s="85">
        <f t="shared" si="3"/>
        <v>86</v>
      </c>
      <c r="O16" s="63">
        <v>6</v>
      </c>
      <c r="P16" s="58">
        <v>4</v>
      </c>
      <c r="Q16" s="58">
        <v>3</v>
      </c>
      <c r="R16" s="58">
        <f t="shared" si="4"/>
        <v>18</v>
      </c>
      <c r="S16" s="95">
        <f t="shared" si="5"/>
        <v>1548</v>
      </c>
      <c r="T16" s="78">
        <f t="shared" si="6"/>
        <v>99072</v>
      </c>
      <c r="V16" s="74">
        <f t="shared" si="7"/>
        <v>13</v>
      </c>
      <c r="W16" s="74">
        <v>1</v>
      </c>
      <c r="X16" s="74">
        <f t="shared" si="8"/>
        <v>51</v>
      </c>
      <c r="Y16" s="85">
        <f t="shared" si="9"/>
        <v>65</v>
      </c>
      <c r="Z16" s="63">
        <v>6</v>
      </c>
      <c r="AA16" s="58">
        <v>4</v>
      </c>
      <c r="AB16" s="58">
        <v>3</v>
      </c>
      <c r="AC16" s="58">
        <f t="shared" si="10"/>
        <v>18</v>
      </c>
      <c r="AD16" s="95">
        <f t="shared" si="11"/>
        <v>1170</v>
      </c>
      <c r="AE16" s="78">
        <f t="shared" si="12"/>
        <v>74880</v>
      </c>
    </row>
    <row r="17" spans="1:31" ht="15">
      <c r="A17" s="5"/>
      <c r="B17" s="55" t="s">
        <v>44</v>
      </c>
      <c r="C17" s="75" t="s">
        <v>151</v>
      </c>
      <c r="D17" s="2">
        <v>260</v>
      </c>
      <c r="E17" s="2">
        <v>52000</v>
      </c>
      <c r="F17" s="57">
        <v>260</v>
      </c>
      <c r="G17" s="57">
        <f t="shared" si="0"/>
        <v>208</v>
      </c>
      <c r="H17" s="58">
        <v>10</v>
      </c>
      <c r="I17" s="58">
        <v>12</v>
      </c>
      <c r="J17" s="58"/>
      <c r="K17" s="74">
        <f t="shared" si="1"/>
        <v>24</v>
      </c>
      <c r="L17" s="74">
        <v>2</v>
      </c>
      <c r="M17" s="74">
        <f t="shared" si="2"/>
        <v>60</v>
      </c>
      <c r="N17" s="85">
        <f t="shared" si="3"/>
        <v>86</v>
      </c>
      <c r="O17" s="63">
        <v>6</v>
      </c>
      <c r="P17" s="58">
        <v>4</v>
      </c>
      <c r="Q17" s="58">
        <v>3</v>
      </c>
      <c r="R17" s="58">
        <f t="shared" si="4"/>
        <v>18</v>
      </c>
      <c r="S17" s="95">
        <f t="shared" si="5"/>
        <v>1548</v>
      </c>
      <c r="T17" s="78">
        <f t="shared" si="6"/>
        <v>321984</v>
      </c>
      <c r="V17" s="74">
        <f t="shared" si="7"/>
        <v>13</v>
      </c>
      <c r="W17" s="74">
        <v>1</v>
      </c>
      <c r="X17" s="74">
        <f t="shared" si="8"/>
        <v>51</v>
      </c>
      <c r="Y17" s="85">
        <f t="shared" si="9"/>
        <v>65</v>
      </c>
      <c r="Z17" s="63">
        <v>6</v>
      </c>
      <c r="AA17" s="58">
        <v>4</v>
      </c>
      <c r="AB17" s="58">
        <v>3</v>
      </c>
      <c r="AC17" s="58">
        <f t="shared" si="10"/>
        <v>18</v>
      </c>
      <c r="AD17" s="95">
        <f t="shared" si="11"/>
        <v>1170</v>
      </c>
      <c r="AE17" s="78">
        <f t="shared" si="12"/>
        <v>243360</v>
      </c>
    </row>
    <row r="18" spans="1:31" ht="15">
      <c r="A18" s="5"/>
      <c r="B18" s="5" t="s">
        <v>143</v>
      </c>
      <c r="C18" s="75" t="s">
        <v>152</v>
      </c>
      <c r="D18" s="2">
        <v>24</v>
      </c>
      <c r="E18" s="2">
        <v>24000</v>
      </c>
      <c r="F18" s="57">
        <v>34.299999999999997</v>
      </c>
      <c r="G18" s="57">
        <f t="shared" si="0"/>
        <v>27.439999999999998</v>
      </c>
      <c r="H18" s="58">
        <v>12</v>
      </c>
      <c r="I18" s="58">
        <v>1</v>
      </c>
      <c r="J18" s="58" t="s">
        <v>139</v>
      </c>
      <c r="K18" s="58">
        <v>0</v>
      </c>
      <c r="L18" s="74">
        <v>0</v>
      </c>
      <c r="M18" s="74">
        <v>70</v>
      </c>
      <c r="N18" s="85">
        <f t="shared" si="3"/>
        <v>70</v>
      </c>
      <c r="O18" s="63">
        <v>3</v>
      </c>
      <c r="P18" s="58">
        <v>2</v>
      </c>
      <c r="Q18" s="58">
        <v>5</v>
      </c>
      <c r="R18" s="58">
        <f t="shared" si="4"/>
        <v>13</v>
      </c>
      <c r="S18" s="95">
        <f t="shared" si="5"/>
        <v>910</v>
      </c>
      <c r="T18" s="78">
        <f t="shared" si="6"/>
        <v>24970.399999999998</v>
      </c>
      <c r="V18" s="58">
        <v>0</v>
      </c>
      <c r="W18" s="74">
        <v>0</v>
      </c>
      <c r="X18" s="74">
        <v>59</v>
      </c>
      <c r="Y18" s="85">
        <f t="shared" si="9"/>
        <v>59</v>
      </c>
      <c r="Z18" s="63">
        <v>3</v>
      </c>
      <c r="AA18" s="58">
        <v>2</v>
      </c>
      <c r="AB18" s="58">
        <v>5</v>
      </c>
      <c r="AC18" s="58">
        <f t="shared" si="10"/>
        <v>13</v>
      </c>
      <c r="AD18" s="95">
        <f t="shared" si="11"/>
        <v>767</v>
      </c>
      <c r="AE18" s="78">
        <f t="shared" si="12"/>
        <v>21046.48</v>
      </c>
    </row>
    <row r="19" spans="1:31" ht="15">
      <c r="A19" s="5"/>
      <c r="B19" s="55" t="s">
        <v>49</v>
      </c>
      <c r="C19" s="75" t="s">
        <v>154</v>
      </c>
      <c r="D19" s="2">
        <v>12</v>
      </c>
      <c r="E19" s="2">
        <v>24000</v>
      </c>
      <c r="F19" s="57">
        <v>10.5</v>
      </c>
      <c r="G19" s="57">
        <f t="shared" si="0"/>
        <v>8.4</v>
      </c>
      <c r="H19" s="58">
        <v>12</v>
      </c>
      <c r="I19" s="58">
        <v>1</v>
      </c>
      <c r="J19" s="58"/>
      <c r="K19" s="74">
        <v>0</v>
      </c>
      <c r="L19" s="74">
        <v>2</v>
      </c>
      <c r="M19" s="74">
        <v>70</v>
      </c>
      <c r="N19" s="85">
        <f t="shared" si="3"/>
        <v>72</v>
      </c>
      <c r="O19" s="63">
        <v>6</v>
      </c>
      <c r="P19" s="58">
        <v>3</v>
      </c>
      <c r="Q19" s="58">
        <v>4</v>
      </c>
      <c r="R19" s="58">
        <f t="shared" si="4"/>
        <v>18</v>
      </c>
      <c r="S19" s="95">
        <f t="shared" si="5"/>
        <v>1296</v>
      </c>
      <c r="T19" s="78">
        <f t="shared" si="6"/>
        <v>10886.4</v>
      </c>
      <c r="V19" s="74">
        <v>0</v>
      </c>
      <c r="W19" s="74">
        <v>1</v>
      </c>
      <c r="X19" s="74">
        <v>59</v>
      </c>
      <c r="Y19" s="85">
        <f t="shared" si="9"/>
        <v>60</v>
      </c>
      <c r="Z19" s="63">
        <v>6</v>
      </c>
      <c r="AA19" s="58">
        <v>3</v>
      </c>
      <c r="AB19" s="58">
        <v>4</v>
      </c>
      <c r="AC19" s="58">
        <f t="shared" si="10"/>
        <v>18</v>
      </c>
      <c r="AD19" s="95">
        <f t="shared" si="11"/>
        <v>1080</v>
      </c>
      <c r="AE19" s="78">
        <f t="shared" si="12"/>
        <v>9072</v>
      </c>
    </row>
    <row r="20" spans="1:31" ht="15">
      <c r="A20" s="5"/>
      <c r="B20" s="55" t="s">
        <v>52</v>
      </c>
      <c r="C20" s="75" t="s">
        <v>153</v>
      </c>
      <c r="D20" s="2">
        <v>70</v>
      </c>
      <c r="E20" s="2">
        <v>21000</v>
      </c>
      <c r="F20" s="57">
        <v>70</v>
      </c>
      <c r="G20" s="57">
        <f t="shared" si="0"/>
        <v>56</v>
      </c>
      <c r="H20" s="58">
        <v>12</v>
      </c>
      <c r="I20" s="58">
        <v>1</v>
      </c>
      <c r="J20" s="58" t="s">
        <v>140</v>
      </c>
      <c r="K20" s="74">
        <f t="shared" ref="K20:K30" si="13">ROUNDUP($K$9*$K$8,0)</f>
        <v>24</v>
      </c>
      <c r="L20" s="74">
        <v>0</v>
      </c>
      <c r="M20" s="74">
        <f t="shared" si="2"/>
        <v>60</v>
      </c>
      <c r="N20" s="85">
        <f t="shared" si="3"/>
        <v>84</v>
      </c>
      <c r="O20" s="63">
        <v>3</v>
      </c>
      <c r="P20" s="58">
        <v>2</v>
      </c>
      <c r="Q20" s="58">
        <v>5</v>
      </c>
      <c r="R20" s="58">
        <f t="shared" si="4"/>
        <v>13</v>
      </c>
      <c r="S20" s="95">
        <f t="shared" si="5"/>
        <v>1092</v>
      </c>
      <c r="T20" s="78">
        <f t="shared" si="6"/>
        <v>61152</v>
      </c>
      <c r="V20" s="74">
        <f t="shared" ref="V20:V30" si="14">ROUNDUP($V$9*$V$8,0)</f>
        <v>13</v>
      </c>
      <c r="W20" s="74">
        <v>0</v>
      </c>
      <c r="X20" s="74">
        <f t="shared" ref="X20:X22" si="15">ROUNDUP($X$9*$X$8,0)</f>
        <v>51</v>
      </c>
      <c r="Y20" s="85">
        <f t="shared" si="9"/>
        <v>64</v>
      </c>
      <c r="Z20" s="63">
        <v>3</v>
      </c>
      <c r="AA20" s="58">
        <v>2</v>
      </c>
      <c r="AB20" s="58">
        <v>5</v>
      </c>
      <c r="AC20" s="58">
        <f t="shared" si="10"/>
        <v>13</v>
      </c>
      <c r="AD20" s="95">
        <f t="shared" si="11"/>
        <v>832</v>
      </c>
      <c r="AE20" s="78">
        <f t="shared" si="12"/>
        <v>46592</v>
      </c>
    </row>
    <row r="21" spans="1:31" ht="15">
      <c r="A21" s="5"/>
      <c r="B21" s="55" t="s">
        <v>159</v>
      </c>
      <c r="C21" s="75" t="s">
        <v>155</v>
      </c>
      <c r="D21" s="2">
        <v>140</v>
      </c>
      <c r="E21" s="2">
        <v>42000</v>
      </c>
      <c r="F21" s="57">
        <v>140</v>
      </c>
      <c r="G21" s="57">
        <f t="shared" si="0"/>
        <v>112</v>
      </c>
      <c r="H21" s="58">
        <v>12</v>
      </c>
      <c r="I21" s="58">
        <v>2</v>
      </c>
      <c r="J21" s="58"/>
      <c r="K21" s="74">
        <f t="shared" si="13"/>
        <v>24</v>
      </c>
      <c r="L21" s="74">
        <v>2</v>
      </c>
      <c r="M21" s="74">
        <f t="shared" si="2"/>
        <v>60</v>
      </c>
      <c r="N21" s="85">
        <f t="shared" si="3"/>
        <v>86</v>
      </c>
      <c r="O21" s="63">
        <v>2</v>
      </c>
      <c r="P21" s="58">
        <v>1</v>
      </c>
      <c r="Q21" s="58">
        <v>3</v>
      </c>
      <c r="R21" s="58">
        <f t="shared" si="4"/>
        <v>5</v>
      </c>
      <c r="S21" s="95">
        <f t="shared" si="5"/>
        <v>430</v>
      </c>
      <c r="T21" s="78">
        <f t="shared" si="6"/>
        <v>48160</v>
      </c>
      <c r="V21" s="74">
        <f t="shared" si="14"/>
        <v>13</v>
      </c>
      <c r="W21" s="74">
        <v>1</v>
      </c>
      <c r="X21" s="74">
        <f t="shared" si="15"/>
        <v>51</v>
      </c>
      <c r="Y21" s="85">
        <f t="shared" si="9"/>
        <v>65</v>
      </c>
      <c r="Z21" s="63">
        <v>2</v>
      </c>
      <c r="AA21" s="58">
        <v>1</v>
      </c>
      <c r="AB21" s="58">
        <v>3</v>
      </c>
      <c r="AC21" s="58">
        <f t="shared" si="10"/>
        <v>5</v>
      </c>
      <c r="AD21" s="95">
        <f t="shared" si="11"/>
        <v>325</v>
      </c>
      <c r="AE21" s="78">
        <f t="shared" si="12"/>
        <v>36400</v>
      </c>
    </row>
    <row r="22" spans="1:31" ht="15">
      <c r="A22" s="5"/>
      <c r="B22" s="55">
        <v>3051</v>
      </c>
      <c r="C22" s="75" t="s">
        <v>156</v>
      </c>
      <c r="D22" s="2">
        <v>75</v>
      </c>
      <c r="E22" s="2">
        <v>37500</v>
      </c>
      <c r="F22" s="57">
        <v>156</v>
      </c>
      <c r="G22" s="57">
        <f t="shared" si="0"/>
        <v>124.80000000000001</v>
      </c>
      <c r="H22" s="58">
        <v>9</v>
      </c>
      <c r="I22" s="58">
        <v>5</v>
      </c>
      <c r="J22" s="58"/>
      <c r="K22" s="74">
        <f t="shared" si="13"/>
        <v>24</v>
      </c>
      <c r="L22" s="74">
        <v>2</v>
      </c>
      <c r="M22" s="74">
        <f t="shared" si="2"/>
        <v>60</v>
      </c>
      <c r="N22" s="85">
        <f t="shared" si="3"/>
        <v>86</v>
      </c>
      <c r="O22" s="63">
        <v>5</v>
      </c>
      <c r="P22" s="58">
        <v>4</v>
      </c>
      <c r="Q22" s="58">
        <v>3</v>
      </c>
      <c r="R22" s="58">
        <f t="shared" si="4"/>
        <v>17</v>
      </c>
      <c r="S22" s="95">
        <f t="shared" si="5"/>
        <v>1462</v>
      </c>
      <c r="T22" s="78">
        <f t="shared" si="6"/>
        <v>182457.60000000001</v>
      </c>
      <c r="V22" s="74">
        <f t="shared" si="14"/>
        <v>13</v>
      </c>
      <c r="W22" s="74">
        <v>1</v>
      </c>
      <c r="X22" s="74">
        <f t="shared" si="15"/>
        <v>51</v>
      </c>
      <c r="Y22" s="85">
        <f t="shared" si="9"/>
        <v>65</v>
      </c>
      <c r="Z22" s="63">
        <v>5</v>
      </c>
      <c r="AA22" s="58">
        <v>4</v>
      </c>
      <c r="AB22" s="58">
        <v>3</v>
      </c>
      <c r="AC22" s="58">
        <f t="shared" si="10"/>
        <v>17</v>
      </c>
      <c r="AD22" s="95">
        <f t="shared" si="11"/>
        <v>1105</v>
      </c>
      <c r="AE22" s="78">
        <f t="shared" si="12"/>
        <v>137904</v>
      </c>
    </row>
    <row r="23" spans="1:31" ht="15">
      <c r="A23" s="5"/>
      <c r="B23" s="55" t="s">
        <v>61</v>
      </c>
      <c r="C23" s="75" t="s">
        <v>157</v>
      </c>
      <c r="D23" s="2">
        <v>550</v>
      </c>
      <c r="E23" s="2">
        <v>55000</v>
      </c>
      <c r="F23" s="57">
        <v>550</v>
      </c>
      <c r="G23" s="57">
        <f t="shared" si="0"/>
        <v>440</v>
      </c>
      <c r="H23" s="58">
        <v>12</v>
      </c>
      <c r="I23" s="58">
        <v>1</v>
      </c>
      <c r="J23" s="58"/>
      <c r="K23" s="74">
        <f t="shared" si="13"/>
        <v>24</v>
      </c>
      <c r="L23" s="74">
        <v>2</v>
      </c>
      <c r="M23" s="74">
        <v>20</v>
      </c>
      <c r="N23" s="85">
        <f t="shared" si="3"/>
        <v>46</v>
      </c>
      <c r="O23" s="63">
        <v>1</v>
      </c>
      <c r="P23" s="58">
        <v>1</v>
      </c>
      <c r="Q23" s="58">
        <v>2</v>
      </c>
      <c r="R23" s="58">
        <f t="shared" si="4"/>
        <v>3</v>
      </c>
      <c r="S23" s="95">
        <f t="shared" si="5"/>
        <v>138</v>
      </c>
      <c r="T23" s="78">
        <f t="shared" si="6"/>
        <v>60720</v>
      </c>
      <c r="V23" s="74">
        <f t="shared" si="14"/>
        <v>13</v>
      </c>
      <c r="W23" s="74">
        <v>1</v>
      </c>
      <c r="X23" s="64">
        <v>30</v>
      </c>
      <c r="Y23" s="85">
        <f t="shared" si="9"/>
        <v>44</v>
      </c>
      <c r="Z23" s="63">
        <v>1</v>
      </c>
      <c r="AA23" s="58">
        <v>1</v>
      </c>
      <c r="AB23" s="58">
        <v>2</v>
      </c>
      <c r="AC23" s="58">
        <f t="shared" si="10"/>
        <v>3</v>
      </c>
      <c r="AD23" s="95">
        <f t="shared" si="11"/>
        <v>132</v>
      </c>
      <c r="AE23" s="78">
        <f t="shared" si="12"/>
        <v>58080</v>
      </c>
    </row>
    <row r="24" spans="1:31" ht="15">
      <c r="A24" s="5"/>
      <c r="B24" s="55" t="s">
        <v>64</v>
      </c>
      <c r="C24" s="75" t="s">
        <v>158</v>
      </c>
      <c r="D24" s="2">
        <v>550</v>
      </c>
      <c r="E24" s="2">
        <v>55000</v>
      </c>
      <c r="F24" s="57">
        <v>550</v>
      </c>
      <c r="G24" s="57">
        <f t="shared" si="0"/>
        <v>440</v>
      </c>
      <c r="H24" s="58">
        <v>12</v>
      </c>
      <c r="I24" s="58">
        <v>1</v>
      </c>
      <c r="J24" s="58"/>
      <c r="K24" s="74">
        <f t="shared" si="13"/>
        <v>24</v>
      </c>
      <c r="L24" s="74">
        <v>2</v>
      </c>
      <c r="M24" s="74">
        <v>20</v>
      </c>
      <c r="N24" s="85">
        <f t="shared" si="3"/>
        <v>46</v>
      </c>
      <c r="O24" s="63">
        <v>1</v>
      </c>
      <c r="P24" s="58">
        <v>1</v>
      </c>
      <c r="Q24" s="58">
        <v>2</v>
      </c>
      <c r="R24" s="58">
        <f t="shared" si="4"/>
        <v>3</v>
      </c>
      <c r="S24" s="95">
        <f t="shared" si="5"/>
        <v>138</v>
      </c>
      <c r="T24" s="78">
        <f t="shared" si="6"/>
        <v>60720</v>
      </c>
      <c r="V24" s="74">
        <f t="shared" si="14"/>
        <v>13</v>
      </c>
      <c r="W24" s="74">
        <v>1</v>
      </c>
      <c r="X24" s="64">
        <v>30</v>
      </c>
      <c r="Y24" s="85">
        <f t="shared" si="9"/>
        <v>44</v>
      </c>
      <c r="Z24" s="63">
        <v>1</v>
      </c>
      <c r="AA24" s="58">
        <v>1</v>
      </c>
      <c r="AB24" s="58">
        <v>2</v>
      </c>
      <c r="AC24" s="58">
        <f t="shared" si="10"/>
        <v>3</v>
      </c>
      <c r="AD24" s="95">
        <f t="shared" si="11"/>
        <v>132</v>
      </c>
      <c r="AE24" s="78">
        <f t="shared" si="12"/>
        <v>58080</v>
      </c>
    </row>
    <row r="25" spans="1:31" ht="15">
      <c r="A25" s="5"/>
      <c r="B25" s="55" t="s">
        <v>66</v>
      </c>
      <c r="C25" s="75"/>
      <c r="D25" s="2">
        <v>265</v>
      </c>
      <c r="E25" s="2">
        <v>53000</v>
      </c>
      <c r="F25" s="57">
        <v>265</v>
      </c>
      <c r="G25" s="57">
        <f t="shared" si="0"/>
        <v>212</v>
      </c>
      <c r="H25" s="58">
        <v>3</v>
      </c>
      <c r="I25" s="58">
        <v>1</v>
      </c>
      <c r="J25" s="58"/>
      <c r="K25" s="74">
        <f t="shared" si="13"/>
        <v>24</v>
      </c>
      <c r="L25" s="74">
        <v>2</v>
      </c>
      <c r="M25" s="74">
        <v>0</v>
      </c>
      <c r="N25" s="85">
        <f t="shared" si="3"/>
        <v>26</v>
      </c>
      <c r="O25" s="63">
        <v>1</v>
      </c>
      <c r="P25" s="58">
        <v>1</v>
      </c>
      <c r="Q25" s="58">
        <v>1</v>
      </c>
      <c r="R25" s="58">
        <f t="shared" si="4"/>
        <v>2</v>
      </c>
      <c r="S25" s="95">
        <f t="shared" si="5"/>
        <v>52</v>
      </c>
      <c r="T25" s="78">
        <f t="shared" si="6"/>
        <v>11024</v>
      </c>
      <c r="V25" s="74">
        <f t="shared" si="14"/>
        <v>13</v>
      </c>
      <c r="W25" s="74">
        <v>1</v>
      </c>
      <c r="X25" s="74">
        <v>0</v>
      </c>
      <c r="Y25" s="85">
        <f t="shared" si="9"/>
        <v>14</v>
      </c>
      <c r="Z25" s="63">
        <v>1</v>
      </c>
      <c r="AA25" s="58">
        <v>1</v>
      </c>
      <c r="AB25" s="58">
        <v>1</v>
      </c>
      <c r="AC25" s="58">
        <f t="shared" si="10"/>
        <v>2</v>
      </c>
      <c r="AD25" s="95">
        <f t="shared" si="11"/>
        <v>28</v>
      </c>
      <c r="AE25" s="78">
        <f t="shared" si="12"/>
        <v>5936</v>
      </c>
    </row>
    <row r="26" spans="1:31" ht="15">
      <c r="A26" s="5"/>
      <c r="B26" s="55" t="s">
        <v>67</v>
      </c>
      <c r="C26" s="75"/>
      <c r="D26" s="2">
        <v>350</v>
      </c>
      <c r="E26" s="2">
        <v>17500</v>
      </c>
      <c r="F26" s="57">
        <v>265</v>
      </c>
      <c r="G26" s="57">
        <f t="shared" si="0"/>
        <v>212</v>
      </c>
      <c r="H26" s="67">
        <v>0</v>
      </c>
      <c r="I26" s="67">
        <v>1</v>
      </c>
      <c r="J26" s="67"/>
      <c r="K26" s="81">
        <f t="shared" si="13"/>
        <v>24</v>
      </c>
      <c r="L26" s="81">
        <v>2</v>
      </c>
      <c r="M26" s="81">
        <v>0</v>
      </c>
      <c r="N26" s="86">
        <f t="shared" si="3"/>
        <v>26</v>
      </c>
      <c r="O26" s="82">
        <v>0</v>
      </c>
      <c r="P26" s="67"/>
      <c r="Q26" s="67"/>
      <c r="R26" s="58">
        <f t="shared" si="4"/>
        <v>0</v>
      </c>
      <c r="S26" s="95">
        <f t="shared" si="5"/>
        <v>0</v>
      </c>
      <c r="T26" s="78">
        <f t="shared" si="6"/>
        <v>0</v>
      </c>
      <c r="V26" s="74">
        <f t="shared" si="14"/>
        <v>13</v>
      </c>
      <c r="W26" s="81">
        <v>1</v>
      </c>
      <c r="X26" s="81">
        <v>0</v>
      </c>
      <c r="Y26" s="86">
        <f t="shared" si="9"/>
        <v>14</v>
      </c>
      <c r="Z26" s="82">
        <v>0</v>
      </c>
      <c r="AA26" s="67"/>
      <c r="AB26" s="67"/>
      <c r="AC26" s="58">
        <f t="shared" si="10"/>
        <v>0</v>
      </c>
      <c r="AD26" s="95">
        <f t="shared" si="11"/>
        <v>0</v>
      </c>
      <c r="AE26" s="78">
        <f t="shared" si="12"/>
        <v>0</v>
      </c>
    </row>
    <row r="27" spans="1:31" ht="15">
      <c r="A27" s="5"/>
      <c r="B27" s="55" t="s">
        <v>141</v>
      </c>
      <c r="C27" s="75" t="s">
        <v>160</v>
      </c>
      <c r="D27" s="2">
        <v>440</v>
      </c>
      <c r="E27" s="2">
        <v>26400</v>
      </c>
      <c r="F27" s="57">
        <v>440</v>
      </c>
      <c r="G27" s="57">
        <f t="shared" si="0"/>
        <v>352</v>
      </c>
      <c r="H27" s="58">
        <v>12</v>
      </c>
      <c r="I27" s="58">
        <v>4</v>
      </c>
      <c r="J27" s="58"/>
      <c r="K27" s="74">
        <f t="shared" si="13"/>
        <v>24</v>
      </c>
      <c r="L27" s="74">
        <v>2</v>
      </c>
      <c r="M27" s="74">
        <f t="shared" ref="M27" si="16">ROUNDUP($M$9*$M$8,0)</f>
        <v>60</v>
      </c>
      <c r="N27" s="85">
        <f t="shared" si="3"/>
        <v>86</v>
      </c>
      <c r="O27" s="63">
        <v>2</v>
      </c>
      <c r="P27" s="58">
        <v>1</v>
      </c>
      <c r="Q27" s="58">
        <v>3</v>
      </c>
      <c r="R27" s="58">
        <f t="shared" si="4"/>
        <v>5</v>
      </c>
      <c r="S27" s="95">
        <f t="shared" si="5"/>
        <v>430</v>
      </c>
      <c r="T27" s="78">
        <f t="shared" si="6"/>
        <v>151360</v>
      </c>
      <c r="V27" s="74">
        <f t="shared" si="14"/>
        <v>13</v>
      </c>
      <c r="W27" s="74">
        <v>1</v>
      </c>
      <c r="X27" s="74">
        <f t="shared" ref="X27" si="17">ROUNDUP($X$9*$X$8,0)</f>
        <v>51</v>
      </c>
      <c r="Y27" s="85">
        <f t="shared" si="9"/>
        <v>65</v>
      </c>
      <c r="Z27" s="63">
        <v>2</v>
      </c>
      <c r="AA27" s="58">
        <v>1</v>
      </c>
      <c r="AB27" s="58">
        <v>3</v>
      </c>
      <c r="AC27" s="58">
        <f t="shared" si="10"/>
        <v>5</v>
      </c>
      <c r="AD27" s="95">
        <f t="shared" si="11"/>
        <v>325</v>
      </c>
      <c r="AE27" s="78">
        <f t="shared" si="12"/>
        <v>114400</v>
      </c>
    </row>
    <row r="28" spans="1:31" ht="15">
      <c r="A28" s="5"/>
      <c r="B28" s="55" t="s">
        <v>69</v>
      </c>
      <c r="C28" s="75"/>
      <c r="D28" s="2">
        <v>160</v>
      </c>
      <c r="E28" s="2">
        <v>56000</v>
      </c>
      <c r="F28" s="57">
        <v>160</v>
      </c>
      <c r="G28" s="57">
        <f t="shared" si="0"/>
        <v>128</v>
      </c>
      <c r="H28" s="58">
        <v>4</v>
      </c>
      <c r="I28" s="58">
        <v>2</v>
      </c>
      <c r="J28" s="58"/>
      <c r="K28" s="74">
        <f t="shared" si="13"/>
        <v>24</v>
      </c>
      <c r="L28" s="74">
        <v>2</v>
      </c>
      <c r="M28" s="74">
        <v>20</v>
      </c>
      <c r="N28" s="85">
        <f t="shared" si="3"/>
        <v>46</v>
      </c>
      <c r="O28" s="63">
        <v>1</v>
      </c>
      <c r="P28" s="58">
        <v>1</v>
      </c>
      <c r="Q28" s="58">
        <v>1</v>
      </c>
      <c r="R28" s="58">
        <f t="shared" si="4"/>
        <v>2</v>
      </c>
      <c r="S28" s="95">
        <f t="shared" si="5"/>
        <v>92</v>
      </c>
      <c r="T28" s="78">
        <f t="shared" si="6"/>
        <v>11776</v>
      </c>
      <c r="V28" s="74">
        <f t="shared" si="14"/>
        <v>13</v>
      </c>
      <c r="W28" s="74">
        <v>1</v>
      </c>
      <c r="X28" s="74">
        <v>20</v>
      </c>
      <c r="Y28" s="85">
        <f t="shared" si="9"/>
        <v>34</v>
      </c>
      <c r="Z28" s="63">
        <v>1</v>
      </c>
      <c r="AA28" s="58">
        <v>1</v>
      </c>
      <c r="AB28" s="58">
        <v>1</v>
      </c>
      <c r="AC28" s="58">
        <f t="shared" si="10"/>
        <v>2</v>
      </c>
      <c r="AD28" s="95">
        <f t="shared" si="11"/>
        <v>68</v>
      </c>
      <c r="AE28" s="78">
        <f t="shared" si="12"/>
        <v>8704</v>
      </c>
    </row>
    <row r="29" spans="1:31" ht="15">
      <c r="A29" s="5"/>
      <c r="B29" s="5" t="s">
        <v>142</v>
      </c>
      <c r="C29" s="75" t="s">
        <v>162</v>
      </c>
      <c r="D29" s="14"/>
      <c r="E29" s="2"/>
      <c r="F29" s="57">
        <v>280</v>
      </c>
      <c r="G29" s="57">
        <f t="shared" si="0"/>
        <v>224</v>
      </c>
      <c r="H29" s="58">
        <v>12</v>
      </c>
      <c r="I29" s="58">
        <v>1</v>
      </c>
      <c r="K29" s="74">
        <f t="shared" si="13"/>
        <v>24</v>
      </c>
      <c r="L29" s="74">
        <v>2</v>
      </c>
      <c r="M29" s="74">
        <v>20</v>
      </c>
      <c r="N29" s="85">
        <f t="shared" si="3"/>
        <v>46</v>
      </c>
      <c r="O29" s="63">
        <v>2</v>
      </c>
      <c r="P29" s="58">
        <v>1</v>
      </c>
      <c r="Q29" s="58">
        <v>3</v>
      </c>
      <c r="R29" s="58">
        <f t="shared" si="4"/>
        <v>5</v>
      </c>
      <c r="S29" s="95">
        <f t="shared" si="5"/>
        <v>230</v>
      </c>
      <c r="T29" s="78">
        <f t="shared" si="6"/>
        <v>51520</v>
      </c>
      <c r="V29" s="74">
        <f t="shared" si="14"/>
        <v>13</v>
      </c>
      <c r="W29" s="74">
        <v>1</v>
      </c>
      <c r="X29" s="74">
        <v>20</v>
      </c>
      <c r="Y29" s="85">
        <f t="shared" si="9"/>
        <v>34</v>
      </c>
      <c r="Z29" s="63">
        <v>2</v>
      </c>
      <c r="AA29" s="58">
        <v>1</v>
      </c>
      <c r="AB29" s="58">
        <v>3</v>
      </c>
      <c r="AC29" s="58">
        <f t="shared" si="10"/>
        <v>5</v>
      </c>
      <c r="AD29" s="95">
        <f t="shared" si="11"/>
        <v>170</v>
      </c>
      <c r="AE29" s="78">
        <f t="shared" si="12"/>
        <v>38080</v>
      </c>
    </row>
    <row r="30" spans="1:31" ht="15">
      <c r="A30" s="5"/>
      <c r="B30" s="5" t="s">
        <v>75</v>
      </c>
      <c r="C30" s="75" t="s">
        <v>161</v>
      </c>
      <c r="D30" s="2">
        <v>75</v>
      </c>
      <c r="E30" s="2">
        <v>7500</v>
      </c>
      <c r="F30" s="57">
        <v>125</v>
      </c>
      <c r="G30" s="57">
        <f t="shared" si="0"/>
        <v>100</v>
      </c>
      <c r="I30" s="58">
        <v>6</v>
      </c>
      <c r="K30" s="74">
        <f t="shared" si="13"/>
        <v>24</v>
      </c>
      <c r="L30" s="74">
        <v>2</v>
      </c>
      <c r="M30" s="74">
        <v>70</v>
      </c>
      <c r="N30" s="85">
        <f t="shared" si="3"/>
        <v>96</v>
      </c>
      <c r="O30" s="63">
        <v>6</v>
      </c>
      <c r="P30" s="58">
        <v>3</v>
      </c>
      <c r="Q30" s="58">
        <v>2</v>
      </c>
      <c r="R30" s="58">
        <f t="shared" si="4"/>
        <v>12</v>
      </c>
      <c r="S30" s="95">
        <f t="shared" si="5"/>
        <v>1152</v>
      </c>
      <c r="T30" s="78">
        <f t="shared" si="6"/>
        <v>115200</v>
      </c>
      <c r="V30" s="74">
        <f t="shared" si="14"/>
        <v>13</v>
      </c>
      <c r="W30" s="74">
        <v>1</v>
      </c>
      <c r="X30" s="74">
        <f t="shared" ref="X30" si="18">ROUNDUP($X$9*$X$8,0)</f>
        <v>51</v>
      </c>
      <c r="Y30" s="85">
        <f t="shared" si="9"/>
        <v>65</v>
      </c>
      <c r="Z30" s="63">
        <v>6</v>
      </c>
      <c r="AA30" s="58">
        <v>3</v>
      </c>
      <c r="AB30" s="58">
        <v>2</v>
      </c>
      <c r="AC30" s="58">
        <f t="shared" si="10"/>
        <v>12</v>
      </c>
      <c r="AD30" s="95">
        <f t="shared" si="11"/>
        <v>780</v>
      </c>
      <c r="AE30" s="78">
        <f t="shared" si="12"/>
        <v>78000</v>
      </c>
    </row>
    <row r="31" spans="1:31">
      <c r="C31"/>
      <c r="K31"/>
      <c r="L31"/>
      <c r="M31"/>
      <c r="S31"/>
      <c r="T31"/>
    </row>
    <row r="32" spans="1:31">
      <c r="B32" s="87" t="s">
        <v>72</v>
      </c>
      <c r="C32"/>
      <c r="F32" s="57"/>
      <c r="G32" s="57"/>
    </row>
    <row r="33" spans="1:31">
      <c r="F33" s="57"/>
      <c r="G33" s="57"/>
    </row>
    <row r="34" spans="1:31" ht="15">
      <c r="K34" s="96" t="s">
        <v>132</v>
      </c>
      <c r="V34" s="96" t="s">
        <v>131</v>
      </c>
    </row>
    <row r="35" spans="1:31" ht="15">
      <c r="H35" s="58"/>
      <c r="I35" s="58"/>
      <c r="J35" s="58"/>
      <c r="K35" s="80">
        <v>0.9</v>
      </c>
      <c r="L35" s="80">
        <v>1</v>
      </c>
      <c r="M35" s="80">
        <v>0.85</v>
      </c>
      <c r="N35" s="65"/>
      <c r="O35" s="65"/>
      <c r="P35" s="65"/>
      <c r="Q35" s="65"/>
      <c r="R35" s="65"/>
      <c r="V35" s="80">
        <v>0.9</v>
      </c>
      <c r="W35" s="80">
        <v>0.9</v>
      </c>
      <c r="X35" s="80">
        <v>0.85</v>
      </c>
      <c r="Y35" s="65"/>
      <c r="Z35" s="65"/>
      <c r="AA35" s="65"/>
      <c r="AB35" s="65"/>
      <c r="AC35" s="65"/>
      <c r="AD35" s="58"/>
      <c r="AE35" s="58"/>
    </row>
    <row r="36" spans="1:31" ht="15">
      <c r="G36" s="76">
        <v>0.2</v>
      </c>
      <c r="H36" s="58"/>
      <c r="I36" s="58"/>
      <c r="J36" s="58"/>
      <c r="K36" s="65">
        <f>G4</f>
        <v>17</v>
      </c>
      <c r="L36" s="65">
        <f>H4</f>
        <v>5</v>
      </c>
      <c r="M36" s="65">
        <f>I4</f>
        <v>63</v>
      </c>
      <c r="N36" s="65"/>
      <c r="O36" s="65"/>
      <c r="P36" s="65"/>
      <c r="Q36" s="65"/>
      <c r="R36" s="65"/>
      <c r="S36" s="83">
        <f>SUM(S38:S57)</f>
        <v>15678</v>
      </c>
      <c r="T36" s="78">
        <f>SUM(T38:T57)</f>
        <v>1677594.96</v>
      </c>
      <c r="V36" s="65">
        <f>G5</f>
        <v>27</v>
      </c>
      <c r="W36" s="65">
        <f>H5</f>
        <v>12</v>
      </c>
      <c r="X36" s="65">
        <f>I5</f>
        <v>211</v>
      </c>
      <c r="Y36" s="65"/>
      <c r="Z36" s="65"/>
      <c r="AA36" s="65"/>
      <c r="AB36" s="65"/>
      <c r="AC36" s="65"/>
      <c r="AD36" s="83">
        <f>SUM(AD38:AD57)</f>
        <v>43445</v>
      </c>
      <c r="AE36" s="78">
        <f>SUM(AE38:AE57)</f>
        <v>4688528.8000000007</v>
      </c>
    </row>
    <row r="37" spans="1:31" ht="25.5">
      <c r="A37" s="25" t="s">
        <v>3</v>
      </c>
      <c r="B37" s="54" t="s">
        <v>80</v>
      </c>
      <c r="C37" s="54"/>
      <c r="D37" s="25" t="s">
        <v>82</v>
      </c>
      <c r="E37" s="25" t="s">
        <v>83</v>
      </c>
      <c r="F37" s="25" t="s">
        <v>96</v>
      </c>
      <c r="G37" s="25" t="s">
        <v>163</v>
      </c>
      <c r="H37" s="25" t="s">
        <v>134</v>
      </c>
      <c r="I37" s="25" t="s">
        <v>144</v>
      </c>
      <c r="J37" s="58"/>
      <c r="K37" s="25" t="s">
        <v>121</v>
      </c>
      <c r="L37" s="25" t="s">
        <v>122</v>
      </c>
      <c r="M37" s="25" t="s">
        <v>124</v>
      </c>
      <c r="N37" s="84" t="s">
        <v>126</v>
      </c>
      <c r="O37" s="25" t="s">
        <v>164</v>
      </c>
      <c r="P37" s="25" t="s">
        <v>165</v>
      </c>
      <c r="Q37" s="25" t="s">
        <v>133</v>
      </c>
      <c r="R37" s="25" t="s">
        <v>97</v>
      </c>
      <c r="S37" s="84" t="s">
        <v>127</v>
      </c>
      <c r="T37" s="25" t="s">
        <v>166</v>
      </c>
      <c r="V37" s="25" t="s">
        <v>121</v>
      </c>
      <c r="W37" s="25" t="s">
        <v>122</v>
      </c>
      <c r="X37" s="25" t="s">
        <v>124</v>
      </c>
      <c r="Y37" s="84" t="s">
        <v>126</v>
      </c>
      <c r="Z37" s="25" t="s">
        <v>164</v>
      </c>
      <c r="AA37" s="25" t="s">
        <v>165</v>
      </c>
      <c r="AB37" s="25" t="s">
        <v>133</v>
      </c>
      <c r="AC37" s="25" t="s">
        <v>97</v>
      </c>
      <c r="AD37" s="84" t="s">
        <v>127</v>
      </c>
      <c r="AE37" s="25" t="s">
        <v>166</v>
      </c>
    </row>
    <row r="38" spans="1:31" ht="15">
      <c r="A38" s="5"/>
      <c r="B38" s="55" t="s">
        <v>10</v>
      </c>
      <c r="C38" s="75" t="s">
        <v>145</v>
      </c>
      <c r="D38" s="2">
        <v>90</v>
      </c>
      <c r="E38" s="2">
        <v>194400</v>
      </c>
      <c r="F38" s="57">
        <v>90</v>
      </c>
      <c r="G38" s="57">
        <f>F38*(100%-$G$9)</f>
        <v>72</v>
      </c>
      <c r="H38" s="58">
        <v>12</v>
      </c>
      <c r="I38" s="58">
        <v>3</v>
      </c>
      <c r="J38" s="58"/>
      <c r="K38" s="74">
        <f>ROUNDUP($K$36*$K$35,0)</f>
        <v>16</v>
      </c>
      <c r="L38" s="74">
        <v>5</v>
      </c>
      <c r="M38" s="74">
        <f>ROUNDUP($M$36*$M$35,0)</f>
        <v>54</v>
      </c>
      <c r="N38" s="85">
        <f>SUM(K38:M38)</f>
        <v>75</v>
      </c>
      <c r="O38" s="63">
        <v>6</v>
      </c>
      <c r="P38" s="58">
        <v>4</v>
      </c>
      <c r="Q38" s="58">
        <v>3</v>
      </c>
      <c r="R38" s="58">
        <f>O38+(P38*Q38)</f>
        <v>18</v>
      </c>
      <c r="S38" s="95">
        <f>R38*N38</f>
        <v>1350</v>
      </c>
      <c r="T38" s="78">
        <f>S38*$G38</f>
        <v>97200</v>
      </c>
      <c r="V38" s="74">
        <f>ROUNDUP($V$36*$V$35,0)</f>
        <v>25</v>
      </c>
      <c r="W38" s="74">
        <f>ROUNDUP($W$36*$W$35,0)</f>
        <v>11</v>
      </c>
      <c r="X38" s="74">
        <f>ROUNDUP($X$36*$X$35,0)</f>
        <v>180</v>
      </c>
      <c r="Y38" s="85">
        <f>SUM(V38:X38)</f>
        <v>216</v>
      </c>
      <c r="Z38" s="63">
        <v>6</v>
      </c>
      <c r="AA38" s="58">
        <v>4</v>
      </c>
      <c r="AB38" s="58">
        <v>3</v>
      </c>
      <c r="AC38" s="58">
        <f>Z38+(AA38*AB38)</f>
        <v>18</v>
      </c>
      <c r="AD38" s="95">
        <f>AC38*Y38</f>
        <v>3888</v>
      </c>
      <c r="AE38" s="78">
        <f>AD38*$G38</f>
        <v>279936</v>
      </c>
    </row>
    <row r="39" spans="1:31" ht="15">
      <c r="A39" s="5"/>
      <c r="B39" s="55" t="s">
        <v>24</v>
      </c>
      <c r="C39" s="75" t="s">
        <v>147</v>
      </c>
      <c r="D39" s="2">
        <v>100</v>
      </c>
      <c r="E39" s="2">
        <v>288000</v>
      </c>
      <c r="F39" s="57">
        <v>100</v>
      </c>
      <c r="G39" s="57">
        <f t="shared" ref="G39:G57" si="19">F39*(100%-$G$9)</f>
        <v>80</v>
      </c>
      <c r="H39" s="58">
        <v>12</v>
      </c>
      <c r="I39" s="58">
        <v>3</v>
      </c>
      <c r="J39" s="58"/>
      <c r="K39" s="74">
        <f t="shared" ref="K39:K44" si="20">ROUNDUP($K$36*$K$35,0)</f>
        <v>16</v>
      </c>
      <c r="L39" s="74">
        <v>5</v>
      </c>
      <c r="M39" s="74">
        <f t="shared" ref="M39:M44" si="21">ROUNDUP($M$36*$M$35,0)</f>
        <v>54</v>
      </c>
      <c r="N39" s="85">
        <f t="shared" ref="N39:N57" si="22">SUM(K39:M39)</f>
        <v>75</v>
      </c>
      <c r="O39" s="63">
        <v>6</v>
      </c>
      <c r="P39" s="58">
        <v>3</v>
      </c>
      <c r="Q39" s="58">
        <v>3</v>
      </c>
      <c r="R39" s="58">
        <f t="shared" ref="R39:R57" si="23">O39+(P39*Q39)</f>
        <v>15</v>
      </c>
      <c r="S39" s="95">
        <f t="shared" ref="S39:S57" si="24">R39*N39</f>
        <v>1125</v>
      </c>
      <c r="T39" s="78">
        <f t="shared" ref="T39:T57" si="25">S39*$G39</f>
        <v>90000</v>
      </c>
      <c r="V39" s="74">
        <f t="shared" ref="V39:V44" si="26">ROUNDUP($V$36*$V$35,0)</f>
        <v>25</v>
      </c>
      <c r="W39" s="74">
        <f t="shared" ref="W39:W57" si="27">ROUNDUP($W$36*$W$35,0)</f>
        <v>11</v>
      </c>
      <c r="X39" s="74">
        <f t="shared" ref="X39:X44" si="28">ROUNDUP($X$36*$X$35,0)</f>
        <v>180</v>
      </c>
      <c r="Y39" s="85">
        <f t="shared" ref="Y39:Y57" si="29">SUM(V39:X39)</f>
        <v>216</v>
      </c>
      <c r="Z39" s="63">
        <v>6</v>
      </c>
      <c r="AA39" s="58">
        <v>3</v>
      </c>
      <c r="AB39" s="58">
        <v>3</v>
      </c>
      <c r="AC39" s="58">
        <f t="shared" ref="AC39:AC57" si="30">Z39+(AA39*AB39)</f>
        <v>15</v>
      </c>
      <c r="AD39" s="95">
        <f t="shared" ref="AD39:AD57" si="31">AC39*Y39</f>
        <v>3240</v>
      </c>
      <c r="AE39" s="78">
        <f t="shared" ref="AE39:AE57" si="32">AD39*$G39</f>
        <v>259200</v>
      </c>
    </row>
    <row r="40" spans="1:31" ht="15">
      <c r="A40" s="5"/>
      <c r="B40" s="55" t="s">
        <v>33</v>
      </c>
      <c r="C40" s="75" t="s">
        <v>146</v>
      </c>
      <c r="D40" s="2">
        <v>70</v>
      </c>
      <c r="E40" s="2">
        <v>70000</v>
      </c>
      <c r="F40" s="57">
        <v>40</v>
      </c>
      <c r="G40" s="57">
        <f t="shared" si="19"/>
        <v>32</v>
      </c>
      <c r="H40" s="58">
        <v>12</v>
      </c>
      <c r="I40" s="58">
        <v>1</v>
      </c>
      <c r="J40" s="58"/>
      <c r="K40" s="74">
        <f t="shared" si="20"/>
        <v>16</v>
      </c>
      <c r="L40" s="74">
        <v>5</v>
      </c>
      <c r="M40" s="74">
        <f t="shared" si="21"/>
        <v>54</v>
      </c>
      <c r="N40" s="85">
        <f t="shared" si="22"/>
        <v>75</v>
      </c>
      <c r="O40" s="63">
        <v>6</v>
      </c>
      <c r="P40" s="58">
        <v>4</v>
      </c>
      <c r="Q40" s="58">
        <v>3</v>
      </c>
      <c r="R40" s="58">
        <f t="shared" si="23"/>
        <v>18</v>
      </c>
      <c r="S40" s="95">
        <f t="shared" si="24"/>
        <v>1350</v>
      </c>
      <c r="T40" s="78">
        <f t="shared" si="25"/>
        <v>43200</v>
      </c>
      <c r="V40" s="74">
        <f t="shared" si="26"/>
        <v>25</v>
      </c>
      <c r="W40" s="74">
        <f t="shared" si="27"/>
        <v>11</v>
      </c>
      <c r="X40" s="74">
        <f t="shared" si="28"/>
        <v>180</v>
      </c>
      <c r="Y40" s="85">
        <f t="shared" si="29"/>
        <v>216</v>
      </c>
      <c r="Z40" s="63">
        <v>6</v>
      </c>
      <c r="AA40" s="58">
        <v>4</v>
      </c>
      <c r="AB40" s="58">
        <v>3</v>
      </c>
      <c r="AC40" s="58">
        <f t="shared" si="30"/>
        <v>18</v>
      </c>
      <c r="AD40" s="95">
        <f t="shared" si="31"/>
        <v>3888</v>
      </c>
      <c r="AE40" s="78">
        <f t="shared" si="32"/>
        <v>124416</v>
      </c>
    </row>
    <row r="41" spans="1:31" ht="15">
      <c r="A41" s="5"/>
      <c r="B41" s="55" t="s">
        <v>35</v>
      </c>
      <c r="C41" s="79" t="s">
        <v>148</v>
      </c>
      <c r="D41" s="2">
        <v>350</v>
      </c>
      <c r="E41" s="2">
        <v>77000</v>
      </c>
      <c r="F41" s="57">
        <v>300</v>
      </c>
      <c r="G41" s="57">
        <f t="shared" si="19"/>
        <v>240</v>
      </c>
      <c r="H41" s="58">
        <v>12</v>
      </c>
      <c r="I41" s="58">
        <v>5</v>
      </c>
      <c r="J41" s="58"/>
      <c r="K41" s="74">
        <f t="shared" si="20"/>
        <v>16</v>
      </c>
      <c r="L41" s="74">
        <v>5</v>
      </c>
      <c r="M41" s="74">
        <f t="shared" si="21"/>
        <v>54</v>
      </c>
      <c r="N41" s="85">
        <f t="shared" si="22"/>
        <v>75</v>
      </c>
      <c r="O41" s="63">
        <v>6</v>
      </c>
      <c r="P41" s="58">
        <v>4</v>
      </c>
      <c r="Q41" s="58">
        <v>3</v>
      </c>
      <c r="R41" s="58">
        <f t="shared" si="23"/>
        <v>18</v>
      </c>
      <c r="S41" s="95">
        <f t="shared" si="24"/>
        <v>1350</v>
      </c>
      <c r="T41" s="78">
        <f t="shared" si="25"/>
        <v>324000</v>
      </c>
      <c r="V41" s="74">
        <f t="shared" si="26"/>
        <v>25</v>
      </c>
      <c r="W41" s="74">
        <f t="shared" si="27"/>
        <v>11</v>
      </c>
      <c r="X41" s="74">
        <f t="shared" si="28"/>
        <v>180</v>
      </c>
      <c r="Y41" s="85">
        <f t="shared" si="29"/>
        <v>216</v>
      </c>
      <c r="Z41" s="63">
        <v>6</v>
      </c>
      <c r="AA41" s="58">
        <v>4</v>
      </c>
      <c r="AB41" s="58">
        <v>3</v>
      </c>
      <c r="AC41" s="58">
        <f t="shared" si="30"/>
        <v>18</v>
      </c>
      <c r="AD41" s="95">
        <f t="shared" si="31"/>
        <v>3888</v>
      </c>
      <c r="AE41" s="78">
        <f t="shared" si="32"/>
        <v>933120</v>
      </c>
    </row>
    <row r="42" spans="1:31" ht="15">
      <c r="A42" s="5"/>
      <c r="B42" s="55" t="s">
        <v>37</v>
      </c>
      <c r="C42" s="75" t="s">
        <v>149</v>
      </c>
      <c r="D42" s="2">
        <v>70</v>
      </c>
      <c r="E42" s="2">
        <v>19600</v>
      </c>
      <c r="F42" s="57">
        <v>70</v>
      </c>
      <c r="G42" s="57">
        <f t="shared" si="19"/>
        <v>56</v>
      </c>
      <c r="H42" s="58">
        <v>12</v>
      </c>
      <c r="I42" s="58">
        <v>6</v>
      </c>
      <c r="J42" s="58"/>
      <c r="K42" s="74">
        <f t="shared" si="20"/>
        <v>16</v>
      </c>
      <c r="L42" s="74">
        <v>5</v>
      </c>
      <c r="M42" s="74">
        <f t="shared" si="21"/>
        <v>54</v>
      </c>
      <c r="N42" s="85">
        <f t="shared" si="22"/>
        <v>75</v>
      </c>
      <c r="O42" s="63">
        <v>6</v>
      </c>
      <c r="P42" s="58">
        <v>4</v>
      </c>
      <c r="Q42" s="58">
        <v>3</v>
      </c>
      <c r="R42" s="58">
        <f t="shared" si="23"/>
        <v>18</v>
      </c>
      <c r="S42" s="95">
        <f t="shared" si="24"/>
        <v>1350</v>
      </c>
      <c r="T42" s="78">
        <f t="shared" si="25"/>
        <v>75600</v>
      </c>
      <c r="V42" s="74">
        <f t="shared" si="26"/>
        <v>25</v>
      </c>
      <c r="W42" s="74">
        <f t="shared" si="27"/>
        <v>11</v>
      </c>
      <c r="X42" s="74">
        <f t="shared" si="28"/>
        <v>180</v>
      </c>
      <c r="Y42" s="85">
        <f t="shared" si="29"/>
        <v>216</v>
      </c>
      <c r="Z42" s="63">
        <v>6</v>
      </c>
      <c r="AA42" s="58">
        <v>4</v>
      </c>
      <c r="AB42" s="58">
        <v>3</v>
      </c>
      <c r="AC42" s="58">
        <f t="shared" si="30"/>
        <v>18</v>
      </c>
      <c r="AD42" s="95">
        <f t="shared" si="31"/>
        <v>3888</v>
      </c>
      <c r="AE42" s="78">
        <f t="shared" si="32"/>
        <v>217728</v>
      </c>
    </row>
    <row r="43" spans="1:31" ht="15">
      <c r="A43" s="5"/>
      <c r="B43" s="55" t="s">
        <v>40</v>
      </c>
      <c r="C43" s="75" t="s">
        <v>150</v>
      </c>
      <c r="D43" s="2">
        <v>80</v>
      </c>
      <c r="E43" s="2">
        <v>22400</v>
      </c>
      <c r="F43" s="57">
        <v>80</v>
      </c>
      <c r="G43" s="57">
        <f t="shared" si="19"/>
        <v>64</v>
      </c>
      <c r="H43" s="58">
        <v>6</v>
      </c>
      <c r="I43" s="58">
        <v>6</v>
      </c>
      <c r="J43" s="58"/>
      <c r="K43" s="74">
        <f t="shared" si="20"/>
        <v>16</v>
      </c>
      <c r="L43" s="74">
        <v>5</v>
      </c>
      <c r="M43" s="74">
        <f t="shared" si="21"/>
        <v>54</v>
      </c>
      <c r="N43" s="85">
        <f t="shared" si="22"/>
        <v>75</v>
      </c>
      <c r="O43" s="63">
        <v>6</v>
      </c>
      <c r="P43" s="58">
        <v>4</v>
      </c>
      <c r="Q43" s="58">
        <v>3</v>
      </c>
      <c r="R43" s="58">
        <f t="shared" si="23"/>
        <v>18</v>
      </c>
      <c r="S43" s="95">
        <f t="shared" si="24"/>
        <v>1350</v>
      </c>
      <c r="T43" s="78">
        <f t="shared" si="25"/>
        <v>86400</v>
      </c>
      <c r="V43" s="74">
        <f t="shared" si="26"/>
        <v>25</v>
      </c>
      <c r="W43" s="74">
        <f t="shared" si="27"/>
        <v>11</v>
      </c>
      <c r="X43" s="74">
        <f t="shared" si="28"/>
        <v>180</v>
      </c>
      <c r="Y43" s="85">
        <f t="shared" si="29"/>
        <v>216</v>
      </c>
      <c r="Z43" s="63">
        <v>6</v>
      </c>
      <c r="AA43" s="58">
        <v>4</v>
      </c>
      <c r="AB43" s="58">
        <v>3</v>
      </c>
      <c r="AC43" s="58">
        <f t="shared" si="30"/>
        <v>18</v>
      </c>
      <c r="AD43" s="95">
        <f t="shared" si="31"/>
        <v>3888</v>
      </c>
      <c r="AE43" s="78">
        <f t="shared" si="32"/>
        <v>248832</v>
      </c>
    </row>
    <row r="44" spans="1:31" ht="15">
      <c r="A44" s="5"/>
      <c r="B44" s="55" t="s">
        <v>44</v>
      </c>
      <c r="C44" s="75" t="s">
        <v>151</v>
      </c>
      <c r="D44" s="2">
        <v>260</v>
      </c>
      <c r="E44" s="2">
        <v>52000</v>
      </c>
      <c r="F44" s="57">
        <v>260</v>
      </c>
      <c r="G44" s="57">
        <f t="shared" si="19"/>
        <v>208</v>
      </c>
      <c r="H44" s="58">
        <v>10</v>
      </c>
      <c r="I44" s="58">
        <v>12</v>
      </c>
      <c r="J44" s="58"/>
      <c r="K44" s="74">
        <f t="shared" si="20"/>
        <v>16</v>
      </c>
      <c r="L44" s="74">
        <v>5</v>
      </c>
      <c r="M44" s="74">
        <f t="shared" si="21"/>
        <v>54</v>
      </c>
      <c r="N44" s="85">
        <f t="shared" si="22"/>
        <v>75</v>
      </c>
      <c r="O44" s="63">
        <v>6</v>
      </c>
      <c r="P44" s="58">
        <v>4</v>
      </c>
      <c r="Q44" s="58">
        <v>3</v>
      </c>
      <c r="R44" s="58">
        <f t="shared" si="23"/>
        <v>18</v>
      </c>
      <c r="S44" s="95">
        <f t="shared" si="24"/>
        <v>1350</v>
      </c>
      <c r="T44" s="78">
        <f t="shared" si="25"/>
        <v>280800</v>
      </c>
      <c r="V44" s="74">
        <f t="shared" si="26"/>
        <v>25</v>
      </c>
      <c r="W44" s="74">
        <f t="shared" si="27"/>
        <v>11</v>
      </c>
      <c r="X44" s="74">
        <f t="shared" si="28"/>
        <v>180</v>
      </c>
      <c r="Y44" s="85">
        <f t="shared" si="29"/>
        <v>216</v>
      </c>
      <c r="Z44" s="63">
        <v>6</v>
      </c>
      <c r="AA44" s="58">
        <v>4</v>
      </c>
      <c r="AB44" s="58">
        <v>3</v>
      </c>
      <c r="AC44" s="58">
        <f t="shared" si="30"/>
        <v>18</v>
      </c>
      <c r="AD44" s="95">
        <f t="shared" si="31"/>
        <v>3888</v>
      </c>
      <c r="AE44" s="78">
        <f t="shared" si="32"/>
        <v>808704</v>
      </c>
    </row>
    <row r="45" spans="1:31" ht="15">
      <c r="A45" s="5"/>
      <c r="B45" s="5" t="s">
        <v>143</v>
      </c>
      <c r="C45" s="75" t="s">
        <v>152</v>
      </c>
      <c r="D45" s="2">
        <v>24</v>
      </c>
      <c r="E45" s="2">
        <v>24000</v>
      </c>
      <c r="F45" s="57">
        <v>34.299999999999997</v>
      </c>
      <c r="G45" s="57">
        <f t="shared" si="19"/>
        <v>27.439999999999998</v>
      </c>
      <c r="H45" s="58">
        <v>12</v>
      </c>
      <c r="I45" s="58">
        <v>1</v>
      </c>
      <c r="J45" s="58" t="s">
        <v>139</v>
      </c>
      <c r="K45" s="58">
        <v>0</v>
      </c>
      <c r="L45" s="74">
        <v>0</v>
      </c>
      <c r="M45" s="74">
        <v>63</v>
      </c>
      <c r="N45" s="85">
        <f t="shared" si="22"/>
        <v>63</v>
      </c>
      <c r="O45" s="63">
        <v>3</v>
      </c>
      <c r="P45" s="58">
        <v>2</v>
      </c>
      <c r="Q45" s="58">
        <v>5</v>
      </c>
      <c r="R45" s="58">
        <f t="shared" si="23"/>
        <v>13</v>
      </c>
      <c r="S45" s="95">
        <f t="shared" si="24"/>
        <v>819</v>
      </c>
      <c r="T45" s="78">
        <f t="shared" si="25"/>
        <v>22473.359999999997</v>
      </c>
      <c r="V45" s="58">
        <v>0</v>
      </c>
      <c r="W45" s="74">
        <v>0</v>
      </c>
      <c r="X45" s="74">
        <v>200</v>
      </c>
      <c r="Y45" s="85">
        <f t="shared" si="29"/>
        <v>200</v>
      </c>
      <c r="Z45" s="63">
        <v>3</v>
      </c>
      <c r="AA45" s="58">
        <v>2</v>
      </c>
      <c r="AB45" s="58">
        <v>5</v>
      </c>
      <c r="AC45" s="58">
        <f t="shared" si="30"/>
        <v>13</v>
      </c>
      <c r="AD45" s="95">
        <f t="shared" si="31"/>
        <v>2600</v>
      </c>
      <c r="AE45" s="78">
        <f t="shared" si="32"/>
        <v>71344</v>
      </c>
    </row>
    <row r="46" spans="1:31" ht="15">
      <c r="A46" s="5"/>
      <c r="B46" s="55" t="s">
        <v>49</v>
      </c>
      <c r="C46" s="75" t="s">
        <v>154</v>
      </c>
      <c r="D46" s="2">
        <v>12</v>
      </c>
      <c r="E46" s="2">
        <v>24000</v>
      </c>
      <c r="F46" s="57">
        <v>10.5</v>
      </c>
      <c r="G46" s="57">
        <f t="shared" si="19"/>
        <v>8.4</v>
      </c>
      <c r="H46" s="58">
        <v>12</v>
      </c>
      <c r="I46" s="58">
        <v>1</v>
      </c>
      <c r="J46" s="58"/>
      <c r="K46" s="74">
        <v>0</v>
      </c>
      <c r="L46" s="74">
        <v>5</v>
      </c>
      <c r="M46" s="74">
        <v>63</v>
      </c>
      <c r="N46" s="85">
        <f t="shared" si="22"/>
        <v>68</v>
      </c>
      <c r="O46" s="63">
        <v>6</v>
      </c>
      <c r="P46" s="58">
        <v>3</v>
      </c>
      <c r="Q46" s="58">
        <v>4</v>
      </c>
      <c r="R46" s="58">
        <f t="shared" si="23"/>
        <v>18</v>
      </c>
      <c r="S46" s="95">
        <f t="shared" si="24"/>
        <v>1224</v>
      </c>
      <c r="T46" s="78">
        <f t="shared" si="25"/>
        <v>10281.6</v>
      </c>
      <c r="V46" s="74">
        <v>0</v>
      </c>
      <c r="W46" s="74">
        <f t="shared" si="27"/>
        <v>11</v>
      </c>
      <c r="X46" s="74">
        <v>100</v>
      </c>
      <c r="Y46" s="85">
        <f t="shared" si="29"/>
        <v>111</v>
      </c>
      <c r="Z46" s="63">
        <v>6</v>
      </c>
      <c r="AA46" s="58">
        <v>3</v>
      </c>
      <c r="AB46" s="58">
        <v>4</v>
      </c>
      <c r="AC46" s="58">
        <f t="shared" si="30"/>
        <v>18</v>
      </c>
      <c r="AD46" s="95">
        <f t="shared" si="31"/>
        <v>1998</v>
      </c>
      <c r="AE46" s="78">
        <f t="shared" si="32"/>
        <v>16783.2</v>
      </c>
    </row>
    <row r="47" spans="1:31" ht="15">
      <c r="A47" s="5"/>
      <c r="B47" s="55" t="s">
        <v>52</v>
      </c>
      <c r="C47" s="75" t="s">
        <v>153</v>
      </c>
      <c r="D47" s="2">
        <v>70</v>
      </c>
      <c r="E47" s="2">
        <v>21000</v>
      </c>
      <c r="F47" s="57">
        <v>70</v>
      </c>
      <c r="G47" s="57">
        <f t="shared" si="19"/>
        <v>56</v>
      </c>
      <c r="H47" s="58">
        <v>12</v>
      </c>
      <c r="I47" s="58">
        <v>1</v>
      </c>
      <c r="J47" s="58" t="s">
        <v>140</v>
      </c>
      <c r="K47" s="74">
        <f t="shared" ref="K47:K57" si="33">ROUNDUP($K$36*$K$35,0)</f>
        <v>16</v>
      </c>
      <c r="L47" s="74">
        <v>0</v>
      </c>
      <c r="M47" s="74">
        <f t="shared" ref="M47:M49" si="34">ROUNDUP($M$36*$M$35,0)</f>
        <v>54</v>
      </c>
      <c r="N47" s="85">
        <f t="shared" si="22"/>
        <v>70</v>
      </c>
      <c r="O47" s="63">
        <v>3</v>
      </c>
      <c r="P47" s="58">
        <v>2</v>
      </c>
      <c r="Q47" s="58">
        <v>5</v>
      </c>
      <c r="R47" s="58">
        <f t="shared" si="23"/>
        <v>13</v>
      </c>
      <c r="S47" s="95">
        <f t="shared" si="24"/>
        <v>910</v>
      </c>
      <c r="T47" s="78">
        <f t="shared" si="25"/>
        <v>50960</v>
      </c>
      <c r="V47" s="74">
        <f t="shared" ref="V47:V57" si="35">ROUNDUP($V$36*$V$35,0)</f>
        <v>25</v>
      </c>
      <c r="W47" s="74">
        <v>0</v>
      </c>
      <c r="X47" s="74">
        <f t="shared" ref="X47:X49" si="36">ROUNDUP($X$36*$X$35,0)</f>
        <v>180</v>
      </c>
      <c r="Y47" s="85">
        <f t="shared" si="29"/>
        <v>205</v>
      </c>
      <c r="Z47" s="63">
        <v>3</v>
      </c>
      <c r="AA47" s="58">
        <v>2</v>
      </c>
      <c r="AB47" s="58">
        <v>5</v>
      </c>
      <c r="AC47" s="58">
        <f t="shared" si="30"/>
        <v>13</v>
      </c>
      <c r="AD47" s="95">
        <f t="shared" si="31"/>
        <v>2665</v>
      </c>
      <c r="AE47" s="78">
        <f t="shared" si="32"/>
        <v>149240</v>
      </c>
    </row>
    <row r="48" spans="1:31" ht="15">
      <c r="A48" s="5"/>
      <c r="B48" s="55" t="s">
        <v>159</v>
      </c>
      <c r="C48" s="75" t="s">
        <v>155</v>
      </c>
      <c r="D48" s="2">
        <v>140</v>
      </c>
      <c r="E48" s="2">
        <v>42000</v>
      </c>
      <c r="F48" s="57">
        <v>140</v>
      </c>
      <c r="G48" s="57">
        <f t="shared" si="19"/>
        <v>112</v>
      </c>
      <c r="H48" s="58">
        <v>12</v>
      </c>
      <c r="I48" s="58">
        <v>2</v>
      </c>
      <c r="J48" s="58"/>
      <c r="K48" s="74">
        <f t="shared" si="33"/>
        <v>16</v>
      </c>
      <c r="L48" s="74">
        <v>5</v>
      </c>
      <c r="M48" s="74">
        <f t="shared" si="34"/>
        <v>54</v>
      </c>
      <c r="N48" s="85">
        <f t="shared" si="22"/>
        <v>75</v>
      </c>
      <c r="O48" s="63">
        <v>2</v>
      </c>
      <c r="P48" s="58">
        <v>1</v>
      </c>
      <c r="Q48" s="58">
        <v>3</v>
      </c>
      <c r="R48" s="58">
        <f t="shared" si="23"/>
        <v>5</v>
      </c>
      <c r="S48" s="95">
        <f t="shared" si="24"/>
        <v>375</v>
      </c>
      <c r="T48" s="78">
        <f t="shared" si="25"/>
        <v>42000</v>
      </c>
      <c r="V48" s="74">
        <f t="shared" si="35"/>
        <v>25</v>
      </c>
      <c r="W48" s="74">
        <f t="shared" si="27"/>
        <v>11</v>
      </c>
      <c r="X48" s="74">
        <f t="shared" si="36"/>
        <v>180</v>
      </c>
      <c r="Y48" s="85">
        <f t="shared" si="29"/>
        <v>216</v>
      </c>
      <c r="Z48" s="63">
        <v>2</v>
      </c>
      <c r="AA48" s="58">
        <v>1</v>
      </c>
      <c r="AB48" s="58">
        <v>3</v>
      </c>
      <c r="AC48" s="58">
        <f t="shared" si="30"/>
        <v>5</v>
      </c>
      <c r="AD48" s="95">
        <f t="shared" si="31"/>
        <v>1080</v>
      </c>
      <c r="AE48" s="78">
        <f t="shared" si="32"/>
        <v>120960</v>
      </c>
    </row>
    <row r="49" spans="1:31" ht="15">
      <c r="A49" s="5"/>
      <c r="B49" s="55">
        <v>3051</v>
      </c>
      <c r="C49" s="75" t="s">
        <v>156</v>
      </c>
      <c r="D49" s="2">
        <v>75</v>
      </c>
      <c r="E49" s="2">
        <v>37500</v>
      </c>
      <c r="F49" s="57">
        <v>156</v>
      </c>
      <c r="G49" s="57">
        <f t="shared" si="19"/>
        <v>124.80000000000001</v>
      </c>
      <c r="H49" s="58">
        <v>9</v>
      </c>
      <c r="I49" s="58">
        <v>5</v>
      </c>
      <c r="J49" s="58"/>
      <c r="K49" s="74">
        <f t="shared" si="33"/>
        <v>16</v>
      </c>
      <c r="L49" s="74">
        <v>5</v>
      </c>
      <c r="M49" s="74">
        <f t="shared" si="34"/>
        <v>54</v>
      </c>
      <c r="N49" s="85">
        <f t="shared" si="22"/>
        <v>75</v>
      </c>
      <c r="O49" s="63">
        <v>5</v>
      </c>
      <c r="P49" s="58">
        <v>4</v>
      </c>
      <c r="Q49" s="58">
        <v>3</v>
      </c>
      <c r="R49" s="58">
        <f t="shared" si="23"/>
        <v>17</v>
      </c>
      <c r="S49" s="95">
        <f t="shared" si="24"/>
        <v>1275</v>
      </c>
      <c r="T49" s="78">
        <f t="shared" si="25"/>
        <v>159120</v>
      </c>
      <c r="V49" s="74">
        <f t="shared" si="35"/>
        <v>25</v>
      </c>
      <c r="W49" s="74">
        <f t="shared" si="27"/>
        <v>11</v>
      </c>
      <c r="X49" s="74">
        <f t="shared" si="36"/>
        <v>180</v>
      </c>
      <c r="Y49" s="85">
        <f t="shared" si="29"/>
        <v>216</v>
      </c>
      <c r="Z49" s="63">
        <v>5</v>
      </c>
      <c r="AA49" s="58">
        <v>4</v>
      </c>
      <c r="AB49" s="58">
        <v>3</v>
      </c>
      <c r="AC49" s="58">
        <f t="shared" si="30"/>
        <v>17</v>
      </c>
      <c r="AD49" s="95">
        <f t="shared" si="31"/>
        <v>3672</v>
      </c>
      <c r="AE49" s="78">
        <f t="shared" si="32"/>
        <v>458265.60000000003</v>
      </c>
    </row>
    <row r="50" spans="1:31" ht="15">
      <c r="A50" s="5"/>
      <c r="B50" s="55" t="s">
        <v>61</v>
      </c>
      <c r="C50" s="75" t="s">
        <v>157</v>
      </c>
      <c r="D50" s="2">
        <v>550</v>
      </c>
      <c r="E50" s="2">
        <v>55000</v>
      </c>
      <c r="F50" s="57">
        <v>550</v>
      </c>
      <c r="G50" s="57">
        <f t="shared" si="19"/>
        <v>440</v>
      </c>
      <c r="H50" s="58">
        <v>12</v>
      </c>
      <c r="I50" s="58">
        <v>1</v>
      </c>
      <c r="J50" s="58"/>
      <c r="K50" s="74">
        <f t="shared" si="33"/>
        <v>16</v>
      </c>
      <c r="L50" s="74">
        <v>5</v>
      </c>
      <c r="M50" s="74">
        <v>20</v>
      </c>
      <c r="N50" s="85">
        <f t="shared" si="22"/>
        <v>41</v>
      </c>
      <c r="O50" s="63">
        <v>1</v>
      </c>
      <c r="P50" s="58">
        <v>1</v>
      </c>
      <c r="Q50" s="58">
        <v>2</v>
      </c>
      <c r="R50" s="58">
        <f t="shared" si="23"/>
        <v>3</v>
      </c>
      <c r="S50" s="95">
        <f t="shared" si="24"/>
        <v>123</v>
      </c>
      <c r="T50" s="78">
        <f t="shared" si="25"/>
        <v>54120</v>
      </c>
      <c r="V50" s="74">
        <f t="shared" si="35"/>
        <v>25</v>
      </c>
      <c r="W50" s="74">
        <f t="shared" si="27"/>
        <v>11</v>
      </c>
      <c r="X50" s="74">
        <v>50</v>
      </c>
      <c r="Y50" s="85">
        <f t="shared" si="29"/>
        <v>86</v>
      </c>
      <c r="Z50" s="63">
        <v>1</v>
      </c>
      <c r="AA50" s="58">
        <v>1</v>
      </c>
      <c r="AB50" s="58">
        <v>2</v>
      </c>
      <c r="AC50" s="58">
        <f t="shared" si="30"/>
        <v>3</v>
      </c>
      <c r="AD50" s="95">
        <f t="shared" si="31"/>
        <v>258</v>
      </c>
      <c r="AE50" s="78">
        <f t="shared" si="32"/>
        <v>113520</v>
      </c>
    </row>
    <row r="51" spans="1:31" ht="15">
      <c r="A51" s="5"/>
      <c r="B51" s="55" t="s">
        <v>64</v>
      </c>
      <c r="C51" s="75" t="s">
        <v>158</v>
      </c>
      <c r="D51" s="2">
        <v>550</v>
      </c>
      <c r="E51" s="2">
        <v>55000</v>
      </c>
      <c r="F51" s="57">
        <v>550</v>
      </c>
      <c r="G51" s="57">
        <f t="shared" si="19"/>
        <v>440</v>
      </c>
      <c r="H51" s="58">
        <v>12</v>
      </c>
      <c r="I51" s="58">
        <v>1</v>
      </c>
      <c r="J51" s="58"/>
      <c r="K51" s="74">
        <f t="shared" si="33"/>
        <v>16</v>
      </c>
      <c r="L51" s="74">
        <v>5</v>
      </c>
      <c r="M51" s="74">
        <v>20</v>
      </c>
      <c r="N51" s="85">
        <f t="shared" si="22"/>
        <v>41</v>
      </c>
      <c r="O51" s="63">
        <v>1</v>
      </c>
      <c r="P51" s="58">
        <v>1</v>
      </c>
      <c r="Q51" s="58">
        <v>2</v>
      </c>
      <c r="R51" s="58">
        <f t="shared" si="23"/>
        <v>3</v>
      </c>
      <c r="S51" s="95">
        <f t="shared" si="24"/>
        <v>123</v>
      </c>
      <c r="T51" s="78">
        <f t="shared" si="25"/>
        <v>54120</v>
      </c>
      <c r="V51" s="74">
        <f t="shared" si="35"/>
        <v>25</v>
      </c>
      <c r="W51" s="74">
        <f t="shared" si="27"/>
        <v>11</v>
      </c>
      <c r="X51" s="74">
        <v>50</v>
      </c>
      <c r="Y51" s="85">
        <f t="shared" si="29"/>
        <v>86</v>
      </c>
      <c r="Z51" s="63">
        <v>1</v>
      </c>
      <c r="AA51" s="58">
        <v>1</v>
      </c>
      <c r="AB51" s="58">
        <v>2</v>
      </c>
      <c r="AC51" s="58">
        <f t="shared" si="30"/>
        <v>3</v>
      </c>
      <c r="AD51" s="95">
        <f t="shared" si="31"/>
        <v>258</v>
      </c>
      <c r="AE51" s="78">
        <f t="shared" si="32"/>
        <v>113520</v>
      </c>
    </row>
    <row r="52" spans="1:31" ht="15">
      <c r="A52" s="5"/>
      <c r="B52" s="55" t="s">
        <v>66</v>
      </c>
      <c r="C52" s="75"/>
      <c r="D52" s="2">
        <v>265</v>
      </c>
      <c r="E52" s="2">
        <v>53000</v>
      </c>
      <c r="F52" s="57">
        <v>265</v>
      </c>
      <c r="G52" s="57">
        <f t="shared" si="19"/>
        <v>212</v>
      </c>
      <c r="H52" s="58">
        <v>3</v>
      </c>
      <c r="I52" s="58">
        <v>1</v>
      </c>
      <c r="J52" s="58"/>
      <c r="K52" s="74">
        <f t="shared" si="33"/>
        <v>16</v>
      </c>
      <c r="L52" s="74">
        <v>5</v>
      </c>
      <c r="M52" s="74">
        <v>0</v>
      </c>
      <c r="N52" s="85">
        <f t="shared" si="22"/>
        <v>21</v>
      </c>
      <c r="O52" s="63">
        <v>1</v>
      </c>
      <c r="P52" s="58">
        <v>1</v>
      </c>
      <c r="Q52" s="58">
        <v>1</v>
      </c>
      <c r="R52" s="58">
        <f t="shared" si="23"/>
        <v>2</v>
      </c>
      <c r="S52" s="95">
        <f t="shared" si="24"/>
        <v>42</v>
      </c>
      <c r="T52" s="78">
        <f t="shared" si="25"/>
        <v>8904</v>
      </c>
      <c r="V52" s="74">
        <f t="shared" si="35"/>
        <v>25</v>
      </c>
      <c r="W52" s="74">
        <f t="shared" si="27"/>
        <v>11</v>
      </c>
      <c r="X52" s="74">
        <v>0</v>
      </c>
      <c r="Y52" s="85">
        <f t="shared" si="29"/>
        <v>36</v>
      </c>
      <c r="Z52" s="63">
        <v>1</v>
      </c>
      <c r="AA52" s="58">
        <v>1</v>
      </c>
      <c r="AB52" s="58">
        <v>1</v>
      </c>
      <c r="AC52" s="58">
        <f t="shared" si="30"/>
        <v>2</v>
      </c>
      <c r="AD52" s="95">
        <f t="shared" si="31"/>
        <v>72</v>
      </c>
      <c r="AE52" s="78">
        <f t="shared" si="32"/>
        <v>15264</v>
      </c>
    </row>
    <row r="53" spans="1:31" ht="15">
      <c r="A53" s="5"/>
      <c r="B53" s="55" t="s">
        <v>67</v>
      </c>
      <c r="C53" s="75"/>
      <c r="D53" s="2">
        <v>350</v>
      </c>
      <c r="E53" s="2">
        <v>17500</v>
      </c>
      <c r="F53" s="57">
        <v>265</v>
      </c>
      <c r="G53" s="57">
        <f t="shared" si="19"/>
        <v>212</v>
      </c>
      <c r="H53" s="67">
        <v>0</v>
      </c>
      <c r="I53" s="67">
        <v>1</v>
      </c>
      <c r="J53" s="67"/>
      <c r="K53" s="81">
        <f t="shared" si="33"/>
        <v>16</v>
      </c>
      <c r="L53" s="81">
        <v>5</v>
      </c>
      <c r="M53" s="81">
        <v>0</v>
      </c>
      <c r="N53" s="86">
        <f t="shared" si="22"/>
        <v>21</v>
      </c>
      <c r="O53" s="82">
        <v>0</v>
      </c>
      <c r="P53" s="67"/>
      <c r="Q53" s="67"/>
      <c r="R53" s="58">
        <f t="shared" si="23"/>
        <v>0</v>
      </c>
      <c r="S53" s="95">
        <f t="shared" si="24"/>
        <v>0</v>
      </c>
      <c r="T53" s="78">
        <f t="shared" si="25"/>
        <v>0</v>
      </c>
      <c r="V53" s="81">
        <f t="shared" si="35"/>
        <v>25</v>
      </c>
      <c r="W53" s="81">
        <f t="shared" si="27"/>
        <v>11</v>
      </c>
      <c r="X53" s="81">
        <v>0</v>
      </c>
      <c r="Y53" s="86">
        <f t="shared" si="29"/>
        <v>36</v>
      </c>
      <c r="Z53" s="82">
        <v>0</v>
      </c>
      <c r="AA53" s="67"/>
      <c r="AB53" s="67"/>
      <c r="AC53" s="58">
        <f t="shared" si="30"/>
        <v>0</v>
      </c>
      <c r="AD53" s="95">
        <f t="shared" si="31"/>
        <v>0</v>
      </c>
      <c r="AE53" s="78">
        <f t="shared" si="32"/>
        <v>0</v>
      </c>
    </row>
    <row r="54" spans="1:31" ht="15">
      <c r="A54" s="5"/>
      <c r="B54" s="55" t="s">
        <v>141</v>
      </c>
      <c r="C54" s="75" t="s">
        <v>160</v>
      </c>
      <c r="D54" s="2">
        <v>440</v>
      </c>
      <c r="E54" s="2">
        <v>26400</v>
      </c>
      <c r="F54" s="57">
        <v>440</v>
      </c>
      <c r="G54" s="57">
        <f t="shared" si="19"/>
        <v>352</v>
      </c>
      <c r="H54" s="58">
        <v>12</v>
      </c>
      <c r="I54" s="58">
        <v>4</v>
      </c>
      <c r="J54" s="58"/>
      <c r="K54" s="74">
        <f t="shared" si="33"/>
        <v>16</v>
      </c>
      <c r="L54" s="74">
        <v>5</v>
      </c>
      <c r="M54" s="74">
        <f t="shared" ref="M54" si="37">ROUNDUP($M$36*$M$35,0)</f>
        <v>54</v>
      </c>
      <c r="N54" s="85">
        <f t="shared" si="22"/>
        <v>75</v>
      </c>
      <c r="O54" s="63">
        <v>2</v>
      </c>
      <c r="P54" s="58">
        <v>1</v>
      </c>
      <c r="Q54" s="58">
        <v>3</v>
      </c>
      <c r="R54" s="58">
        <f t="shared" si="23"/>
        <v>5</v>
      </c>
      <c r="S54" s="95">
        <f t="shared" si="24"/>
        <v>375</v>
      </c>
      <c r="T54" s="78">
        <f t="shared" si="25"/>
        <v>132000</v>
      </c>
      <c r="V54" s="74">
        <f t="shared" si="35"/>
        <v>25</v>
      </c>
      <c r="W54" s="74">
        <f t="shared" si="27"/>
        <v>11</v>
      </c>
      <c r="X54" s="74">
        <f t="shared" ref="X54" si="38">ROUNDUP($X$36*$X$35,0)</f>
        <v>180</v>
      </c>
      <c r="Y54" s="85">
        <f t="shared" si="29"/>
        <v>216</v>
      </c>
      <c r="Z54" s="63">
        <v>2</v>
      </c>
      <c r="AA54" s="58">
        <v>1</v>
      </c>
      <c r="AB54" s="58">
        <v>3</v>
      </c>
      <c r="AC54" s="58">
        <f t="shared" si="30"/>
        <v>5</v>
      </c>
      <c r="AD54" s="95">
        <f t="shared" si="31"/>
        <v>1080</v>
      </c>
      <c r="AE54" s="78">
        <f t="shared" si="32"/>
        <v>380160</v>
      </c>
    </row>
    <row r="55" spans="1:31" ht="15">
      <c r="A55" s="5"/>
      <c r="B55" s="55" t="s">
        <v>69</v>
      </c>
      <c r="C55" s="75"/>
      <c r="D55" s="2">
        <v>160</v>
      </c>
      <c r="E55" s="2">
        <v>56000</v>
      </c>
      <c r="F55" s="57">
        <v>160</v>
      </c>
      <c r="G55" s="57">
        <f t="shared" si="19"/>
        <v>128</v>
      </c>
      <c r="H55" s="58">
        <v>4</v>
      </c>
      <c r="I55" s="58">
        <v>2</v>
      </c>
      <c r="J55" s="58"/>
      <c r="K55" s="74">
        <f t="shared" si="33"/>
        <v>16</v>
      </c>
      <c r="L55" s="74">
        <v>5</v>
      </c>
      <c r="M55" s="74">
        <v>20</v>
      </c>
      <c r="N55" s="85">
        <f t="shared" si="22"/>
        <v>41</v>
      </c>
      <c r="O55" s="63">
        <v>1</v>
      </c>
      <c r="P55" s="58">
        <v>1</v>
      </c>
      <c r="Q55" s="58">
        <v>1</v>
      </c>
      <c r="R55" s="58">
        <f t="shared" si="23"/>
        <v>2</v>
      </c>
      <c r="S55" s="95">
        <f t="shared" si="24"/>
        <v>82</v>
      </c>
      <c r="T55" s="78">
        <f t="shared" si="25"/>
        <v>10496</v>
      </c>
      <c r="V55" s="74">
        <f t="shared" si="35"/>
        <v>25</v>
      </c>
      <c r="W55" s="74">
        <f t="shared" si="27"/>
        <v>11</v>
      </c>
      <c r="X55" s="74">
        <v>50</v>
      </c>
      <c r="Y55" s="85">
        <f t="shared" si="29"/>
        <v>86</v>
      </c>
      <c r="Z55" s="63">
        <v>1</v>
      </c>
      <c r="AA55" s="58">
        <v>1</v>
      </c>
      <c r="AB55" s="58">
        <v>1</v>
      </c>
      <c r="AC55" s="58">
        <f t="shared" si="30"/>
        <v>2</v>
      </c>
      <c r="AD55" s="95">
        <f t="shared" si="31"/>
        <v>172</v>
      </c>
      <c r="AE55" s="78">
        <f t="shared" si="32"/>
        <v>22016</v>
      </c>
    </row>
    <row r="56" spans="1:31" ht="15">
      <c r="A56" s="5"/>
      <c r="B56" s="5" t="s">
        <v>142</v>
      </c>
      <c r="C56" s="75" t="s">
        <v>162</v>
      </c>
      <c r="D56" s="14"/>
      <c r="E56" s="2"/>
      <c r="F56" s="57">
        <v>280</v>
      </c>
      <c r="G56" s="57">
        <f t="shared" si="19"/>
        <v>224</v>
      </c>
      <c r="H56" s="58">
        <v>12</v>
      </c>
      <c r="I56" s="58">
        <v>1</v>
      </c>
      <c r="K56" s="74">
        <f t="shared" si="33"/>
        <v>16</v>
      </c>
      <c r="L56" s="74">
        <v>5</v>
      </c>
      <c r="M56" s="74">
        <v>20</v>
      </c>
      <c r="N56" s="85">
        <f t="shared" si="22"/>
        <v>41</v>
      </c>
      <c r="O56" s="63">
        <v>2</v>
      </c>
      <c r="P56" s="58">
        <v>1</v>
      </c>
      <c r="Q56" s="58">
        <v>3</v>
      </c>
      <c r="R56" s="58">
        <f t="shared" si="23"/>
        <v>5</v>
      </c>
      <c r="S56" s="95">
        <f t="shared" si="24"/>
        <v>205</v>
      </c>
      <c r="T56" s="78">
        <f t="shared" si="25"/>
        <v>45920</v>
      </c>
      <c r="V56" s="74">
        <f t="shared" si="35"/>
        <v>25</v>
      </c>
      <c r="W56" s="74">
        <f t="shared" si="27"/>
        <v>11</v>
      </c>
      <c r="X56" s="74">
        <v>50</v>
      </c>
      <c r="Y56" s="85">
        <f t="shared" si="29"/>
        <v>86</v>
      </c>
      <c r="Z56" s="63">
        <v>2</v>
      </c>
      <c r="AA56" s="58">
        <v>1</v>
      </c>
      <c r="AB56" s="58">
        <v>3</v>
      </c>
      <c r="AC56" s="58">
        <f t="shared" si="30"/>
        <v>5</v>
      </c>
      <c r="AD56" s="95">
        <f t="shared" si="31"/>
        <v>430</v>
      </c>
      <c r="AE56" s="78">
        <f t="shared" si="32"/>
        <v>96320</v>
      </c>
    </row>
    <row r="57" spans="1:31" ht="15">
      <c r="A57" s="5"/>
      <c r="B57" s="5" t="s">
        <v>75</v>
      </c>
      <c r="C57" s="75" t="s">
        <v>161</v>
      </c>
      <c r="D57" s="2">
        <v>75</v>
      </c>
      <c r="E57" s="2">
        <v>7500</v>
      </c>
      <c r="F57" s="57">
        <v>125</v>
      </c>
      <c r="G57" s="57">
        <f t="shared" si="19"/>
        <v>100</v>
      </c>
      <c r="I57" s="58">
        <v>6</v>
      </c>
      <c r="K57" s="74">
        <f t="shared" si="33"/>
        <v>16</v>
      </c>
      <c r="L57" s="74">
        <v>5</v>
      </c>
      <c r="M57" s="74">
        <f t="shared" ref="M57" si="39">ROUNDUP($M$36*$M$35,0)</f>
        <v>54</v>
      </c>
      <c r="N57" s="85">
        <f t="shared" si="22"/>
        <v>75</v>
      </c>
      <c r="O57" s="63">
        <v>6</v>
      </c>
      <c r="P57" s="58">
        <v>3</v>
      </c>
      <c r="Q57" s="58">
        <v>2</v>
      </c>
      <c r="R57" s="58">
        <f t="shared" si="23"/>
        <v>12</v>
      </c>
      <c r="S57" s="95">
        <f t="shared" si="24"/>
        <v>900</v>
      </c>
      <c r="T57" s="78">
        <f t="shared" si="25"/>
        <v>90000</v>
      </c>
      <c r="V57" s="74">
        <f t="shared" si="35"/>
        <v>25</v>
      </c>
      <c r="W57" s="74">
        <f t="shared" si="27"/>
        <v>11</v>
      </c>
      <c r="X57" s="74">
        <f t="shared" ref="X57" si="40">ROUNDUP($X$36*$X$35,0)</f>
        <v>180</v>
      </c>
      <c r="Y57" s="85">
        <f t="shared" si="29"/>
        <v>216</v>
      </c>
      <c r="Z57" s="63">
        <v>6</v>
      </c>
      <c r="AA57" s="58">
        <v>3</v>
      </c>
      <c r="AB57" s="58">
        <v>2</v>
      </c>
      <c r="AC57" s="58">
        <f t="shared" si="30"/>
        <v>12</v>
      </c>
      <c r="AD57" s="95">
        <f t="shared" si="31"/>
        <v>2592</v>
      </c>
      <c r="AE57" s="78">
        <f t="shared" si="32"/>
        <v>259200</v>
      </c>
    </row>
    <row r="61" spans="1:31" ht="25.5">
      <c r="A61" s="88" t="s">
        <v>3</v>
      </c>
      <c r="B61" s="89" t="s">
        <v>80</v>
      </c>
      <c r="C61" s="89"/>
      <c r="D61" s="88" t="s">
        <v>82</v>
      </c>
      <c r="E61" s="88" t="s">
        <v>83</v>
      </c>
      <c r="F61" s="88" t="s">
        <v>96</v>
      </c>
      <c r="G61" s="88" t="s">
        <v>163</v>
      </c>
      <c r="H61" s="88" t="s">
        <v>134</v>
      </c>
      <c r="I61" s="88" t="s">
        <v>167</v>
      </c>
      <c r="J61" s="88" t="s">
        <v>168</v>
      </c>
    </row>
    <row r="62" spans="1:31" ht="15">
      <c r="A62" s="5"/>
      <c r="B62" s="55" t="s">
        <v>10</v>
      </c>
      <c r="C62" s="75" t="s">
        <v>145</v>
      </c>
      <c r="D62" s="2">
        <v>90</v>
      </c>
      <c r="E62" s="2">
        <v>194400</v>
      </c>
      <c r="F62" s="57">
        <v>90</v>
      </c>
      <c r="G62" s="57">
        <f>F62*(100%-$G$9)</f>
        <v>72</v>
      </c>
      <c r="H62" s="58">
        <v>12</v>
      </c>
      <c r="I62" s="83">
        <f>S11+S38+AD11+AD38</f>
        <v>7956</v>
      </c>
      <c r="J62" s="59">
        <f>T11+AE11+T38+AE38</f>
        <v>572832</v>
      </c>
      <c r="K62" s="77"/>
    </row>
    <row r="63" spans="1:31" ht="15">
      <c r="A63" s="5"/>
      <c r="B63" s="55" t="s">
        <v>24</v>
      </c>
      <c r="C63" s="75" t="s">
        <v>147</v>
      </c>
      <c r="D63" s="2">
        <v>100</v>
      </c>
      <c r="E63" s="2">
        <v>288000</v>
      </c>
      <c r="F63" s="57">
        <v>100</v>
      </c>
      <c r="G63" s="57">
        <f t="shared" ref="G63:G81" si="41">F63*(100%-$G$9)</f>
        <v>80</v>
      </c>
      <c r="H63" s="58">
        <v>12</v>
      </c>
      <c r="I63" s="83">
        <f t="shared" ref="I63:I81" si="42">S12+S39+AD12+AD39</f>
        <v>6630</v>
      </c>
      <c r="J63" s="59">
        <f t="shared" ref="J63:J81" si="43">T12+AE12+T39+AE39</f>
        <v>530400</v>
      </c>
      <c r="K63" s="77"/>
    </row>
    <row r="64" spans="1:31" ht="15">
      <c r="A64" s="5"/>
      <c r="B64" s="55" t="s">
        <v>33</v>
      </c>
      <c r="C64" s="75" t="s">
        <v>146</v>
      </c>
      <c r="D64" s="2">
        <v>70</v>
      </c>
      <c r="E64" s="2">
        <v>70000</v>
      </c>
      <c r="F64" s="57">
        <v>40</v>
      </c>
      <c r="G64" s="57">
        <f t="shared" si="41"/>
        <v>32</v>
      </c>
      <c r="H64" s="58">
        <v>12</v>
      </c>
      <c r="I64" s="83">
        <f t="shared" si="42"/>
        <v>7956</v>
      </c>
      <c r="J64" s="59">
        <f t="shared" si="43"/>
        <v>254592</v>
      </c>
      <c r="K64" s="77"/>
    </row>
    <row r="65" spans="1:11" ht="15">
      <c r="A65" s="5"/>
      <c r="B65" s="55" t="s">
        <v>35</v>
      </c>
      <c r="C65" s="79" t="s">
        <v>148</v>
      </c>
      <c r="D65" s="2">
        <v>350</v>
      </c>
      <c r="E65" s="2">
        <v>77000</v>
      </c>
      <c r="F65" s="57">
        <v>300</v>
      </c>
      <c r="G65" s="57">
        <f t="shared" si="41"/>
        <v>240</v>
      </c>
      <c r="H65" s="58">
        <v>12</v>
      </c>
      <c r="I65" s="83">
        <f t="shared" si="42"/>
        <v>7956</v>
      </c>
      <c r="J65" s="59">
        <f t="shared" si="43"/>
        <v>1909440</v>
      </c>
      <c r="K65" s="77"/>
    </row>
    <row r="66" spans="1:11" ht="15">
      <c r="A66" s="5"/>
      <c r="B66" s="55" t="s">
        <v>37</v>
      </c>
      <c r="C66" s="75" t="s">
        <v>149</v>
      </c>
      <c r="D66" s="2">
        <v>70</v>
      </c>
      <c r="E66" s="2">
        <v>19600</v>
      </c>
      <c r="F66" s="57">
        <v>70</v>
      </c>
      <c r="G66" s="57">
        <f t="shared" si="41"/>
        <v>56</v>
      </c>
      <c r="H66" s="58">
        <v>12</v>
      </c>
      <c r="I66" s="83">
        <f t="shared" si="42"/>
        <v>7956</v>
      </c>
      <c r="J66" s="59">
        <f t="shared" si="43"/>
        <v>445536</v>
      </c>
      <c r="K66" s="77"/>
    </row>
    <row r="67" spans="1:11" ht="15">
      <c r="A67" s="5"/>
      <c r="B67" s="55" t="s">
        <v>40</v>
      </c>
      <c r="C67" s="75" t="s">
        <v>150</v>
      </c>
      <c r="D67" s="2">
        <v>80</v>
      </c>
      <c r="E67" s="2">
        <v>22400</v>
      </c>
      <c r="F67" s="57">
        <v>80</v>
      </c>
      <c r="G67" s="57">
        <f t="shared" si="41"/>
        <v>64</v>
      </c>
      <c r="H67" s="58">
        <v>6</v>
      </c>
      <c r="I67" s="83">
        <f t="shared" si="42"/>
        <v>7956</v>
      </c>
      <c r="J67" s="59">
        <f t="shared" si="43"/>
        <v>509184</v>
      </c>
      <c r="K67" s="77"/>
    </row>
    <row r="68" spans="1:11" ht="15">
      <c r="A68" s="5"/>
      <c r="B68" s="55" t="s">
        <v>44</v>
      </c>
      <c r="C68" s="75" t="s">
        <v>151</v>
      </c>
      <c r="D68" s="2">
        <v>260</v>
      </c>
      <c r="E68" s="2">
        <v>52000</v>
      </c>
      <c r="F68" s="57">
        <v>260</v>
      </c>
      <c r="G68" s="57">
        <f t="shared" si="41"/>
        <v>208</v>
      </c>
      <c r="H68" s="58">
        <v>10</v>
      </c>
      <c r="I68" s="83">
        <f t="shared" si="42"/>
        <v>7956</v>
      </c>
      <c r="J68" s="59">
        <f t="shared" si="43"/>
        <v>1654848</v>
      </c>
      <c r="K68" s="77"/>
    </row>
    <row r="69" spans="1:11" ht="15">
      <c r="A69" s="5"/>
      <c r="B69" s="5" t="s">
        <v>143</v>
      </c>
      <c r="C69" s="75" t="s">
        <v>152</v>
      </c>
      <c r="D69" s="2">
        <v>24</v>
      </c>
      <c r="E69" s="2">
        <v>24000</v>
      </c>
      <c r="F69" s="57">
        <v>34.299999999999997</v>
      </c>
      <c r="G69" s="57">
        <f t="shared" si="41"/>
        <v>27.439999999999998</v>
      </c>
      <c r="H69" s="58">
        <v>12</v>
      </c>
      <c r="I69" s="83">
        <f t="shared" si="42"/>
        <v>5096</v>
      </c>
      <c r="J69" s="59">
        <f t="shared" si="43"/>
        <v>139834.23999999999</v>
      </c>
      <c r="K69" s="77"/>
    </row>
    <row r="70" spans="1:11" ht="15">
      <c r="A70" s="5"/>
      <c r="B70" s="55" t="s">
        <v>49</v>
      </c>
      <c r="C70" s="75" t="s">
        <v>154</v>
      </c>
      <c r="D70" s="2">
        <v>12</v>
      </c>
      <c r="E70" s="2">
        <v>24000</v>
      </c>
      <c r="F70" s="57">
        <v>10.5</v>
      </c>
      <c r="G70" s="57">
        <f t="shared" si="41"/>
        <v>8.4</v>
      </c>
      <c r="H70" s="58">
        <v>12</v>
      </c>
      <c r="I70" s="83">
        <f t="shared" si="42"/>
        <v>5598</v>
      </c>
      <c r="J70" s="59">
        <f t="shared" si="43"/>
        <v>47023.199999999997</v>
      </c>
      <c r="K70" s="77"/>
    </row>
    <row r="71" spans="1:11" ht="15">
      <c r="A71" s="5"/>
      <c r="B71" s="55" t="s">
        <v>52</v>
      </c>
      <c r="C71" s="75" t="s">
        <v>153</v>
      </c>
      <c r="D71" s="2">
        <v>70</v>
      </c>
      <c r="E71" s="2">
        <v>21000</v>
      </c>
      <c r="F71" s="57">
        <v>70</v>
      </c>
      <c r="G71" s="57">
        <f t="shared" si="41"/>
        <v>56</v>
      </c>
      <c r="H71" s="58">
        <v>12</v>
      </c>
      <c r="I71" s="83">
        <f t="shared" si="42"/>
        <v>5499</v>
      </c>
      <c r="J71" s="59">
        <f t="shared" si="43"/>
        <v>307944</v>
      </c>
      <c r="K71" s="77"/>
    </row>
    <row r="72" spans="1:11" ht="15">
      <c r="A72" s="5"/>
      <c r="B72" s="55" t="s">
        <v>159</v>
      </c>
      <c r="C72" s="75" t="s">
        <v>155</v>
      </c>
      <c r="D72" s="2">
        <v>140</v>
      </c>
      <c r="E72" s="2">
        <v>42000</v>
      </c>
      <c r="F72" s="57">
        <v>140</v>
      </c>
      <c r="G72" s="57">
        <f t="shared" si="41"/>
        <v>112</v>
      </c>
      <c r="H72" s="58">
        <v>12</v>
      </c>
      <c r="I72" s="83">
        <f t="shared" si="42"/>
        <v>2210</v>
      </c>
      <c r="J72" s="59">
        <f t="shared" si="43"/>
        <v>247520</v>
      </c>
      <c r="K72" s="77"/>
    </row>
    <row r="73" spans="1:11" ht="15">
      <c r="A73" s="5"/>
      <c r="B73" s="55">
        <v>3051</v>
      </c>
      <c r="C73" s="75" t="s">
        <v>156</v>
      </c>
      <c r="D73" s="2">
        <v>75</v>
      </c>
      <c r="E73" s="2">
        <v>37500</v>
      </c>
      <c r="F73" s="57">
        <v>156</v>
      </c>
      <c r="G73" s="57">
        <f t="shared" si="41"/>
        <v>124.80000000000001</v>
      </c>
      <c r="H73" s="58">
        <v>9</v>
      </c>
      <c r="I73" s="83">
        <f t="shared" si="42"/>
        <v>7514</v>
      </c>
      <c r="J73" s="59">
        <f t="shared" si="43"/>
        <v>937747.2</v>
      </c>
      <c r="K73" s="77"/>
    </row>
    <row r="74" spans="1:11" ht="15">
      <c r="A74" s="5"/>
      <c r="B74" s="55" t="s">
        <v>61</v>
      </c>
      <c r="C74" s="75" t="s">
        <v>157</v>
      </c>
      <c r="D74" s="2">
        <v>550</v>
      </c>
      <c r="E74" s="2">
        <v>55000</v>
      </c>
      <c r="F74" s="57">
        <v>550</v>
      </c>
      <c r="G74" s="57">
        <f t="shared" si="41"/>
        <v>440</v>
      </c>
      <c r="H74" s="58">
        <v>12</v>
      </c>
      <c r="I74" s="83">
        <f t="shared" si="42"/>
        <v>651</v>
      </c>
      <c r="J74" s="59">
        <f t="shared" si="43"/>
        <v>286440</v>
      </c>
      <c r="K74" s="77"/>
    </row>
    <row r="75" spans="1:11" ht="15">
      <c r="A75" s="5"/>
      <c r="B75" s="55" t="s">
        <v>64</v>
      </c>
      <c r="C75" s="75" t="s">
        <v>158</v>
      </c>
      <c r="D75" s="2">
        <v>550</v>
      </c>
      <c r="E75" s="2">
        <v>55000</v>
      </c>
      <c r="F75" s="57">
        <v>550</v>
      </c>
      <c r="G75" s="57">
        <f t="shared" si="41"/>
        <v>440</v>
      </c>
      <c r="H75" s="58">
        <v>12</v>
      </c>
      <c r="I75" s="83">
        <f t="shared" si="42"/>
        <v>651</v>
      </c>
      <c r="J75" s="59">
        <f t="shared" si="43"/>
        <v>286440</v>
      </c>
      <c r="K75" s="77"/>
    </row>
    <row r="76" spans="1:11" ht="15">
      <c r="A76" s="5"/>
      <c r="B76" s="55" t="s">
        <v>66</v>
      </c>
      <c r="C76" s="75"/>
      <c r="D76" s="2">
        <v>265</v>
      </c>
      <c r="E76" s="2">
        <v>53000</v>
      </c>
      <c r="F76" s="57">
        <v>265</v>
      </c>
      <c r="G76" s="57">
        <f t="shared" si="41"/>
        <v>212</v>
      </c>
      <c r="H76" s="58">
        <v>3</v>
      </c>
      <c r="I76" s="83">
        <f t="shared" si="42"/>
        <v>194</v>
      </c>
      <c r="J76" s="59">
        <f t="shared" si="43"/>
        <v>41128</v>
      </c>
      <c r="K76" s="77"/>
    </row>
    <row r="77" spans="1:11" ht="15">
      <c r="A77" s="5"/>
      <c r="B77" s="55" t="s">
        <v>67</v>
      </c>
      <c r="C77" s="75"/>
      <c r="D77" s="2">
        <v>350</v>
      </c>
      <c r="E77" s="2">
        <v>17500</v>
      </c>
      <c r="F77" s="57">
        <v>265</v>
      </c>
      <c r="G77" s="57">
        <f t="shared" si="41"/>
        <v>212</v>
      </c>
      <c r="H77" s="67">
        <v>0</v>
      </c>
      <c r="I77" s="83">
        <f t="shared" si="42"/>
        <v>0</v>
      </c>
      <c r="J77" s="59">
        <f t="shared" si="43"/>
        <v>0</v>
      </c>
      <c r="K77" s="77"/>
    </row>
    <row r="78" spans="1:11" ht="15">
      <c r="A78" s="5"/>
      <c r="B78" s="55" t="s">
        <v>141</v>
      </c>
      <c r="C78" s="75" t="s">
        <v>160</v>
      </c>
      <c r="D78" s="2">
        <v>440</v>
      </c>
      <c r="E78" s="2">
        <v>26400</v>
      </c>
      <c r="F78" s="57">
        <v>440</v>
      </c>
      <c r="G78" s="57">
        <f t="shared" si="41"/>
        <v>352</v>
      </c>
      <c r="H78" s="58">
        <v>12</v>
      </c>
      <c r="I78" s="83">
        <f t="shared" si="42"/>
        <v>2210</v>
      </c>
      <c r="J78" s="59">
        <f t="shared" si="43"/>
        <v>777920</v>
      </c>
      <c r="K78" s="77"/>
    </row>
    <row r="79" spans="1:11" ht="15">
      <c r="A79" s="5"/>
      <c r="B79" s="55" t="s">
        <v>69</v>
      </c>
      <c r="C79" s="75"/>
      <c r="D79" s="2">
        <v>160</v>
      </c>
      <c r="E79" s="2">
        <v>56000</v>
      </c>
      <c r="F79" s="57">
        <v>160</v>
      </c>
      <c r="G79" s="57">
        <f t="shared" si="41"/>
        <v>128</v>
      </c>
      <c r="H79" s="58">
        <v>4</v>
      </c>
      <c r="I79" s="83">
        <f t="shared" si="42"/>
        <v>414</v>
      </c>
      <c r="J79" s="59">
        <f t="shared" si="43"/>
        <v>52992</v>
      </c>
      <c r="K79" s="77"/>
    </row>
    <row r="80" spans="1:11" ht="15">
      <c r="A80" s="5"/>
      <c r="B80" s="5" t="s">
        <v>142</v>
      </c>
      <c r="C80" s="75" t="s">
        <v>162</v>
      </c>
      <c r="D80" s="14"/>
      <c r="E80" s="2"/>
      <c r="F80" s="57">
        <v>280</v>
      </c>
      <c r="G80" s="57">
        <f t="shared" si="41"/>
        <v>224</v>
      </c>
      <c r="H80" s="58">
        <v>12</v>
      </c>
      <c r="I80" s="83">
        <f t="shared" si="42"/>
        <v>1035</v>
      </c>
      <c r="J80" s="59">
        <f t="shared" si="43"/>
        <v>231840</v>
      </c>
      <c r="K80" s="77"/>
    </row>
    <row r="81" spans="1:11" ht="15">
      <c r="A81" s="5"/>
      <c r="B81" s="5" t="s">
        <v>75</v>
      </c>
      <c r="C81" s="75" t="s">
        <v>161</v>
      </c>
      <c r="D81" s="2">
        <v>75</v>
      </c>
      <c r="E81" s="2">
        <v>7500</v>
      </c>
      <c r="F81" s="57">
        <v>125</v>
      </c>
      <c r="G81" s="57">
        <f t="shared" si="41"/>
        <v>100</v>
      </c>
      <c r="I81" s="83">
        <f t="shared" si="42"/>
        <v>5424</v>
      </c>
      <c r="J81" s="59">
        <f t="shared" si="43"/>
        <v>542400</v>
      </c>
      <c r="K81" s="77"/>
    </row>
    <row r="82" spans="1:11" ht="15">
      <c r="B82" s="90" t="s">
        <v>169</v>
      </c>
      <c r="C82" s="91"/>
      <c r="D82" s="92"/>
      <c r="E82" s="92"/>
      <c r="F82" s="92"/>
      <c r="G82" s="92"/>
      <c r="H82" s="92"/>
      <c r="I82" s="94">
        <f>SUM(I62:I81)</f>
        <v>90862</v>
      </c>
      <c r="J82" s="93">
        <f>SUM(J62:J81)</f>
        <v>9776060.6400000006</v>
      </c>
    </row>
  </sheetData>
  <autoFilter ref="A10:E31" xr:uid="{00000000-0001-0000-0100-000000000000}"/>
  <mergeCells count="1">
    <mergeCell ref="A6:E6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גיליון1</vt:lpstr>
      <vt:lpstr>Plan vs Actual</vt:lpstr>
      <vt:lpstr>Plan vs Actual (סוכן)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Eyal Sadot</dc:creator>
  <cp:keywords/>
  <dc:description/>
  <cp:lastModifiedBy>Eyal Sadot</cp:lastModifiedBy>
  <cp:revision>0</cp:revision>
  <dcterms:created xsi:type="dcterms:W3CDTF">2026-09-24T18:46:11Z</dcterms:created>
  <dcterms:modified xsi:type="dcterms:W3CDTF">2026-10-17T11:06:59Z</dcterms:modified>
  <cp:category/>
  <cp:contentStatus/>
</cp:coreProperties>
</file>