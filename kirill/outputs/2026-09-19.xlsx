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<sst xmlns="http://schemas.openxmlformats.org/spreadsheetml/2006/main" count="127" uniqueCount="102">
  <si>
    <t xml:space="preserve">דוח מכירות ספטמבר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</si>
  <si>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</si>
  <si>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</si>
  <si>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</si>
  <si>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</si>
  <si>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</si>
  <si>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</si>
  <si>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</si>
  <si>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</si>
  <si>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</si>
  <si>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</si>
  <si>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</si>
  <si>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</si>
  <si>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</si>
  <si>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</si>
  <si>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</si>
  <si>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</si>
  <si>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</si>
  <si>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</si>
  <si>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</si>
  <si>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</si>
  <si>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</si>
  <si>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</si>
  <si>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</si>
  <si>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</si>
  <si>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</si>
  <si>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</si>
  <si>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</si>
  <si>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</si>
  <si>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</si>
  <si>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</si>
  <si>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</si>
  <si>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</si>
  <si>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</si>
  <si>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</si>
  <si>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</si>
  <si>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</si>
  <si>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</si>
  <si>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</si>
  <si>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</si>
  <si>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</si>
  <si>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</si>
  <si>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</si>
  <si>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</si>
  <si>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</si>
  <si>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</si>
  <si>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</si>
  <si>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</si>
  <si>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</si>
  <si>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</si>
  <si>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</si>
  <si>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</si>
  <si>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</si>
  <si>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</si>
  <si>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</si>
  <si>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</si>
  <si>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</si>
  <si>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</si>
  <si>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</si>
  <si>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</si>
  <si>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</si>
  <si>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</si>
  <si>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</si>
  <si>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</si>
  <si>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</si>
  <si>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</si>
  <si>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</si>
  <si>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</si>
  <si>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</si>
  <si>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</si>
  <si>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</si>
  <si>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</si>
  <si>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</si>
  <si>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</si>
  <si>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</si>
  <si>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</si>
  <si>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</si>
  <si>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</si>
  <si>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</si>
  <si>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</si>
  <si>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</si>
  <si>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</si>
  <si>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</si>
  <si>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</si>
  <si>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</si>
  <si>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</si>
  <si>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</si>
  <si>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</si>
  <si>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</si>
  <si>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</si>
  <si>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PPlay1.xlsx (f75c654e), "PPlay1 of uriel (Reporter)", נוצר 19/09/2026 14:13:24, תקופה 2026/Sep (המשך MTD ספטמבר). חותמת הזמן אומתה מול תאריך ההכנה שנמסר (19/09/2026) — תואמת במדויק. נשלפו 9 שורות קטגוריה שיש להן נתונים עד כה החודש, מתוך 13 הקטגוריות במקרא גיליון Pplay1 (12 המקוריות + "זיכויים BE"). 4 קטגוריות נותרות ללא נתונים עדיין החודש (0מפיצי משנה, גוד פארם מרכז, 0צרכנים פרטיים, 0שונות; תקין ל-MTD, לא נתון חסר). לעומת 17/09/2026 (הדוח היומי הקודם): כל הקטגוריות המשיכו לצמוח באופן טבעי, למעט גוד פארם שנותרה ללא שינוי (₪871.9, זהה מאז 14/09/2026 — אין תנועה חדשה בתקופה). שורת "Customers" בדוח המקור (₪481,589.3) היא שורת סה"כ-אב ואינה שווה לסכום שורות הקטגוריה (תקין וצפוי, כרגיל) — לא יובאה. מכר נטו = עמודה B × 0.91 (מקדם קבוע, מאושר ב-kirill.md; חל גם על ערך שלילי). הערת שקיפות טכנית: הקובץ הגולמי (xlsx תקני) נכשל בטעינה ישירה ע"י openpyxl עקב rgb="auto" לא תקין ב-xl/styles.xml המוצהר בקידוד windows-1255 — תוקן ע"י פענוח windows-1255, החלפת rgb="auto"→rgb="00000000" ושינוי הצהרת הקידוד ל-UTF-8, ללא LibreOffice.</t>
  </si>
  <si>
    <t xml:space="preserve">2026/Sep (סכום גולמי, MTD)</t>
  </si>
  <si>
    <t xml:space="preserve">הערה</t>
  </si>
  <si>
    <t xml:space="preserve">Source: CustomSalesbyCustomerSummary672.xlsx (40c2b552), Meditex Group IL, Custom Sales by Customer Summary, 01 September 2026 - 30 September 2026, נמסר 19/09/2026. קובץ xlsx תקני (2007+) — נטען ישירות ע"י openpyxl ללא צורך בתיקון קידוד. נשלפו 10 שורות הסיכום (קטגוריה) שיש להן מכירות עד כה החודש, מתוך 28 הקטגוריות במקרא "ריכוז" (18 הקטגוריות הנותרות אין להן מכירות עדיין החודש — תקין ל-MTD, לא נתון חסר). לעומת 17/09/2026: 106 Hospitals ו-209 Ortoprofil Romania נותרו ללא שינוי (אין תנועה חדשה בתקופה); 102 Orthopedic institutes, 103 Physiotherapy, 109 Private Shops, 101 Factory customers, 107 Pharmacies, 112 Kupat Holim Clalit ו-114 IL online המשיכו לצמוח; 111 Superpharm Life מופיעה לראשונה החודש עם נתונים (₪193,941.5, לא הייתה ברשימה ב-17/09/2026). לא יובאו שורות פירוט חשבוניות/לקוחות-בת מהדוח הגולמי (1,390 שורות בקובץ המקור), לפי מוסכמת עבודה. סה"כ שורת "Total" בדוח הגולמי המלא: ₪654,725.03 — תואם בדיוק לסכום 10 שורות הקטגוריה שנשלפו (אומת ידנית: 32,211.73+6,601.10+6,333.03+193,941.50+11,349.17+8,833.05+138,917.90+227,594.45+25,430.19+3,512.91=654,725.03).</t>
  </si>
  <si>
    <t xml:space="preserve">Customer</t>
  </si>
  <si>
    <t xml:space="preserve">Sales</t>
  </si>
  <si>
    <t xml:space="preserve">Source: צילום מסך שסופק על ידי המשתמש (ראובן), לוח בקרה Sellerboard "Month to date, 1-19 September 2026", נמסר 19/09/2026, כקובץ תמונה מצורף בפועל (1.png) — נקרא ישירות מהתמונה, לא מתמלול טקסטואלי. נתונים נוספים בצילום (לא בשימוש בנוסחה): Sales -9.3% מול תקופה קודמת, Orders/Units 1,320/1,353, Refunds 123, Est. payout $15,066.64, Gross profit -9.3% $7,155.27, Net profit -9.3% $7,155.27 (זהה ל-Gross profit בתמונה,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</si>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</sst>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46284</v>
      </c>
      <c r="C2" s="6" t="n">
        <v>9.2026</v>
      </c>
    </row>
    <row r="3" customFormat="false" ht="14.25" hidden="false" customHeight="true" outlineLevel="0" collapsed="false">
      <c r="A3" s="7" t="n">
        <v>5</v>
      </c>
      <c r="B3" s="8" t="s">
        <v>2</v>
      </c>
      <c r="C3" s="9" t="n">
        <f aca="false">SUMIF(Pplay1!$F$3:$F$15,A3,Pplay1!$H$3:$H$15)+SUMIF(ריכוז!$B$3:$B$30,A3,ריכוז!$C$3:$C$30)</f>
        <v>193941.5</v>
      </c>
    </row>
    <row r="4" customFormat="false" ht="14.25" hidden="false" customHeight="true" outlineLevel="0" collapsed="false">
      <c r="A4" s="10" t="n">
        <v>1</v>
      </c>
      <c r="B4" s="8" t="s">
        <v>3</v>
      </c>
      <c r="C4" s="9" t="n">
        <f aca="false">SUMIF(Pplay1!$F$3:$F$15,A4,Pplay1!$H$3:$H$15)+SUMIF(ריכוז!$B$3:$B$30,A4,ריכוז!$C$3:$C$30)</f>
        <v>257195.211</v>
      </c>
    </row>
    <row r="5" customFormat="false" ht="14.25" hidden="false" customHeight="true" outlineLevel="0" collapsed="false">
      <c r="A5" s="10" t="n">
        <v>7</v>
      </c>
      <c r="B5" s="8" t="s">
        <v>4</v>
      </c>
      <c r="C5" s="9" t="n">
        <f aca="false">SUMIF(Pplay1!$F$3:$F$15,A5,Pplay1!$H$3:$H$15)+SUMIF(ריכוז!$B$3:$B$30,A5,ריכוז!$C$3:$C$30)</f>
        <v>34801.494</v>
      </c>
    </row>
    <row r="6" customFormat="false" ht="14.25" hidden="false" customHeight="true" outlineLevel="0" collapsed="false">
      <c r="A6" s="10" t="n">
        <v>4</v>
      </c>
      <c r="B6" s="8" t="s">
        <v>5</v>
      </c>
      <c r="C6" s="9" t="n">
        <f aca="false">SUMIF(Pplay1!$F$3:$F$15,A6,Pplay1!$H$3:$H$15)+SUMIF(ריכוז!$B$3:$B$30,A6,ריכוז!$C$3:$C$30)</f>
        <v>119092.745</v>
      </c>
    </row>
    <row r="7" customFormat="false" ht="14.25" hidden="false" customHeight="true" outlineLevel="0" collapsed="false">
      <c r="A7" s="10" t="n">
        <v>3</v>
      </c>
      <c r="B7" s="8" t="s">
        <v>6</v>
      </c>
      <c r="C7" s="9" t="n">
        <f aca="false">SUMIF(Pplay1!$F$3:$F$15,A7,Pplay1!$H$3:$H$15)+SUMIF(ריכוז!$B$3:$B$30,A7,ריכוז!$C$3:$C$30)</f>
        <v>138917.9</v>
      </c>
    </row>
    <row r="8" customFormat="false" ht="14.25" hidden="false" customHeight="true" outlineLevel="0" collapsed="false">
      <c r="A8" s="10" t="n">
        <v>8</v>
      </c>
      <c r="B8" s="8" t="s">
        <v>7</v>
      </c>
      <c r="C8" s="9" t="n">
        <f aca="false">SUMIF(Pplay1!$F$3:$F$15,A8,Pplay1!$H$3:$H$15)+SUMIF(ריכוז!$B$3:$B$30,A8,ריכוז!$C$3:$C$30)</f>
        <v>35989.863</v>
      </c>
    </row>
    <row r="9" customFormat="false" ht="14.25" hidden="false" customHeight="true" outlineLevel="0" collapsed="false">
      <c r="A9" s="10" t="n">
        <v>6</v>
      </c>
      <c r="B9" s="8" t="s">
        <v>8</v>
      </c>
      <c r="C9" s="9" t="n">
        <f aca="false">SUMIF(Pplay1!$F$3:$F$15,A9,Pplay1!$H$3:$H$15)+SUMIF(ריכוז!$B$3:$B$30,A9,ריכוז!$C$3:$C$30)</f>
        <v>32211.73</v>
      </c>
    </row>
    <row r="10" customFormat="false" ht="14.25" hidden="false" customHeight="true" outlineLevel="0" collapsed="false">
      <c r="A10" s="11" t="n">
        <v>10</v>
      </c>
      <c r="B10" s="12" t="s">
        <v>9</v>
      </c>
      <c r="C10" s="9" t="n">
        <f aca="false">SUMIF(Pplay1!$F$3:$F$15,A10,Pplay1!$H$3:$H$15)+SUMIF(ריכוז!$B$3:$B$30,A10,ריכוז!$C$3:$C$30)</f>
        <v>11349.17</v>
      </c>
    </row>
    <row r="11" customFormat="false" ht="14.25" hidden="false" customHeight="true" outlineLevel="0" collapsed="false">
      <c r="A11" s="10" t="n">
        <v>11</v>
      </c>
      <c r="B11" s="8" t="s">
        <v>10</v>
      </c>
      <c r="C11" s="9" t="n">
        <f aca="false">SUMIF(Pplay1!$F$3:$F$15,A11,Pplay1!$H$3:$H$15)+SUMIF(ריכוז!$B$3:$B$30,A11,ריכוז!$C$3:$C$30)</f>
        <v>6333.03</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3512.91</v>
      </c>
    </row>
    <row r="15" customFormat="false" ht="14.25" hidden="false" customHeight="true" outlineLevel="0" collapsed="false">
      <c r="A15" s="10" t="n">
        <v>9</v>
      </c>
      <c r="B15" s="8" t="s">
        <v>14</v>
      </c>
      <c r="C15" s="9" t="n">
        <f aca="false">SUMIF(Pplay1!$F$3:$F$15,A15,Pplay1!$H$3:$H$15)+SUMIF(ריכוז!$B$3:$B$30,A15,ריכוז!$C$3:$C$30)</f>
        <v>6601.1</v>
      </c>
    </row>
    <row r="16" customFormat="false" ht="15" hidden="false" customHeight="true" outlineLevel="0" collapsed="false">
      <c r="A16" s="13"/>
      <c r="B16" s="14" t="s">
        <v>15</v>
      </c>
      <c r="C16" s="15" t="n">
        <f aca="false">SUM(C3:C15)</f>
        <v>839946.653</v>
      </c>
    </row>
    <row r="17" customFormat="false" ht="14.25" hidden="false" customHeight="true" outlineLevel="0" collapsed="false">
      <c r="A17" s="10" t="n">
        <v>2</v>
      </c>
      <c r="B17" s="8" t="s">
        <v>16</v>
      </c>
      <c r="C17" s="9" t="n">
        <f aca="false">SUMIF(Pplay1!$F$3:$F$15,A17,Pplay1!$H$3:$H$15)+SUMIF(ריכוז!$B$3:$B$30,A17,ריכוז!$C$3:$C$30)</f>
        <v>227594.45</v>
      </c>
    </row>
    <row r="18" customFormat="false" ht="14.25" hidden="false" customHeight="true" outlineLevel="0" collapsed="false">
      <c r="A18" s="10" t="n">
        <v>12</v>
      </c>
      <c r="B18" s="8" t="s">
        <v>17</v>
      </c>
      <c r="C18" s="9" t="n">
        <f aca="false">SUMIF(Pplay1!$F$3:$F$15,A18,Pplay1!$H$3:$H$15)+SUMIF(ריכוז!$B$3:$B$30,A18,ריכוז!$C$3:$C$30)</f>
        <v>0</v>
      </c>
    </row>
    <row r="19" customFormat="false" ht="15" hidden="false" customHeight="true" outlineLevel="0" collapsed="false">
      <c r="A19" s="11"/>
      <c r="B19" s="16" t="s">
        <v>18</v>
      </c>
      <c r="C19" s="15" t="n">
        <f aca="false">C18+C17+C16</f>
        <v>1067541.103</v>
      </c>
    </row>
    <row r="20" customFormat="false" ht="14.25" hidden="false" customHeight="true" outlineLevel="0" collapsed="false">
      <c r="A20" s="11" t="n">
        <v>50</v>
      </c>
      <c r="B20" s="12" t="s">
        <v>19</v>
      </c>
      <c r="C20" s="9" t="n">
        <f aca="false">(Amazon_מקור!B3+Amazon_מקור!B4)*3</f>
        <v>118502.34</v>
      </c>
    </row>
    <row r="21" customFormat="false" ht="14.25" hidden="false" customHeight="true" outlineLevel="0" collapsed="false">
      <c r="A21" s="11" t="n">
        <v>20</v>
      </c>
      <c r="B21" s="12" t="s">
        <v>20</v>
      </c>
      <c r="C21" s="9" t="n">
        <f aca="false">SUMIF(Pplay1!$F$3:$F$15,A21,Pplay1!$H$3:$H$15)+SUMIF(ריכוז!$B$3:$B$30,A21,ריכוז!$C$3:$C$30)</f>
        <v>0</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0</v>
      </c>
    </row>
    <row r="24" customFormat="false" ht="14.25" hidden="false" customHeight="true" outlineLevel="0" collapsed="false">
      <c r="A24" s="11" t="n">
        <v>23</v>
      </c>
      <c r="B24" s="12" t="s">
        <v>23</v>
      </c>
      <c r="C24" s="9" t="n">
        <f aca="false">SUMIF(Pplay1!$F$3:$F$15,A24,Pplay1!$H$3:$H$15)+SUMIF(ריכוז!$B$3:$B$30,A24,ריכוז!$C$3:$C$30)</f>
        <v>0</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0</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25430.19</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143932.53</v>
      </c>
    </row>
    <row r="41" customFormat="false" ht="15" hidden="false" customHeight="true" outlineLevel="0" collapsed="false">
      <c r="A41" s="11"/>
      <c r="B41" s="19" t="s">
        <v>40</v>
      </c>
      <c r="C41" s="20" t="n">
        <f aca="false">C40+C19</f>
        <v>1211473.633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120292.6</v>
      </c>
      <c r="H3" s="27" t="n">
        <f aca="false">IF(G3="","",G3*0.91)</f>
        <v>109466.266</v>
      </c>
    </row>
    <row r="4" customFormat="false" ht="14.25" hidden="false" customHeight="true" outlineLevel="0" collapsed="false">
      <c r="A4" s="25" t="s">
        <v>49</v>
      </c>
      <c r="B4" s="23" t="n">
        <v>4</v>
      </c>
      <c r="C4" s="23"/>
      <c r="D4" s="23"/>
      <c r="E4" s="23"/>
      <c r="F4" s="26" t="n">
        <f aca="false">IF(B4&lt;&gt;"",B4,IF(C4&lt;&gt;"",C4,IF(D4&lt;&gt;"",D4,IF(E4&lt;&gt;"",E4,""))))</f>
        <v>4</v>
      </c>
      <c r="G4" s="27" t="str">
        <f aca="false">IFERROR(INDEX(PPLAY1_מקור!$B:$B,MATCH(A4,PPLAY1_מקור!$A:$A,0)),"")</f>
        <v/>
      </c>
      <c r="H4" s="27" t="str">
        <f aca="false">IF(G4="","",G4*0.91)</f>
        <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321747.4</v>
      </c>
      <c r="H5" s="27" t="n">
        <f aca="false">IF(G5="","",G5*0.91)</f>
        <v>292790.134</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2988.2</v>
      </c>
      <c r="H6" s="27" t="n">
        <f aca="false">IF(G6="","",G6*0.91)</f>
        <v>2719.262</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871.9</v>
      </c>
      <c r="H7" s="27" t="n">
        <f aca="false">IF(G7="","",G7*0.91)</f>
        <v>793.429</v>
      </c>
    </row>
    <row r="8" customFormat="false" ht="14.25" hidden="false" customHeight="true" outlineLevel="0" collapsed="false">
      <c r="A8" s="25" t="s">
        <v>53</v>
      </c>
      <c r="B8" s="23" t="n">
        <v>4</v>
      </c>
      <c r="C8" s="23"/>
      <c r="D8" s="23"/>
      <c r="E8" s="23"/>
      <c r="F8" s="26" t="n">
        <f aca="false">IF(B8&lt;&gt;"",B8,IF(C8&lt;&gt;"",C8,IF(D8&lt;&gt;"",D8,IF(E8&lt;&gt;"",E8,""))))</f>
        <v>4</v>
      </c>
      <c r="G8" s="27" t="str">
        <f aca="false">IFERROR(INDEX(PPLAY1_מקור!$B:$B,MATCH(A8,PPLAY1_מקור!$A:$A,0)),"")</f>
        <v/>
      </c>
      <c r="H8" s="27" t="str">
        <f aca="false">IF(G8="","",G8*0.91)</f>
        <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265.8</v>
      </c>
      <c r="H9" s="27" t="n">
        <f aca="false">IF(G9="","",G9*0.91)</f>
        <v>241.878</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282632.1</v>
      </c>
      <c r="H10" s="27" t="n">
        <f aca="false">IF(G10="","",G10*0.91)</f>
        <v>257195.211</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35719.8</v>
      </c>
      <c r="H11" s="27" t="n">
        <f aca="false">IF(G11="","",G11*0.91)</f>
        <v>32505.018</v>
      </c>
    </row>
    <row r="12" customFormat="false" ht="14.25" hidden="false" customHeight="true" outlineLevel="0" collapsed="false">
      <c r="A12" s="25" t="s">
        <v>56</v>
      </c>
      <c r="B12" s="23" t="n">
        <v>4</v>
      </c>
      <c r="C12" s="23"/>
      <c r="D12" s="23"/>
      <c r="E12" s="23"/>
      <c r="F12" s="26" t="n">
        <f aca="false">IF(B12&lt;&gt;"",B12,IF(C12&lt;&gt;"",C12,IF(D12&lt;&gt;"",D12,IF(E12&lt;&gt;"",E12,""))))</f>
        <v>4</v>
      </c>
      <c r="G12" s="27" t="str">
        <f aca="false">IFERROR(INDEX(PPLAY1_מקור!$B:$B,MATCH(A12,PPLAY1_מקור!$A:$A,0)),"")</f>
        <v/>
      </c>
      <c r="H12" s="27" t="str">
        <f aca="false">IF(G12="","",G12*0.91)</f>
        <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39549.3</v>
      </c>
      <c r="H13" s="27" t="n">
        <f aca="false">IF(G13="","",G13*0.91)</f>
        <v>35989.863</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-730.4</v>
      </c>
      <c r="H15" s="27" t="n">
        <f aca="false">IF(G15="","",G15*0.91)</f>
        <v>-664.664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32211.73</v>
      </c>
    </row>
    <row r="4" customFormat="false" ht="14.25" hidden="false" customHeight="true" outlineLevel="0" collapsed="false">
      <c r="A4" s="28" t="s">
        <v>63</v>
      </c>
      <c r="B4" s="1" t="n">
        <v>5</v>
      </c>
      <c r="C4" s="27" t="n">
        <f aca="false">IFERROR(INDEX(NetSuite_מקור!$D:$D,MATCH(A4,NetSuite_מקור!$A:$A,0)),"")</f>
        <v>193941.5</v>
      </c>
    </row>
    <row r="5" customFormat="false" ht="14.25" hidden="false" customHeight="true" outlineLevel="0" collapsed="false">
      <c r="A5" s="28" t="s">
        <v>64</v>
      </c>
      <c r="B5" s="1" t="n">
        <v>9</v>
      </c>
      <c r="C5" s="27" t="n">
        <f aca="false">IFERROR(INDEX(NetSuite_מקור!$D:$D,MATCH(A5,NetSuite_מקור!$A:$A,0)),"")</f>
        <v>6601.1</v>
      </c>
    </row>
    <row r="6" customFormat="false" ht="14.25" hidden="false" customHeight="true" outlineLevel="0" collapsed="false">
      <c r="A6" s="28" t="s">
        <v>65</v>
      </c>
      <c r="B6" s="1" t="n">
        <v>11</v>
      </c>
      <c r="C6" s="27" t="n">
        <f aca="false">IFERROR(INDEX(NetSuite_מקור!$D:$D,MATCH(A6,NetSuite_מקור!$A:$A,0)),"")</f>
        <v>6333.03</v>
      </c>
    </row>
    <row r="7" customFormat="false" ht="14.25" hidden="false" customHeight="true" outlineLevel="0" collapsed="false">
      <c r="A7" s="28" t="s">
        <v>66</v>
      </c>
      <c r="B7" s="1" t="n">
        <v>10</v>
      </c>
      <c r="C7" s="27" t="n">
        <f aca="false">IFERROR(INDEX(NetSuite_מקור!$D:$D,MATCH(A7,NetSuite_מקור!$A:$A,0)),"")</f>
        <v>11349.17</v>
      </c>
    </row>
    <row r="8" customFormat="false" ht="14.25" hidden="false" customHeight="true" outlineLevel="0" collapsed="false">
      <c r="A8" s="28" t="s">
        <v>67</v>
      </c>
      <c r="B8" s="1" t="n">
        <v>4</v>
      </c>
      <c r="C8" s="27" t="n">
        <f aca="false">IFERROR(INDEX(NetSuite_מקור!$D:$D,MATCH(A8,NetSuite_מקור!$A:$A,0)),"")</f>
        <v>8833.05</v>
      </c>
    </row>
    <row r="9" customFormat="false" ht="14.25" hidden="false" customHeight="true" outlineLevel="0" collapsed="false">
      <c r="A9" s="28" t="s">
        <v>68</v>
      </c>
      <c r="B9" s="1" t="n">
        <v>13</v>
      </c>
      <c r="C9" s="27" t="n">
        <f aca="false">IFERROR(INDEX(NetSuite_מקור!$D:$D,MATCH(A9,NetSuite_מקור!$A:$A,0)),"")</f>
        <v>3512.91</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138917.9</v>
      </c>
    </row>
    <row r="12" customFormat="false" ht="14.25" hidden="false" customHeight="true" outlineLevel="0" collapsed="false">
      <c r="A12" s="28" t="s">
        <v>71</v>
      </c>
      <c r="B12" s="1" t="n">
        <v>2</v>
      </c>
      <c r="C12" s="27" t="n">
        <f aca="false">IFERROR(INDEX(NetSuite_מקור!$D:$D,MATCH(A12,NetSuite_מקור!$A:$A,0)),"")</f>
        <v>227594.45</v>
      </c>
    </row>
    <row r="13" customFormat="false" ht="14.25" hidden="false" customHeight="true" outlineLevel="0" collapsed="false">
      <c r="A13" s="28" t="s">
        <v>72</v>
      </c>
      <c r="B13" s="1" t="n">
        <v>12</v>
      </c>
      <c r="C13" s="27" t="str">
        <f aca="false">IFERROR(INDEX(NetSuite_מקור!$D:$D,MATCH(A13,NetSuite_מקור!$A:$A,0)),"")</f>
        <v/>
      </c>
    </row>
    <row r="14" customFormat="false" ht="14.25" hidden="false" customHeight="true" outlineLevel="0" collapsed="false">
      <c r="A14" s="28" t="s">
        <v>73</v>
      </c>
      <c r="B14" s="1" t="n">
        <v>23</v>
      </c>
      <c r="C14" s="27" t="str">
        <f aca="false">IFERROR(INDEX(NetSuite_מקור!$D:$D,MATCH(A14,NetSuite_מקור!$A:$A,0)),"")</f>
        <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25430.19</v>
      </c>
    </row>
    <row r="17" customFormat="false" ht="14.25" hidden="false" customHeight="true" outlineLevel="0" collapsed="false">
      <c r="A17" s="28" t="s">
        <v>76</v>
      </c>
      <c r="B17" s="1" t="n">
        <v>20</v>
      </c>
      <c r="C17" s="29" t="str">
        <f aca="false">IFERROR(INDEX(NetSuite_מקור!$D:$D,MATCH(A17,NetSuite_מקור!$A:$A,0)),"")</f>
        <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str">
        <f aca="false">IFERROR(INDEX(NetSuite_מקור!$D:$D,MATCH(A20,NetSuite_מקור!$A:$A,0)),"")</f>
        <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str">
        <f aca="false">IFERROR(INDEX(NetSuite_מקור!$D:$D,MATCH(A22,NetSuite_מקור!$A:$A,0)),"")</f>
        <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48</v>
      </c>
      <c r="B2" s="27" t="n">
        <v>120292.6</v>
      </c>
      <c r="C2" s="27" t="n">
        <f aca="false">B2*0.91</f>
        <v>109466.266</v>
      </c>
      <c r="D2" s="30"/>
    </row>
    <row r="3" customFormat="false" ht="14.25" hidden="false" customHeight="true" outlineLevel="0" collapsed="false">
      <c r="A3" s="26" t="s">
        <v>50</v>
      </c>
      <c r="B3" s="27" t="n">
        <v>321747.4</v>
      </c>
      <c r="C3" s="27" t="n">
        <f aca="false">B3*0.91</f>
        <v>292790.134</v>
      </c>
      <c r="D3" s="30"/>
    </row>
    <row r="4" customFormat="false" ht="14.25" hidden="false" customHeight="true" outlineLevel="0" collapsed="false">
      <c r="A4" s="26" t="s">
        <v>51</v>
      </c>
      <c r="B4" s="27" t="n">
        <v>2988.2</v>
      </c>
      <c r="C4" s="27" t="n">
        <f aca="false">B4*0.91</f>
        <v>2719.262</v>
      </c>
      <c r="D4" s="30"/>
    </row>
    <row r="5" customFormat="false" ht="14.25" hidden="false" customHeight="true" outlineLevel="0" collapsed="false">
      <c r="A5" s="26" t="s">
        <v>54</v>
      </c>
      <c r="B5" s="27" t="n">
        <v>265.8</v>
      </c>
      <c r="C5" s="27" t="n">
        <f aca="false">B5*0.91</f>
        <v>241.878</v>
      </c>
      <c r="D5" s="30"/>
    </row>
    <row r="6" customFormat="false" ht="14.25" hidden="false" customHeight="true" outlineLevel="0" collapsed="false">
      <c r="A6" s="26" t="s">
        <v>59</v>
      </c>
      <c r="B6" s="27" t="n">
        <v>-730.4</v>
      </c>
      <c r="C6" s="27" t="n">
        <f aca="false">B6*0.91</f>
        <v>-664.664</v>
      </c>
      <c r="D6" s="30"/>
    </row>
    <row r="7" customFormat="false" ht="14.25" hidden="false" customHeight="true" outlineLevel="0" collapsed="false">
      <c r="A7" s="26" t="s">
        <v>3</v>
      </c>
      <c r="B7" s="27" t="n">
        <v>282632.1</v>
      </c>
      <c r="C7" s="27" t="n">
        <f aca="false">B7*0.91</f>
        <v>257195.211</v>
      </c>
      <c r="D7" s="30"/>
    </row>
    <row r="8" customFormat="false" ht="14.25" hidden="false" customHeight="true" outlineLevel="0" collapsed="false">
      <c r="A8" s="26" t="s">
        <v>55</v>
      </c>
      <c r="B8" s="27" t="n">
        <v>35719.8</v>
      </c>
      <c r="C8" s="27" t="n">
        <f aca="false">B8*0.91</f>
        <v>32505.018</v>
      </c>
      <c r="D8" s="30"/>
    </row>
    <row r="9" customFormat="false" ht="14.25" hidden="false" customHeight="true" outlineLevel="0" collapsed="false">
      <c r="A9" s="26" t="s">
        <v>57</v>
      </c>
      <c r="B9" s="27" t="n">
        <v>39549.3</v>
      </c>
      <c r="C9" s="27" t="n">
        <f aca="false">B9*0.91</f>
        <v>35989.863</v>
      </c>
    </row>
    <row r="10" customFormat="false" ht="14.25" hidden="false" customHeight="true" outlineLevel="0" collapsed="false">
      <c r="A10" s="26" t="s">
        <v>52</v>
      </c>
      <c r="B10" s="27" t="n">
        <v>871.9</v>
      </c>
      <c r="C10" s="27" t="n">
        <f aca="false">B10*0.91</f>
        <v>793.429</v>
      </c>
    </row>
    <row r="11"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93</v>
      </c>
    </row>
    <row r="2" customFormat="false" ht="15" hidden="false" customHeight="true" outlineLevel="0" collapsed="false">
      <c r="A2" s="24" t="s">
        <v>94</v>
      </c>
      <c r="D2" s="24" t="s">
        <v>95</v>
      </c>
    </row>
    <row r="3" customFormat="false" ht="15" hidden="false" customHeight="true" outlineLevel="0" collapsed="false">
      <c r="A3" s="26" t="s">
        <v>62</v>
      </c>
      <c r="D3" s="29" t="n">
        <v>32211.73</v>
      </c>
    </row>
    <row r="4" customFormat="false" ht="15" hidden="false" customHeight="true" outlineLevel="0" collapsed="false">
      <c r="A4" s="26" t="s">
        <v>64</v>
      </c>
      <c r="D4" s="29" t="n">
        <v>6601.1</v>
      </c>
    </row>
    <row r="5" customFormat="false" ht="15" hidden="false" customHeight="true" outlineLevel="0" collapsed="false">
      <c r="A5" s="26" t="s">
        <v>65</v>
      </c>
      <c r="D5" s="29" t="n">
        <v>6333.03</v>
      </c>
    </row>
    <row r="6" customFormat="false" ht="15" hidden="false" customHeight="true" outlineLevel="0" collapsed="false">
      <c r="A6" s="26" t="s">
        <v>63</v>
      </c>
      <c r="D6" s="29" t="n">
        <v>193941.5</v>
      </c>
    </row>
    <row r="7" customFormat="false" ht="15" hidden="false" customHeight="true" outlineLevel="0" collapsed="false">
      <c r="A7" s="26" t="s">
        <v>66</v>
      </c>
      <c r="D7" s="29" t="n">
        <v>11349.17</v>
      </c>
    </row>
    <row r="8" customFormat="false" ht="15" hidden="false" customHeight="true" outlineLevel="0" collapsed="false">
      <c r="A8" s="26" t="s">
        <v>67</v>
      </c>
      <c r="D8" s="29" t="n">
        <v>8833.05</v>
      </c>
    </row>
    <row r="9" customFormat="false" ht="15" hidden="false" customHeight="true" outlineLevel="0" collapsed="false">
      <c r="A9" s="26" t="s">
        <v>68</v>
      </c>
      <c r="D9" s="29" t="n">
        <v>3512.91</v>
      </c>
    </row>
    <row r="10" customFormat="false" ht="14.25" hidden="false" customHeight="true" outlineLevel="0" collapsed="false">
      <c r="A10" s="26" t="s">
        <v>70</v>
      </c>
      <c r="D10" s="29" t="n">
        <v>138917.9</v>
      </c>
    </row>
    <row r="11" customFormat="false" ht="14.25" hidden="false" customHeight="true" outlineLevel="0" collapsed="false">
      <c r="A11" s="26" t="s">
        <v>71</v>
      </c>
      <c r="D11" s="29" t="n">
        <v>227594.45</v>
      </c>
    </row>
    <row r="12" customFormat="false" ht="14.25" hidden="false" customHeight="true" outlineLevel="0" collapsed="false">
      <c r="A12" s="26" t="s">
        <v>75</v>
      </c>
      <c r="B12" s="31"/>
      <c r="C12" s="31"/>
      <c r="D12" s="29" t="n">
        <v>25430.19</v>
      </c>
      <c r="E12" s="32"/>
    </row>
    <row r="13" customFormat="false" ht="14.25" hidden="false" customHeight="true" outlineLevel="0" collapsed="false">
      <c r="A13" s="33"/>
      <c r="B13" s="31"/>
      <c r="C13" s="31"/>
      <c r="D13" s="34"/>
      <c r="E13" s="32"/>
    </row>
    <row r="14" customFormat="false" ht="14.25" hidden="false" customHeight="true" outlineLevel="0" collapsed="false">
      <c r="A14" s="26"/>
      <c r="D14" s="27"/>
    </row>
    <row r="15" customFormat="false" ht="14.25" hidden="false" customHeight="true" outlineLevel="0" collapsed="false">
      <c r="A15" s="26"/>
      <c r="D15" s="27"/>
    </row>
    <row r="16" customFormat="false" ht="14.25" hidden="false" customHeight="true" outlineLevel="0" collapsed="false"/>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95</v>
      </c>
      <c r="B3" s="27" t="n">
        <v>42784.35</v>
      </c>
      <c r="C3" s="30" t="s">
        <v>99</v>
      </c>
    </row>
    <row r="4" customFormat="false" ht="15" hidden="false" customHeight="true" outlineLevel="0" collapsed="false">
      <c r="A4" s="26" t="s">
        <v>100</v>
      </c>
      <c r="B4" s="27" t="n">
        <v>-3283.57</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2026-09-19T11:17:59Z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