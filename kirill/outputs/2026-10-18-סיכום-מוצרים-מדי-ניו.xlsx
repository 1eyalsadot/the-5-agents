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ניו" sheetId="1" state="visible" r:id="rId3"/>
    <sheet name="מדי " sheetId="2" state="visible" r:id="rId4"/>
    <sheet name="OUT" sheetId="3" state="visible" r:id="rId5"/>
    <sheet name="סיכום מוצרים" sheetId="4" state="visible" r:id="rId6"/>
  </sheets>
  <definedNames>
    <definedName function="false" hidden="true" localSheetId="1" name="_xlnm._FilterDatabase" vbProcedure="false">'מדי '!$B$1:$G$125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<sst xmlns="http://schemas.openxmlformats.org/spreadsheetml/2006/main" count="1082" uniqueCount="318">
  <si>
    <t xml:space="preserve">לקוח</t>
  </si>
  <si>
    <t xml:space="preserve">פריט אב</t>
  </si>
  <si>
    <t xml:space="preserve">סך עלות</t>
  </si>
  <si>
    <t xml:space="preserve">Euro</t>
  </si>
  <si>
    <t xml:space="preserve">mu</t>
  </si>
  <si>
    <t xml:space="preserve">NZ</t>
  </si>
  <si>
    <t xml:space="preserve">078</t>
  </si>
  <si>
    <t xml:space="preserve">078G</t>
  </si>
  <si>
    <t xml:space="preserve">07AU</t>
  </si>
  <si>
    <t xml:space="preserve">11STO</t>
  </si>
  <si>
    <t xml:space="preserve">11TO</t>
  </si>
  <si>
    <t xml:space="preserve">13</t>
  </si>
  <si>
    <t xml:space="preserve">14</t>
  </si>
  <si>
    <t xml:space="preserve">15M</t>
  </si>
  <si>
    <t xml:space="preserve">15W</t>
  </si>
  <si>
    <t xml:space="preserve">21</t>
  </si>
  <si>
    <t xml:space="preserve">211</t>
  </si>
  <si>
    <t xml:space="preserve">212</t>
  </si>
  <si>
    <t xml:space="preserve">237</t>
  </si>
  <si>
    <t xml:space="preserve">238</t>
  </si>
  <si>
    <t xml:space="preserve">239</t>
  </si>
  <si>
    <t xml:space="preserve">250</t>
  </si>
  <si>
    <t xml:space="preserve">251</t>
  </si>
  <si>
    <t xml:space="preserve">26</t>
  </si>
  <si>
    <t xml:space="preserve">266</t>
  </si>
  <si>
    <t xml:space="preserve">268</t>
  </si>
  <si>
    <t xml:space="preserve">302M</t>
  </si>
  <si>
    <t xml:space="preserve">302W</t>
  </si>
  <si>
    <t xml:space="preserve">305</t>
  </si>
  <si>
    <t xml:space="preserve">307</t>
  </si>
  <si>
    <t xml:space="preserve">308</t>
  </si>
  <si>
    <t xml:space="preserve">311</t>
  </si>
  <si>
    <t xml:space="preserve">312</t>
  </si>
  <si>
    <t xml:space="preserve">313</t>
  </si>
  <si>
    <t xml:space="preserve">320</t>
  </si>
  <si>
    <t xml:space="preserve">34</t>
  </si>
  <si>
    <t xml:space="preserve">34+</t>
  </si>
  <si>
    <t xml:space="preserve">350</t>
  </si>
  <si>
    <t xml:space="preserve">351</t>
  </si>
  <si>
    <t xml:space="preserve">35B</t>
  </si>
  <si>
    <t xml:space="preserve">35C</t>
  </si>
  <si>
    <t xml:space="preserve">3611</t>
  </si>
  <si>
    <t xml:space="preserve">3622S</t>
  </si>
  <si>
    <t xml:space="preserve">3623</t>
  </si>
  <si>
    <t xml:space="preserve">364 S-L</t>
  </si>
  <si>
    <t xml:space="preserve">364 XL</t>
  </si>
  <si>
    <t xml:space="preserve">365 S-L</t>
  </si>
  <si>
    <t xml:space="preserve">365 XL</t>
  </si>
  <si>
    <t xml:space="preserve">3655</t>
  </si>
  <si>
    <t xml:space="preserve">3666</t>
  </si>
  <si>
    <t xml:space="preserve">366S</t>
  </si>
  <si>
    <t xml:space="preserve">3672</t>
  </si>
  <si>
    <t xml:space="preserve">3674</t>
  </si>
  <si>
    <t xml:space="preserve">3675</t>
  </si>
  <si>
    <t xml:space="preserve">369 S-L</t>
  </si>
  <si>
    <t xml:space="preserve">369 XL</t>
  </si>
  <si>
    <t xml:space="preserve">370</t>
  </si>
  <si>
    <t xml:space="preserve">371</t>
  </si>
  <si>
    <t xml:space="preserve">372</t>
  </si>
  <si>
    <t xml:space="preserve">374</t>
  </si>
  <si>
    <t xml:space="preserve">376</t>
  </si>
  <si>
    <t xml:space="preserve">379</t>
  </si>
  <si>
    <t xml:space="preserve">38</t>
  </si>
  <si>
    <t xml:space="preserve">386</t>
  </si>
  <si>
    <t xml:space="preserve">388B</t>
  </si>
  <si>
    <t xml:space="preserve">45E</t>
  </si>
  <si>
    <t xml:space="preserve">45EC</t>
  </si>
  <si>
    <t xml:space="preserve">45B</t>
  </si>
  <si>
    <t xml:space="preserve">45C</t>
  </si>
  <si>
    <t xml:space="preserve">49</t>
  </si>
  <si>
    <t xml:space="preserve">49PS</t>
  </si>
  <si>
    <t xml:space="preserve">50</t>
  </si>
  <si>
    <t xml:space="preserve">55</t>
  </si>
  <si>
    <t xml:space="preserve">59D</t>
  </si>
  <si>
    <t xml:space="preserve">59L</t>
  </si>
  <si>
    <t xml:space="preserve">59R</t>
  </si>
  <si>
    <t xml:space="preserve">60B</t>
  </si>
  <si>
    <t xml:space="preserve">61</t>
  </si>
  <si>
    <t xml:space="preserve">70N</t>
  </si>
  <si>
    <t xml:space="preserve">75</t>
  </si>
  <si>
    <t xml:space="preserve">76</t>
  </si>
  <si>
    <t xml:space="preserve">801</t>
  </si>
  <si>
    <t xml:space="preserve">804AT</t>
  </si>
  <si>
    <t xml:space="preserve">805AT</t>
  </si>
  <si>
    <t xml:space="preserve">806CB</t>
  </si>
  <si>
    <t xml:space="preserve">807CB</t>
  </si>
  <si>
    <t xml:space="preserve">808KT</t>
  </si>
  <si>
    <t xml:space="preserve">82</t>
  </si>
  <si>
    <t xml:space="preserve">85K</t>
  </si>
  <si>
    <t xml:space="preserve">85B</t>
  </si>
  <si>
    <t xml:space="preserve">87</t>
  </si>
  <si>
    <t xml:space="preserve">91B</t>
  </si>
  <si>
    <t xml:space="preserve">95B</t>
  </si>
  <si>
    <t xml:space="preserve"> 95C</t>
  </si>
  <si>
    <t xml:space="preserve">AC07</t>
  </si>
  <si>
    <t xml:space="preserve">AC11</t>
  </si>
  <si>
    <t xml:space="preserve">AC25</t>
  </si>
  <si>
    <t xml:space="preserve">AC27</t>
  </si>
  <si>
    <t xml:space="preserve">AC28</t>
  </si>
  <si>
    <t xml:space="preserve">AC37</t>
  </si>
  <si>
    <t xml:space="preserve">AC40</t>
  </si>
  <si>
    <t xml:space="preserve">AC43D</t>
  </si>
  <si>
    <t xml:space="preserve">AC45X</t>
  </si>
  <si>
    <t xml:space="preserve">AC49</t>
  </si>
  <si>
    <t xml:space="preserve">AC75</t>
  </si>
  <si>
    <t xml:space="preserve">AC91</t>
  </si>
  <si>
    <t xml:space="preserve">AC95</t>
  </si>
  <si>
    <t xml:space="preserve">FC333</t>
  </si>
  <si>
    <t xml:space="preserve">FC334</t>
  </si>
  <si>
    <t xml:space="preserve">FC342</t>
  </si>
  <si>
    <t xml:space="preserve">LF360</t>
  </si>
  <si>
    <t xml:space="preserve">LF370</t>
  </si>
  <si>
    <t xml:space="preserve">LF373</t>
  </si>
  <si>
    <t xml:space="preserve">LF374</t>
  </si>
  <si>
    <t xml:space="preserve">LF377</t>
  </si>
  <si>
    <t xml:space="preserve">LF378</t>
  </si>
  <si>
    <t xml:space="preserve">PD340</t>
  </si>
  <si>
    <t xml:space="preserve">PD341</t>
  </si>
  <si>
    <t xml:space="preserve">PD342</t>
  </si>
  <si>
    <t xml:space="preserve">PD344</t>
  </si>
  <si>
    <t xml:space="preserve">PD346</t>
  </si>
  <si>
    <t xml:space="preserve">SC25</t>
  </si>
  <si>
    <t xml:space="preserve">SC35</t>
  </si>
  <si>
    <t xml:space="preserve">SC39</t>
  </si>
  <si>
    <t xml:space="preserve">SC422</t>
  </si>
  <si>
    <t xml:space="preserve">SC95</t>
  </si>
  <si>
    <t xml:space="preserve">ST11</t>
  </si>
  <si>
    <t xml:space="preserve">ST20</t>
  </si>
  <si>
    <t xml:space="preserve">ST25</t>
  </si>
  <si>
    <t xml:space="preserve">ST27</t>
  </si>
  <si>
    <t xml:space="preserve">ST28</t>
  </si>
  <si>
    <t xml:space="preserve">ST37</t>
  </si>
  <si>
    <t xml:space="preserve">ST422</t>
  </si>
  <si>
    <t xml:space="preserve">ST433</t>
  </si>
  <si>
    <t xml:space="preserve">ST433D</t>
  </si>
  <si>
    <t xml:space="preserve">ST45X</t>
  </si>
  <si>
    <t xml:space="preserve">ST49</t>
  </si>
  <si>
    <t xml:space="preserve">ST91</t>
  </si>
  <si>
    <t xml:space="preserve">ST95</t>
  </si>
  <si>
    <t xml:space="preserve">T03</t>
  </si>
  <si>
    <t xml:space="preserve">T11C</t>
  </si>
  <si>
    <t xml:space="preserve">T25</t>
  </si>
  <si>
    <t xml:space="preserve">T25B</t>
  </si>
  <si>
    <t xml:space="preserve">T25C</t>
  </si>
  <si>
    <t xml:space="preserve">T33</t>
  </si>
  <si>
    <t xml:space="preserve">T39</t>
  </si>
  <si>
    <t xml:space="preserve">T402</t>
  </si>
  <si>
    <t xml:space="preserve">T43V</t>
  </si>
  <si>
    <t xml:space="preserve">T78</t>
  </si>
  <si>
    <t xml:space="preserve">3444B</t>
  </si>
  <si>
    <t xml:space="preserve">213CTS</t>
  </si>
  <si>
    <t xml:space="preserve">56B</t>
  </si>
  <si>
    <t xml:space="preserve">SH322</t>
  </si>
  <si>
    <t xml:space="preserve">SH922</t>
  </si>
  <si>
    <t xml:space="preserve">SH422</t>
  </si>
  <si>
    <t xml:space="preserve">SH333</t>
  </si>
  <si>
    <t xml:space="preserve">809PW</t>
  </si>
  <si>
    <t xml:space="preserve">397A</t>
  </si>
  <si>
    <t xml:space="preserve">SH776</t>
  </si>
  <si>
    <t xml:space="preserve">SH59</t>
  </si>
  <si>
    <t xml:space="preserve">T40B 0</t>
  </si>
  <si>
    <t xml:space="preserve">SC34+</t>
  </si>
  <si>
    <t xml:space="preserve">364XL+</t>
  </si>
  <si>
    <t xml:space="preserve">T066B</t>
  </si>
  <si>
    <t xml:space="preserve">T46B</t>
  </si>
  <si>
    <t xml:space="preserve">T36B</t>
  </si>
  <si>
    <t xml:space="preserve">SH59L/R</t>
  </si>
  <si>
    <t xml:space="preserve">SH59D</t>
  </si>
  <si>
    <t xml:space="preserve">621B</t>
  </si>
  <si>
    <t xml:space="preserve">61BL</t>
  </si>
  <si>
    <t xml:space="preserve">11P3W</t>
  </si>
  <si>
    <t xml:space="preserve">11P4W</t>
  </si>
  <si>
    <t xml:space="preserve">SH660</t>
  </si>
  <si>
    <t xml:space="preserve">SH779</t>
  </si>
  <si>
    <t xml:space="preserve">SH423</t>
  </si>
  <si>
    <t xml:space="preserve">SPD28</t>
  </si>
  <si>
    <t xml:space="preserve">841B</t>
  </si>
  <si>
    <t xml:space="preserve">851/851B</t>
  </si>
  <si>
    <t xml:space="preserve">$</t>
  </si>
  <si>
    <t xml:space="preserve">מחיר לאחר 10%בסחורה + 5% כספי </t>
  </si>
  <si>
    <t xml:space="preserve">160951</t>
  </si>
  <si>
    <t xml:space="preserve">מדי</t>
  </si>
  <si>
    <t xml:space="preserve">06U</t>
  </si>
  <si>
    <t xml:space="preserve">077A</t>
  </si>
  <si>
    <t xml:space="preserve">K078</t>
  </si>
  <si>
    <t xml:space="preserve">099</t>
  </si>
  <si>
    <t xml:space="preserve">10</t>
  </si>
  <si>
    <t xml:space="preserve">11</t>
  </si>
  <si>
    <t xml:space="preserve">12</t>
  </si>
  <si>
    <t xml:space="preserve">20</t>
  </si>
  <si>
    <t xml:space="preserve">267</t>
  </si>
  <si>
    <t xml:space="preserve">278</t>
  </si>
  <si>
    <t xml:space="preserve">28</t>
  </si>
  <si>
    <t xml:space="preserve">30</t>
  </si>
  <si>
    <t xml:space="preserve">301CM</t>
  </si>
  <si>
    <t xml:space="preserve">301JW</t>
  </si>
  <si>
    <t xml:space="preserve">303</t>
  </si>
  <si>
    <t xml:space="preserve">303+</t>
  </si>
  <si>
    <t xml:space="preserve">310</t>
  </si>
  <si>
    <t xml:space="preserve">33</t>
  </si>
  <si>
    <t xml:space="preserve">332B</t>
  </si>
  <si>
    <t xml:space="preserve">332C</t>
  </si>
  <si>
    <t xml:space="preserve">333</t>
  </si>
  <si>
    <t xml:space="preserve">K35</t>
  </si>
  <si>
    <t xml:space="preserve">35G</t>
  </si>
  <si>
    <t xml:space="preserve">3641</t>
  </si>
  <si>
    <t xml:space="preserve">3677S</t>
  </si>
  <si>
    <t xml:space="preserve">377</t>
  </si>
  <si>
    <t xml:space="preserve">388</t>
  </si>
  <si>
    <t xml:space="preserve">422</t>
  </si>
  <si>
    <t xml:space="preserve">K45</t>
  </si>
  <si>
    <t xml:space="preserve">45G</t>
  </si>
  <si>
    <t xml:space="preserve">63</t>
  </si>
  <si>
    <t xml:space="preserve">70</t>
  </si>
  <si>
    <t xml:space="preserve">776</t>
  </si>
  <si>
    <t xml:space="preserve">78</t>
  </si>
  <si>
    <t xml:space="preserve">78A</t>
  </si>
  <si>
    <t xml:space="preserve">95G</t>
  </si>
  <si>
    <t xml:space="preserve">LF371</t>
  </si>
  <si>
    <t xml:space="preserve">SP302</t>
  </si>
  <si>
    <t xml:space="preserve">ST3555</t>
  </si>
  <si>
    <t xml:space="preserve">T28A</t>
  </si>
  <si>
    <t xml:space="preserve">T28</t>
  </si>
  <si>
    <t xml:space="preserve">T401</t>
  </si>
  <si>
    <t xml:space="preserve">T433</t>
  </si>
  <si>
    <t xml:space="preserve">T43SKI</t>
  </si>
  <si>
    <t xml:space="preserve">T98</t>
  </si>
  <si>
    <t xml:space="preserve">לקוח </t>
  </si>
  <si>
    <t xml:space="preserve">מספר אייטם</t>
  </si>
  <si>
    <t xml:space="preserve">מק''ט מחסן </t>
  </si>
  <si>
    <t xml:space="preserve">ONE SIZE</t>
  </si>
  <si>
    <t xml:space="preserve">מידה XS</t>
  </si>
  <si>
    <t xml:space="preserve">מידה S</t>
  </si>
  <si>
    <t xml:space="preserve">מידה M</t>
  </si>
  <si>
    <t xml:space="preserve">מידה L</t>
  </si>
  <si>
    <t xml:space="preserve">מידה XL</t>
  </si>
  <si>
    <t xml:space="preserve">מידה XXL</t>
  </si>
  <si>
    <t xml:space="preserve">מידה XXXL</t>
  </si>
  <si>
    <t xml:space="preserve">מידה XXXXL</t>
  </si>
  <si>
    <t xml:space="preserve">מבצע</t>
  </si>
  <si>
    <t xml:space="preserve">עיסא</t>
  </si>
  <si>
    <t xml:space="preserve">76606B29</t>
  </si>
  <si>
    <t xml:space="preserve">76606B39</t>
  </si>
  <si>
    <t xml:space="preserve">267C L</t>
  </si>
  <si>
    <t xml:space="preserve">267B L</t>
  </si>
  <si>
    <t xml:space="preserve">267C R </t>
  </si>
  <si>
    <t xml:space="preserve">267B R</t>
  </si>
  <si>
    <t xml:space="preserve">78AB</t>
  </si>
  <si>
    <t xml:space="preserve">922B</t>
  </si>
  <si>
    <t xml:space="preserve">422EB</t>
  </si>
  <si>
    <t xml:space="preserve">422E</t>
  </si>
  <si>
    <t xml:space="preserve">322B</t>
  </si>
  <si>
    <t xml:space="preserve">783AC490</t>
  </si>
  <si>
    <t xml:space="preserve">301B W</t>
  </si>
  <si>
    <t xml:space="preserve">480301W5</t>
  </si>
  <si>
    <t xml:space="preserve">כחול אישה</t>
  </si>
  <si>
    <t xml:space="preserve">301C W</t>
  </si>
  <si>
    <t xml:space="preserve">480301W2</t>
  </si>
  <si>
    <t xml:space="preserve">ביג' אישה</t>
  </si>
  <si>
    <t xml:space="preserve">303 37-38</t>
  </si>
  <si>
    <t xml:space="preserve">303 39-40</t>
  </si>
  <si>
    <t xml:space="preserve">303 41-42</t>
  </si>
  <si>
    <t xml:space="preserve">303 43-44</t>
  </si>
  <si>
    <t xml:space="preserve">303 45-46</t>
  </si>
  <si>
    <t xml:space="preserve">304 37-38</t>
  </si>
  <si>
    <t xml:space="preserve">304 39-40</t>
  </si>
  <si>
    <t xml:space="preserve">304 41-42</t>
  </si>
  <si>
    <t xml:space="preserve">304 43-44</t>
  </si>
  <si>
    <t xml:space="preserve">304 45-46</t>
  </si>
  <si>
    <t xml:space="preserve">35/291</t>
  </si>
  <si>
    <t xml:space="preserve">36/80</t>
  </si>
  <si>
    <t xml:space="preserve">38/40</t>
  </si>
  <si>
    <t xml:space="preserve">41/130</t>
  </si>
  <si>
    <t xml:space="preserve">44/161</t>
  </si>
  <si>
    <t xml:space="preserve">45/100</t>
  </si>
  <si>
    <t xml:space="preserve">46/381</t>
  </si>
  <si>
    <t xml:space="preserve">SP302 W</t>
  </si>
  <si>
    <t xml:space="preserve">390W S</t>
  </si>
  <si>
    <t xml:space="preserve">320390WS</t>
  </si>
  <si>
    <t xml:space="preserve">390W M</t>
  </si>
  <si>
    <t xml:space="preserve">320390WM</t>
  </si>
  <si>
    <t xml:space="preserve">390W L</t>
  </si>
  <si>
    <t xml:space="preserve">320390WL</t>
  </si>
  <si>
    <t xml:space="preserve">390B S</t>
  </si>
  <si>
    <t xml:space="preserve">320390BS</t>
  </si>
  <si>
    <t xml:space="preserve">390B M</t>
  </si>
  <si>
    <t xml:space="preserve">320390BM</t>
  </si>
  <si>
    <t xml:space="preserve">390B L</t>
  </si>
  <si>
    <t xml:space="preserve">320390BL</t>
  </si>
  <si>
    <t xml:space="preserve">394W S</t>
  </si>
  <si>
    <t xml:space="preserve">320394WS</t>
  </si>
  <si>
    <t xml:space="preserve">394W M</t>
  </si>
  <si>
    <t xml:space="preserve">320394WM</t>
  </si>
  <si>
    <t xml:space="preserve">394W L</t>
  </si>
  <si>
    <t xml:space="preserve">320394WL</t>
  </si>
  <si>
    <t xml:space="preserve">394B S</t>
  </si>
  <si>
    <t xml:space="preserve">320394BS</t>
  </si>
  <si>
    <t xml:space="preserve">394B M</t>
  </si>
  <si>
    <t xml:space="preserve">320394BM</t>
  </si>
  <si>
    <t xml:space="preserve">394B L</t>
  </si>
  <si>
    <t xml:space="preserve">320394BL</t>
  </si>
  <si>
    <t xml:space="preserve">סיכום מוצרים - ניו + מדי (כל המוצרים משני הגיליונות, ללא OUT)</t>
  </si>
  <si>
    <t xml:space="preserve">תאריך חישוב:</t>
  </si>
  <si>
    <t xml:space="preserve">מקור: גיליונות 'ניו' ו'מדי ' בלבד מתוך מוצרים-מדי-ניו.xlsx (גיליון OUT לא נכלל). התאמה בין המקורות לפי 'פריט אב', התאמה מדויקת.</t>
  </si>
  <si>
    <t xml:space="preserve">שייך ל</t>
  </si>
  <si>
    <t xml:space="preserve">Euro (ניו)</t>
  </si>
  <si>
    <t xml:space="preserve">mu (ניו)</t>
  </si>
  <si>
    <t xml:space="preserve">$ (מדי)</t>
  </si>
  <si>
    <t xml:space="preserve">מחיר לאחר 10% בסחורה + 5% כספי (מדי)</t>
  </si>
  <si>
    <t xml:space="preserve">160951 (מדי)</t>
  </si>
  <si>
    <t xml:space="preserve">מקרא צבעים:</t>
  </si>
  <si>
    <t xml:space="preserve">שייך לשני המקורות (NZ + מדי)</t>
  </si>
  <si>
    <t xml:space="preserve">שייך ל-NZ בלבד</t>
  </si>
  <si>
    <t xml:space="preserve">שייך למדי בלבד</t>
  </si>
  <si>
    <t xml:space="preserve">הערות ואנומליות שנמצאו במקור (לשקיפות, לא תוקנו - אין שינוי בגיליונות המקור):</t>
  </si>
  <si>
    <t xml:space="preserve">1. בתוך גיליון 'ניו' עצמו קיימים 12 קודי-פריט שחוזרים על עצמם פעמיים עם ערכים שונים (370, FC342, ST11, ST20, ST25, ST27, ST28, ST37, ST422, ST91, ST95, SH59). נוסחאות ה-INDEX/MATCH בטבלה זו מחזירות את ההתאמה הראשונה (כך עובד MATCH עם התאמה מדויקת), כמו בטור 'מדי ' שבו 3 קודים כאלה (63, SP302, T28A).</t>
  </si>
  <si>
    <t xml:space="preserve">2. בפרט, לקוד '370' יש שתי שורות שונות בניו עם 'סך עלות' שונה (4.383375 ו-4.405078). השורה הראשונה (4.383375) תואמת בדיוק את הערך במדי לאותו קוד - וזו השורה שנבחרת אוטומטית ע"י ה-MATCH. ייתכן שזו טעות הקלדה במקור - לא תוקן כאן.</t>
  </si>
  <si>
    <t xml:space="preserve">3. עמודת '160951' (מדי) - שם העמודה כפי שמופיע במקור במילואו; לא זוהה נוסחת-גזירה חד-משמעית מהעמודות האחרות באותו גיליון, הוצג כפי שהוא ללא פענוח/שינוי שם.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</si>
</sst>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_(* #,##0.00_);_(* \(#,##0.00\);_(* \-??_);_(@_)"/>
    <numFmt numFmtId="166" formatCode="_ * #,##0.00_ ;_ * \-#,##0.00_ ;_ * \-??_ ;_ @_ "/>
    <numFmt numFmtId="167" formatCode="@"/>
    <numFmt numFmtId="168" formatCode="dd/mm/yy"/>
    <numFmt numFmtId="169" formatCode="0.0000"/>
  </numFmts>
  <fonts count="17">
    <font>
      <sz val="11"/>
      <color theme="1"/>
      <name val="Arial"/>
      <family val="2"/>
      <charset val="177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8"/>
      <color rgb="FF000000"/>
      <name val="Arial"/>
      <family val="2"/>
      <charset val="1"/>
    </font>
    <font>
      <sz val="10"/>
      <color theme="1"/>
      <name val="Arial"/>
      <family val="2"/>
      <charset val="1"/>
    </font>
    <font>
      <sz val="8"/>
      <color rgb="FF000000"/>
      <name val="Arial"/>
      <family val="2"/>
      <charset val="1"/>
    </font>
    <font>
      <sz val="12"/>
      <color rgb="FF000000"/>
      <name val="Times New Roman"/>
      <family val="1"/>
      <charset val="1"/>
    </font>
    <font>
      <sz val="12"/>
      <color rgb="FF262626"/>
      <name val="Times New Roman"/>
      <family val="1"/>
      <charset val="1"/>
    </font>
    <font>
      <sz val="11"/>
      <color rgb="FF000000"/>
      <name val="Arial"/>
      <family val="2"/>
      <charset val="177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D0D0D0"/>
        <bgColor rgb="FFD1D1D1"/>
      </patternFill>
    </fill>
    <fill>
      <patternFill patternType="solid">
        <fgColor theme="2" tint="-0.1"/>
        <bgColor rgb="FFD0D0D0"/>
      </patternFill>
    </fill>
    <fill>
      <patternFill patternType="solid">
        <fgColor theme="5" tint="0.7999"/>
        <bgColor rgb="FFFCE4D6"/>
      </patternFill>
    </fill>
    <fill>
      <patternFill patternType="solid">
        <fgColor theme="7" tint="0.7999"/>
        <bgColor rgb="FFDDEBF7"/>
      </patternFill>
    </fill>
    <fill>
      <patternFill patternType="solid">
        <fgColor theme="5" tint="0.5999"/>
        <bgColor rgb="FFD1D1D1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rgb="FFED7D31"/>
        <bgColor rgb="FFFF8080"/>
      </patternFill>
    </fill>
    <fill>
      <patternFill patternType="solid">
        <fgColor rgb="FFFCE4D6"/>
        <bgColor rgb="FFFBE3D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15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6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4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9" borderId="1" xfId="15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 readingOrder="2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 readingOrder="1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 readingOrder="2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 readingOrder="1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8" fillId="0" borderId="4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4" fontId="8" fillId="0" borderId="5" xfId="0" applyFont="true" applyBorder="true" applyAlignment="true" applyProtection="false">
      <alignment horizontal="center" vertical="bottom" textRotation="0" wrapText="false" indent="0" shrinkToFit="false" readingOrder="1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 readingOrder="1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1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1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2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13" borderId="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1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4" fillId="1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1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1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0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CAEEFB"/>
          <bgColor rgb="FF000000"/>
        </patternFill>
      </fill>
    </dxf>
    <dxf>
      <fill>
        <patternFill patternType="solid">
          <fgColor rgb="FFD0D0D0"/>
          <bgColor rgb="FF000000"/>
        </patternFill>
      </fill>
    </dxf>
    <dxf>
      <fill>
        <patternFill patternType="solid">
          <fgColor rgb="FFF6C6AD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1D1D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CE4D6"/>
      <rgbColor rgb="FFCAEEFB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EFDA"/>
      <rgbColor rgb="FFFBE3D6"/>
      <rgbColor rgb="FFD0D0D0"/>
      <rgbColor rgb="FFFF99CC"/>
      <rgbColor rgb="FFCC99FF"/>
      <rgbColor rgb="FFF6C6AD"/>
      <rgbColor rgb="FF3366FF"/>
      <rgbColor rgb="FF33CCCC"/>
      <rgbColor rgb="FF92D050"/>
      <rgbColor rgb="FFFFC000"/>
      <rgbColor rgb="FFFF9900"/>
      <rgbColor rgb="FFED7D31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ערכת נושא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171875" defaultRowHeight="14.25" zeroHeight="false" outlineLevelRow="0" outlineLevelCol="0"/>
  <sheetData>
    <row r="1" customFormat="false" ht="14.25" hidden="false" customHeight="false" outlineLevel="0" collapsed="false">
      <c r="A1" s="0" t="s">
        <v>0</v>
      </c>
      <c r="B1" s="1" t="s">
        <v>1</v>
      </c>
      <c r="C1" s="2" t="s">
        <v>2</v>
      </c>
      <c r="D1" s="3" t="s">
        <v>3</v>
      </c>
      <c r="E1" s="3" t="s">
        <v>4</v>
      </c>
    </row>
    <row r="2" customFormat="false" ht="14.25" hidden="false" customHeight="false" outlineLevel="0" collapsed="false">
      <c r="A2" s="0" t="s">
        <v>5</v>
      </c>
      <c r="B2" s="4" t="s">
        <v>6</v>
      </c>
      <c r="C2" s="5" t="n">
        <v>24.7801529452932</v>
      </c>
      <c r="D2" s="5" t="n">
        <v>16.5</v>
      </c>
      <c r="E2" s="5" t="n">
        <v>2.61015338132873</v>
      </c>
    </row>
    <row r="3" customFormat="false" ht="14.25" hidden="false" customHeight="false" outlineLevel="0" collapsed="false">
      <c r="A3" s="0" t="s">
        <v>5</v>
      </c>
      <c r="B3" s="4" t="s">
        <v>7</v>
      </c>
      <c r="C3" s="5" t="n">
        <v>28.7633941595703</v>
      </c>
      <c r="D3" s="5" t="n">
        <v>16.5</v>
      </c>
      <c r="E3" s="5" t="n">
        <v>2.248691501468</v>
      </c>
    </row>
    <row r="4" customFormat="false" ht="14.25" hidden="false" customHeight="false" outlineLevel="0" collapsed="false">
      <c r="A4" s="0" t="s">
        <v>5</v>
      </c>
      <c r="B4" s="4" t="s">
        <v>8</v>
      </c>
      <c r="C4" s="5" t="n">
        <v>80.0209306890683</v>
      </c>
      <c r="D4" s="5" t="n">
        <v>38.75</v>
      </c>
      <c r="E4" s="5" t="n">
        <v>1.89825335311616</v>
      </c>
    </row>
    <row r="5" customFormat="false" ht="14.25" hidden="false" customHeight="false" outlineLevel="0" collapsed="false">
      <c r="A5" s="0" t="s">
        <v>5</v>
      </c>
      <c r="B5" s="6" t="s">
        <v>9</v>
      </c>
      <c r="C5" s="5" t="n">
        <v>27.7514749840457</v>
      </c>
      <c r="D5" s="5" t="n">
        <v>22.5</v>
      </c>
      <c r="E5" s="5" t="n">
        <v>3.17820944835207</v>
      </c>
    </row>
    <row r="6" customFormat="false" ht="14.25" hidden="false" customHeight="false" outlineLevel="0" collapsed="false">
      <c r="A6" s="0" t="s">
        <v>5</v>
      </c>
      <c r="B6" s="4" t="s">
        <v>10</v>
      </c>
      <c r="C6" s="5" t="n">
        <v>39.6124465429786</v>
      </c>
      <c r="D6" s="5" t="n">
        <v>21.85</v>
      </c>
      <c r="E6" s="5" t="n">
        <v>2.16224968349455</v>
      </c>
    </row>
    <row r="7" customFormat="false" ht="14.25" hidden="false" customHeight="false" outlineLevel="0" collapsed="false">
      <c r="A7" s="0" t="s">
        <v>5</v>
      </c>
      <c r="B7" s="6" t="s">
        <v>11</v>
      </c>
      <c r="C7" s="5" t="n">
        <v>41.6454388204261</v>
      </c>
      <c r="D7" s="5" t="n">
        <v>21.8</v>
      </c>
      <c r="E7" s="5" t="n">
        <v>2.05198942358331</v>
      </c>
    </row>
    <row r="8" customFormat="false" ht="14.25" hidden="false" customHeight="false" outlineLevel="0" collapsed="false">
      <c r="A8" s="0" t="s">
        <v>5</v>
      </c>
      <c r="B8" s="4" t="s">
        <v>12</v>
      </c>
      <c r="C8" s="5" t="n">
        <v>62.1034225648175</v>
      </c>
      <c r="D8" s="5" t="n">
        <v>29.95</v>
      </c>
      <c r="E8" s="5" t="n">
        <v>1.89045941674897</v>
      </c>
    </row>
    <row r="9" customFormat="false" ht="14.25" hidden="false" customHeight="false" outlineLevel="0" collapsed="false">
      <c r="A9" s="0" t="s">
        <v>5</v>
      </c>
      <c r="B9" s="4" t="s">
        <v>13</v>
      </c>
      <c r="C9" s="5" t="n">
        <v>41.1422638303869</v>
      </c>
      <c r="D9" s="5" t="n">
        <v>19.95</v>
      </c>
      <c r="E9" s="5" t="n">
        <v>1.90081907797791</v>
      </c>
    </row>
    <row r="10" customFormat="false" ht="14.25" hidden="false" customHeight="false" outlineLevel="0" collapsed="false">
      <c r="A10" s="0" t="s">
        <v>5</v>
      </c>
      <c r="B10" s="4" t="s">
        <v>14</v>
      </c>
      <c r="C10" s="5" t="n">
        <v>36.4947029013006</v>
      </c>
      <c r="D10" s="5" t="n">
        <v>18.9</v>
      </c>
      <c r="E10" s="5" t="n">
        <v>2.0301028398661</v>
      </c>
    </row>
    <row r="11" customFormat="false" ht="14.25" hidden="false" customHeight="false" outlineLevel="0" collapsed="false">
      <c r="A11" s="0" t="s">
        <v>5</v>
      </c>
      <c r="B11" s="4" t="n">
        <v>16</v>
      </c>
      <c r="C11" s="5" t="n">
        <v>32.4017467881068</v>
      </c>
      <c r="D11" s="5" t="n">
        <v>16.8</v>
      </c>
      <c r="E11" s="5" t="n">
        <v>2.03248301490254</v>
      </c>
    </row>
    <row r="12" customFormat="false" ht="14.25" hidden="false" customHeight="false" outlineLevel="0" collapsed="false">
      <c r="A12" s="0" t="s">
        <v>5</v>
      </c>
      <c r="B12" s="4" t="s">
        <v>15</v>
      </c>
      <c r="C12" s="5" t="n">
        <v>10.7421985493387</v>
      </c>
      <c r="D12" s="5" t="n">
        <v>5.5</v>
      </c>
      <c r="E12" s="5" t="n">
        <v>2.00703793557486</v>
      </c>
    </row>
    <row r="13" customFormat="false" ht="14.25" hidden="false" customHeight="false" outlineLevel="0" collapsed="false">
      <c r="A13" s="0" t="s">
        <v>5</v>
      </c>
      <c r="B13" s="4" t="s">
        <v>16</v>
      </c>
      <c r="C13" s="5" t="n">
        <v>9.75585805355342</v>
      </c>
      <c r="D13" s="5" t="n">
        <v>5.65</v>
      </c>
      <c r="E13" s="5" t="n">
        <v>2.27022573293109</v>
      </c>
    </row>
    <row r="14" customFormat="false" ht="14.25" hidden="false" customHeight="false" outlineLevel="0" collapsed="false">
      <c r="A14" s="0" t="s">
        <v>5</v>
      </c>
      <c r="B14" s="4" t="s">
        <v>17</v>
      </c>
      <c r="C14" s="5" t="n">
        <v>10.0642429520047</v>
      </c>
      <c r="D14" s="5" t="n">
        <v>5.85</v>
      </c>
      <c r="E14" s="5" t="n">
        <v>2.27856184606832</v>
      </c>
    </row>
    <row r="15" customFormat="false" ht="14.25" hidden="false" customHeight="false" outlineLevel="0" collapsed="false">
      <c r="A15" s="0" t="s">
        <v>5</v>
      </c>
      <c r="B15" s="4" t="s">
        <v>18</v>
      </c>
      <c r="C15" s="5" t="n">
        <v>7.90418907617764</v>
      </c>
      <c r="D15" s="5" t="n">
        <v>4.65</v>
      </c>
      <c r="E15" s="5" t="n">
        <v>2.3061189230578</v>
      </c>
    </row>
    <row r="16" customFormat="false" ht="14.25" hidden="false" customHeight="false" outlineLevel="0" collapsed="false">
      <c r="A16" s="0" t="s">
        <v>5</v>
      </c>
      <c r="B16" s="4" t="s">
        <v>19</v>
      </c>
      <c r="C16" s="5" t="n">
        <v>5.17083013864748</v>
      </c>
      <c r="D16" s="5" t="n">
        <v>2.8</v>
      </c>
      <c r="E16" s="5" t="n">
        <v>2.1226765733347</v>
      </c>
    </row>
    <row r="17" customFormat="false" ht="14.25" hidden="false" customHeight="false" outlineLevel="0" collapsed="false">
      <c r="A17" s="0" t="s">
        <v>5</v>
      </c>
      <c r="B17" s="4" t="s">
        <v>20</v>
      </c>
      <c r="C17" s="5" t="n">
        <v>5.36038253395634</v>
      </c>
      <c r="D17" s="5" t="n">
        <v>3.25</v>
      </c>
      <c r="E17" s="5" t="n">
        <v>2.3766960509434</v>
      </c>
    </row>
    <row r="18" customFormat="false" ht="14.25" hidden="false" customHeight="false" outlineLevel="0" collapsed="false">
      <c r="A18" s="0" t="s">
        <v>5</v>
      </c>
      <c r="B18" s="4" t="s">
        <v>21</v>
      </c>
      <c r="C18" s="5" t="n">
        <v>14.0741926321993</v>
      </c>
      <c r="D18" s="5" t="n">
        <v>6.6</v>
      </c>
      <c r="E18" s="5" t="n">
        <v>1.83825819896834</v>
      </c>
    </row>
    <row r="19" customFormat="false" ht="14.25" hidden="false" customHeight="false" outlineLevel="0" collapsed="false">
      <c r="A19" s="0" t="s">
        <v>5</v>
      </c>
      <c r="B19" s="4" t="s">
        <v>22</v>
      </c>
      <c r="C19" s="5" t="n">
        <v>13.9819924007178</v>
      </c>
      <c r="D19" s="5" t="n">
        <v>7.5</v>
      </c>
      <c r="E19" s="5" t="n">
        <v>2.10270461872735</v>
      </c>
    </row>
    <row r="20" customFormat="false" ht="14.25" hidden="false" customHeight="false" outlineLevel="0" collapsed="false">
      <c r="A20" s="0" t="s">
        <v>5</v>
      </c>
      <c r="B20" s="4" t="s">
        <v>23</v>
      </c>
      <c r="C20" s="5" t="n">
        <v>32.8799368252528</v>
      </c>
      <c r="D20" s="5" t="n">
        <v>16.5</v>
      </c>
      <c r="E20" s="5" t="n">
        <v>1.96715706431418</v>
      </c>
    </row>
    <row r="21" customFormat="false" ht="14.25" hidden="false" customHeight="false" outlineLevel="0" collapsed="false">
      <c r="A21" s="0" t="s">
        <v>5</v>
      </c>
      <c r="B21" s="4" t="s">
        <v>24</v>
      </c>
      <c r="C21" s="5" t="n">
        <v>12.4333904967268</v>
      </c>
      <c r="D21" s="5" t="n">
        <v>6.3</v>
      </c>
      <c r="E21" s="5" t="n">
        <v>1.98626432641212</v>
      </c>
    </row>
    <row r="22" customFormat="false" ht="14.25" hidden="false" customHeight="false" outlineLevel="0" collapsed="false">
      <c r="A22" s="0" t="s">
        <v>5</v>
      </c>
      <c r="B22" s="4" t="s">
        <v>25</v>
      </c>
      <c r="C22" s="5" t="n">
        <v>19.7715231195059</v>
      </c>
      <c r="D22" s="5" t="n">
        <v>9.75</v>
      </c>
      <c r="E22" s="5" t="n">
        <v>1.93308324143695</v>
      </c>
    </row>
    <row r="23" customFormat="false" ht="14.25" hidden="false" customHeight="false" outlineLevel="0" collapsed="false">
      <c r="A23" s="0" t="s">
        <v>5</v>
      </c>
      <c r="B23" s="4" t="s">
        <v>26</v>
      </c>
      <c r="C23" s="5" t="n">
        <v>16.6734153846154</v>
      </c>
      <c r="D23" s="5" t="n">
        <v>9.1</v>
      </c>
      <c r="E23" s="5" t="n">
        <v>2.1394536858306</v>
      </c>
    </row>
    <row r="24" customFormat="false" ht="14.25" hidden="false" customHeight="false" outlineLevel="0" collapsed="false">
      <c r="A24" s="0" t="s">
        <v>5</v>
      </c>
      <c r="B24" s="4" t="s">
        <v>27</v>
      </c>
      <c r="C24" s="5" t="n">
        <v>16.0358769230769</v>
      </c>
      <c r="D24" s="5" t="n">
        <v>9.1</v>
      </c>
      <c r="E24" s="5" t="n">
        <v>2.22451195972109</v>
      </c>
    </row>
    <row r="25" customFormat="false" ht="14.25" hidden="false" customHeight="false" outlineLevel="0" collapsed="false">
      <c r="A25" s="0" t="s">
        <v>5</v>
      </c>
      <c r="B25" s="4" t="s">
        <v>28</v>
      </c>
      <c r="C25" s="5" t="n">
        <v>21.5412032862439</v>
      </c>
      <c r="D25" s="5" t="n">
        <v>12</v>
      </c>
      <c r="E25" s="5" t="n">
        <v>2.18372202216018</v>
      </c>
    </row>
    <row r="26" customFormat="false" ht="14.25" hidden="false" customHeight="false" outlineLevel="0" collapsed="false">
      <c r="A26" s="0" t="s">
        <v>5</v>
      </c>
      <c r="B26" s="4" t="s">
        <v>29</v>
      </c>
      <c r="C26" s="5" t="n">
        <v>15.1561054618649</v>
      </c>
      <c r="D26" s="5" t="n">
        <v>8.1</v>
      </c>
      <c r="E26" s="5" t="n">
        <v>2.09499729860636</v>
      </c>
    </row>
    <row r="27" customFormat="false" ht="14.25" hidden="false" customHeight="false" outlineLevel="0" collapsed="false">
      <c r="A27" s="0" t="s">
        <v>5</v>
      </c>
      <c r="B27" s="4" t="s">
        <v>30</v>
      </c>
      <c r="C27" s="5" t="n">
        <v>15.7465959975858</v>
      </c>
      <c r="D27" s="5" t="n">
        <v>7.45</v>
      </c>
      <c r="E27" s="5" t="n">
        <v>1.85462305659442</v>
      </c>
    </row>
    <row r="28" customFormat="false" ht="14.25" hidden="false" customHeight="false" outlineLevel="0" collapsed="false">
      <c r="A28" s="0" t="s">
        <v>5</v>
      </c>
      <c r="B28" s="4" t="s">
        <v>31</v>
      </c>
      <c r="C28" s="5" t="n">
        <v>5.8133768365053</v>
      </c>
      <c r="D28" s="5" t="n">
        <v>3.45</v>
      </c>
      <c r="E28" s="5" t="n">
        <v>2.32635873784675</v>
      </c>
    </row>
    <row r="29" customFormat="false" ht="14.25" hidden="false" customHeight="false" outlineLevel="0" collapsed="false">
      <c r="A29" s="0" t="s">
        <v>5</v>
      </c>
      <c r="B29" s="4" t="s">
        <v>32</v>
      </c>
      <c r="C29" s="5" t="n">
        <v>4.94523146216575</v>
      </c>
      <c r="D29" s="5" t="n">
        <v>2.8</v>
      </c>
      <c r="E29" s="5" t="n">
        <v>2.2195118841198</v>
      </c>
    </row>
    <row r="30" customFormat="false" ht="14.25" hidden="false" customHeight="false" outlineLevel="0" collapsed="false">
      <c r="A30" s="0" t="s">
        <v>5</v>
      </c>
      <c r="B30" s="4" t="s">
        <v>33</v>
      </c>
      <c r="C30" s="5" t="n">
        <v>6.80602512680537</v>
      </c>
      <c r="D30" s="5" t="n">
        <v>4.25</v>
      </c>
      <c r="E30" s="5" t="n">
        <v>2.44783110400004</v>
      </c>
    </row>
    <row r="31" customFormat="false" ht="14.25" hidden="false" customHeight="false" outlineLevel="0" collapsed="false">
      <c r="A31" s="0" t="s">
        <v>5</v>
      </c>
      <c r="B31" s="4" t="s">
        <v>34</v>
      </c>
      <c r="C31" s="5" t="n">
        <v>4.2736124145467</v>
      </c>
      <c r="D31" s="5" t="n">
        <v>2.25</v>
      </c>
      <c r="E31" s="5" t="n">
        <v>2.06382777483005</v>
      </c>
    </row>
    <row r="32" customFormat="false" ht="14.25" hidden="false" customHeight="false" outlineLevel="0" collapsed="false">
      <c r="A32" s="0" t="s">
        <v>5</v>
      </c>
      <c r="B32" s="4" t="s">
        <v>35</v>
      </c>
      <c r="C32" s="5" t="n">
        <v>12.3342374923123</v>
      </c>
      <c r="D32" s="5" t="n">
        <v>6.5</v>
      </c>
      <c r="E32" s="5" t="n">
        <v>2.06579450216369</v>
      </c>
    </row>
    <row r="33" customFormat="false" ht="14.25" hidden="false" customHeight="false" outlineLevel="0" collapsed="false">
      <c r="A33" s="0" t="s">
        <v>5</v>
      </c>
      <c r="B33" s="4" t="s">
        <v>36</v>
      </c>
      <c r="C33" s="5" t="n">
        <v>19.2318953616916</v>
      </c>
      <c r="D33" s="5" t="n">
        <v>8.65</v>
      </c>
      <c r="E33" s="5" t="n">
        <v>1.76311275421881</v>
      </c>
    </row>
    <row r="34" customFormat="false" ht="14.25" hidden="false" customHeight="false" outlineLevel="0" collapsed="false">
      <c r="A34" s="0" t="s">
        <v>5</v>
      </c>
      <c r="B34" s="4" t="s">
        <v>37</v>
      </c>
      <c r="C34" s="5" t="n">
        <v>17.0632608081552</v>
      </c>
      <c r="D34" s="5" t="n">
        <v>8.65</v>
      </c>
      <c r="E34" s="5" t="n">
        <v>1.98719344334198</v>
      </c>
    </row>
    <row r="35" customFormat="false" ht="14.25" hidden="false" customHeight="false" outlineLevel="0" collapsed="false">
      <c r="A35" s="0" t="s">
        <v>5</v>
      </c>
      <c r="B35" s="4" t="s">
        <v>38</v>
      </c>
      <c r="C35" s="5" t="n">
        <v>17.4320617340811</v>
      </c>
      <c r="D35" s="5" t="n">
        <v>9.15</v>
      </c>
      <c r="E35" s="5" t="n">
        <v>2.05758794037972</v>
      </c>
    </row>
    <row r="36" customFormat="false" ht="14.25" hidden="false" customHeight="false" outlineLevel="0" collapsed="false">
      <c r="A36" s="0" t="s">
        <v>5</v>
      </c>
      <c r="B36" s="4" t="n">
        <v>35</v>
      </c>
      <c r="C36" s="5" t="n">
        <v>6.64823884286583</v>
      </c>
      <c r="D36" s="5" t="n">
        <v>3.55</v>
      </c>
      <c r="E36" s="5" t="n">
        <v>2.09318592922292</v>
      </c>
    </row>
    <row r="37" customFormat="false" ht="14.25" hidden="false" customHeight="false" outlineLevel="0" collapsed="false">
      <c r="A37" s="0" t="s">
        <v>5</v>
      </c>
      <c r="B37" s="4" t="s">
        <v>39</v>
      </c>
      <c r="C37" s="5" t="n">
        <v>6.84268275978265</v>
      </c>
      <c r="D37" s="5" t="n">
        <v>3.55</v>
      </c>
      <c r="E37" s="5" t="n">
        <v>2.0337052715333</v>
      </c>
    </row>
    <row r="38" customFormat="false" ht="14.25" hidden="false" customHeight="false" outlineLevel="0" collapsed="false">
      <c r="A38" s="0" t="s">
        <v>5</v>
      </c>
      <c r="B38" s="4" t="s">
        <v>40</v>
      </c>
      <c r="C38" s="5" t="n">
        <v>6.84268275978265</v>
      </c>
      <c r="D38" s="5" t="n">
        <v>3.55</v>
      </c>
      <c r="E38" s="5" t="n">
        <v>2.0337052715333</v>
      </c>
    </row>
    <row r="39" customFormat="false" ht="14.25" hidden="false" customHeight="false" outlineLevel="0" collapsed="false">
      <c r="A39" s="0" t="s">
        <v>5</v>
      </c>
      <c r="B39" s="4" t="s">
        <v>41</v>
      </c>
      <c r="C39" s="5" t="n">
        <v>17.7954467015137</v>
      </c>
      <c r="D39" s="5" t="n">
        <v>9.1</v>
      </c>
      <c r="E39" s="5" t="n">
        <v>2.00455771627052</v>
      </c>
    </row>
    <row r="40" customFormat="false" ht="14.25" hidden="false" customHeight="false" outlineLevel="0" collapsed="false">
      <c r="A40" s="0" t="s">
        <v>5</v>
      </c>
      <c r="B40" s="4" t="n">
        <v>362</v>
      </c>
      <c r="C40" s="5" t="n">
        <v>8.756561543815</v>
      </c>
      <c r="D40" s="5" t="n">
        <v>4.9</v>
      </c>
      <c r="E40" s="5" t="n">
        <v>2.19355507340289</v>
      </c>
    </row>
    <row r="41" customFormat="false" ht="14.25" hidden="false" customHeight="false" outlineLevel="0" collapsed="false">
      <c r="A41" s="0" t="s">
        <v>5</v>
      </c>
      <c r="B41" s="4" t="s">
        <v>42</v>
      </c>
      <c r="C41" s="5" t="n">
        <v>9.4336351984054</v>
      </c>
      <c r="D41" s="5" t="n">
        <v>5.45</v>
      </c>
      <c r="E41" s="5" t="n">
        <v>2.26466251351454</v>
      </c>
    </row>
    <row r="42" customFormat="false" ht="14.25" hidden="false" customHeight="false" outlineLevel="0" collapsed="false">
      <c r="A42" s="0" t="s">
        <v>5</v>
      </c>
      <c r="B42" s="4" t="s">
        <v>43</v>
      </c>
      <c r="C42" s="5" t="n">
        <v>8.87798722759801</v>
      </c>
      <c r="D42" s="5" t="n">
        <v>5.1</v>
      </c>
      <c r="E42" s="5" t="n">
        <v>2.2518617663532</v>
      </c>
    </row>
    <row r="43" customFormat="false" ht="14.25" hidden="false" customHeight="false" outlineLevel="0" collapsed="false">
      <c r="A43" s="0" t="s">
        <v>5</v>
      </c>
      <c r="B43" s="4" t="n">
        <v>363</v>
      </c>
      <c r="C43" s="5" t="n">
        <v>6.56252677542423</v>
      </c>
      <c r="D43" s="5" t="n">
        <v>3.65</v>
      </c>
      <c r="E43" s="5" t="n">
        <v>2.18025777107402</v>
      </c>
    </row>
    <row r="44" customFormat="false" ht="14.25" hidden="false" customHeight="false" outlineLevel="0" collapsed="false">
      <c r="A44" s="0" t="s">
        <v>5</v>
      </c>
      <c r="B44" s="4" t="s">
        <v>44</v>
      </c>
      <c r="C44" s="5" t="n">
        <v>2.94564574788004</v>
      </c>
      <c r="D44" s="5" t="n">
        <v>1.8</v>
      </c>
      <c r="E44" s="5" t="n">
        <v>2.39540005958903</v>
      </c>
    </row>
    <row r="45" customFormat="false" ht="14.25" hidden="false" customHeight="false" outlineLevel="0" collapsed="false">
      <c r="A45" s="0" t="s">
        <v>5</v>
      </c>
      <c r="B45" s="4" t="s">
        <v>45</v>
      </c>
      <c r="C45" s="5" t="n">
        <v>3.47474574788004</v>
      </c>
      <c r="D45" s="5" t="n">
        <v>1.8</v>
      </c>
      <c r="E45" s="5" t="n">
        <v>2.03065217197687</v>
      </c>
    </row>
    <row r="46" customFormat="false" ht="14.25" hidden="false" customHeight="false" outlineLevel="0" collapsed="false">
      <c r="A46" s="0" t="s">
        <v>5</v>
      </c>
      <c r="B46" s="4" t="s">
        <v>46</v>
      </c>
      <c r="C46" s="5" t="n">
        <v>4.21538644196133</v>
      </c>
      <c r="D46" s="5" t="n">
        <v>2.15</v>
      </c>
      <c r="E46" s="5" t="n">
        <v>1.99934219935448</v>
      </c>
    </row>
    <row r="47" customFormat="false" ht="14.25" hidden="false" customHeight="false" outlineLevel="0" collapsed="false">
      <c r="A47" s="0" t="s">
        <v>5</v>
      </c>
      <c r="B47" s="4" t="s">
        <v>47</v>
      </c>
      <c r="C47" s="5" t="n">
        <v>3.8495956544897</v>
      </c>
      <c r="D47" s="5" t="n">
        <v>2</v>
      </c>
      <c r="E47" s="5" t="n">
        <v>2.03657752752718</v>
      </c>
    </row>
    <row r="48" customFormat="false" ht="14.25" hidden="false" customHeight="false" outlineLevel="0" collapsed="false">
      <c r="A48" s="0" t="s">
        <v>5</v>
      </c>
      <c r="B48" s="4" t="s">
        <v>48</v>
      </c>
      <c r="C48" s="5" t="n">
        <v>4.65504574788004</v>
      </c>
      <c r="D48" s="5" t="n">
        <v>2.4</v>
      </c>
      <c r="E48" s="5" t="n">
        <v>2.02103276950275</v>
      </c>
    </row>
    <row r="49" customFormat="false" ht="14.25" hidden="false" customHeight="false" outlineLevel="0" collapsed="false">
      <c r="A49" s="0" t="s">
        <v>5</v>
      </c>
      <c r="B49" s="4" t="s">
        <v>49</v>
      </c>
      <c r="C49" s="5" t="n">
        <v>10.6716206589335</v>
      </c>
      <c r="D49" s="5" t="n">
        <v>6.2</v>
      </c>
      <c r="E49" s="5" t="n">
        <v>2.27744227205588</v>
      </c>
    </row>
    <row r="50" customFormat="false" ht="14.25" hidden="false" customHeight="false" outlineLevel="0" collapsed="false">
      <c r="A50" s="0" t="s">
        <v>5</v>
      </c>
      <c r="B50" s="4" t="s">
        <v>50</v>
      </c>
      <c r="C50" s="5" t="n">
        <v>4.47309407210157</v>
      </c>
      <c r="D50" s="5" t="n">
        <v>2.6</v>
      </c>
      <c r="E50" s="5" t="n">
        <v>2.278512330775</v>
      </c>
    </row>
    <row r="51" customFormat="false" ht="14.25" hidden="false" customHeight="false" outlineLevel="0" collapsed="false">
      <c r="A51" s="0" t="s">
        <v>5</v>
      </c>
      <c r="B51" s="4" t="s">
        <v>51</v>
      </c>
      <c r="C51" s="5" t="n">
        <v>10.1089531076145</v>
      </c>
      <c r="D51" s="5" t="n">
        <v>6.45</v>
      </c>
      <c r="E51" s="5" t="n">
        <v>2.50114920218149</v>
      </c>
    </row>
    <row r="52" customFormat="false" ht="14.25" hidden="false" customHeight="false" outlineLevel="0" collapsed="false">
      <c r="A52" s="0" t="s">
        <v>5</v>
      </c>
      <c r="B52" s="4" t="s">
        <v>52</v>
      </c>
      <c r="C52" s="5" t="n">
        <v>5.83534574788004</v>
      </c>
      <c r="D52" s="5" t="n">
        <v>4.65</v>
      </c>
      <c r="E52" s="5" t="n">
        <v>3.1237223615451</v>
      </c>
    </row>
    <row r="53" customFormat="false" ht="14.25" hidden="false" customHeight="false" outlineLevel="0" collapsed="false">
      <c r="A53" s="0" t="s">
        <v>5</v>
      </c>
      <c r="B53" s="4" t="s">
        <v>53</v>
      </c>
      <c r="C53" s="5" t="n">
        <v>7.95025881845519</v>
      </c>
      <c r="D53" s="5" t="n">
        <v>3.8</v>
      </c>
      <c r="E53" s="5" t="n">
        <v>1.87364969369569</v>
      </c>
    </row>
    <row r="54" customFormat="false" ht="14.25" hidden="false" customHeight="false" outlineLevel="0" collapsed="false">
      <c r="A54" s="0" t="s">
        <v>5</v>
      </c>
      <c r="B54" s="4" t="s">
        <v>54</v>
      </c>
      <c r="C54" s="5" t="n">
        <v>5.54100179930422</v>
      </c>
      <c r="D54" s="5" t="n">
        <v>2.95</v>
      </c>
      <c r="E54" s="5" t="n">
        <v>2.08698723062174</v>
      </c>
    </row>
    <row r="55" customFormat="false" ht="14.25" hidden="false" customHeight="false" outlineLevel="0" collapsed="false">
      <c r="A55" s="0" t="s">
        <v>5</v>
      </c>
      <c r="B55" s="4" t="s">
        <v>55</v>
      </c>
      <c r="C55" s="5" t="n">
        <v>6.00357914698121</v>
      </c>
      <c r="D55" s="5" t="n">
        <v>3.2</v>
      </c>
      <c r="E55" s="5" t="n">
        <v>2.08942027628761</v>
      </c>
    </row>
    <row r="56" customFormat="false" ht="14.25" hidden="false" customHeight="false" outlineLevel="0" collapsed="false">
      <c r="A56" s="0" t="s">
        <v>5</v>
      </c>
      <c r="B56" s="4" t="s">
        <v>56</v>
      </c>
      <c r="C56" s="5" t="n">
        <v>4.38337517785473</v>
      </c>
      <c r="D56" s="5" t="n">
        <v>2.6</v>
      </c>
      <c r="E56" s="5" t="n">
        <v>2.32514890614225</v>
      </c>
    </row>
    <row r="57" customFormat="false" ht="14.25" hidden="false" customHeight="false" outlineLevel="0" collapsed="false">
      <c r="A57" s="0" t="s">
        <v>5</v>
      </c>
      <c r="B57" s="4" t="s">
        <v>56</v>
      </c>
      <c r="C57" s="5" t="n">
        <v>4.40507813288888</v>
      </c>
      <c r="D57" s="5" t="n">
        <v>2.6</v>
      </c>
      <c r="E57" s="5" t="n">
        <v>2.31369335401913</v>
      </c>
    </row>
    <row r="58" customFormat="false" ht="14.25" hidden="false" customHeight="false" outlineLevel="0" collapsed="false">
      <c r="A58" s="0" t="s">
        <v>5</v>
      </c>
      <c r="B58" s="4" t="s">
        <v>57</v>
      </c>
      <c r="C58" s="5" t="n">
        <v>3.61435016932622</v>
      </c>
      <c r="D58" s="5" t="n">
        <v>2.6</v>
      </c>
      <c r="E58" s="5" t="n">
        <v>2.81987066070579</v>
      </c>
    </row>
    <row r="59" customFormat="false" ht="14.25" hidden="false" customHeight="false" outlineLevel="0" collapsed="false">
      <c r="A59" s="0" t="s">
        <v>5</v>
      </c>
      <c r="B59" s="4" t="s">
        <v>58</v>
      </c>
      <c r="C59" s="5" t="n">
        <v>4.66966892913401</v>
      </c>
      <c r="D59" s="5" t="n">
        <v>3.1</v>
      </c>
      <c r="E59" s="5" t="n">
        <v>2.60232581461692</v>
      </c>
    </row>
    <row r="60" customFormat="false" ht="14.25" hidden="false" customHeight="false" outlineLevel="0" collapsed="false">
      <c r="A60" s="0" t="s">
        <v>5</v>
      </c>
      <c r="B60" s="4" t="s">
        <v>59</v>
      </c>
      <c r="C60" s="5" t="n">
        <v>5.3854033073322</v>
      </c>
      <c r="D60" s="5" t="n">
        <v>3.1</v>
      </c>
      <c r="E60" s="5" t="n">
        <v>2.25646981414653</v>
      </c>
    </row>
    <row r="61" customFormat="false" ht="14.25" hidden="false" customHeight="false" outlineLevel="0" collapsed="false">
      <c r="A61" s="0" t="s">
        <v>5</v>
      </c>
      <c r="B61" s="4" t="s">
        <v>60</v>
      </c>
      <c r="C61" s="5" t="n">
        <v>8.41416000539179</v>
      </c>
      <c r="D61" s="5" t="n">
        <v>5.1</v>
      </c>
      <c r="E61" s="5" t="n">
        <v>2.37599475018173</v>
      </c>
    </row>
    <row r="62" customFormat="false" ht="14.25" hidden="false" customHeight="false" outlineLevel="0" collapsed="false">
      <c r="A62" s="0" t="s">
        <v>5</v>
      </c>
      <c r="B62" s="4" t="s">
        <v>61</v>
      </c>
      <c r="C62" s="5" t="n">
        <v>21.43</v>
      </c>
      <c r="D62" s="5" t="n">
        <v>11.75</v>
      </c>
      <c r="E62" s="5" t="n">
        <v>2.14932337844144</v>
      </c>
    </row>
    <row r="63" customFormat="false" ht="14.25" hidden="false" customHeight="false" outlineLevel="0" collapsed="false">
      <c r="A63" s="0" t="s">
        <v>5</v>
      </c>
      <c r="B63" s="4" t="s">
        <v>62</v>
      </c>
      <c r="C63" s="5" t="n">
        <v>27.3431178459843</v>
      </c>
      <c r="D63" s="5" t="n">
        <v>13.4</v>
      </c>
      <c r="E63" s="5" t="n">
        <v>1.92106841274922</v>
      </c>
    </row>
    <row r="64" customFormat="false" ht="14.25" hidden="false" customHeight="false" outlineLevel="0" collapsed="false">
      <c r="A64" s="0" t="s">
        <v>5</v>
      </c>
      <c r="B64" s="4" t="s">
        <v>63</v>
      </c>
      <c r="C64" s="5" t="n">
        <v>10.9613583489127</v>
      </c>
      <c r="D64" s="5" t="n">
        <v>5.8</v>
      </c>
      <c r="E64" s="5" t="n">
        <v>2.0741954852936</v>
      </c>
    </row>
    <row r="65" customFormat="false" ht="14.25" hidden="false" customHeight="false" outlineLevel="0" collapsed="false">
      <c r="A65" s="0" t="s">
        <v>5</v>
      </c>
      <c r="B65" s="7" t="s">
        <v>64</v>
      </c>
      <c r="C65" s="5" t="n">
        <v>12.3999284007477</v>
      </c>
      <c r="D65" s="5" t="n">
        <v>9.1</v>
      </c>
      <c r="E65" s="5" t="n">
        <v>2.87679080452182</v>
      </c>
    </row>
    <row r="66" customFormat="false" ht="14.25" hidden="false" customHeight="false" outlineLevel="0" collapsed="false">
      <c r="A66" s="0" t="s">
        <v>5</v>
      </c>
      <c r="B66" s="4" t="s">
        <v>65</v>
      </c>
      <c r="C66" s="5" t="n">
        <v>7.20934585479498</v>
      </c>
      <c r="D66" s="5" t="n">
        <v>3.95</v>
      </c>
      <c r="E66" s="5" t="n">
        <v>2.14776767710506</v>
      </c>
    </row>
    <row r="67" customFormat="false" ht="14.25" hidden="false" customHeight="false" outlineLevel="0" collapsed="false">
      <c r="A67" s="0" t="s">
        <v>5</v>
      </c>
      <c r="B67" s="4" t="s">
        <v>66</v>
      </c>
      <c r="C67" s="5" t="n">
        <v>7.44267855509517</v>
      </c>
      <c r="D67" s="5" t="n">
        <v>3.95</v>
      </c>
      <c r="E67" s="5" t="n">
        <v>2.08043379616332</v>
      </c>
    </row>
    <row r="68" customFormat="false" ht="14.25" hidden="false" customHeight="false" outlineLevel="0" collapsed="false">
      <c r="A68" s="0" t="s">
        <v>5</v>
      </c>
      <c r="B68" s="4" t="n">
        <v>45</v>
      </c>
      <c r="C68" s="5" t="n">
        <v>6.76490519301592</v>
      </c>
      <c r="D68" s="5" t="n">
        <v>3.55</v>
      </c>
      <c r="E68" s="5" t="n">
        <v>2.05708721747747</v>
      </c>
    </row>
    <row r="69" customFormat="false" ht="14.25" hidden="false" customHeight="false" outlineLevel="0" collapsed="false">
      <c r="A69" s="0" t="s">
        <v>5</v>
      </c>
      <c r="B69" s="4" t="s">
        <v>67</v>
      </c>
      <c r="C69" s="5" t="n">
        <v>7.19010202076607</v>
      </c>
      <c r="D69" s="5" t="n">
        <v>3.55</v>
      </c>
      <c r="E69" s="5" t="n">
        <v>1.93543846245972</v>
      </c>
    </row>
    <row r="70" customFormat="false" ht="14.25" hidden="false" customHeight="false" outlineLevel="0" collapsed="false">
      <c r="A70" s="0" t="s">
        <v>5</v>
      </c>
      <c r="B70" s="4" t="s">
        <v>68</v>
      </c>
      <c r="C70" s="5" t="n">
        <v>6.84268275978265</v>
      </c>
      <c r="D70" s="5" t="n">
        <v>3.55</v>
      </c>
      <c r="E70" s="5" t="n">
        <v>2.0337052715333</v>
      </c>
    </row>
    <row r="71" customFormat="false" ht="14.25" hidden="false" customHeight="false" outlineLevel="0" collapsed="false">
      <c r="A71" s="0" t="s">
        <v>5</v>
      </c>
      <c r="B71" s="4" t="s">
        <v>69</v>
      </c>
      <c r="C71" s="5" t="n">
        <v>7.55676511577839</v>
      </c>
      <c r="D71" s="5" t="n">
        <v>4.2</v>
      </c>
      <c r="E71" s="5" t="n">
        <v>2.17871003633863</v>
      </c>
    </row>
    <row r="72" customFormat="false" ht="14.25" hidden="false" customHeight="false" outlineLevel="0" collapsed="false">
      <c r="A72" s="0" t="s">
        <v>5</v>
      </c>
      <c r="B72" s="4" t="s">
        <v>70</v>
      </c>
      <c r="C72" s="5" t="n">
        <v>36.876</v>
      </c>
      <c r="D72" s="5" t="n">
        <v>23.45</v>
      </c>
      <c r="E72" s="5" t="n">
        <v>2.49278663629461</v>
      </c>
    </row>
    <row r="73" customFormat="false" ht="14.25" hidden="false" customHeight="false" outlineLevel="0" collapsed="false">
      <c r="A73" s="0" t="s">
        <v>5</v>
      </c>
      <c r="B73" s="4" t="s">
        <v>71</v>
      </c>
      <c r="C73" s="5" t="n">
        <v>33.6577272944588</v>
      </c>
      <c r="D73" s="5" t="n">
        <v>16.7</v>
      </c>
      <c r="E73" s="5" t="n">
        <v>1.94499169320852</v>
      </c>
    </row>
    <row r="74" customFormat="false" ht="14.25" hidden="false" customHeight="false" outlineLevel="0" collapsed="false">
      <c r="A74" s="0" t="s">
        <v>5</v>
      </c>
      <c r="B74" s="8" t="s">
        <v>72</v>
      </c>
      <c r="C74" s="5" t="n">
        <v>24.8468219214462</v>
      </c>
      <c r="D74" s="5" t="n">
        <v>9.05</v>
      </c>
      <c r="E74" s="5" t="n">
        <v>1.42778823433267</v>
      </c>
    </row>
    <row r="75" customFormat="false" ht="14.25" hidden="false" customHeight="false" outlineLevel="0" collapsed="false">
      <c r="A75" s="0" t="s">
        <v>5</v>
      </c>
      <c r="B75" s="6" t="s">
        <v>73</v>
      </c>
      <c r="C75" s="5" t="n">
        <v>52.9123524176038</v>
      </c>
      <c r="D75" s="5" t="n">
        <v>28</v>
      </c>
      <c r="E75" s="5" t="n">
        <v>2.0743738462757</v>
      </c>
    </row>
    <row r="76" customFormat="false" ht="14.25" hidden="false" customHeight="false" outlineLevel="0" collapsed="false">
      <c r="A76" s="0" t="s">
        <v>5</v>
      </c>
      <c r="B76" s="6" t="s">
        <v>74</v>
      </c>
      <c r="C76" s="5" t="n">
        <v>49.7507091310306</v>
      </c>
      <c r="D76" s="5" t="n">
        <v>25.5</v>
      </c>
      <c r="E76" s="5" t="n">
        <v>2.00921759198911</v>
      </c>
    </row>
    <row r="77" customFormat="false" ht="14.25" hidden="false" customHeight="false" outlineLevel="0" collapsed="false">
      <c r="A77" s="0" t="s">
        <v>5</v>
      </c>
      <c r="B77" s="6" t="s">
        <v>75</v>
      </c>
      <c r="C77" s="5" t="n">
        <v>49.7507091310306</v>
      </c>
      <c r="D77" s="5" t="n">
        <v>25.5</v>
      </c>
      <c r="E77" s="5" t="n">
        <v>2.00921759198911</v>
      </c>
    </row>
    <row r="78" customFormat="false" ht="14.25" hidden="false" customHeight="false" outlineLevel="0" collapsed="false">
      <c r="A78" s="0" t="s">
        <v>5</v>
      </c>
      <c r="B78" s="4" t="n">
        <v>60</v>
      </c>
      <c r="C78" s="5" t="n">
        <v>16.8416207793064</v>
      </c>
      <c r="D78" s="5" t="n">
        <v>6.55</v>
      </c>
      <c r="E78" s="5" t="n">
        <v>1.52455635573677</v>
      </c>
    </row>
    <row r="79" customFormat="false" ht="14.25" hidden="false" customHeight="false" outlineLevel="0" collapsed="false">
      <c r="A79" s="0" t="s">
        <v>5</v>
      </c>
      <c r="B79" s="4" t="s">
        <v>76</v>
      </c>
      <c r="C79" s="5" t="n">
        <v>16.8409789336104</v>
      </c>
      <c r="D79" s="5" t="n">
        <v>7.5</v>
      </c>
      <c r="E79" s="5" t="n">
        <v>1.74574174790546</v>
      </c>
    </row>
    <row r="80" customFormat="false" ht="14.25" hidden="false" customHeight="false" outlineLevel="0" collapsed="false">
      <c r="A80" s="0" t="s">
        <v>5</v>
      </c>
      <c r="B80" s="4" t="s">
        <v>77</v>
      </c>
      <c r="C80" s="5" t="n">
        <v>7.731</v>
      </c>
      <c r="D80" s="5" t="n">
        <v>5.05</v>
      </c>
      <c r="E80" s="5" t="n">
        <v>2.56060018108912</v>
      </c>
    </row>
    <row r="81" customFormat="false" ht="14.25" hidden="false" customHeight="false" outlineLevel="0" collapsed="false">
      <c r="A81" s="0" t="s">
        <v>5</v>
      </c>
      <c r="B81" s="8" t="s">
        <v>78</v>
      </c>
      <c r="C81" s="5" t="n">
        <v>37.35</v>
      </c>
      <c r="D81" s="5" t="n">
        <v>34.8</v>
      </c>
      <c r="E81" s="5" t="n">
        <v>3.65236947791165</v>
      </c>
    </row>
    <row r="82" customFormat="false" ht="14.25" hidden="false" customHeight="false" outlineLevel="0" collapsed="false">
      <c r="A82" s="0" t="s">
        <v>5</v>
      </c>
      <c r="B82" s="4" t="s">
        <v>79</v>
      </c>
      <c r="C82" s="5" t="n">
        <v>51.6999787918999</v>
      </c>
      <c r="D82" s="5" t="n">
        <v>26.65</v>
      </c>
      <c r="E82" s="5" t="n">
        <v>2.02065846913592</v>
      </c>
    </row>
    <row r="83" customFormat="false" ht="14.25" hidden="false" customHeight="false" outlineLevel="0" collapsed="false">
      <c r="A83" s="0" t="s">
        <v>5</v>
      </c>
      <c r="B83" s="4" t="s">
        <v>80</v>
      </c>
      <c r="C83" s="5" t="n">
        <v>57.6351019815826</v>
      </c>
      <c r="D83" s="5" t="n">
        <v>31.35</v>
      </c>
      <c r="E83" s="5" t="n">
        <v>2.13224225818617</v>
      </c>
    </row>
    <row r="84" customFormat="false" ht="14.25" hidden="false" customHeight="false" outlineLevel="0" collapsed="false">
      <c r="A84" s="0" t="s">
        <v>5</v>
      </c>
      <c r="B84" s="4" t="s">
        <v>81</v>
      </c>
      <c r="C84" s="5" t="n">
        <v>3.67</v>
      </c>
      <c r="D84" s="5" t="n">
        <v>2.8</v>
      </c>
      <c r="E84" s="5" t="n">
        <v>2.99073569482289</v>
      </c>
    </row>
    <row r="85" customFormat="false" ht="14.25" hidden="false" customHeight="false" outlineLevel="0" collapsed="false">
      <c r="A85" s="0" t="s">
        <v>5</v>
      </c>
      <c r="B85" s="4" t="s">
        <v>82</v>
      </c>
      <c r="C85" s="5" t="n">
        <v>4.73146262188516</v>
      </c>
      <c r="D85" s="5" t="n">
        <v>3.2</v>
      </c>
      <c r="E85" s="5" t="n">
        <v>2.65118864977995</v>
      </c>
    </row>
    <row r="86" customFormat="false" ht="14.25" hidden="false" customHeight="false" outlineLevel="0" collapsed="false">
      <c r="A86" s="0" t="s">
        <v>5</v>
      </c>
      <c r="B86" s="4" t="s">
        <v>83</v>
      </c>
      <c r="C86" s="5" t="n">
        <v>5.06015196821957</v>
      </c>
      <c r="D86" s="5" t="n">
        <v>3</v>
      </c>
      <c r="E86" s="5" t="n">
        <v>2.32404087344788</v>
      </c>
    </row>
    <row r="87" customFormat="false" ht="14.25" hidden="false" customHeight="false" outlineLevel="0" collapsed="false">
      <c r="A87" s="0" t="s">
        <v>5</v>
      </c>
      <c r="B87" s="4" t="s">
        <v>84</v>
      </c>
      <c r="C87" s="5" t="n">
        <v>2.796</v>
      </c>
      <c r="D87" s="5" t="n">
        <v>2</v>
      </c>
      <c r="E87" s="5" t="n">
        <v>2.80400572246066</v>
      </c>
    </row>
    <row r="88" customFormat="false" ht="14.25" hidden="false" customHeight="false" outlineLevel="0" collapsed="false">
      <c r="A88" s="0" t="s">
        <v>5</v>
      </c>
      <c r="B88" s="4" t="s">
        <v>85</v>
      </c>
      <c r="C88" s="5" t="n">
        <v>2.616</v>
      </c>
      <c r="D88" s="5" t="n">
        <v>2.3</v>
      </c>
      <c r="E88" s="5" t="n">
        <v>3.44648318042813</v>
      </c>
    </row>
    <row r="89" customFormat="false" ht="14.25" hidden="false" customHeight="false" outlineLevel="0" collapsed="false">
      <c r="A89" s="0" t="s">
        <v>5</v>
      </c>
      <c r="B89" s="4" t="s">
        <v>86</v>
      </c>
      <c r="C89" s="5" t="n">
        <v>7.27880505597689</v>
      </c>
      <c r="D89" s="5" t="n">
        <v>4</v>
      </c>
      <c r="E89" s="5" t="n">
        <v>2.15419974561959</v>
      </c>
    </row>
    <row r="90" customFormat="false" ht="14.25" hidden="false" customHeight="false" outlineLevel="0" collapsed="false">
      <c r="A90" s="0" t="s">
        <v>5</v>
      </c>
      <c r="B90" s="4" t="s">
        <v>87</v>
      </c>
      <c r="C90" s="5" t="n">
        <v>16.5405488526263</v>
      </c>
      <c r="D90" s="5" t="n">
        <v>8.45</v>
      </c>
      <c r="E90" s="5" t="n">
        <v>2.00259376488227</v>
      </c>
    </row>
    <row r="91" customFormat="false" ht="14.25" hidden="false" customHeight="false" outlineLevel="0" collapsed="false">
      <c r="A91" s="0" t="s">
        <v>5</v>
      </c>
      <c r="B91" s="4" t="s">
        <v>88</v>
      </c>
      <c r="C91" s="5" t="n">
        <v>15.600138220387</v>
      </c>
      <c r="D91" s="5" t="n">
        <v>7.9</v>
      </c>
      <c r="E91" s="5" t="n">
        <v>1.98511061648989</v>
      </c>
    </row>
    <row r="92" customFormat="false" ht="14.25" hidden="false" customHeight="false" outlineLevel="0" collapsed="false">
      <c r="A92" s="0" t="s">
        <v>5</v>
      </c>
      <c r="B92" s="4" t="n">
        <v>85</v>
      </c>
      <c r="C92" s="5" t="n">
        <v>10.7</v>
      </c>
      <c r="D92" s="5" t="n">
        <v>5.8</v>
      </c>
      <c r="E92" s="5" t="n">
        <v>2.12485981308411</v>
      </c>
    </row>
    <row r="93" customFormat="false" ht="14.25" hidden="false" customHeight="false" outlineLevel="0" collapsed="false">
      <c r="A93" s="0" t="s">
        <v>5</v>
      </c>
      <c r="B93" s="4" t="s">
        <v>89</v>
      </c>
      <c r="C93" s="5" t="n">
        <v>10.7371120269651</v>
      </c>
      <c r="D93" s="5" t="n">
        <v>5.8</v>
      </c>
      <c r="E93" s="5" t="n">
        <v>2.11751539360873</v>
      </c>
    </row>
    <row r="94" customFormat="false" ht="14.25" hidden="false" customHeight="false" outlineLevel="0" collapsed="false">
      <c r="A94" s="0" t="s">
        <v>5</v>
      </c>
      <c r="B94" s="4" t="s">
        <v>90</v>
      </c>
      <c r="C94" s="5" t="n">
        <v>58.4401128890552</v>
      </c>
      <c r="D94" s="5" t="n">
        <v>32.8</v>
      </c>
      <c r="E94" s="5" t="n">
        <v>2.20013264252403</v>
      </c>
    </row>
    <row r="95" customFormat="false" ht="14.25" hidden="false" customHeight="false" outlineLevel="0" collapsed="false">
      <c r="A95" s="0" t="s">
        <v>5</v>
      </c>
      <c r="B95" s="4" t="s">
        <v>91</v>
      </c>
      <c r="C95" s="5" t="n">
        <v>15.7066802457658</v>
      </c>
      <c r="D95" s="5" t="n">
        <v>12</v>
      </c>
      <c r="E95" s="5" t="n">
        <v>2.99490403216689</v>
      </c>
    </row>
    <row r="96" customFormat="false" ht="14.25" hidden="false" customHeight="false" outlineLevel="0" collapsed="false">
      <c r="A96" s="0" t="s">
        <v>5</v>
      </c>
      <c r="B96" s="4" t="n">
        <v>95</v>
      </c>
      <c r="C96" s="5" t="n">
        <v>5.04268370933237</v>
      </c>
      <c r="D96" s="5" t="n">
        <v>3.1</v>
      </c>
      <c r="E96" s="5" t="n">
        <v>2.40982792109499</v>
      </c>
    </row>
    <row r="97" customFormat="false" ht="14.25" hidden="false" customHeight="false" outlineLevel="0" collapsed="false">
      <c r="A97" s="0" t="s">
        <v>5</v>
      </c>
      <c r="B97" s="4" t="s">
        <v>92</v>
      </c>
      <c r="C97" s="5" t="n">
        <v>5.58454688723261</v>
      </c>
      <c r="D97" s="5" t="n">
        <v>3.1</v>
      </c>
      <c r="E97" s="5" t="n">
        <v>2.17600465093809</v>
      </c>
    </row>
    <row r="98" customFormat="false" ht="14.25" hidden="false" customHeight="false" outlineLevel="0" collapsed="false">
      <c r="A98" s="0" t="s">
        <v>5</v>
      </c>
      <c r="B98" s="4" t="s">
        <v>93</v>
      </c>
      <c r="C98" s="5" t="n">
        <v>5.23712762624919</v>
      </c>
      <c r="D98" s="5" t="n">
        <v>3.1</v>
      </c>
      <c r="E98" s="5" t="n">
        <v>2.32035590255478</v>
      </c>
    </row>
    <row r="99" customFormat="false" ht="14.25" hidden="false" customHeight="false" outlineLevel="0" collapsed="false">
      <c r="A99" s="0" t="s">
        <v>5</v>
      </c>
      <c r="B99" s="4" t="s">
        <v>94</v>
      </c>
      <c r="C99" s="5" t="n">
        <v>26.7977752850886</v>
      </c>
      <c r="D99" s="5" t="n">
        <v>14.7</v>
      </c>
      <c r="E99" s="5" t="n">
        <v>2.15032775620237</v>
      </c>
    </row>
    <row r="100" customFormat="false" ht="14.25" hidden="false" customHeight="false" outlineLevel="0" collapsed="false">
      <c r="A100" s="0" t="s">
        <v>5</v>
      </c>
      <c r="B100" s="4" t="s">
        <v>95</v>
      </c>
      <c r="C100" s="5" t="n">
        <v>22.4066344026695</v>
      </c>
      <c r="D100" s="5" t="n">
        <v>11.7</v>
      </c>
      <c r="E100" s="5" t="n">
        <v>2.04689375368823</v>
      </c>
    </row>
    <row r="101" customFormat="false" ht="14.25" hidden="false" customHeight="false" outlineLevel="0" collapsed="false">
      <c r="A101" s="0" t="s">
        <v>5</v>
      </c>
      <c r="B101" s="4" t="s">
        <v>96</v>
      </c>
      <c r="C101" s="5" t="n">
        <v>9.5354533264461</v>
      </c>
      <c r="D101" s="5" t="n">
        <v>5.45</v>
      </c>
      <c r="E101" s="5" t="n">
        <v>2.24048078980661</v>
      </c>
    </row>
    <row r="102" customFormat="false" ht="14.25" hidden="false" customHeight="false" outlineLevel="0" collapsed="false">
      <c r="A102" s="0" t="s">
        <v>5</v>
      </c>
      <c r="B102" s="4" t="s">
        <v>97</v>
      </c>
      <c r="C102" s="5" t="n">
        <v>14.9054881599483</v>
      </c>
      <c r="D102" s="5" t="n">
        <v>7.75</v>
      </c>
      <c r="E102" s="5" t="n">
        <v>2.03817544745917</v>
      </c>
    </row>
    <row r="103" customFormat="false" ht="14.25" hidden="false" customHeight="false" outlineLevel="0" collapsed="false">
      <c r="A103" s="0" t="s">
        <v>5</v>
      </c>
      <c r="B103" s="4" t="s">
        <v>98</v>
      </c>
      <c r="C103" s="5" t="n">
        <v>10.8347006716933</v>
      </c>
      <c r="D103" s="5" t="n">
        <v>5.85</v>
      </c>
      <c r="E103" s="5" t="n">
        <v>2.11653286000895</v>
      </c>
    </row>
    <row r="104" customFormat="false" ht="14.25" hidden="false" customHeight="false" outlineLevel="0" collapsed="false">
      <c r="A104" s="0" t="s">
        <v>5</v>
      </c>
      <c r="B104" s="4" t="s">
        <v>99</v>
      </c>
      <c r="C104" s="5" t="n">
        <v>8.94200765946623</v>
      </c>
      <c r="D104" s="5" t="n">
        <v>5.25</v>
      </c>
      <c r="E104" s="5" t="n">
        <v>2.30149657478916</v>
      </c>
    </row>
    <row r="105" customFormat="false" ht="14.25" hidden="false" customHeight="false" outlineLevel="0" collapsed="false">
      <c r="A105" s="0" t="s">
        <v>5</v>
      </c>
      <c r="B105" s="4" t="s">
        <v>100</v>
      </c>
      <c r="C105" s="5" t="n">
        <v>22.7078312812197</v>
      </c>
      <c r="D105" s="5" t="n">
        <v>12</v>
      </c>
      <c r="E105" s="5" t="n">
        <v>2.07153203744754</v>
      </c>
    </row>
    <row r="106" customFormat="false" ht="14.25" hidden="false" customHeight="false" outlineLevel="0" collapsed="false">
      <c r="A106" s="0" t="s">
        <v>5</v>
      </c>
      <c r="B106" s="4" t="s">
        <v>101</v>
      </c>
      <c r="C106" s="5" t="n">
        <v>28.3884707225352</v>
      </c>
      <c r="D106" s="5" t="n">
        <v>15.45</v>
      </c>
      <c r="E106" s="5" t="n">
        <v>2.1334012878659</v>
      </c>
    </row>
    <row r="107" customFormat="false" ht="14.25" hidden="false" customHeight="false" outlineLevel="0" collapsed="false">
      <c r="A107" s="0" t="s">
        <v>5</v>
      </c>
      <c r="B107" s="4" t="s">
        <v>102</v>
      </c>
      <c r="C107" s="5" t="n">
        <v>19.1258302032307</v>
      </c>
      <c r="D107" s="5" t="n">
        <v>9.85</v>
      </c>
      <c r="E107" s="5" t="n">
        <v>2.01884046808476</v>
      </c>
    </row>
    <row r="108" customFormat="false" ht="14.25" hidden="false" customHeight="false" outlineLevel="0" collapsed="false">
      <c r="A108" s="0" t="s">
        <v>5</v>
      </c>
      <c r="B108" s="4" t="s">
        <v>103</v>
      </c>
      <c r="C108" s="5" t="n">
        <v>17.7277026227945</v>
      </c>
      <c r="D108" s="5" t="n">
        <v>9.25</v>
      </c>
      <c r="E108" s="5" t="n">
        <v>2.04538629576155</v>
      </c>
    </row>
    <row r="109" customFormat="false" ht="14.25" hidden="false" customHeight="false" outlineLevel="0" collapsed="false">
      <c r="A109" s="0" t="s">
        <v>5</v>
      </c>
      <c r="B109" s="4" t="s">
        <v>104</v>
      </c>
      <c r="C109" s="5" t="n">
        <v>18.0954345388552</v>
      </c>
      <c r="D109" s="5" t="n">
        <v>9.55</v>
      </c>
      <c r="E109" s="5" t="n">
        <v>2.0688091197598</v>
      </c>
    </row>
    <row r="110" customFormat="false" ht="14.25" hidden="false" customHeight="false" outlineLevel="0" collapsed="false">
      <c r="A110" s="0" t="s">
        <v>5</v>
      </c>
      <c r="B110" s="4" t="s">
        <v>105</v>
      </c>
      <c r="C110" s="5" t="n">
        <v>9.21597774225146</v>
      </c>
      <c r="D110" s="5" t="n">
        <v>5.45</v>
      </c>
      <c r="E110" s="5" t="n">
        <v>2.31814795971727</v>
      </c>
    </row>
    <row r="111" customFormat="false" ht="14.25" hidden="false" customHeight="false" outlineLevel="0" collapsed="false">
      <c r="A111" s="0" t="s">
        <v>5</v>
      </c>
      <c r="B111" s="4" t="s">
        <v>106</v>
      </c>
      <c r="C111" s="5" t="n">
        <v>11.8526786660557</v>
      </c>
      <c r="D111" s="5" t="n">
        <v>6.45</v>
      </c>
      <c r="E111" s="5" t="n">
        <v>2.13318868353443</v>
      </c>
    </row>
    <row r="112" customFormat="false" ht="14.25" hidden="false" customHeight="false" outlineLevel="0" collapsed="false">
      <c r="A112" s="0" t="s">
        <v>5</v>
      </c>
      <c r="B112" s="8" t="s">
        <v>107</v>
      </c>
      <c r="C112" s="5" t="n">
        <v>5.25</v>
      </c>
      <c r="D112" s="5" t="n">
        <v>2.95</v>
      </c>
      <c r="E112" s="5" t="n">
        <v>2.20266666666667</v>
      </c>
    </row>
    <row r="113" customFormat="false" ht="14.25" hidden="false" customHeight="false" outlineLevel="0" collapsed="false">
      <c r="A113" s="0" t="s">
        <v>5</v>
      </c>
      <c r="B113" s="9" t="s">
        <v>108</v>
      </c>
      <c r="C113" s="5" t="n">
        <v>5.7</v>
      </c>
      <c r="D113" s="5" t="n">
        <v>3.25</v>
      </c>
      <c r="E113" s="5" t="n">
        <v>2.23508771929825</v>
      </c>
    </row>
    <row r="114" customFormat="false" ht="14.25" hidden="false" customHeight="false" outlineLevel="0" collapsed="false">
      <c r="A114" s="0" t="s">
        <v>5</v>
      </c>
      <c r="B114" s="4" t="s">
        <v>109</v>
      </c>
      <c r="C114" s="5" t="n">
        <v>8.6</v>
      </c>
      <c r="D114" s="5" t="n">
        <v>4.95</v>
      </c>
      <c r="E114" s="5" t="n">
        <v>2.25627906976744</v>
      </c>
    </row>
    <row r="115" customFormat="false" ht="14.25" hidden="false" customHeight="false" outlineLevel="0" collapsed="false">
      <c r="A115" s="0" t="s">
        <v>5</v>
      </c>
      <c r="B115" s="4" t="s">
        <v>109</v>
      </c>
      <c r="C115" s="5" t="n">
        <v>11.2</v>
      </c>
      <c r="D115" s="5" t="n">
        <v>5.85</v>
      </c>
      <c r="E115" s="5" t="n">
        <v>2.0475</v>
      </c>
    </row>
    <row r="116" customFormat="false" ht="14.25" hidden="false" customHeight="false" outlineLevel="0" collapsed="false">
      <c r="A116" s="0" t="s">
        <v>5</v>
      </c>
      <c r="B116" s="4" t="s">
        <v>110</v>
      </c>
      <c r="C116" s="5" t="n">
        <v>6.51008575155416</v>
      </c>
      <c r="D116" s="5" t="n">
        <v>3.6</v>
      </c>
      <c r="E116" s="5" t="n">
        <v>2.16771338175247</v>
      </c>
    </row>
    <row r="117" customFormat="false" ht="14.25" hidden="false" customHeight="false" outlineLevel="0" collapsed="false">
      <c r="A117" s="0" t="s">
        <v>5</v>
      </c>
      <c r="B117" s="4" t="s">
        <v>111</v>
      </c>
      <c r="C117" s="5" t="n">
        <v>4.30084795860313</v>
      </c>
      <c r="D117" s="5" t="n">
        <v>2.5</v>
      </c>
      <c r="E117" s="5" t="n">
        <v>2.27862042423442</v>
      </c>
    </row>
    <row r="118" customFormat="false" ht="14.25" hidden="false" customHeight="false" outlineLevel="0" collapsed="false">
      <c r="A118" s="0" t="s">
        <v>5</v>
      </c>
      <c r="B118" s="4" t="s">
        <v>112</v>
      </c>
      <c r="C118" s="5" t="n">
        <v>5.63653372926127</v>
      </c>
      <c r="D118" s="5" t="n">
        <v>3.85</v>
      </c>
      <c r="E118" s="5" t="n">
        <v>2.6775321012721</v>
      </c>
    </row>
    <row r="119" customFormat="false" ht="14.25" hidden="false" customHeight="false" outlineLevel="0" collapsed="false">
      <c r="A119" s="0" t="s">
        <v>5</v>
      </c>
      <c r="B119" s="4" t="s">
        <v>113</v>
      </c>
      <c r="C119" s="5" t="n">
        <v>6.13689500602872</v>
      </c>
      <c r="D119" s="5" t="n">
        <v>3.5</v>
      </c>
      <c r="E119" s="5" t="n">
        <v>2.23565825821068</v>
      </c>
    </row>
    <row r="120" customFormat="false" ht="14.25" hidden="false" customHeight="false" outlineLevel="0" collapsed="false">
      <c r="A120" s="0" t="s">
        <v>5</v>
      </c>
      <c r="B120" s="4" t="s">
        <v>114</v>
      </c>
      <c r="C120" s="5" t="n">
        <v>10.7681595918367</v>
      </c>
      <c r="D120" s="5" t="n">
        <v>6.1</v>
      </c>
      <c r="E120" s="5" t="n">
        <v>2.22062087732499</v>
      </c>
    </row>
    <row r="121" customFormat="false" ht="14.25" hidden="false" customHeight="false" outlineLevel="0" collapsed="false">
      <c r="A121" s="0" t="s">
        <v>5</v>
      </c>
      <c r="B121" s="4" t="s">
        <v>115</v>
      </c>
      <c r="C121" s="5" t="n">
        <v>17.3962523338984</v>
      </c>
      <c r="D121" s="5" t="n">
        <v>9.3</v>
      </c>
      <c r="E121" s="5" t="n">
        <v>2.09562377575782</v>
      </c>
    </row>
    <row r="122" customFormat="false" ht="14.25" hidden="false" customHeight="false" outlineLevel="0" collapsed="false">
      <c r="A122" s="0" t="s">
        <v>5</v>
      </c>
      <c r="B122" s="4" t="s">
        <v>116</v>
      </c>
      <c r="C122" s="5" t="n">
        <v>5.18746</v>
      </c>
      <c r="D122" s="5" t="n">
        <v>2.85</v>
      </c>
      <c r="E122" s="5" t="n">
        <v>2.15365516071449</v>
      </c>
    </row>
    <row r="123" customFormat="false" ht="14.25" hidden="false" customHeight="false" outlineLevel="0" collapsed="false">
      <c r="A123" s="0" t="s">
        <v>5</v>
      </c>
      <c r="B123" s="4" t="s">
        <v>117</v>
      </c>
      <c r="C123" s="5" t="n">
        <v>9.79367299591056</v>
      </c>
      <c r="D123" s="5" t="n">
        <v>5.15</v>
      </c>
      <c r="E123" s="5" t="n">
        <v>2.06133082127918</v>
      </c>
    </row>
    <row r="124" customFormat="false" ht="14.25" hidden="false" customHeight="false" outlineLevel="0" collapsed="false">
      <c r="A124" s="0" t="s">
        <v>5</v>
      </c>
      <c r="B124" s="4" t="s">
        <v>118</v>
      </c>
      <c r="C124" s="5" t="n">
        <v>8.56967908419062</v>
      </c>
      <c r="D124" s="5" t="n">
        <v>4.65</v>
      </c>
      <c r="E124" s="5" t="n">
        <v>2.12703414222676</v>
      </c>
    </row>
    <row r="125" customFormat="false" ht="14.25" hidden="false" customHeight="false" outlineLevel="0" collapsed="false">
      <c r="A125" s="0" t="s">
        <v>5</v>
      </c>
      <c r="B125" s="4" t="s">
        <v>119</v>
      </c>
      <c r="C125" s="5" t="n">
        <v>2.822987257314</v>
      </c>
      <c r="D125" s="5" t="n">
        <v>1.6</v>
      </c>
      <c r="E125" s="5" t="n">
        <v>2.22175994020166</v>
      </c>
    </row>
    <row r="126" customFormat="false" ht="14.25" hidden="false" customHeight="false" outlineLevel="0" collapsed="false">
      <c r="A126" s="0" t="s">
        <v>5</v>
      </c>
      <c r="B126" s="4" t="s">
        <v>120</v>
      </c>
      <c r="C126" s="5" t="n">
        <v>3.59163342209017</v>
      </c>
      <c r="D126" s="5" t="n">
        <v>2.3</v>
      </c>
      <c r="E126" s="5" t="n">
        <v>2.51027845563178</v>
      </c>
    </row>
    <row r="127" customFormat="false" ht="14.25" hidden="false" customHeight="false" outlineLevel="0" collapsed="false">
      <c r="A127" s="0" t="s">
        <v>5</v>
      </c>
      <c r="B127" s="4" t="s">
        <v>121</v>
      </c>
      <c r="C127" s="5" t="n">
        <v>20.5779392117255</v>
      </c>
      <c r="D127" s="5" t="n">
        <v>10.65</v>
      </c>
      <c r="E127" s="5" t="n">
        <v>2.02877458089738</v>
      </c>
    </row>
    <row r="128" customFormat="false" ht="14.25" hidden="false" customHeight="false" outlineLevel="0" collapsed="false">
      <c r="A128" s="0" t="s">
        <v>5</v>
      </c>
      <c r="B128" s="4" t="s">
        <v>122</v>
      </c>
      <c r="C128" s="5" t="n">
        <v>24.9724240146568</v>
      </c>
      <c r="D128" s="5" t="n">
        <v>12.75</v>
      </c>
      <c r="E128" s="5" t="n">
        <v>2.00140763150048</v>
      </c>
    </row>
    <row r="129" customFormat="false" ht="14.25" hidden="false" customHeight="false" outlineLevel="0" collapsed="false">
      <c r="A129" s="0" t="s">
        <v>5</v>
      </c>
      <c r="B129" s="4" t="s">
        <v>123</v>
      </c>
      <c r="C129" s="5" t="n">
        <v>42.5889113386887</v>
      </c>
      <c r="D129" s="5" t="n">
        <v>24</v>
      </c>
      <c r="E129" s="5" t="n">
        <v>2.20902570746239</v>
      </c>
    </row>
    <row r="130" customFormat="false" ht="14.25" hidden="false" customHeight="false" outlineLevel="0" collapsed="false">
      <c r="A130" s="0" t="s">
        <v>5</v>
      </c>
      <c r="B130" s="4" t="s">
        <v>124</v>
      </c>
      <c r="C130" s="5" t="n">
        <v>36.0742803589045</v>
      </c>
      <c r="D130" s="5" t="n">
        <v>20.05</v>
      </c>
      <c r="E130" s="5" t="n">
        <v>2.17872676095116</v>
      </c>
    </row>
    <row r="131" customFormat="false" ht="14.25" hidden="false" customHeight="false" outlineLevel="0" collapsed="false">
      <c r="A131" s="0" t="s">
        <v>5</v>
      </c>
      <c r="B131" s="4" t="s">
        <v>125</v>
      </c>
      <c r="C131" s="5" t="n">
        <v>23.7422608008017</v>
      </c>
      <c r="D131" s="5" t="n">
        <v>12.75</v>
      </c>
      <c r="E131" s="5" t="n">
        <v>2.10510702495157</v>
      </c>
    </row>
    <row r="132" customFormat="false" ht="14.25" hidden="false" customHeight="false" outlineLevel="0" collapsed="false">
      <c r="A132" s="0" t="s">
        <v>5</v>
      </c>
      <c r="B132" s="4" t="s">
        <v>126</v>
      </c>
      <c r="C132" s="5" t="n">
        <v>12.7701723725447</v>
      </c>
      <c r="D132" s="5" t="n">
        <v>7.15</v>
      </c>
      <c r="E132" s="5" t="n">
        <v>2.19480201068068</v>
      </c>
    </row>
    <row r="133" customFormat="false" ht="14.25" hidden="false" customHeight="false" outlineLevel="0" collapsed="false">
      <c r="A133" s="0" t="s">
        <v>5</v>
      </c>
      <c r="B133" s="4" t="s">
        <v>126</v>
      </c>
      <c r="C133" s="5" t="n">
        <v>12.5722683725447</v>
      </c>
      <c r="D133" s="5" t="n">
        <v>7.15</v>
      </c>
      <c r="E133" s="5" t="n">
        <v>2.22935107408361</v>
      </c>
    </row>
    <row r="134" customFormat="false" ht="14.25" hidden="false" customHeight="false" outlineLevel="0" collapsed="false">
      <c r="A134" s="0" t="s">
        <v>5</v>
      </c>
      <c r="B134" s="4" t="s">
        <v>127</v>
      </c>
      <c r="C134" s="5" t="n">
        <v>5.92276225399971</v>
      </c>
      <c r="D134" s="5" t="n">
        <v>3.2</v>
      </c>
      <c r="E134" s="5" t="n">
        <v>2.11793069889457</v>
      </c>
    </row>
    <row r="135" customFormat="false" ht="14.25" hidden="false" customHeight="false" outlineLevel="0" collapsed="false">
      <c r="A135" s="0" t="s">
        <v>5</v>
      </c>
      <c r="B135" s="4" t="s">
        <v>127</v>
      </c>
      <c r="C135" s="5" t="n">
        <v>5.12644825399971</v>
      </c>
      <c r="D135" s="5" t="n">
        <v>3.2</v>
      </c>
      <c r="E135" s="5" t="n">
        <v>2.44691829088747</v>
      </c>
    </row>
    <row r="136" customFormat="false" ht="14.25" hidden="false" customHeight="false" outlineLevel="0" collapsed="false">
      <c r="A136" s="0" t="s">
        <v>5</v>
      </c>
      <c r="B136" s="4" t="s">
        <v>128</v>
      </c>
      <c r="C136" s="5" t="n">
        <v>7.17519691816076</v>
      </c>
      <c r="D136" s="5" t="n">
        <v>3.95</v>
      </c>
      <c r="E136" s="5" t="n">
        <v>2.15798955437854</v>
      </c>
    </row>
    <row r="137" customFormat="false" ht="14.25" hidden="false" customHeight="false" outlineLevel="0" collapsed="false">
      <c r="A137" s="0" t="s">
        <v>5</v>
      </c>
      <c r="B137" s="4" t="s">
        <v>128</v>
      </c>
      <c r="C137" s="5" t="n">
        <v>6.37888291816076</v>
      </c>
      <c r="D137" s="5" t="n">
        <v>3.95</v>
      </c>
      <c r="E137" s="5" t="n">
        <v>2.42738426126569</v>
      </c>
    </row>
    <row r="138" customFormat="false" ht="14.25" hidden="false" customHeight="false" outlineLevel="0" collapsed="false">
      <c r="A138" s="0" t="s">
        <v>5</v>
      </c>
      <c r="B138" s="4" t="s">
        <v>129</v>
      </c>
      <c r="C138" s="5" t="n">
        <v>9.12939093321572</v>
      </c>
      <c r="D138" s="5" t="n">
        <v>4.75</v>
      </c>
      <c r="E138" s="5" t="n">
        <v>2.03956650955261</v>
      </c>
    </row>
    <row r="139" customFormat="false" ht="14.25" hidden="false" customHeight="false" outlineLevel="0" collapsed="false">
      <c r="A139" s="0" t="s">
        <v>5</v>
      </c>
      <c r="B139" s="4" t="s">
        <v>129</v>
      </c>
      <c r="C139" s="5" t="n">
        <v>8.30964093321572</v>
      </c>
      <c r="D139" s="5" t="n">
        <v>4.75</v>
      </c>
      <c r="E139" s="5" t="n">
        <v>2.24077070834327</v>
      </c>
    </row>
    <row r="140" customFormat="false" ht="14.25" hidden="false" customHeight="false" outlineLevel="0" collapsed="false">
      <c r="A140" s="0" t="s">
        <v>5</v>
      </c>
      <c r="B140" s="4" t="s">
        <v>130</v>
      </c>
      <c r="C140" s="5" t="n">
        <v>12.8923121843902</v>
      </c>
      <c r="D140" s="5" t="n">
        <v>4.75</v>
      </c>
      <c r="E140" s="5" t="n">
        <v>1.44427157314301</v>
      </c>
    </row>
    <row r="141" customFormat="false" ht="14.25" hidden="false" customHeight="false" outlineLevel="0" collapsed="false">
      <c r="A141" s="0" t="s">
        <v>5</v>
      </c>
      <c r="B141" s="4" t="s">
        <v>130</v>
      </c>
      <c r="C141" s="5" t="n">
        <v>9.52256218439023</v>
      </c>
      <c r="D141" s="5" t="n">
        <v>4.75</v>
      </c>
      <c r="E141" s="5" t="n">
        <v>1.95535609423719</v>
      </c>
    </row>
    <row r="142" customFormat="false" ht="14.25" hidden="false" customHeight="false" outlineLevel="0" collapsed="false">
      <c r="A142" s="0" t="s">
        <v>5</v>
      </c>
      <c r="B142" s="4" t="s">
        <v>131</v>
      </c>
      <c r="C142" s="5" t="n">
        <v>8.38849299906678</v>
      </c>
      <c r="D142" s="5" t="n">
        <v>4.4</v>
      </c>
      <c r="E142" s="5" t="n">
        <v>2.0561500143016</v>
      </c>
    </row>
    <row r="143" customFormat="false" ht="14.25" hidden="false" customHeight="false" outlineLevel="0" collapsed="false">
      <c r="A143" s="0" t="s">
        <v>5</v>
      </c>
      <c r="B143" s="4" t="s">
        <v>131</v>
      </c>
      <c r="C143" s="5" t="n">
        <v>7.59217899906679</v>
      </c>
      <c r="D143" s="5" t="n">
        <v>4.4</v>
      </c>
      <c r="E143" s="5" t="n">
        <v>2.27181155793615</v>
      </c>
    </row>
    <row r="144" customFormat="false" ht="14.25" hidden="false" customHeight="false" outlineLevel="0" collapsed="false">
      <c r="A144" s="0" t="s">
        <v>5</v>
      </c>
      <c r="B144" s="4" t="s">
        <v>132</v>
      </c>
      <c r="C144" s="5" t="n">
        <v>17.6949924040883</v>
      </c>
      <c r="D144" s="5" t="n">
        <v>10.85</v>
      </c>
      <c r="E144" s="5" t="n">
        <v>2.40361787271371</v>
      </c>
    </row>
    <row r="145" customFormat="false" ht="14.25" hidden="false" customHeight="false" outlineLevel="0" collapsed="false">
      <c r="A145" s="0" t="s">
        <v>5</v>
      </c>
      <c r="B145" s="4" t="s">
        <v>132</v>
      </c>
      <c r="C145" s="5" t="n">
        <v>18.2992353640883</v>
      </c>
      <c r="D145" s="5" t="n">
        <v>10.85</v>
      </c>
      <c r="E145" s="5" t="n">
        <v>2.32425012049781</v>
      </c>
    </row>
    <row r="146" customFormat="false" ht="14.25" hidden="false" customHeight="false" outlineLevel="0" collapsed="false">
      <c r="A146" s="0" t="s">
        <v>5</v>
      </c>
      <c r="B146" s="4" t="s">
        <v>133</v>
      </c>
      <c r="C146" s="5" t="n">
        <v>31.7920820564955</v>
      </c>
      <c r="D146" s="5" t="n">
        <v>18.7</v>
      </c>
      <c r="E146" s="5" t="n">
        <v>2.30573134121058</v>
      </c>
    </row>
    <row r="147" customFormat="false" ht="14.25" hidden="false" customHeight="false" outlineLevel="0" collapsed="false">
      <c r="A147" s="0" t="s">
        <v>5</v>
      </c>
      <c r="B147" s="4" t="s">
        <v>134</v>
      </c>
      <c r="C147" s="5" t="n">
        <v>52.000308768548</v>
      </c>
      <c r="D147" s="5" t="n">
        <v>32.45</v>
      </c>
      <c r="E147" s="5" t="n">
        <v>2.44621624394927</v>
      </c>
    </row>
    <row r="148" customFormat="false" ht="14.25" hidden="false" customHeight="false" outlineLevel="0" collapsed="false">
      <c r="A148" s="0" t="s">
        <v>5</v>
      </c>
      <c r="B148" s="4" t="s">
        <v>135</v>
      </c>
      <c r="C148" s="5" t="n">
        <v>11.6456762107327</v>
      </c>
      <c r="D148" s="5" t="n">
        <v>5.9</v>
      </c>
      <c r="E148" s="5" t="n">
        <v>1.98597312697782</v>
      </c>
    </row>
    <row r="149" customFormat="false" ht="14.25" hidden="false" customHeight="false" outlineLevel="0" collapsed="false">
      <c r="A149" s="0" t="s">
        <v>5</v>
      </c>
      <c r="B149" s="4" t="s">
        <v>136</v>
      </c>
      <c r="C149" s="5" t="n">
        <v>6.89623949464189</v>
      </c>
      <c r="D149" s="5" t="n">
        <v>4.7</v>
      </c>
      <c r="E149" s="5" t="n">
        <v>2.67160095212974</v>
      </c>
    </row>
    <row r="150" customFormat="false" ht="14.25" hidden="false" customHeight="false" outlineLevel="0" collapsed="false">
      <c r="A150" s="0" t="s">
        <v>5</v>
      </c>
      <c r="B150" s="4" t="s">
        <v>137</v>
      </c>
      <c r="C150" s="5" t="n">
        <v>8.11452291628156</v>
      </c>
      <c r="D150" s="5" t="n">
        <v>4.45</v>
      </c>
      <c r="E150" s="5" t="n">
        <v>2.1497258902306</v>
      </c>
    </row>
    <row r="151" customFormat="false" ht="14.25" hidden="false" customHeight="false" outlineLevel="0" collapsed="false">
      <c r="A151" s="0" t="s">
        <v>5</v>
      </c>
      <c r="B151" s="4" t="s">
        <v>137</v>
      </c>
      <c r="C151" s="5" t="n">
        <v>7.31820891628155</v>
      </c>
      <c r="D151" s="5" t="n">
        <v>4.45</v>
      </c>
      <c r="E151" s="5" t="n">
        <v>2.38364334764898</v>
      </c>
    </row>
    <row r="152" customFormat="false" ht="14.25" hidden="false" customHeight="false" outlineLevel="0" collapsed="false">
      <c r="A152" s="0" t="s">
        <v>5</v>
      </c>
      <c r="B152" s="4" t="s">
        <v>138</v>
      </c>
      <c r="C152" s="5" t="n">
        <v>10.1861326811016</v>
      </c>
      <c r="D152" s="5" t="n">
        <v>5.3</v>
      </c>
      <c r="E152" s="5" t="n">
        <v>2.03963571361542</v>
      </c>
    </row>
    <row r="153" customFormat="false" ht="14.25" hidden="false" customHeight="false" outlineLevel="0" collapsed="false">
      <c r="A153" s="0" t="s">
        <v>5</v>
      </c>
      <c r="B153" s="4" t="s">
        <v>138</v>
      </c>
      <c r="C153" s="5" t="n">
        <v>9.36638268110161</v>
      </c>
      <c r="D153" s="5" t="n">
        <v>5.3</v>
      </c>
      <c r="E153" s="5" t="n">
        <v>2.21814554320094</v>
      </c>
    </row>
    <row r="154" customFormat="false" ht="14.25" hidden="false" customHeight="false" outlineLevel="0" collapsed="false">
      <c r="A154" s="0" t="s">
        <v>5</v>
      </c>
      <c r="B154" s="4" t="s">
        <v>139</v>
      </c>
      <c r="C154" s="5" t="n">
        <v>25.3015063944653</v>
      </c>
      <c r="D154" s="5" t="n">
        <v>13.85</v>
      </c>
      <c r="E154" s="5" t="n">
        <v>2.14580109000452</v>
      </c>
    </row>
    <row r="155" customFormat="false" ht="14.25" hidden="false" customHeight="false" outlineLevel="0" collapsed="false">
      <c r="A155" s="0" t="s">
        <v>5</v>
      </c>
      <c r="B155" s="4" t="s">
        <v>140</v>
      </c>
      <c r="C155" s="5" t="n">
        <v>23.0297148009858</v>
      </c>
      <c r="D155" s="5" t="n">
        <v>13.3</v>
      </c>
      <c r="E155" s="5" t="n">
        <v>2.2638578224064</v>
      </c>
    </row>
    <row r="156" customFormat="false" ht="14.25" hidden="false" customHeight="false" outlineLevel="0" collapsed="false">
      <c r="A156" s="0" t="s">
        <v>5</v>
      </c>
      <c r="B156" s="4" t="s">
        <v>141</v>
      </c>
      <c r="C156" s="5" t="n">
        <v>10.2708330566265</v>
      </c>
      <c r="D156" s="5" t="n">
        <v>5.8</v>
      </c>
      <c r="E156" s="5" t="n">
        <v>2.21364711846145</v>
      </c>
    </row>
    <row r="157" customFormat="false" ht="14.25" hidden="false" customHeight="false" outlineLevel="0" collapsed="false">
      <c r="A157" s="0" t="s">
        <v>5</v>
      </c>
      <c r="B157" s="4" t="s">
        <v>142</v>
      </c>
      <c r="C157" s="5" t="n">
        <v>10.2708330566265</v>
      </c>
      <c r="D157" s="5" t="n">
        <v>5.8</v>
      </c>
      <c r="E157" s="5" t="n">
        <v>2.21364711846145</v>
      </c>
    </row>
    <row r="158" customFormat="false" ht="14.25" hidden="false" customHeight="false" outlineLevel="0" collapsed="false">
      <c r="A158" s="0" t="s">
        <v>5</v>
      </c>
      <c r="B158" s="4" t="s">
        <v>143</v>
      </c>
      <c r="C158" s="5" t="n">
        <v>10.2262170283633</v>
      </c>
      <c r="D158" s="5" t="n">
        <v>5.8</v>
      </c>
      <c r="E158" s="5" t="n">
        <v>2.22330505375936</v>
      </c>
    </row>
    <row r="159" customFormat="false" ht="14.25" hidden="false" customHeight="false" outlineLevel="0" collapsed="false">
      <c r="A159" s="0" t="s">
        <v>5</v>
      </c>
      <c r="B159" s="4" t="s">
        <v>144</v>
      </c>
      <c r="C159" s="5" t="n">
        <v>35.5706227002297</v>
      </c>
      <c r="D159" s="5" t="n">
        <v>18.1</v>
      </c>
      <c r="E159" s="5" t="n">
        <v>1.99467972764901</v>
      </c>
    </row>
    <row r="160" customFormat="false" ht="14.25" hidden="false" customHeight="false" outlineLevel="0" collapsed="false">
      <c r="A160" s="0" t="s">
        <v>5</v>
      </c>
      <c r="B160" s="4" t="s">
        <v>145</v>
      </c>
      <c r="C160" s="5" t="n">
        <v>26.2585852035449</v>
      </c>
      <c r="D160" s="5" t="n">
        <v>14.2</v>
      </c>
      <c r="E160" s="5" t="n">
        <v>2.11984002826189</v>
      </c>
    </row>
    <row r="161" customFormat="false" ht="14.25" hidden="false" customHeight="false" outlineLevel="0" collapsed="false">
      <c r="A161" s="0" t="s">
        <v>5</v>
      </c>
      <c r="B161" s="4" t="s">
        <v>146</v>
      </c>
      <c r="C161" s="5" t="n">
        <v>26.6502740471221</v>
      </c>
      <c r="D161" s="5" t="n">
        <v>13.8</v>
      </c>
      <c r="E161" s="5" t="n">
        <v>2.02984779459863</v>
      </c>
    </row>
    <row r="162" customFormat="false" ht="14.25" hidden="false" customHeight="false" outlineLevel="0" collapsed="false">
      <c r="A162" s="0" t="s">
        <v>5</v>
      </c>
      <c r="B162" s="4" t="s">
        <v>147</v>
      </c>
      <c r="C162" s="5" t="n">
        <v>87.9077167386325</v>
      </c>
      <c r="D162" s="5" t="n">
        <v>45.8</v>
      </c>
      <c r="E162" s="5" t="n">
        <v>2.04232354861175</v>
      </c>
    </row>
    <row r="163" customFormat="false" ht="14.25" hidden="false" customHeight="false" outlineLevel="0" collapsed="false">
      <c r="A163" s="0" t="s">
        <v>5</v>
      </c>
      <c r="B163" s="4" t="s">
        <v>148</v>
      </c>
      <c r="C163" s="5" t="n">
        <v>39.5344972435949</v>
      </c>
      <c r="D163" s="5" t="n">
        <v>24.45</v>
      </c>
      <c r="E163" s="5" t="n">
        <v>2.42431311088768</v>
      </c>
    </row>
    <row r="164" customFormat="false" ht="14.25" hidden="false" customHeight="false" outlineLevel="0" collapsed="false">
      <c r="A164" s="0" t="s">
        <v>5</v>
      </c>
      <c r="B164" s="4" t="s">
        <v>149</v>
      </c>
      <c r="C164" s="5" t="n">
        <v>9.64</v>
      </c>
      <c r="D164" s="5" t="n">
        <v>4.8</v>
      </c>
      <c r="E164" s="5" t="n">
        <v>1.95186721991701</v>
      </c>
    </row>
    <row r="165" customFormat="false" ht="14.25" hidden="false" customHeight="false" outlineLevel="0" collapsed="false">
      <c r="A165" s="0" t="s">
        <v>5</v>
      </c>
      <c r="B165" s="10" t="s">
        <v>150</v>
      </c>
      <c r="C165" s="5" t="n">
        <v>18.84</v>
      </c>
      <c r="D165" s="5" t="n">
        <v>11.75</v>
      </c>
      <c r="E165" s="5" t="n">
        <v>2.4447983014862</v>
      </c>
    </row>
    <row r="166" customFormat="false" ht="14.25" hidden="false" customHeight="false" outlineLevel="0" collapsed="false">
      <c r="A166" s="0" t="s">
        <v>5</v>
      </c>
      <c r="B166" s="10" t="n">
        <v>202</v>
      </c>
      <c r="C166" s="5" t="n">
        <v>7.128</v>
      </c>
      <c r="D166" s="5" t="n">
        <v>4.9</v>
      </c>
      <c r="E166" s="5" t="n">
        <v>2.69472502805836</v>
      </c>
    </row>
    <row r="167" customFormat="false" ht="14.25" hidden="false" customHeight="false" outlineLevel="0" collapsed="false">
      <c r="A167" s="0" t="s">
        <v>5</v>
      </c>
      <c r="B167" s="10" t="s">
        <v>151</v>
      </c>
      <c r="C167" s="5" t="n">
        <v>9.741</v>
      </c>
      <c r="D167" s="5" t="n">
        <v>8.15</v>
      </c>
      <c r="E167" s="5" t="n">
        <v>3.27974540601581</v>
      </c>
    </row>
    <row r="168" customFormat="false" ht="14.25" hidden="false" customHeight="false" outlineLevel="0" collapsed="false">
      <c r="A168" s="0" t="s">
        <v>5</v>
      </c>
      <c r="B168" s="10" t="s">
        <v>152</v>
      </c>
      <c r="C168" s="5" t="n">
        <v>28.7958</v>
      </c>
      <c r="D168" s="5" t="n">
        <v>17.05</v>
      </c>
      <c r="E168" s="5" t="n">
        <v>2.32103292841317</v>
      </c>
    </row>
    <row r="169" customFormat="false" ht="14.25" hidden="false" customHeight="false" outlineLevel="0" collapsed="false">
      <c r="A169" s="0" t="s">
        <v>5</v>
      </c>
      <c r="B169" s="10" t="s">
        <v>153</v>
      </c>
      <c r="C169" s="5" t="n">
        <v>27.429</v>
      </c>
      <c r="D169" s="5" t="n">
        <v>17.05</v>
      </c>
      <c r="E169" s="5" t="n">
        <v>2.43669109336833</v>
      </c>
    </row>
    <row r="170" customFormat="false" ht="14.25" hidden="false" customHeight="false" outlineLevel="0" collapsed="false">
      <c r="A170" s="0" t="s">
        <v>5</v>
      </c>
      <c r="B170" s="10" t="s">
        <v>154</v>
      </c>
      <c r="C170" s="5" t="n">
        <v>39.5</v>
      </c>
      <c r="D170" s="5" t="n">
        <v>26.8</v>
      </c>
      <c r="E170" s="5" t="n">
        <v>2.65964556962025</v>
      </c>
    </row>
    <row r="171" customFormat="false" ht="14.25" hidden="false" customHeight="false" outlineLevel="0" collapsed="false">
      <c r="A171" s="0" t="s">
        <v>5</v>
      </c>
      <c r="B171" s="10" t="s">
        <v>155</v>
      </c>
      <c r="C171" s="5" t="n">
        <v>19.7</v>
      </c>
      <c r="D171" s="5" t="n">
        <v>15.3</v>
      </c>
      <c r="E171" s="5" t="n">
        <v>3.04446700507614</v>
      </c>
    </row>
    <row r="172" customFormat="false" ht="14.25" hidden="false" customHeight="false" outlineLevel="0" collapsed="false">
      <c r="A172" s="0" t="s">
        <v>5</v>
      </c>
      <c r="B172" s="11" t="s">
        <v>156</v>
      </c>
      <c r="C172" s="5" t="n">
        <v>3.67</v>
      </c>
      <c r="D172" s="12" t="n">
        <v>2.35</v>
      </c>
      <c r="E172" s="5" t="n">
        <v>2.51008174386921</v>
      </c>
    </row>
    <row r="173" customFormat="false" ht="14.25" hidden="false" customHeight="false" outlineLevel="0" collapsed="false">
      <c r="A173" s="0" t="s">
        <v>5</v>
      </c>
      <c r="B173" s="11" t="s">
        <v>157</v>
      </c>
      <c r="C173" s="5" t="n">
        <v>9.71</v>
      </c>
      <c r="D173" s="5" t="n">
        <v>8.1</v>
      </c>
      <c r="E173" s="5" t="n">
        <v>3.27003089598352</v>
      </c>
    </row>
    <row r="174" customFormat="false" ht="14.25" hidden="false" customHeight="false" outlineLevel="0" collapsed="false">
      <c r="A174" s="0" t="s">
        <v>5</v>
      </c>
      <c r="B174" s="13" t="n">
        <v>395</v>
      </c>
      <c r="C174" s="5" t="n">
        <v>6.6</v>
      </c>
      <c r="D174" s="5" t="n">
        <v>5.8</v>
      </c>
      <c r="E174" s="5" t="n">
        <v>3.44484848484849</v>
      </c>
    </row>
    <row r="175" customFormat="false" ht="14.25" hidden="false" customHeight="false" outlineLevel="0" collapsed="false">
      <c r="A175" s="0" t="s">
        <v>5</v>
      </c>
      <c r="B175" s="13" t="n">
        <v>391</v>
      </c>
      <c r="C175" s="5" t="n">
        <v>6.6</v>
      </c>
      <c r="D175" s="5" t="n">
        <v>6.3</v>
      </c>
      <c r="E175" s="5" t="n">
        <v>3.74181818181818</v>
      </c>
    </row>
    <row r="176" customFormat="false" ht="14.25" hidden="false" customHeight="false" outlineLevel="0" collapsed="false">
      <c r="A176" s="0" t="s">
        <v>5</v>
      </c>
      <c r="B176" s="13" t="s">
        <v>158</v>
      </c>
      <c r="C176" s="5" t="n">
        <v>44.12</v>
      </c>
      <c r="D176" s="5" t="n">
        <v>42</v>
      </c>
      <c r="E176" s="5" t="n">
        <v>3.73164097914778</v>
      </c>
    </row>
    <row r="177" customFormat="false" ht="14.25" hidden="false" customHeight="false" outlineLevel="0" collapsed="false">
      <c r="A177" s="0" t="s">
        <v>5</v>
      </c>
      <c r="B177" s="14" t="s">
        <v>159</v>
      </c>
      <c r="C177" s="5" t="n">
        <v>28.2066</v>
      </c>
      <c r="D177" s="5" t="n">
        <v>22.6</v>
      </c>
      <c r="E177" s="5" t="n">
        <v>3.14082519693972</v>
      </c>
    </row>
    <row r="178" customFormat="false" ht="14.25" hidden="false" customHeight="false" outlineLevel="0" collapsed="false">
      <c r="A178" s="0" t="s">
        <v>5</v>
      </c>
      <c r="B178" s="14" t="s">
        <v>159</v>
      </c>
      <c r="C178" s="5" t="n">
        <v>36.2064</v>
      </c>
      <c r="D178" s="5" t="n">
        <v>25.85</v>
      </c>
      <c r="E178" s="5" t="n">
        <v>2.79873171593972</v>
      </c>
    </row>
    <row r="179" customFormat="false" ht="14.25" hidden="false" customHeight="false" outlineLevel="0" collapsed="false">
      <c r="A179" s="0" t="s">
        <v>5</v>
      </c>
      <c r="B179" s="15" t="s">
        <v>160</v>
      </c>
      <c r="C179" s="5" t="n">
        <v>12.3501673484567</v>
      </c>
      <c r="D179" s="5" t="n">
        <v>10.95</v>
      </c>
      <c r="E179" s="5" t="n">
        <v>3.47558043457314</v>
      </c>
    </row>
    <row r="180" customFormat="false" ht="14.25" hidden="false" customHeight="false" outlineLevel="0" collapsed="false">
      <c r="A180" s="0" t="s">
        <v>5</v>
      </c>
      <c r="B180" s="15" t="n">
        <v>67</v>
      </c>
      <c r="C180" s="5" t="n">
        <v>44.92</v>
      </c>
      <c r="D180" s="5" t="n">
        <v>28.85</v>
      </c>
      <c r="E180" s="5" t="n">
        <v>2.51763134461265</v>
      </c>
    </row>
    <row r="181" customFormat="false" ht="14.25" hidden="false" customHeight="false" outlineLevel="0" collapsed="false">
      <c r="A181" s="0" t="s">
        <v>5</v>
      </c>
      <c r="B181" s="13" t="s">
        <v>161</v>
      </c>
      <c r="C181" s="5" t="n">
        <v>33.3384</v>
      </c>
      <c r="D181" s="5" t="n">
        <v>20.05</v>
      </c>
      <c r="E181" s="5" t="n">
        <v>2.35752165670818</v>
      </c>
    </row>
    <row r="182" customFormat="false" ht="14.25" hidden="false" customHeight="false" outlineLevel="0" collapsed="false">
      <c r="A182" s="0" t="s">
        <v>5</v>
      </c>
      <c r="B182" s="13" t="s">
        <v>162</v>
      </c>
      <c r="C182" s="5" t="n">
        <v>5.62452</v>
      </c>
      <c r="D182" s="5" t="n">
        <v>3.5</v>
      </c>
      <c r="E182" s="5" t="n">
        <v>2.43931926635517</v>
      </c>
    </row>
    <row r="183" customFormat="false" ht="14.25" hidden="false" customHeight="false" outlineLevel="0" collapsed="false">
      <c r="A183" s="0" t="s">
        <v>5</v>
      </c>
      <c r="B183" s="13" t="s">
        <v>163</v>
      </c>
      <c r="C183" s="5" t="n">
        <v>31.65</v>
      </c>
      <c r="D183" s="5" t="n">
        <v>18.8</v>
      </c>
      <c r="E183" s="5" t="n">
        <v>2.32846761453397</v>
      </c>
    </row>
    <row r="184" customFormat="false" ht="14.25" hidden="false" customHeight="false" outlineLevel="0" collapsed="false">
      <c r="A184" s="0" t="s">
        <v>5</v>
      </c>
      <c r="B184" s="13" t="s">
        <v>164</v>
      </c>
      <c r="C184" s="5" t="n">
        <v>17.3388</v>
      </c>
      <c r="D184" s="5" t="n">
        <v>12.2</v>
      </c>
      <c r="E184" s="5" t="n">
        <v>2.75820702701456</v>
      </c>
    </row>
    <row r="185" customFormat="false" ht="14.25" hidden="false" customHeight="false" outlineLevel="0" collapsed="false">
      <c r="A185" s="0" t="s">
        <v>5</v>
      </c>
      <c r="B185" s="13" t="s">
        <v>165</v>
      </c>
      <c r="C185" s="5" t="n">
        <v>15.771</v>
      </c>
      <c r="D185" s="5" t="n">
        <v>10.35</v>
      </c>
      <c r="E185" s="5" t="n">
        <v>2.57256990679095</v>
      </c>
    </row>
    <row r="186" customFormat="false" ht="14.25" hidden="false" customHeight="false" outlineLevel="0" collapsed="false">
      <c r="A186" s="0" t="s">
        <v>5</v>
      </c>
      <c r="B186" s="13" t="s">
        <v>166</v>
      </c>
      <c r="C186" s="5" t="n">
        <v>28.9566</v>
      </c>
      <c r="D186" s="5" t="n">
        <v>19.8</v>
      </c>
      <c r="E186" s="5" t="n">
        <v>2.68042518804003</v>
      </c>
    </row>
    <row r="187" customFormat="false" ht="14.25" hidden="false" customHeight="false" outlineLevel="0" collapsed="false">
      <c r="A187" s="0" t="s">
        <v>5</v>
      </c>
      <c r="B187" s="13" t="s">
        <v>167</v>
      </c>
      <c r="C187" s="5" t="n">
        <v>36.9564</v>
      </c>
      <c r="D187" s="5" t="n">
        <v>24.8</v>
      </c>
      <c r="E187" s="5" t="n">
        <v>2.63055925360695</v>
      </c>
    </row>
    <row r="188" customFormat="false" ht="14.25" hidden="false" customHeight="false" outlineLevel="0" collapsed="false">
      <c r="A188" s="0" t="s">
        <v>5</v>
      </c>
      <c r="B188" s="13" t="s">
        <v>168</v>
      </c>
      <c r="C188" s="5" t="n">
        <v>11.349</v>
      </c>
      <c r="D188" s="5" t="n">
        <v>7.65</v>
      </c>
      <c r="E188" s="5" t="n">
        <v>2.64234734337827</v>
      </c>
    </row>
    <row r="189" customFormat="false" ht="14.25" hidden="false" customHeight="false" outlineLevel="0" collapsed="false">
      <c r="A189" s="0" t="s">
        <v>5</v>
      </c>
      <c r="B189" s="13" t="s">
        <v>169</v>
      </c>
      <c r="C189" s="5" t="n">
        <v>7.731</v>
      </c>
      <c r="D189" s="5" t="n">
        <v>5.05</v>
      </c>
      <c r="E189" s="5" t="n">
        <v>2.56060018108912</v>
      </c>
    </row>
    <row r="190" customFormat="false" ht="14.25" hidden="false" customHeight="false" outlineLevel="0" collapsed="false">
      <c r="A190" s="0" t="s">
        <v>5</v>
      </c>
      <c r="B190" s="13" t="s">
        <v>170</v>
      </c>
      <c r="C190" s="5" t="n">
        <v>19.791</v>
      </c>
      <c r="D190" s="5" t="n">
        <v>12.8</v>
      </c>
      <c r="E190" s="5" t="n">
        <v>2.53529382042343</v>
      </c>
    </row>
    <row r="191" customFormat="false" ht="14.25" hidden="false" customHeight="false" outlineLevel="0" collapsed="false">
      <c r="A191" s="0" t="s">
        <v>5</v>
      </c>
      <c r="B191" s="13" t="s">
        <v>171</v>
      </c>
      <c r="C191" s="5" t="n">
        <v>24.012</v>
      </c>
      <c r="D191" s="5" t="n">
        <v>15.45</v>
      </c>
      <c r="E191" s="5" t="n">
        <v>2.52223888055972</v>
      </c>
    </row>
    <row r="192" customFormat="false" ht="14.25" hidden="false" customHeight="false" outlineLevel="0" collapsed="false">
      <c r="A192" s="0" t="s">
        <v>5</v>
      </c>
      <c r="B192" s="13" t="s">
        <v>172</v>
      </c>
      <c r="C192" s="5" t="n">
        <v>52.956</v>
      </c>
      <c r="D192" s="5" t="n">
        <v>33.8</v>
      </c>
      <c r="E192" s="5" t="n">
        <v>2.50200166175693</v>
      </c>
    </row>
    <row r="193" customFormat="false" ht="14.25" hidden="false" customHeight="false" outlineLevel="0" collapsed="false">
      <c r="A193" s="0" t="s">
        <v>5</v>
      </c>
      <c r="B193" s="13" t="s">
        <v>173</v>
      </c>
      <c r="C193" s="5" t="n">
        <v>156.672</v>
      </c>
      <c r="D193" s="5" t="n">
        <v>88.4</v>
      </c>
      <c r="E193" s="5" t="n">
        <v>2.21180555555556</v>
      </c>
    </row>
    <row r="194" customFormat="false" ht="14.25" hidden="false" customHeight="false" outlineLevel="0" collapsed="false">
      <c r="A194" s="0" t="s">
        <v>5</v>
      </c>
      <c r="B194" s="13" t="s">
        <v>174</v>
      </c>
      <c r="C194" s="5" t="n">
        <v>57.4584</v>
      </c>
      <c r="D194" s="5" t="n">
        <v>38.65</v>
      </c>
      <c r="E194" s="5" t="n">
        <v>2.63682942789914</v>
      </c>
    </row>
    <row r="195" customFormat="false" ht="14.25" hidden="false" customHeight="false" outlineLevel="0" collapsed="false">
      <c r="A195" s="0" t="s">
        <v>5</v>
      </c>
      <c r="B195" s="13" t="n">
        <v>3051</v>
      </c>
      <c r="C195" s="5" t="n">
        <v>19.188</v>
      </c>
      <c r="D195" s="5" t="n">
        <v>12</v>
      </c>
      <c r="E195" s="5" t="n">
        <v>2.45153220762977</v>
      </c>
    </row>
    <row r="196" customFormat="false" ht="14.25" hidden="false" customHeight="false" outlineLevel="0" collapsed="false">
      <c r="A196" s="0" t="s">
        <v>5</v>
      </c>
      <c r="B196" s="13" t="s">
        <v>175</v>
      </c>
      <c r="C196" s="5" t="n">
        <v>17.58</v>
      </c>
      <c r="D196" s="5" t="n">
        <v>10.8</v>
      </c>
      <c r="E196" s="5" t="n">
        <v>2.40819112627986</v>
      </c>
    </row>
    <row r="197" customFormat="false" ht="14.25" hidden="false" customHeight="false" outlineLevel="0" collapsed="false">
      <c r="A197" s="0" t="s">
        <v>5</v>
      </c>
      <c r="B197" s="13" t="n">
        <v>467</v>
      </c>
      <c r="C197" s="5" t="n">
        <v>15.4896</v>
      </c>
      <c r="D197" s="5" t="n">
        <v>10.45</v>
      </c>
      <c r="E197" s="5" t="n">
        <v>2.64461315979754</v>
      </c>
    </row>
    <row r="198" customFormat="false" ht="14.25" hidden="false" customHeight="false" outlineLevel="0" collapsed="false">
      <c r="A198" s="0" t="s">
        <v>5</v>
      </c>
      <c r="B198" s="13" t="n">
        <v>671</v>
      </c>
      <c r="C198" s="5" t="n">
        <v>34.464</v>
      </c>
      <c r="D198" s="5" t="n">
        <v>28.85</v>
      </c>
      <c r="E198" s="5" t="n">
        <v>3.28145311049211</v>
      </c>
    </row>
    <row r="199" customFormat="false" ht="14.25" hidden="false" customHeight="false" outlineLevel="0" collapsed="false">
      <c r="A199" s="0" t="s">
        <v>5</v>
      </c>
      <c r="B199" s="13" t="s">
        <v>176</v>
      </c>
      <c r="C199" s="5" t="n">
        <v>22.1226</v>
      </c>
      <c r="D199" s="5" t="n">
        <v>18.6</v>
      </c>
      <c r="E199" s="5" t="n">
        <v>3.29581513926935</v>
      </c>
    </row>
    <row r="200" customFormat="false" ht="14.25" hidden="false" customHeight="false" outlineLevel="0" collapsed="false">
      <c r="A200" s="0" t="s">
        <v>5</v>
      </c>
      <c r="B200" s="13" t="s">
        <v>177</v>
      </c>
      <c r="C200" s="5" t="n">
        <v>8.2536</v>
      </c>
      <c r="D200" s="5" t="n">
        <v>5.5</v>
      </c>
      <c r="E200" s="5" t="n">
        <v>2.61219346709315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5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171875" defaultRowHeight="14.25" zeroHeight="false" outlineLevelRow="0" outlineLevelCol="0"/>
  <sheetData>
    <row r="1" customFormat="false" ht="33.75" hidden="false" customHeight="true" outlineLevel="0" collapsed="false">
      <c r="A1" s="0" t="s">
        <v>0</v>
      </c>
      <c r="B1" s="1" t="s">
        <v>1</v>
      </c>
      <c r="C1" s="2" t="s">
        <v>2</v>
      </c>
      <c r="D1" s="16" t="s">
        <v>178</v>
      </c>
      <c r="E1" s="17" t="s">
        <v>179</v>
      </c>
      <c r="F1" s="16" t="s">
        <v>180</v>
      </c>
    </row>
    <row r="2" customFormat="false" ht="14.25" hidden="false" customHeight="false" outlineLevel="0" collapsed="false">
      <c r="A2" s="0" t="s">
        <v>181</v>
      </c>
      <c r="B2" s="4" t="s">
        <v>182</v>
      </c>
      <c r="C2" s="5" t="n">
        <v>42.6686034764396</v>
      </c>
      <c r="D2" s="5" t="n">
        <v>20.8</v>
      </c>
      <c r="E2" s="5" t="n">
        <v>17.9636363636364</v>
      </c>
      <c r="F2" s="5" t="n">
        <v>1.41036211441536</v>
      </c>
    </row>
    <row r="3" customFormat="false" ht="14.25" hidden="false" customHeight="false" outlineLevel="0" collapsed="false">
      <c r="A3" s="0" t="s">
        <v>181</v>
      </c>
      <c r="B3" s="4" t="s">
        <v>183</v>
      </c>
      <c r="C3" s="5" t="n">
        <v>36.8520783302105</v>
      </c>
      <c r="D3" s="18" t="n">
        <v>22.4</v>
      </c>
      <c r="E3" s="18" t="n">
        <v>14</v>
      </c>
      <c r="F3" s="18" t="n">
        <v>1.27265549529543</v>
      </c>
    </row>
    <row r="4" customFormat="false" ht="14.25" hidden="false" customHeight="false" outlineLevel="0" collapsed="false">
      <c r="A4" s="0" t="s">
        <v>181</v>
      </c>
      <c r="B4" s="4" t="s">
        <v>6</v>
      </c>
      <c r="C4" s="5" t="n">
        <v>24.7801529452932</v>
      </c>
      <c r="D4" s="5" t="n">
        <v>12.5</v>
      </c>
      <c r="E4" s="5" t="n">
        <v>10.7954545454545</v>
      </c>
      <c r="F4" s="5" t="n">
        <v>1.45942491989913</v>
      </c>
    </row>
    <row r="5" customFormat="false" ht="14.25" hidden="false" customHeight="false" outlineLevel="0" collapsed="false">
      <c r="A5" s="0" t="s">
        <v>181</v>
      </c>
      <c r="B5" s="4" t="s">
        <v>184</v>
      </c>
      <c r="C5" s="5" t="n">
        <v>22.8768160403055</v>
      </c>
      <c r="D5" s="5" t="n">
        <v>12.5</v>
      </c>
      <c r="E5" s="5" t="n">
        <v>10.7954545454545</v>
      </c>
      <c r="F5" s="5" t="n">
        <v>1.58084816801236</v>
      </c>
    </row>
    <row r="6" customFormat="false" ht="14.25" hidden="false" customHeight="false" outlineLevel="0" collapsed="false">
      <c r="A6" s="0" t="s">
        <v>181</v>
      </c>
      <c r="B6" s="4" t="s">
        <v>8</v>
      </c>
      <c r="C6" s="5" t="n">
        <v>80.0209306890683</v>
      </c>
      <c r="D6" s="5" t="n">
        <v>40.7</v>
      </c>
      <c r="E6" s="5" t="n">
        <v>35.15</v>
      </c>
      <c r="F6" s="5" t="n">
        <v>1.47152125057808</v>
      </c>
    </row>
    <row r="7" customFormat="false" ht="14.25" hidden="false" customHeight="false" outlineLevel="0" collapsed="false">
      <c r="A7" s="0" t="s">
        <v>181</v>
      </c>
      <c r="B7" s="4" t="s">
        <v>185</v>
      </c>
      <c r="C7" s="5" t="n">
        <v>35.8714496296016</v>
      </c>
      <c r="D7" s="18" t="n">
        <v>22.3</v>
      </c>
      <c r="E7" s="18" t="n">
        <v>15</v>
      </c>
      <c r="F7" s="18" t="n">
        <v>1.4008354978365</v>
      </c>
    </row>
    <row r="8" customFormat="false" ht="14.25" hidden="false" customHeight="false" outlineLevel="0" collapsed="false">
      <c r="A8" s="0" t="s">
        <v>181</v>
      </c>
      <c r="B8" s="4" t="s">
        <v>186</v>
      </c>
      <c r="C8" s="5" t="n">
        <v>44.8641219116767</v>
      </c>
      <c r="D8" s="5" t="n">
        <v>25.79</v>
      </c>
      <c r="E8" s="5" t="n">
        <v>22.2731818181818</v>
      </c>
      <c r="F8" s="5" t="n">
        <v>1.66313650889686</v>
      </c>
    </row>
    <row r="9" customFormat="false" ht="14.25" hidden="false" customHeight="false" outlineLevel="0" collapsed="false">
      <c r="A9" s="0" t="s">
        <v>181</v>
      </c>
      <c r="B9" s="4" t="s">
        <v>187</v>
      </c>
      <c r="C9" s="5" t="n">
        <v>28.0877755679382</v>
      </c>
      <c r="D9" s="5" t="n">
        <v>17.8</v>
      </c>
      <c r="E9" s="5" t="n">
        <v>15.3727272727273</v>
      </c>
      <c r="F9" s="5" t="n">
        <v>1.83348931420619</v>
      </c>
    </row>
    <row r="10" customFormat="false" ht="14.25" hidden="false" customHeight="false" outlineLevel="0" collapsed="false">
      <c r="A10" s="0" t="s">
        <v>181</v>
      </c>
      <c r="B10" s="4" t="s">
        <v>188</v>
      </c>
      <c r="C10" s="5" t="n">
        <v>63.7508144155179</v>
      </c>
      <c r="D10" s="5" t="n">
        <v>32.2</v>
      </c>
      <c r="E10" s="5" t="n">
        <v>27.8090909090909</v>
      </c>
      <c r="F10" s="5" t="n">
        <v>1.46132179485974</v>
      </c>
    </row>
    <row r="11" customFormat="false" ht="14.25" hidden="false" customHeight="false" outlineLevel="0" collapsed="false">
      <c r="A11" s="0" t="s">
        <v>181</v>
      </c>
      <c r="B11" s="4" t="s">
        <v>13</v>
      </c>
      <c r="C11" s="5" t="n">
        <v>41.1422638303869</v>
      </c>
      <c r="D11" s="5" t="n">
        <v>17.1</v>
      </c>
      <c r="E11" s="5" t="n">
        <v>14.7681818181818</v>
      </c>
      <c r="F11" s="5" t="n">
        <v>1.20249603412365</v>
      </c>
    </row>
    <row r="12" customFormat="false" ht="14.25" hidden="false" customHeight="false" outlineLevel="0" collapsed="false">
      <c r="A12" s="0" t="s">
        <v>181</v>
      </c>
      <c r="B12" s="4" t="s">
        <v>14</v>
      </c>
      <c r="C12" s="5" t="n">
        <v>36.4947029013006</v>
      </c>
      <c r="D12" s="5" t="n">
        <v>15.75</v>
      </c>
      <c r="E12" s="5" t="n">
        <v>13.6022727272727</v>
      </c>
      <c r="F12" s="5" t="n">
        <v>1.24860897647532</v>
      </c>
    </row>
    <row r="13" customFormat="false" ht="14.25" hidden="false" customHeight="false" outlineLevel="0" collapsed="false">
      <c r="A13" s="0" t="s">
        <v>181</v>
      </c>
      <c r="B13" s="8" t="s">
        <v>189</v>
      </c>
      <c r="C13" s="5" t="n">
        <v>11.2417188351192</v>
      </c>
      <c r="D13" s="5" t="n">
        <v>4.5</v>
      </c>
      <c r="E13" s="5" t="n">
        <v>3.88636363636364</v>
      </c>
      <c r="F13" s="5" t="n">
        <v>1.1581252273581</v>
      </c>
    </row>
    <row r="14" customFormat="false" ht="14.25" hidden="false" customHeight="false" outlineLevel="0" collapsed="false">
      <c r="A14" s="0" t="s">
        <v>181</v>
      </c>
      <c r="B14" s="4" t="s">
        <v>15</v>
      </c>
      <c r="C14" s="5" t="n">
        <v>10.7421985493387</v>
      </c>
      <c r="D14" s="5" t="n">
        <v>5.73</v>
      </c>
      <c r="E14" s="5" t="n">
        <v>4.94863636363636</v>
      </c>
      <c r="F14" s="5" t="n">
        <v>1.54325315642228</v>
      </c>
    </row>
    <row r="15" customFormat="false" ht="14.25" hidden="false" customHeight="false" outlineLevel="0" collapsed="false">
      <c r="A15" s="0" t="s">
        <v>181</v>
      </c>
      <c r="B15" s="4" t="s">
        <v>19</v>
      </c>
      <c r="C15" s="5" t="n">
        <v>5.17083013864748</v>
      </c>
      <c r="D15" s="5" t="n">
        <v>2.6</v>
      </c>
      <c r="E15" s="5" t="n">
        <v>2.24545454545455</v>
      </c>
      <c r="F15" s="5" t="n">
        <v>1.45475146651023</v>
      </c>
    </row>
    <row r="16" customFormat="false" ht="14.25" hidden="false" customHeight="false" outlineLevel="0" collapsed="false">
      <c r="A16" s="0" t="s">
        <v>181</v>
      </c>
      <c r="B16" s="4" t="s">
        <v>23</v>
      </c>
      <c r="C16" s="5" t="n">
        <v>32.8799368252528</v>
      </c>
      <c r="D16" s="5" t="n">
        <v>15.55</v>
      </c>
      <c r="E16" s="5" t="n">
        <v>13.4295454545455</v>
      </c>
      <c r="F16" s="5" t="n">
        <v>1.36828052656641</v>
      </c>
    </row>
    <row r="17" customFormat="false" ht="14.25" hidden="false" customHeight="false" outlineLevel="0" collapsed="false">
      <c r="A17" s="0" t="s">
        <v>181</v>
      </c>
      <c r="B17" s="4" t="s">
        <v>24</v>
      </c>
      <c r="C17" s="5" t="n">
        <v>12.4333904967268</v>
      </c>
      <c r="D17" s="5" t="n">
        <v>8.2</v>
      </c>
      <c r="E17" s="5" t="n">
        <v>7.08181818181818</v>
      </c>
      <c r="F17" s="5" t="n">
        <v>1.90809505382594</v>
      </c>
    </row>
    <row r="18" customFormat="false" ht="14.25" hidden="false" customHeight="false" outlineLevel="0" collapsed="false">
      <c r="A18" s="0" t="s">
        <v>181</v>
      </c>
      <c r="B18" s="4" t="s">
        <v>190</v>
      </c>
      <c r="C18" s="5" t="n">
        <v>29.8443812558983</v>
      </c>
      <c r="D18" s="18" t="n">
        <v>19.4</v>
      </c>
      <c r="E18" s="18" t="n">
        <v>13</v>
      </c>
      <c r="F18" s="18" t="n">
        <v>1.45923614989984</v>
      </c>
    </row>
    <row r="19" customFormat="false" ht="14.25" hidden="false" customHeight="false" outlineLevel="0" collapsed="false">
      <c r="A19" s="0" t="s">
        <v>181</v>
      </c>
      <c r="B19" s="4" t="s">
        <v>25</v>
      </c>
      <c r="C19" s="5" t="n">
        <v>19.7715231195059</v>
      </c>
      <c r="D19" s="5" t="n">
        <v>11.7</v>
      </c>
      <c r="E19" s="5" t="n">
        <v>10.1045454545455</v>
      </c>
      <c r="F19" s="5" t="n">
        <v>1.71206978178286</v>
      </c>
    </row>
    <row r="20" customFormat="false" ht="14.25" hidden="false" customHeight="false" outlineLevel="0" collapsed="false">
      <c r="A20" s="0" t="s">
        <v>181</v>
      </c>
      <c r="B20" s="4" t="s">
        <v>191</v>
      </c>
      <c r="C20" s="5" t="n">
        <v>44.6582093896073</v>
      </c>
      <c r="D20" s="5" t="n">
        <v>21.53</v>
      </c>
      <c r="E20" s="5" t="n">
        <v>18.5940909090909</v>
      </c>
      <c r="F20" s="5" t="n">
        <v>1.39482091639685</v>
      </c>
    </row>
    <row r="21" customFormat="false" ht="14.25" hidden="false" customHeight="false" outlineLevel="0" collapsed="false">
      <c r="A21" s="0" t="s">
        <v>181</v>
      </c>
      <c r="B21" s="4" t="s">
        <v>192</v>
      </c>
      <c r="C21" s="5" t="n">
        <v>28.9188404271034</v>
      </c>
      <c r="D21" s="5" t="n">
        <v>14.4</v>
      </c>
      <c r="E21" s="5" t="n">
        <v>12.4363636363636</v>
      </c>
      <c r="F21" s="5" t="n">
        <v>1.44064622116632</v>
      </c>
    </row>
    <row r="22" customFormat="false" ht="14.25" hidden="false" customHeight="false" outlineLevel="0" collapsed="false">
      <c r="A22" s="0" t="s">
        <v>181</v>
      </c>
      <c r="B22" s="4" t="s">
        <v>193</v>
      </c>
      <c r="C22" s="5" t="n">
        <v>22.9225404255029</v>
      </c>
      <c r="D22" s="5" t="n">
        <v>9.1</v>
      </c>
      <c r="E22" s="5" t="n">
        <v>7.85909090909091</v>
      </c>
      <c r="F22" s="5" t="n">
        <v>1.1485618110706</v>
      </c>
    </row>
    <row r="23" customFormat="false" ht="14.25" hidden="false" customHeight="false" outlineLevel="0" collapsed="false">
      <c r="A23" s="0" t="s">
        <v>181</v>
      </c>
      <c r="B23" s="4" t="s">
        <v>194</v>
      </c>
      <c r="C23" s="5" t="n">
        <v>18.1173364163446</v>
      </c>
      <c r="D23" s="18" t="n">
        <v>8.5</v>
      </c>
      <c r="E23" s="18" t="n">
        <v>7.34090909090909</v>
      </c>
      <c r="F23" s="18" t="n">
        <v>1.35737643157963</v>
      </c>
    </row>
    <row r="24" customFormat="false" ht="14.25" hidden="false" customHeight="false" outlineLevel="0" collapsed="false">
      <c r="A24" s="0" t="s">
        <v>181</v>
      </c>
      <c r="B24" s="4" t="s">
        <v>195</v>
      </c>
      <c r="C24" s="5" t="n">
        <v>17.451075286444</v>
      </c>
      <c r="D24" s="18" t="n">
        <v>8.1</v>
      </c>
      <c r="E24" s="18" t="n">
        <v>6.99545454545455</v>
      </c>
      <c r="F24" s="18" t="n">
        <v>1.34288416860346</v>
      </c>
    </row>
    <row r="25" customFormat="false" ht="14.25" hidden="false" customHeight="false" outlineLevel="0" collapsed="false">
      <c r="A25" s="0" t="s">
        <v>181</v>
      </c>
      <c r="B25" s="4" t="s">
        <v>26</v>
      </c>
      <c r="C25" s="5" t="n">
        <v>16.6734153846154</v>
      </c>
      <c r="D25" s="5" t="n">
        <v>8.5</v>
      </c>
      <c r="E25" s="5" t="n">
        <v>7.34090909090909</v>
      </c>
      <c r="F25" s="5" t="n">
        <v>1.47492549590269</v>
      </c>
    </row>
    <row r="26" customFormat="false" ht="14.25" hidden="false" customHeight="false" outlineLevel="0" collapsed="false">
      <c r="A26" s="0" t="s">
        <v>181</v>
      </c>
      <c r="B26" s="4" t="s">
        <v>27</v>
      </c>
      <c r="C26" s="5" t="n">
        <v>16.0358769230769</v>
      </c>
      <c r="D26" s="5" t="n">
        <v>8.5</v>
      </c>
      <c r="E26" s="5" t="n">
        <v>7.34090909090909</v>
      </c>
      <c r="F26" s="5" t="n">
        <v>1.53356411829</v>
      </c>
    </row>
    <row r="27" customFormat="false" ht="14.25" hidden="false" customHeight="false" outlineLevel="0" collapsed="false">
      <c r="A27" s="0" t="s">
        <v>181</v>
      </c>
      <c r="B27" s="4" t="s">
        <v>196</v>
      </c>
      <c r="C27" s="5" t="n">
        <v>32.7978710637165</v>
      </c>
      <c r="D27" s="18" t="n">
        <v>15</v>
      </c>
      <c r="E27" s="18" t="n">
        <v>12.9545454545455</v>
      </c>
      <c r="F27" s="18" t="n">
        <v>1.32318732482418</v>
      </c>
    </row>
    <row r="28" customFormat="false" ht="14.25" hidden="false" customHeight="false" outlineLevel="0" collapsed="false">
      <c r="A28" s="0" t="s">
        <v>181</v>
      </c>
      <c r="B28" s="4" t="s">
        <v>197</v>
      </c>
      <c r="C28" s="5" t="n">
        <v>39.6175105620019</v>
      </c>
      <c r="D28" s="18" t="n">
        <v>17</v>
      </c>
      <c r="E28" s="18" t="n">
        <v>14.6818181818182</v>
      </c>
      <c r="F28" s="18" t="n">
        <v>1.24147353560031</v>
      </c>
    </row>
    <row r="29" customFormat="false" ht="14.25" hidden="false" customHeight="false" outlineLevel="0" collapsed="false">
      <c r="A29" s="0" t="s">
        <v>181</v>
      </c>
      <c r="B29" s="4" t="s">
        <v>28</v>
      </c>
      <c r="C29" s="5" t="n">
        <v>21.5412032862439</v>
      </c>
      <c r="D29" s="5" t="n">
        <v>10.35</v>
      </c>
      <c r="E29" s="5" t="n">
        <v>8.93863636363636</v>
      </c>
      <c r="F29" s="5" t="n">
        <v>1.39010023814706</v>
      </c>
    </row>
    <row r="30" customFormat="false" ht="14.25" hidden="false" customHeight="false" outlineLevel="0" collapsed="false">
      <c r="A30" s="0" t="s">
        <v>181</v>
      </c>
      <c r="B30" s="4" t="s">
        <v>29</v>
      </c>
      <c r="C30" s="5" t="n">
        <v>15.1561054618649</v>
      </c>
      <c r="D30" s="5" t="n">
        <v>7.9</v>
      </c>
      <c r="E30" s="5" t="n">
        <v>6.82272727272727</v>
      </c>
      <c r="F30" s="5" t="n">
        <v>1.50804812101275</v>
      </c>
    </row>
    <row r="31" customFormat="false" ht="14.25" hidden="false" customHeight="false" outlineLevel="0" collapsed="false">
      <c r="A31" s="0" t="s">
        <v>181</v>
      </c>
      <c r="B31" s="4" t="s">
        <v>30</v>
      </c>
      <c r="C31" s="5" t="n">
        <v>15.7465959975858</v>
      </c>
      <c r="D31" s="5" t="n">
        <v>8.11</v>
      </c>
      <c r="E31" s="5" t="n">
        <v>7.00409090909091</v>
      </c>
      <c r="F31" s="5" t="n">
        <v>1.49008106571426</v>
      </c>
    </row>
    <row r="32" customFormat="false" ht="14.25" hidden="false" customHeight="false" outlineLevel="0" collapsed="false">
      <c r="A32" s="0" t="s">
        <v>181</v>
      </c>
      <c r="B32" s="4" t="s">
        <v>198</v>
      </c>
      <c r="C32" s="5" t="n">
        <v>13.8391306114708</v>
      </c>
      <c r="D32" s="5" t="n">
        <v>4.5</v>
      </c>
      <c r="E32" s="5" t="n">
        <v>3.88636363636364</v>
      </c>
      <c r="F32" s="5" t="n">
        <v>0.940761276653236</v>
      </c>
    </row>
    <row r="33" customFormat="false" ht="14.25" hidden="false" customHeight="false" outlineLevel="0" collapsed="false">
      <c r="A33" s="0" t="s">
        <v>181</v>
      </c>
      <c r="B33" s="4" t="s">
        <v>31</v>
      </c>
      <c r="C33" s="5" t="n">
        <v>5.8133768365053</v>
      </c>
      <c r="D33" s="5" t="n">
        <v>3.4</v>
      </c>
      <c r="E33" s="5" t="n">
        <v>2.93636363636364</v>
      </c>
      <c r="F33" s="5" t="n">
        <v>1.69210055677925</v>
      </c>
    </row>
    <row r="34" customFormat="false" ht="14.25" hidden="false" customHeight="false" outlineLevel="0" collapsed="false">
      <c r="A34" s="0" t="s">
        <v>181</v>
      </c>
      <c r="B34" s="4" t="s">
        <v>32</v>
      </c>
      <c r="C34" s="5" t="n">
        <v>4.94523146216575</v>
      </c>
      <c r="D34" s="5" t="n">
        <v>2.5</v>
      </c>
      <c r="E34" s="5" t="n">
        <v>2.15909090909091</v>
      </c>
      <c r="F34" s="5" t="n">
        <v>1.46261193248312</v>
      </c>
    </row>
    <row r="35" customFormat="false" ht="14.25" hidden="false" customHeight="false" outlineLevel="0" collapsed="false">
      <c r="A35" s="0" t="s">
        <v>181</v>
      </c>
      <c r="B35" s="4" t="s">
        <v>33</v>
      </c>
      <c r="C35" s="5" t="n">
        <v>6.80602512680537</v>
      </c>
      <c r="D35" s="5" t="n">
        <v>3.6</v>
      </c>
      <c r="E35" s="5" t="n">
        <v>3.10909090909091</v>
      </c>
      <c r="F35" s="5" t="n">
        <v>1.53032854733867</v>
      </c>
    </row>
    <row r="36" customFormat="false" ht="14.25" hidden="false" customHeight="false" outlineLevel="0" collapsed="false">
      <c r="A36" s="0" t="s">
        <v>181</v>
      </c>
      <c r="B36" s="4" t="s">
        <v>34</v>
      </c>
      <c r="C36" s="5" t="n">
        <v>4.2736124145467</v>
      </c>
      <c r="D36" s="5" t="n">
        <v>2.15</v>
      </c>
      <c r="E36" s="5" t="n">
        <v>1.85681818181818</v>
      </c>
      <c r="F36" s="5" t="n">
        <v>1.45552294071354</v>
      </c>
    </row>
    <row r="37" customFormat="false" ht="14.25" hidden="false" customHeight="false" outlineLevel="0" collapsed="false">
      <c r="A37" s="0" t="s">
        <v>181</v>
      </c>
      <c r="B37" s="4" t="s">
        <v>199</v>
      </c>
      <c r="C37" s="5" t="n">
        <v>59.5995286169129</v>
      </c>
      <c r="D37" s="5" t="n">
        <v>30.37</v>
      </c>
      <c r="E37" s="5" t="n">
        <v>26.2286363636364</v>
      </c>
      <c r="F37" s="5" t="n">
        <v>1.47427226116093</v>
      </c>
    </row>
    <row r="38" customFormat="false" ht="14.25" hidden="false" customHeight="false" outlineLevel="0" collapsed="false">
      <c r="A38" s="0" t="s">
        <v>181</v>
      </c>
      <c r="B38" s="4" t="s">
        <v>200</v>
      </c>
      <c r="C38" s="5" t="n">
        <v>34.4378490970159</v>
      </c>
      <c r="D38" s="18" t="n">
        <v>22.5</v>
      </c>
      <c r="E38" s="18" t="n">
        <v>14</v>
      </c>
      <c r="F38" s="18" t="n">
        <v>1.36187367183928</v>
      </c>
    </row>
    <row r="39" customFormat="false" ht="14.25" hidden="false" customHeight="false" outlineLevel="0" collapsed="false">
      <c r="A39" s="0" t="s">
        <v>181</v>
      </c>
      <c r="B39" s="4" t="s">
        <v>201</v>
      </c>
      <c r="C39" s="5" t="n">
        <v>34.4378490970159</v>
      </c>
      <c r="D39" s="18" t="n">
        <v>22.5</v>
      </c>
      <c r="E39" s="18" t="n">
        <v>14</v>
      </c>
      <c r="F39" s="18" t="n">
        <v>1.36187367183928</v>
      </c>
    </row>
    <row r="40" customFormat="false" ht="14.25" hidden="false" customHeight="false" outlineLevel="0" collapsed="false">
      <c r="A40" s="0" t="s">
        <v>181</v>
      </c>
      <c r="B40" s="8" t="s">
        <v>202</v>
      </c>
      <c r="C40" s="5" t="n">
        <v>28.8623436843081</v>
      </c>
      <c r="D40" s="5" t="n">
        <v>24.23</v>
      </c>
      <c r="E40" s="5" t="n">
        <v>20.9259090909091</v>
      </c>
      <c r="F40" s="5" t="n">
        <v>2.4288323991048</v>
      </c>
    </row>
    <row r="41" customFormat="false" ht="14.25" hidden="false" customHeight="false" outlineLevel="0" collapsed="false">
      <c r="A41" s="0" t="s">
        <v>181</v>
      </c>
      <c r="B41" s="4" t="s">
        <v>36</v>
      </c>
      <c r="C41" s="5" t="n">
        <v>19.2318953616916</v>
      </c>
      <c r="D41" s="5" t="n">
        <v>10.45</v>
      </c>
      <c r="E41" s="5" t="n">
        <v>9.025</v>
      </c>
      <c r="F41" s="5" t="n">
        <v>1.57206294186808</v>
      </c>
    </row>
    <row r="42" customFormat="false" ht="14.25" hidden="false" customHeight="false" outlineLevel="0" collapsed="false">
      <c r="A42" s="0" t="s">
        <v>181</v>
      </c>
      <c r="B42" s="4" t="n">
        <v>35</v>
      </c>
      <c r="C42" s="5" t="n">
        <v>6.64823884286583</v>
      </c>
      <c r="D42" s="5" t="n">
        <v>3.85</v>
      </c>
      <c r="E42" s="5" t="n">
        <v>3.325</v>
      </c>
      <c r="F42" s="5" t="n">
        <v>1.67544371724143</v>
      </c>
    </row>
    <row r="43" customFormat="false" ht="14.25" hidden="false" customHeight="false" outlineLevel="0" collapsed="false">
      <c r="A43" s="0" t="s">
        <v>181</v>
      </c>
      <c r="B43" s="4" t="s">
        <v>203</v>
      </c>
      <c r="C43" s="5" t="n">
        <v>6.83835726431201</v>
      </c>
      <c r="D43" s="5" t="n">
        <v>3.85</v>
      </c>
      <c r="E43" s="5" t="n">
        <v>3.325</v>
      </c>
      <c r="F43" s="5" t="n">
        <v>1.62886341989338</v>
      </c>
    </row>
    <row r="44" customFormat="false" ht="14.25" hidden="false" customHeight="false" outlineLevel="0" collapsed="false">
      <c r="A44" s="0" t="s">
        <v>181</v>
      </c>
      <c r="B44" s="4" t="s">
        <v>204</v>
      </c>
      <c r="C44" s="5" t="n">
        <v>7.34565715429953</v>
      </c>
      <c r="D44" s="5" t="n">
        <v>2.9</v>
      </c>
      <c r="E44" s="5" t="n">
        <v>2.50454545454545</v>
      </c>
      <c r="F44" s="5" t="n">
        <v>1.14220240565085</v>
      </c>
    </row>
    <row r="45" customFormat="false" ht="14.25" hidden="false" customHeight="false" outlineLevel="0" collapsed="false">
      <c r="A45" s="0" t="s">
        <v>181</v>
      </c>
      <c r="B45" s="4" t="s">
        <v>41</v>
      </c>
      <c r="C45" s="5" t="n">
        <v>17.7954467015137</v>
      </c>
      <c r="D45" s="5" t="n">
        <v>9.36</v>
      </c>
      <c r="E45" s="5" t="n">
        <v>8.08363636363636</v>
      </c>
      <c r="F45" s="5" t="n">
        <v>1.52174779719794</v>
      </c>
    </row>
    <row r="46" customFormat="false" ht="14.25" hidden="false" customHeight="false" outlineLevel="0" collapsed="false">
      <c r="A46" s="0" t="s">
        <v>181</v>
      </c>
      <c r="B46" s="4" t="n">
        <v>362</v>
      </c>
      <c r="C46" s="5" t="n">
        <v>8.756561543815</v>
      </c>
      <c r="D46" s="5" t="n">
        <v>4.35</v>
      </c>
      <c r="E46" s="5" t="n">
        <v>3.75681818181818</v>
      </c>
      <c r="F46" s="5" t="n">
        <v>1.43724689721164</v>
      </c>
    </row>
    <row r="47" customFormat="false" ht="14.25" hidden="false" customHeight="false" outlineLevel="0" collapsed="false">
      <c r="A47" s="0" t="s">
        <v>181</v>
      </c>
      <c r="B47" s="4" t="s">
        <v>43</v>
      </c>
      <c r="C47" s="5" t="n">
        <v>8.87798722759801</v>
      </c>
      <c r="D47" s="5" t="n">
        <v>4.4</v>
      </c>
      <c r="E47" s="5" t="n">
        <v>3.8</v>
      </c>
      <c r="F47" s="5" t="n">
        <v>1.4338835677109</v>
      </c>
    </row>
    <row r="48" customFormat="false" ht="14.25" hidden="false" customHeight="false" outlineLevel="0" collapsed="false">
      <c r="A48" s="0" t="s">
        <v>181</v>
      </c>
      <c r="B48" s="4" t="n">
        <v>363</v>
      </c>
      <c r="C48" s="5" t="n">
        <v>6.56252677542423</v>
      </c>
      <c r="D48" s="5" t="n">
        <v>3.89</v>
      </c>
      <c r="E48" s="5" t="n">
        <v>3.35954545454545</v>
      </c>
      <c r="F48" s="5" t="n">
        <v>1.71496096821635</v>
      </c>
    </row>
    <row r="49" customFormat="false" ht="14.25" hidden="false" customHeight="false" outlineLevel="0" collapsed="false">
      <c r="A49" s="0" t="s">
        <v>181</v>
      </c>
      <c r="B49" s="4" t="s">
        <v>44</v>
      </c>
      <c r="C49" s="5" t="n">
        <v>2.94564574788004</v>
      </c>
      <c r="D49" s="5" t="n">
        <v>3.28</v>
      </c>
      <c r="E49" s="5" t="n">
        <v>2.83272727272727</v>
      </c>
      <c r="F49" s="5" t="n">
        <v>3.22158099644738</v>
      </c>
    </row>
    <row r="50" customFormat="false" ht="14.25" hidden="false" customHeight="false" outlineLevel="0" collapsed="false">
      <c r="A50" s="0" t="s">
        <v>181</v>
      </c>
      <c r="B50" s="4" t="s">
        <v>45</v>
      </c>
      <c r="C50" s="5" t="n">
        <v>3.47474574788004</v>
      </c>
      <c r="D50" s="5" t="n">
        <v>1.91</v>
      </c>
      <c r="E50" s="5" t="n">
        <v>1.64954545454545</v>
      </c>
      <c r="F50" s="5" t="n">
        <v>1.59032564500545</v>
      </c>
    </row>
    <row r="51" customFormat="false" ht="14.25" hidden="false" customHeight="false" outlineLevel="0" collapsed="false">
      <c r="A51" s="0" t="s">
        <v>181</v>
      </c>
      <c r="B51" s="4" t="s">
        <v>205</v>
      </c>
      <c r="C51" s="5" t="n">
        <v>4.14005472812667</v>
      </c>
      <c r="D51" s="5" t="n">
        <v>1.6</v>
      </c>
      <c r="E51" s="5" t="n">
        <v>1.38181818181818</v>
      </c>
      <c r="F51" s="5" t="n">
        <v>1.11812311988096</v>
      </c>
    </row>
    <row r="52" customFormat="false" ht="14.25" hidden="false" customHeight="false" outlineLevel="0" collapsed="false">
      <c r="A52" s="0" t="s">
        <v>181</v>
      </c>
      <c r="B52" s="4" t="s">
        <v>46</v>
      </c>
      <c r="C52" s="5" t="n">
        <v>4.21538644196133</v>
      </c>
      <c r="D52" s="5" t="n">
        <v>2.28</v>
      </c>
      <c r="E52" s="5" t="n">
        <v>1.96909090909091</v>
      </c>
      <c r="F52" s="5" t="n">
        <v>1.56485167760452</v>
      </c>
    </row>
    <row r="53" customFormat="false" ht="14.25" hidden="false" customHeight="false" outlineLevel="0" collapsed="false">
      <c r="A53" s="0" t="s">
        <v>181</v>
      </c>
      <c r="B53" s="4" t="s">
        <v>47</v>
      </c>
      <c r="C53" s="5" t="n">
        <v>3.8495956544897</v>
      </c>
      <c r="D53" s="5" t="n">
        <v>1.86</v>
      </c>
      <c r="E53" s="5" t="n">
        <v>1.60636363636364</v>
      </c>
      <c r="F53" s="5" t="n">
        <v>1.39789179560769</v>
      </c>
    </row>
    <row r="54" customFormat="false" ht="14.25" hidden="false" customHeight="false" outlineLevel="0" collapsed="false">
      <c r="A54" s="0" t="s">
        <v>181</v>
      </c>
      <c r="B54" s="4" t="s">
        <v>48</v>
      </c>
      <c r="C54" s="5" t="n">
        <v>4.65504574788004</v>
      </c>
      <c r="D54" s="5" t="n">
        <v>2.6</v>
      </c>
      <c r="E54" s="5" t="n">
        <v>2.24545454545455</v>
      </c>
      <c r="F54" s="5" t="n">
        <v>1.61593959215083</v>
      </c>
    </row>
    <row r="55" customFormat="false" ht="14.25" hidden="false" customHeight="false" outlineLevel="0" collapsed="false">
      <c r="A55" s="0" t="s">
        <v>181</v>
      </c>
      <c r="B55" s="4" t="s">
        <v>51</v>
      </c>
      <c r="C55" s="5" t="n">
        <v>10.1089531076145</v>
      </c>
      <c r="D55" s="5" t="n">
        <v>5.15</v>
      </c>
      <c r="E55" s="5" t="n">
        <v>4.44772727272727</v>
      </c>
      <c r="F55" s="5" t="n">
        <v>1.47392971408812</v>
      </c>
    </row>
    <row r="56" customFormat="false" ht="14.25" hidden="false" customHeight="false" outlineLevel="0" collapsed="false">
      <c r="A56" s="0" t="s">
        <v>181</v>
      </c>
      <c r="B56" s="4" t="s">
        <v>52</v>
      </c>
      <c r="C56" s="5" t="n">
        <v>5.83534574788004</v>
      </c>
      <c r="D56" s="5" t="n">
        <v>5.2</v>
      </c>
      <c r="E56" s="5" t="n">
        <v>4.49090909090909</v>
      </c>
      <c r="F56" s="5" t="n">
        <v>2.57817550228469</v>
      </c>
    </row>
    <row r="57" customFormat="false" ht="14.25" hidden="false" customHeight="false" outlineLevel="0" collapsed="false">
      <c r="A57" s="0" t="s">
        <v>181</v>
      </c>
      <c r="B57" s="4" t="s">
        <v>53</v>
      </c>
      <c r="C57" s="5" t="n">
        <v>7.95025881845519</v>
      </c>
      <c r="D57" s="5" t="n">
        <v>4.1</v>
      </c>
      <c r="E57" s="5" t="n">
        <v>3.54090909090909</v>
      </c>
      <c r="F57" s="5" t="n">
        <v>1.49203261496465</v>
      </c>
    </row>
    <row r="58" customFormat="false" ht="14.25" hidden="false" customHeight="false" outlineLevel="0" collapsed="false">
      <c r="A58" s="0" t="s">
        <v>181</v>
      </c>
      <c r="B58" s="4" t="s">
        <v>206</v>
      </c>
      <c r="C58" s="5" t="n">
        <v>6.32787335393392</v>
      </c>
      <c r="D58" s="5" t="n">
        <v>3.52</v>
      </c>
      <c r="E58" s="5" t="n">
        <v>3.04</v>
      </c>
      <c r="F58" s="5" t="n">
        <v>1.60938745616152</v>
      </c>
    </row>
    <row r="59" customFormat="false" ht="14.25" hidden="false" customHeight="false" outlineLevel="0" collapsed="false">
      <c r="A59" s="0" t="s">
        <v>181</v>
      </c>
      <c r="B59" s="4" t="s">
        <v>54</v>
      </c>
      <c r="C59" s="5" t="n">
        <v>5.54100179930422</v>
      </c>
      <c r="D59" s="5" t="n">
        <v>2.9</v>
      </c>
      <c r="E59" s="5" t="n">
        <v>2.50454545454545</v>
      </c>
      <c r="F59" s="5" t="n">
        <v>1.51420764270115</v>
      </c>
    </row>
    <row r="60" customFormat="false" ht="14.25" hidden="false" customHeight="false" outlineLevel="0" collapsed="false">
      <c r="A60" s="0" t="s">
        <v>181</v>
      </c>
      <c r="B60" s="4" t="s">
        <v>55</v>
      </c>
      <c r="C60" s="5" t="n">
        <v>6.00357914698121</v>
      </c>
      <c r="D60" s="5" t="n">
        <v>3.2</v>
      </c>
      <c r="E60" s="5" t="n">
        <v>2.76363636363636</v>
      </c>
      <c r="F60" s="5" t="n">
        <v>1.54211039640197</v>
      </c>
    </row>
    <row r="61" customFormat="false" ht="14.25" hidden="false" customHeight="false" outlineLevel="0" collapsed="false">
      <c r="A61" s="0" t="s">
        <v>181</v>
      </c>
      <c r="B61" s="4" t="s">
        <v>56</v>
      </c>
      <c r="C61" s="5" t="n">
        <v>4.38337517785473</v>
      </c>
      <c r="D61" s="5" t="n">
        <v>1.8</v>
      </c>
      <c r="E61" s="5" t="n">
        <v>1.55454545454546</v>
      </c>
      <c r="F61" s="5" t="n">
        <v>1.18806332139609</v>
      </c>
    </row>
    <row r="62" customFormat="false" ht="14.25" hidden="false" customHeight="false" outlineLevel="0" collapsed="false">
      <c r="A62" s="0" t="s">
        <v>181</v>
      </c>
      <c r="B62" s="4" t="s">
        <v>58</v>
      </c>
      <c r="C62" s="5" t="n">
        <v>4.66966892913401</v>
      </c>
      <c r="D62" s="5" t="n">
        <v>2</v>
      </c>
      <c r="E62" s="5" t="n">
        <v>1.72727272727273</v>
      </c>
      <c r="F62" s="5" t="n">
        <v>1.23913787554886</v>
      </c>
    </row>
    <row r="63" customFormat="false" ht="14.25" hidden="false" customHeight="false" outlineLevel="0" collapsed="false">
      <c r="A63" s="0" t="s">
        <v>181</v>
      </c>
      <c r="B63" s="4" t="s">
        <v>59</v>
      </c>
      <c r="C63" s="5" t="n">
        <v>5.3854033073322</v>
      </c>
      <c r="D63" s="5" t="n">
        <v>2.45</v>
      </c>
      <c r="E63" s="5" t="n">
        <v>2.11590909090909</v>
      </c>
      <c r="F63" s="5" t="n">
        <v>1.31620512894453</v>
      </c>
    </row>
    <row r="64" customFormat="false" ht="14.25" hidden="false" customHeight="false" outlineLevel="0" collapsed="false">
      <c r="A64" s="0" t="s">
        <v>181</v>
      </c>
      <c r="B64" s="4" t="s">
        <v>207</v>
      </c>
      <c r="C64" s="5" t="n">
        <v>13.8486</v>
      </c>
      <c r="D64" s="18" t="n">
        <v>5.9</v>
      </c>
      <c r="E64" s="18" t="n">
        <v>5</v>
      </c>
      <c r="F64" s="18" t="n">
        <v>1.20950854237974</v>
      </c>
    </row>
    <row r="65" customFormat="false" ht="14.25" hidden="false" customHeight="false" outlineLevel="0" collapsed="false">
      <c r="A65" s="0" t="s">
        <v>181</v>
      </c>
      <c r="B65" s="4" t="s">
        <v>62</v>
      </c>
      <c r="C65" s="5" t="n">
        <v>27.3431178459843</v>
      </c>
      <c r="D65" s="5" t="n">
        <v>11.23</v>
      </c>
      <c r="E65" s="5" t="n">
        <v>9.69863636363636</v>
      </c>
      <c r="F65" s="5" t="n">
        <v>1.18824897735477</v>
      </c>
    </row>
    <row r="66" customFormat="false" ht="14.25" hidden="false" customHeight="false" outlineLevel="0" collapsed="false">
      <c r="A66" s="0" t="s">
        <v>181</v>
      </c>
      <c r="B66" s="4" t="s">
        <v>63</v>
      </c>
      <c r="C66" s="5" t="n">
        <v>10.9613583489127</v>
      </c>
      <c r="D66" s="5" t="n">
        <v>5.1</v>
      </c>
      <c r="E66" s="5" t="n">
        <v>4.40454545454545</v>
      </c>
      <c r="F66" s="5" t="n">
        <v>1.3461130275146</v>
      </c>
    </row>
    <row r="67" customFormat="false" ht="14.25" hidden="false" customHeight="false" outlineLevel="0" collapsed="false">
      <c r="A67" s="0" t="s">
        <v>181</v>
      </c>
      <c r="B67" s="7" t="s">
        <v>208</v>
      </c>
      <c r="C67" s="5" t="n">
        <v>21.6744564934133</v>
      </c>
      <c r="D67" s="5" t="n">
        <v>12.12</v>
      </c>
      <c r="E67" s="5" t="n">
        <v>10.4672727272727</v>
      </c>
      <c r="F67" s="5" t="n">
        <v>1.6178197431165</v>
      </c>
    </row>
    <row r="68" customFormat="false" ht="14.25" hidden="false" customHeight="false" outlineLevel="0" collapsed="false">
      <c r="A68" s="0" t="s">
        <v>181</v>
      </c>
      <c r="B68" s="8" t="s">
        <v>209</v>
      </c>
      <c r="C68" s="5" t="n">
        <v>66.126621822107</v>
      </c>
      <c r="D68" s="5" t="n">
        <v>25.6</v>
      </c>
      <c r="E68" s="5" t="n">
        <v>22.1090909090909</v>
      </c>
      <c r="F68" s="5" t="n">
        <v>1.12005501724713</v>
      </c>
    </row>
    <row r="69" customFormat="false" ht="14.25" hidden="false" customHeight="false" outlineLevel="0" collapsed="false">
      <c r="A69" s="0" t="s">
        <v>181</v>
      </c>
      <c r="B69" s="4" t="n">
        <v>44</v>
      </c>
      <c r="C69" s="5" t="n">
        <v>125.031010714627</v>
      </c>
      <c r="D69" s="5" t="n">
        <v>59</v>
      </c>
      <c r="E69" s="5" t="n">
        <v>50.9545454545455</v>
      </c>
      <c r="F69" s="5" t="n">
        <v>1.36524312086328</v>
      </c>
    </row>
    <row r="70" customFormat="false" ht="14.25" hidden="false" customHeight="false" outlineLevel="0" collapsed="false">
      <c r="A70" s="0" t="s">
        <v>181</v>
      </c>
      <c r="B70" s="4" t="s">
        <v>65</v>
      </c>
      <c r="C70" s="5" t="n">
        <v>7.20934585479498</v>
      </c>
      <c r="D70" s="5" t="n">
        <v>4.37</v>
      </c>
      <c r="E70" s="5" t="n">
        <v>3.77409090909091</v>
      </c>
      <c r="F70" s="5" t="n">
        <v>1.75372423519472</v>
      </c>
    </row>
    <row r="71" customFormat="false" ht="14.25" hidden="false" customHeight="false" outlineLevel="0" collapsed="false">
      <c r="A71" s="0" t="s">
        <v>181</v>
      </c>
      <c r="B71" s="4" t="n">
        <v>45</v>
      </c>
      <c r="C71" s="5" t="n">
        <v>6.76490519301592</v>
      </c>
      <c r="D71" s="5" t="n">
        <v>3.85</v>
      </c>
      <c r="E71" s="5" t="n">
        <v>3.325</v>
      </c>
      <c r="F71" s="5" t="n">
        <v>1.64654931328522</v>
      </c>
    </row>
    <row r="72" customFormat="false" ht="14.25" hidden="false" customHeight="false" outlineLevel="0" collapsed="false">
      <c r="A72" s="0" t="s">
        <v>181</v>
      </c>
      <c r="B72" s="4" t="s">
        <v>210</v>
      </c>
      <c r="C72" s="5" t="n">
        <v>6.9550236144621</v>
      </c>
      <c r="D72" s="5" t="n">
        <v>3.85</v>
      </c>
      <c r="E72" s="5" t="n">
        <v>3.325</v>
      </c>
      <c r="F72" s="5" t="n">
        <v>1.60154021286691</v>
      </c>
    </row>
    <row r="73" customFormat="false" ht="14.25" hidden="false" customHeight="false" outlineLevel="0" collapsed="false">
      <c r="A73" s="0" t="s">
        <v>181</v>
      </c>
      <c r="B73" s="4" t="s">
        <v>211</v>
      </c>
      <c r="C73" s="5" t="n">
        <v>7.42343472106626</v>
      </c>
      <c r="D73" s="5" t="n">
        <v>2.9</v>
      </c>
      <c r="E73" s="5" t="n">
        <v>2.50454545454545</v>
      </c>
      <c r="F73" s="5" t="n">
        <v>1.13023520620683</v>
      </c>
    </row>
    <row r="74" customFormat="false" ht="14.25" hidden="false" customHeight="false" outlineLevel="0" collapsed="false">
      <c r="A74" s="0" t="s">
        <v>181</v>
      </c>
      <c r="B74" s="8" t="s">
        <v>72</v>
      </c>
      <c r="C74" s="5" t="n">
        <v>24.8468219214462</v>
      </c>
      <c r="D74" s="5" t="n">
        <v>11.8</v>
      </c>
      <c r="E74" s="5" t="n">
        <v>10.1909090909091</v>
      </c>
      <c r="F74" s="5" t="n">
        <v>1.37400048837145</v>
      </c>
    </row>
    <row r="75" customFormat="false" ht="14.25" hidden="false" customHeight="false" outlineLevel="0" collapsed="false">
      <c r="A75" s="0" t="s">
        <v>181</v>
      </c>
      <c r="B75" s="6" t="s">
        <v>74</v>
      </c>
      <c r="C75" s="5" t="n">
        <v>49.7507091310306</v>
      </c>
      <c r="D75" s="5" t="n">
        <v>28</v>
      </c>
      <c r="E75" s="5" t="n">
        <v>24.1818181818182</v>
      </c>
      <c r="F75" s="5" t="n">
        <v>1.6283002257462</v>
      </c>
    </row>
    <row r="76" customFormat="false" ht="14.25" hidden="false" customHeight="false" outlineLevel="0" collapsed="false">
      <c r="A76" s="0" t="s">
        <v>181</v>
      </c>
      <c r="B76" s="6" t="s">
        <v>75</v>
      </c>
      <c r="C76" s="5" t="n">
        <v>49.7507091310306</v>
      </c>
      <c r="D76" s="5" t="n">
        <v>28</v>
      </c>
      <c r="E76" s="5" t="n">
        <v>24.1818181818182</v>
      </c>
      <c r="F76" s="5" t="n">
        <v>1.6283002257462</v>
      </c>
    </row>
    <row r="77" customFormat="false" ht="14.25" hidden="false" customHeight="false" outlineLevel="0" collapsed="false">
      <c r="A77" s="0" t="s">
        <v>181</v>
      </c>
      <c r="B77" s="4" t="n">
        <v>60</v>
      </c>
      <c r="C77" s="5" t="n">
        <v>16.8416207793064</v>
      </c>
      <c r="D77" s="5" t="n">
        <v>8.94</v>
      </c>
      <c r="E77" s="5" t="n">
        <v>7.72090909090909</v>
      </c>
      <c r="F77" s="5" t="n">
        <v>1.53578125249836</v>
      </c>
    </row>
    <row r="78" customFormat="false" ht="14.25" hidden="false" customHeight="false" outlineLevel="0" collapsed="false">
      <c r="A78" s="0" t="s">
        <v>181</v>
      </c>
      <c r="B78" s="4" t="n">
        <v>62</v>
      </c>
      <c r="C78" s="5" t="n">
        <v>17.7573261960886</v>
      </c>
      <c r="D78" s="5" t="n">
        <v>8.95</v>
      </c>
      <c r="E78" s="5" t="n">
        <v>7.72954545454545</v>
      </c>
      <c r="F78" s="5" t="n">
        <v>1.45821375283577</v>
      </c>
    </row>
    <row r="79" customFormat="false" ht="14.25" hidden="false" customHeight="false" outlineLevel="0" collapsed="false">
      <c r="A79" s="0" t="s">
        <v>181</v>
      </c>
      <c r="B79" s="4" t="s">
        <v>212</v>
      </c>
      <c r="C79" s="5" t="n">
        <v>15.7955228488431</v>
      </c>
      <c r="D79" s="5" t="n">
        <v>8.48</v>
      </c>
      <c r="E79" s="5" t="n">
        <v>7.32363636363636</v>
      </c>
      <c r="F79" s="5" t="n">
        <v>1.55323644889532</v>
      </c>
    </row>
    <row r="80" customFormat="false" ht="14.25" hidden="false" customHeight="false" outlineLevel="0" collapsed="false">
      <c r="A80" s="0" t="s">
        <v>181</v>
      </c>
      <c r="B80" s="4" t="s">
        <v>212</v>
      </c>
      <c r="C80" s="5" t="n">
        <v>15.7955228488431</v>
      </c>
      <c r="D80" s="5" t="n">
        <v>8.48</v>
      </c>
      <c r="E80" s="5" t="n">
        <v>7.32363636363636</v>
      </c>
      <c r="F80" s="5" t="n">
        <v>1.55323644889532</v>
      </c>
    </row>
    <row r="81" customFormat="false" ht="14.25" hidden="false" customHeight="false" outlineLevel="0" collapsed="false">
      <c r="A81" s="0" t="s">
        <v>181</v>
      </c>
      <c r="B81" s="4" t="s">
        <v>213</v>
      </c>
      <c r="C81" s="5" t="n">
        <v>116.795696905356</v>
      </c>
      <c r="D81" s="5" t="n">
        <v>52.3</v>
      </c>
      <c r="E81" s="5" t="n">
        <v>45.1681818181818</v>
      </c>
      <c r="F81" s="5" t="n">
        <v>1.29553924588099</v>
      </c>
    </row>
    <row r="82" customFormat="false" ht="14.25" hidden="false" customHeight="false" outlineLevel="0" collapsed="false">
      <c r="A82" s="0" t="s">
        <v>181</v>
      </c>
      <c r="B82" s="8" t="s">
        <v>78</v>
      </c>
      <c r="C82" s="5" t="n">
        <v>37.35</v>
      </c>
      <c r="D82" s="5" t="n">
        <v>52.3</v>
      </c>
      <c r="E82" s="5" t="n">
        <v>45.1681818181818</v>
      </c>
      <c r="F82" s="5" t="n">
        <v>4.05122915906048</v>
      </c>
    </row>
    <row r="83" customFormat="false" ht="14.25" hidden="false" customHeight="false" outlineLevel="0" collapsed="false">
      <c r="A83" s="0" t="s">
        <v>181</v>
      </c>
      <c r="B83" s="4" t="n">
        <v>74</v>
      </c>
      <c r="C83" s="5" t="n">
        <v>45.6506543564374</v>
      </c>
      <c r="D83" s="5" t="n">
        <v>29.08</v>
      </c>
      <c r="E83" s="5" t="n">
        <v>25.1145454545455</v>
      </c>
      <c r="F83" s="5" t="n">
        <v>1.84299060898046</v>
      </c>
    </row>
    <row r="84" customFormat="false" ht="14.25" hidden="false" customHeight="false" outlineLevel="0" collapsed="false">
      <c r="A84" s="0" t="s">
        <v>181</v>
      </c>
      <c r="B84" s="4" t="s">
        <v>79</v>
      </c>
      <c r="C84" s="5" t="n">
        <v>51.6999787918999</v>
      </c>
      <c r="D84" s="5" t="n">
        <v>25.73</v>
      </c>
      <c r="E84" s="5" t="n">
        <v>22.2213636363636</v>
      </c>
      <c r="F84" s="5" t="n">
        <v>1.43987618411715</v>
      </c>
    </row>
    <row r="85" customFormat="false" ht="14.25" hidden="false" customHeight="false" outlineLevel="0" collapsed="false">
      <c r="A85" s="0" t="s">
        <v>181</v>
      </c>
      <c r="B85" s="8" t="s">
        <v>214</v>
      </c>
      <c r="C85" s="5" t="n">
        <v>150.433227056017</v>
      </c>
      <c r="D85" s="5" t="n">
        <v>65.2</v>
      </c>
      <c r="E85" s="5" t="n">
        <v>56.3090909090909</v>
      </c>
      <c r="F85" s="5" t="n">
        <v>1.25394806876816</v>
      </c>
    </row>
    <row r="86" customFormat="false" ht="14.25" hidden="false" customHeight="false" outlineLevel="0" collapsed="false">
      <c r="A86" s="0" t="s">
        <v>181</v>
      </c>
      <c r="B86" s="4" t="n">
        <v>777</v>
      </c>
      <c r="C86" s="5" t="n">
        <v>133.608482032405</v>
      </c>
      <c r="D86" s="5" t="n">
        <v>62.5</v>
      </c>
      <c r="E86" s="5" t="n">
        <v>53.9772727272727</v>
      </c>
      <c r="F86" s="5" t="n">
        <v>1.35338610906834</v>
      </c>
    </row>
    <row r="87" customFormat="false" ht="14.25" hidden="false" customHeight="false" outlineLevel="0" collapsed="false">
      <c r="A87" s="0" t="s">
        <v>181</v>
      </c>
      <c r="B87" s="4" t="s">
        <v>215</v>
      </c>
      <c r="C87" s="5" t="n">
        <v>28.2397546540508</v>
      </c>
      <c r="D87" s="5" t="n">
        <v>14.14</v>
      </c>
      <c r="E87" s="5" t="n">
        <v>12.2118181818182</v>
      </c>
      <c r="F87" s="5" t="n">
        <v>1.44865249044304</v>
      </c>
    </row>
    <row r="88" customFormat="false" ht="14.25" hidden="false" customHeight="false" outlineLevel="0" collapsed="false">
      <c r="A88" s="0" t="s">
        <v>181</v>
      </c>
      <c r="B88" s="4" t="s">
        <v>216</v>
      </c>
      <c r="C88" s="5" t="n">
        <v>50.618217199181</v>
      </c>
      <c r="D88" s="5" t="n">
        <v>19.8</v>
      </c>
      <c r="E88" s="5" t="n">
        <v>17.1</v>
      </c>
      <c r="F88" s="5" t="n">
        <v>1.13170718309943</v>
      </c>
    </row>
    <row r="89" customFormat="false" ht="14.25" hidden="false" customHeight="false" outlineLevel="0" collapsed="false">
      <c r="A89" s="0" t="s">
        <v>181</v>
      </c>
      <c r="B89" s="19" t="n">
        <v>8011</v>
      </c>
      <c r="C89" s="5" t="n">
        <v>2.81</v>
      </c>
      <c r="D89" s="18" t="n">
        <v>2.3</v>
      </c>
      <c r="E89" s="18" t="n">
        <v>1.5</v>
      </c>
      <c r="F89" s="18" t="n">
        <v>1.78825622775801</v>
      </c>
    </row>
    <row r="90" customFormat="false" ht="14.25" hidden="false" customHeight="false" outlineLevel="0" collapsed="false">
      <c r="A90" s="0" t="s">
        <v>181</v>
      </c>
      <c r="B90" s="4" t="s">
        <v>82</v>
      </c>
      <c r="C90" s="5" t="n">
        <v>4.73146262188516</v>
      </c>
      <c r="D90" s="5" t="n">
        <v>3</v>
      </c>
      <c r="E90" s="5" t="n">
        <v>2.59090909090909</v>
      </c>
      <c r="F90" s="5" t="n">
        <v>1.83443179164063</v>
      </c>
    </row>
    <row r="91" customFormat="false" ht="14.25" hidden="false" customHeight="false" outlineLevel="0" collapsed="false">
      <c r="A91" s="0" t="s">
        <v>181</v>
      </c>
      <c r="B91" s="4" t="s">
        <v>86</v>
      </c>
      <c r="C91" s="5" t="n">
        <v>7.27880505597689</v>
      </c>
      <c r="D91" s="5" t="n">
        <v>4.5</v>
      </c>
      <c r="E91" s="5" t="n">
        <v>3.88636363636364</v>
      </c>
      <c r="F91" s="5" t="n">
        <v>1.78866147419727</v>
      </c>
    </row>
    <row r="92" customFormat="false" ht="14.25" hidden="false" customHeight="false" outlineLevel="0" collapsed="false">
      <c r="A92" s="0" t="s">
        <v>181</v>
      </c>
      <c r="B92" s="4" t="n">
        <v>84</v>
      </c>
      <c r="C92" s="5" t="n">
        <v>47.1799764748352</v>
      </c>
      <c r="D92" s="5" t="n">
        <v>21.63</v>
      </c>
      <c r="E92" s="5" t="n">
        <v>18.6804545454545</v>
      </c>
      <c r="F92" s="5" t="n">
        <v>1.32640004092947</v>
      </c>
    </row>
    <row r="93" customFormat="false" ht="14.25" hidden="false" customHeight="false" outlineLevel="0" collapsed="false">
      <c r="A93" s="0" t="s">
        <v>181</v>
      </c>
      <c r="B93" s="4" t="s">
        <v>90</v>
      </c>
      <c r="C93" s="5" t="n">
        <v>58.4401128890552</v>
      </c>
      <c r="D93" s="5" t="n">
        <v>29.85</v>
      </c>
      <c r="E93" s="5" t="n">
        <v>25.7795454545455</v>
      </c>
      <c r="F93" s="5" t="n">
        <v>1.47777738617102</v>
      </c>
    </row>
    <row r="94" customFormat="false" ht="14.25" hidden="false" customHeight="false" outlineLevel="0" collapsed="false">
      <c r="A94" s="0" t="s">
        <v>181</v>
      </c>
      <c r="B94" s="4" t="s">
        <v>91</v>
      </c>
      <c r="C94" s="5" t="n">
        <v>15.7066802457658</v>
      </c>
      <c r="D94" s="5" t="n">
        <v>12</v>
      </c>
      <c r="E94" s="5" t="n">
        <v>10.3636363636364</v>
      </c>
      <c r="F94" s="5" t="n">
        <v>2.21040864618996</v>
      </c>
    </row>
    <row r="95" customFormat="false" ht="14.25" hidden="false" customHeight="false" outlineLevel="0" collapsed="false">
      <c r="A95" s="0" t="s">
        <v>181</v>
      </c>
      <c r="B95" s="8" t="n">
        <v>922</v>
      </c>
      <c r="C95" s="5" t="n">
        <v>46.1223430221306</v>
      </c>
      <c r="D95" s="5" t="n">
        <v>17.3</v>
      </c>
      <c r="E95" s="5" t="n">
        <v>14.9409090909091</v>
      </c>
      <c r="F95" s="5" t="n">
        <v>1.08520170864974</v>
      </c>
    </row>
    <row r="96" customFormat="false" ht="14.25" hidden="false" customHeight="false" outlineLevel="0" collapsed="false">
      <c r="A96" s="0" t="s">
        <v>181</v>
      </c>
      <c r="B96" s="4" t="n">
        <v>95</v>
      </c>
      <c r="C96" s="5" t="n">
        <v>5.04268370933237</v>
      </c>
      <c r="D96" s="5" t="n">
        <v>3.85</v>
      </c>
      <c r="E96" s="5" t="n">
        <v>3.325</v>
      </c>
      <c r="F96" s="5" t="n">
        <v>2.20889324852673</v>
      </c>
    </row>
    <row r="97" customFormat="false" ht="14.25" hidden="false" customHeight="false" outlineLevel="0" collapsed="false">
      <c r="A97" s="0" t="s">
        <v>181</v>
      </c>
      <c r="B97" s="4" t="s">
        <v>217</v>
      </c>
      <c r="C97" s="5" t="n">
        <v>7.22899080414943</v>
      </c>
      <c r="D97" s="18" t="n">
        <v>3.85</v>
      </c>
      <c r="E97" s="18" t="n">
        <v>2.9</v>
      </c>
      <c r="F97" s="18" t="n">
        <v>1.34389436412391</v>
      </c>
    </row>
    <row r="98" customFormat="false" ht="14.25" hidden="false" customHeight="false" outlineLevel="0" collapsed="false">
      <c r="A98" s="0" t="s">
        <v>181</v>
      </c>
      <c r="B98" s="4" t="s">
        <v>94</v>
      </c>
      <c r="C98" s="5" t="n">
        <v>26.7977752850886</v>
      </c>
      <c r="D98" s="5" t="n">
        <v>16.28</v>
      </c>
      <c r="E98" s="5" t="n">
        <v>14.06</v>
      </c>
      <c r="F98" s="5" t="n">
        <v>1.75764590526322</v>
      </c>
    </row>
    <row r="99" customFormat="false" ht="14.25" hidden="false" customHeight="false" outlineLevel="0" collapsed="false">
      <c r="A99" s="0" t="s">
        <v>181</v>
      </c>
      <c r="B99" s="4" t="s">
        <v>95</v>
      </c>
      <c r="C99" s="5" t="n">
        <v>22.4066344026695</v>
      </c>
      <c r="D99" s="5" t="n">
        <v>12.32</v>
      </c>
      <c r="E99" s="5" t="n">
        <v>10.64</v>
      </c>
      <c r="F99" s="5" t="n">
        <v>1.59077884520459</v>
      </c>
    </row>
    <row r="100" customFormat="false" ht="14.25" hidden="false" customHeight="false" outlineLevel="0" collapsed="false">
      <c r="A100" s="0" t="s">
        <v>181</v>
      </c>
      <c r="B100" s="4" t="s">
        <v>96</v>
      </c>
      <c r="C100" s="5" t="n">
        <v>9.5354533264461</v>
      </c>
      <c r="D100" s="5" t="n">
        <v>5.25</v>
      </c>
      <c r="E100" s="5" t="n">
        <v>4.53409090909091</v>
      </c>
      <c r="F100" s="5" t="n">
        <v>1.59291897568499</v>
      </c>
    </row>
    <row r="101" customFormat="false" ht="14.25" hidden="false" customHeight="false" outlineLevel="0" collapsed="false">
      <c r="A101" s="0" t="s">
        <v>181</v>
      </c>
      <c r="B101" s="4" t="s">
        <v>97</v>
      </c>
      <c r="C101" s="5" t="n">
        <v>14.9054881599483</v>
      </c>
      <c r="D101" s="5" t="n">
        <v>6.94</v>
      </c>
      <c r="E101" s="5" t="n">
        <v>5.99363636363636</v>
      </c>
      <c r="F101" s="5" t="n">
        <v>1.34706636929438</v>
      </c>
    </row>
    <row r="102" customFormat="false" ht="14.25" hidden="false" customHeight="false" outlineLevel="0" collapsed="false">
      <c r="A102" s="0" t="s">
        <v>181</v>
      </c>
      <c r="B102" s="4" t="s">
        <v>98</v>
      </c>
      <c r="C102" s="5" t="n">
        <v>10.8347006716933</v>
      </c>
      <c r="D102" s="5" t="n">
        <v>4.84</v>
      </c>
      <c r="E102" s="5" t="n">
        <v>4.18</v>
      </c>
      <c r="F102" s="5" t="n">
        <v>1.29242149130932</v>
      </c>
    </row>
    <row r="103" customFormat="false" ht="14.25" hidden="false" customHeight="false" outlineLevel="0" collapsed="false">
      <c r="A103" s="0" t="s">
        <v>181</v>
      </c>
      <c r="B103" s="4" t="s">
        <v>99</v>
      </c>
      <c r="C103" s="5" t="n">
        <v>8.94200765946623</v>
      </c>
      <c r="D103" s="5" t="n">
        <v>5.5</v>
      </c>
      <c r="E103" s="5" t="n">
        <v>4.75</v>
      </c>
      <c r="F103" s="5" t="n">
        <v>1.77952207222219</v>
      </c>
    </row>
    <row r="104" customFormat="false" ht="14.25" hidden="false" customHeight="false" outlineLevel="0" collapsed="false">
      <c r="A104" s="0" t="s">
        <v>181</v>
      </c>
      <c r="B104" s="4" t="s">
        <v>101</v>
      </c>
      <c r="C104" s="5" t="n">
        <v>28.3884707225352</v>
      </c>
      <c r="D104" s="5" t="n">
        <v>16.22</v>
      </c>
      <c r="E104" s="5" t="n">
        <v>14.0081818181818</v>
      </c>
      <c r="F104" s="5" t="n">
        <v>1.65304463032091</v>
      </c>
    </row>
    <row r="105" customFormat="false" ht="14.25" hidden="false" customHeight="false" outlineLevel="0" collapsed="false">
      <c r="A105" s="0" t="s">
        <v>181</v>
      </c>
      <c r="B105" s="4" t="s">
        <v>102</v>
      </c>
      <c r="C105" s="5" t="n">
        <v>19.1258302032307</v>
      </c>
      <c r="D105" s="5" t="n">
        <v>10.92</v>
      </c>
      <c r="E105" s="5" t="n">
        <v>9.43090909090909</v>
      </c>
      <c r="F105" s="5" t="n">
        <v>1.6518783822105</v>
      </c>
    </row>
    <row r="106" customFormat="false" ht="14.25" hidden="false" customHeight="false" outlineLevel="0" collapsed="false">
      <c r="A106" s="0" t="s">
        <v>181</v>
      </c>
      <c r="B106" s="4" t="s">
        <v>103</v>
      </c>
      <c r="C106" s="5" t="n">
        <v>17.7277026227945</v>
      </c>
      <c r="D106" s="18" t="n">
        <v>10.85</v>
      </c>
      <c r="E106" s="18" t="n">
        <v>7.4</v>
      </c>
      <c r="F106" s="18" t="n">
        <v>1.39837634506147</v>
      </c>
    </row>
    <row r="107" customFormat="false" ht="14.25" hidden="false" customHeight="false" outlineLevel="0" collapsed="false">
      <c r="A107" s="0" t="s">
        <v>181</v>
      </c>
      <c r="B107" s="4" t="s">
        <v>104</v>
      </c>
      <c r="C107" s="5" t="n">
        <v>18.0954345388552</v>
      </c>
      <c r="D107" s="5" t="n">
        <v>9.3</v>
      </c>
      <c r="E107" s="5" t="n">
        <v>8.03181818181818</v>
      </c>
      <c r="F107" s="5" t="n">
        <v>1.48692703959754</v>
      </c>
    </row>
    <row r="108" customFormat="false" ht="14.25" hidden="false" customHeight="false" outlineLevel="0" collapsed="false">
      <c r="A108" s="0" t="s">
        <v>181</v>
      </c>
      <c r="B108" s="4" t="s">
        <v>105</v>
      </c>
      <c r="C108" s="5" t="n">
        <v>9.21597774225146</v>
      </c>
      <c r="D108" s="5" t="n">
        <v>4.8</v>
      </c>
      <c r="E108" s="5" t="n">
        <v>4.14545454545455</v>
      </c>
      <c r="F108" s="5" t="n">
        <v>1.50686916957333</v>
      </c>
    </row>
    <row r="109" customFormat="false" ht="14.25" hidden="false" customHeight="false" outlineLevel="0" collapsed="false">
      <c r="A109" s="0" t="s">
        <v>181</v>
      </c>
      <c r="B109" s="4" t="s">
        <v>106</v>
      </c>
      <c r="C109" s="5" t="n">
        <v>11.8526786660557</v>
      </c>
      <c r="D109" s="5" t="n">
        <v>6.29</v>
      </c>
      <c r="E109" s="5" t="n">
        <v>5.43227272727273</v>
      </c>
      <c r="F109" s="5" t="n">
        <v>1.53535872768409</v>
      </c>
    </row>
    <row r="110" customFormat="false" ht="14.25" hidden="false" customHeight="false" outlineLevel="0" collapsed="false">
      <c r="A110" s="0" t="s">
        <v>181</v>
      </c>
      <c r="B110" s="4" t="s">
        <v>218</v>
      </c>
      <c r="C110" s="5" t="n">
        <v>6.90862143537299</v>
      </c>
      <c r="D110" s="18" t="n">
        <v>4.25</v>
      </c>
      <c r="E110" s="18" t="n">
        <v>2.4</v>
      </c>
      <c r="F110" s="18" t="n">
        <v>1.16376328840863</v>
      </c>
    </row>
    <row r="111" customFormat="false" ht="14.25" hidden="false" customHeight="false" outlineLevel="0" collapsed="false">
      <c r="A111" s="0" t="s">
        <v>181</v>
      </c>
      <c r="B111" s="4" t="s">
        <v>115</v>
      </c>
      <c r="C111" s="5" t="n">
        <v>17.3962523338984</v>
      </c>
      <c r="D111" s="18" t="n">
        <v>12.45</v>
      </c>
      <c r="E111" s="18" t="n">
        <v>7.3</v>
      </c>
      <c r="F111" s="18" t="n">
        <v>1.40576254762337</v>
      </c>
    </row>
    <row r="112" customFormat="false" ht="14.25" hidden="false" customHeight="false" outlineLevel="0" collapsed="false">
      <c r="A112" s="0" t="s">
        <v>181</v>
      </c>
      <c r="B112" s="4" t="s">
        <v>124</v>
      </c>
      <c r="C112" s="5" t="n">
        <v>36.0742803589045</v>
      </c>
      <c r="D112" s="5" t="n">
        <v>22.5</v>
      </c>
      <c r="E112" s="5" t="n">
        <v>19.4318181818182</v>
      </c>
      <c r="F112" s="5" t="n">
        <v>1.80451530180068</v>
      </c>
    </row>
    <row r="113" customFormat="false" ht="14.25" hidden="false" customHeight="false" outlineLevel="0" collapsed="false">
      <c r="A113" s="0" t="s">
        <v>181</v>
      </c>
      <c r="B113" s="4" t="s">
        <v>219</v>
      </c>
      <c r="C113" s="5" t="n">
        <v>17.4118834552733</v>
      </c>
      <c r="D113" s="5" t="n">
        <v>8.9</v>
      </c>
      <c r="E113" s="5" t="n">
        <v>7.68636363636364</v>
      </c>
      <c r="F113" s="5" t="n">
        <v>1.47883589089955</v>
      </c>
    </row>
    <row r="114" customFormat="false" ht="14.25" hidden="false" customHeight="false" outlineLevel="0" collapsed="false">
      <c r="A114" s="0" t="s">
        <v>181</v>
      </c>
      <c r="B114" s="4" t="s">
        <v>219</v>
      </c>
      <c r="C114" s="5" t="n">
        <v>16.6672386630315</v>
      </c>
      <c r="D114" s="18" t="n">
        <v>8.4</v>
      </c>
      <c r="E114" s="18" t="n">
        <v>6.8</v>
      </c>
      <c r="F114" s="18" t="n">
        <v>1.36675309333194</v>
      </c>
    </row>
    <row r="115" customFormat="false" ht="14.25" hidden="false" customHeight="false" outlineLevel="0" collapsed="false">
      <c r="A115" s="0" t="s">
        <v>181</v>
      </c>
      <c r="B115" s="4" t="s">
        <v>220</v>
      </c>
      <c r="C115" s="5" t="n">
        <v>23.3127024957842</v>
      </c>
      <c r="D115" s="5" t="n">
        <v>13.4</v>
      </c>
      <c r="E115" s="5" t="n">
        <v>11.5727272727273</v>
      </c>
      <c r="F115" s="5" t="n">
        <v>1.66298336156639</v>
      </c>
    </row>
    <row r="116" customFormat="false" ht="14.25" hidden="false" customHeight="false" outlineLevel="0" collapsed="false">
      <c r="A116" s="0" t="s">
        <v>181</v>
      </c>
      <c r="B116" s="4" t="s">
        <v>134</v>
      </c>
      <c r="C116" s="5" t="n">
        <v>52.000308768548</v>
      </c>
      <c r="D116" s="5" t="n">
        <v>35</v>
      </c>
      <c r="E116" s="5" t="n">
        <v>30.2272727272727</v>
      </c>
      <c r="F116" s="5" t="n">
        <v>1.94732235316285</v>
      </c>
    </row>
    <row r="117" customFormat="false" ht="14.25" hidden="false" customHeight="false" outlineLevel="0" collapsed="false">
      <c r="A117" s="0" t="s">
        <v>181</v>
      </c>
      <c r="B117" s="4" t="s">
        <v>221</v>
      </c>
      <c r="C117" s="5" t="n">
        <v>19.0813282186861</v>
      </c>
      <c r="D117" s="5" t="n">
        <v>9</v>
      </c>
      <c r="E117" s="5" t="n">
        <v>7.77272727272727</v>
      </c>
      <c r="F117" s="5" t="n">
        <v>1.3646134097802</v>
      </c>
    </row>
    <row r="118" customFormat="false" ht="14.25" hidden="false" customHeight="false" outlineLevel="0" collapsed="false">
      <c r="A118" s="0" t="s">
        <v>181</v>
      </c>
      <c r="B118" s="4" t="s">
        <v>221</v>
      </c>
      <c r="C118" s="5" t="n">
        <v>19.0813282186861</v>
      </c>
      <c r="D118" s="5" t="n">
        <v>9</v>
      </c>
      <c r="E118" s="5" t="n">
        <v>7.77272727272727</v>
      </c>
      <c r="F118" s="5" t="n">
        <v>1.3646134097802</v>
      </c>
    </row>
    <row r="119" customFormat="false" ht="14.25" hidden="false" customHeight="false" outlineLevel="0" collapsed="false">
      <c r="A119" s="0" t="s">
        <v>181</v>
      </c>
      <c r="B119" s="4" t="s">
        <v>222</v>
      </c>
      <c r="C119" s="5" t="n">
        <v>19.5193690311184</v>
      </c>
      <c r="D119" s="5" t="n">
        <v>9.5</v>
      </c>
      <c r="E119" s="5" t="n">
        <v>8.20454545454546</v>
      </c>
      <c r="F119" s="5" t="n">
        <v>1.40810019160504</v>
      </c>
    </row>
    <row r="120" customFormat="false" ht="14.25" hidden="false" customHeight="false" outlineLevel="0" collapsed="false">
      <c r="A120" s="0" t="s">
        <v>181</v>
      </c>
      <c r="B120" s="4" t="s">
        <v>223</v>
      </c>
      <c r="C120" s="5" t="n">
        <v>44.5412958853556</v>
      </c>
      <c r="D120" s="5" t="n">
        <v>22.9</v>
      </c>
      <c r="E120" s="5" t="n">
        <v>19.7772727272727</v>
      </c>
      <c r="F120" s="5" t="n">
        <v>1.48747049944155</v>
      </c>
    </row>
    <row r="121" customFormat="false" ht="14.25" hidden="false" customHeight="false" outlineLevel="0" collapsed="false">
      <c r="A121" s="0" t="s">
        <v>181</v>
      </c>
      <c r="B121" s="4" t="s">
        <v>146</v>
      </c>
      <c r="C121" s="5" t="n">
        <v>26.6502740471221</v>
      </c>
      <c r="D121" s="5" t="n">
        <v>12.25</v>
      </c>
      <c r="E121" s="5" t="n">
        <v>10.5795454545455</v>
      </c>
      <c r="F121" s="5" t="n">
        <v>1.32987290149666</v>
      </c>
    </row>
    <row r="122" customFormat="false" ht="14.25" hidden="false" customHeight="false" outlineLevel="0" collapsed="false">
      <c r="A122" s="0" t="s">
        <v>181</v>
      </c>
      <c r="B122" s="4" t="s">
        <v>224</v>
      </c>
      <c r="C122" s="5" t="n">
        <v>95.095344414231</v>
      </c>
      <c r="D122" s="5" t="n">
        <v>42</v>
      </c>
      <c r="E122" s="5" t="n">
        <v>36.2727272727273</v>
      </c>
      <c r="F122" s="5" t="n">
        <v>1.27780846803949</v>
      </c>
    </row>
    <row r="123" customFormat="false" ht="14.25" hidden="false" customHeight="false" outlineLevel="0" collapsed="false">
      <c r="A123" s="0" t="s">
        <v>181</v>
      </c>
      <c r="B123" s="4" t="s">
        <v>225</v>
      </c>
      <c r="C123" s="5" t="n">
        <v>64.8142345628864</v>
      </c>
      <c r="D123" s="5" t="n">
        <v>32</v>
      </c>
      <c r="E123" s="5" t="n">
        <v>27.6363636363636</v>
      </c>
      <c r="F123" s="5" t="n">
        <v>1.42841798265765</v>
      </c>
    </row>
    <row r="124" customFormat="false" ht="14.25" hidden="false" customHeight="false" outlineLevel="0" collapsed="false">
      <c r="A124" s="0" t="s">
        <v>181</v>
      </c>
      <c r="B124" s="4" t="s">
        <v>148</v>
      </c>
      <c r="C124" s="5" t="n">
        <v>39.5344972435949</v>
      </c>
      <c r="D124" s="5" t="n">
        <v>24.5</v>
      </c>
      <c r="E124" s="5" t="n">
        <v>21.1590909090909</v>
      </c>
      <c r="F124" s="5" t="n">
        <v>1.79293931850717</v>
      </c>
    </row>
    <row r="125" customFormat="false" ht="14.25" hidden="false" customHeight="false" outlineLevel="0" collapsed="false">
      <c r="A125" s="0" t="s">
        <v>181</v>
      </c>
      <c r="B125" s="4" t="s">
        <v>226</v>
      </c>
      <c r="C125" s="5" t="n">
        <v>69.5794424825008</v>
      </c>
      <c r="D125" s="5" t="n">
        <v>37.8</v>
      </c>
      <c r="E125" s="5" t="n">
        <v>32.6454545454546</v>
      </c>
      <c r="F125" s="5" t="n">
        <v>1.57176126777356</v>
      </c>
    </row>
  </sheetData>
  <autoFilter ref="B1:G12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1"/>
  <sheetViews>
    <sheetView showFormulas="false" showGridLines="true" showRowColHeaders="true" showZeros="true" rightToLeft="true" tabSelected="true" showOutlineSymbols="true" defaultGridColor="true" view="normal" topLeftCell="A69" colorId="64" zoomScale="100" zoomScaleNormal="100" zoomScalePageLayoutView="100" workbookViewId="0">
      <selection pane="topLeft" activeCell="R77" activeCellId="0" sqref="R77"/>
    </sheetView>
  </sheetViews>
  <sheetFormatPr defaultColWidth="8.6171875" defaultRowHeight="14.25" zeroHeight="false" outlineLevelRow="0" outlineLevelCol="0"/>
  <cols>
    <col collapsed="false" customWidth="true" hidden="false" outlineLevel="0" max="2" min="2" style="0" width="9.25"/>
    <col collapsed="false" customWidth="true" hidden="false" outlineLevel="0" max="3" min="3" style="0" width="10.5"/>
    <col collapsed="false" customWidth="true" hidden="false" outlineLevel="0" max="4" min="4" style="0" width="5.5"/>
    <col collapsed="false" customWidth="true" hidden="false" outlineLevel="0" max="5" min="5" style="0" width="8.38"/>
    <col collapsed="false" customWidth="true" hidden="false" outlineLevel="0" max="6" min="6" style="0" width="5.88"/>
    <col collapsed="false" customWidth="true" hidden="false" outlineLevel="0" max="7" min="7" style="0" width="6.5"/>
    <col collapsed="false" customWidth="true" hidden="false" outlineLevel="0" max="8" min="8" style="0" width="5.88"/>
    <col collapsed="false" customWidth="true" hidden="false" outlineLevel="0" max="9" min="9" style="0" width="7.25"/>
    <col collapsed="false" customWidth="true" hidden="false" outlineLevel="0" max="11" min="11" style="0" width="6.12"/>
    <col collapsed="false" customWidth="true" hidden="false" outlineLevel="0" max="12" min="12" style="0" width="7.5"/>
    <col collapsed="false" customWidth="true" hidden="false" outlineLevel="0" max="13" min="13" style="0" width="9.12"/>
  </cols>
  <sheetData>
    <row r="1" customFormat="false" ht="31.5" hidden="false" customHeight="true" outlineLevel="0" collapsed="false">
      <c r="A1" s="0" t="s">
        <v>227</v>
      </c>
      <c r="B1" s="20" t="s">
        <v>228</v>
      </c>
      <c r="C1" s="20" t="s">
        <v>229</v>
      </c>
      <c r="D1" s="21" t="s">
        <v>230</v>
      </c>
      <c r="E1" s="22" t="s">
        <v>231</v>
      </c>
      <c r="F1" s="22" t="s">
        <v>232</v>
      </c>
      <c r="G1" s="22" t="s">
        <v>233</v>
      </c>
      <c r="H1" s="22" t="s">
        <v>234</v>
      </c>
      <c r="I1" s="22" t="s">
        <v>235</v>
      </c>
      <c r="J1" s="22" t="s">
        <v>236</v>
      </c>
      <c r="K1" s="22" t="s">
        <v>237</v>
      </c>
      <c r="L1" s="22" t="s">
        <v>238</v>
      </c>
      <c r="M1" s="22" t="s">
        <v>239</v>
      </c>
    </row>
    <row r="2" customFormat="false" ht="15.75" hidden="false" customHeight="true" outlineLevel="0" collapsed="false">
      <c r="A2" s="0" t="s">
        <v>240</v>
      </c>
      <c r="B2" s="23" t="n">
        <v>99</v>
      </c>
      <c r="C2" s="24" t="s">
        <v>241</v>
      </c>
      <c r="D2" s="23"/>
      <c r="E2" s="23"/>
      <c r="F2" s="23" t="n">
        <v>178</v>
      </c>
      <c r="G2" s="23"/>
      <c r="H2" s="23"/>
      <c r="I2" s="23"/>
      <c r="J2" s="23"/>
      <c r="K2" s="23"/>
      <c r="L2" s="23"/>
      <c r="M2" s="23"/>
    </row>
    <row r="3" customFormat="false" ht="15.75" hidden="false" customHeight="true" outlineLevel="0" collapsed="false">
      <c r="A3" s="0" t="s">
        <v>240</v>
      </c>
      <c r="B3" s="23" t="n">
        <v>99</v>
      </c>
      <c r="C3" s="24" t="s">
        <v>242</v>
      </c>
      <c r="D3" s="23"/>
      <c r="E3" s="23"/>
      <c r="F3" s="23"/>
      <c r="G3" s="23"/>
      <c r="H3" s="23" t="n">
        <v>510</v>
      </c>
      <c r="I3" s="23"/>
      <c r="J3" s="23"/>
      <c r="K3" s="23"/>
      <c r="L3" s="23"/>
      <c r="M3" s="23"/>
    </row>
    <row r="4" customFormat="false" ht="15.75" hidden="false" customHeight="true" outlineLevel="0" collapsed="false">
      <c r="A4" s="0" t="s">
        <v>240</v>
      </c>
      <c r="B4" s="23" t="s">
        <v>183</v>
      </c>
      <c r="C4" s="24" t="n">
        <v>78100002</v>
      </c>
      <c r="D4" s="23"/>
      <c r="E4" s="23"/>
      <c r="F4" s="23" t="n">
        <v>200</v>
      </c>
      <c r="G4" s="23"/>
      <c r="H4" s="23"/>
      <c r="I4" s="23"/>
      <c r="J4" s="23"/>
      <c r="K4" s="23"/>
      <c r="L4" s="23"/>
      <c r="M4" s="23"/>
    </row>
    <row r="5" customFormat="false" ht="15.75" hidden="false" customHeight="true" outlineLevel="0" collapsed="false">
      <c r="A5" s="0" t="s">
        <v>240</v>
      </c>
      <c r="B5" s="23" t="s">
        <v>183</v>
      </c>
      <c r="C5" s="24" t="n">
        <v>78100032</v>
      </c>
      <c r="D5" s="23"/>
      <c r="E5" s="23"/>
      <c r="F5" s="23"/>
      <c r="G5" s="23"/>
      <c r="H5" s="23" t="n">
        <v>300</v>
      </c>
      <c r="I5" s="23"/>
      <c r="J5" s="23"/>
      <c r="K5" s="23"/>
      <c r="L5" s="23"/>
      <c r="M5" s="23"/>
    </row>
    <row r="6" customFormat="false" ht="15.75" hidden="false" customHeight="true" outlineLevel="0" collapsed="false">
      <c r="A6" s="0" t="s">
        <v>240</v>
      </c>
      <c r="B6" s="23" t="s">
        <v>243</v>
      </c>
      <c r="C6" s="24" t="n">
        <v>77626722</v>
      </c>
      <c r="D6" s="23"/>
      <c r="E6" s="23"/>
      <c r="F6" s="23" t="n">
        <v>88</v>
      </c>
      <c r="G6" s="23"/>
      <c r="H6" s="23"/>
      <c r="I6" s="23"/>
      <c r="J6" s="23"/>
      <c r="K6" s="23"/>
      <c r="L6" s="23"/>
      <c r="M6" s="23"/>
    </row>
    <row r="7" customFormat="false" ht="15.75" hidden="false" customHeight="true" outlineLevel="0" collapsed="false">
      <c r="A7" s="0" t="s">
        <v>240</v>
      </c>
      <c r="B7" s="23" t="s">
        <v>243</v>
      </c>
      <c r="C7" s="24" t="n">
        <v>77626732</v>
      </c>
      <c r="D7" s="23"/>
      <c r="E7" s="23"/>
      <c r="F7" s="23"/>
      <c r="G7" s="23"/>
      <c r="H7" s="23" t="n">
        <v>58</v>
      </c>
      <c r="I7" s="23"/>
      <c r="J7" s="23"/>
      <c r="K7" s="23"/>
      <c r="L7" s="23"/>
      <c r="M7" s="23"/>
    </row>
    <row r="8" customFormat="false" ht="15.75" hidden="false" customHeight="true" outlineLevel="0" collapsed="false">
      <c r="A8" s="0" t="s">
        <v>240</v>
      </c>
      <c r="B8" s="23" t="s">
        <v>243</v>
      </c>
      <c r="C8" s="24" t="n">
        <v>77626752</v>
      </c>
      <c r="D8" s="23"/>
      <c r="E8" s="23"/>
      <c r="F8" s="23"/>
      <c r="G8" s="23"/>
      <c r="H8" s="23"/>
      <c r="I8" s="23"/>
      <c r="J8" s="23" t="n">
        <v>22</v>
      </c>
      <c r="K8" s="23"/>
      <c r="L8" s="23"/>
      <c r="M8" s="23"/>
    </row>
    <row r="9" customFormat="false" ht="15.75" hidden="false" customHeight="true" outlineLevel="0" collapsed="false">
      <c r="A9" s="0" t="s">
        <v>240</v>
      </c>
      <c r="B9" s="23" t="s">
        <v>244</v>
      </c>
      <c r="C9" s="23" t="n">
        <v>77626729</v>
      </c>
      <c r="D9" s="23"/>
      <c r="E9" s="23"/>
      <c r="F9" s="23" t="n">
        <v>123</v>
      </c>
      <c r="G9" s="23"/>
      <c r="H9" s="23"/>
      <c r="I9" s="23"/>
      <c r="J9" s="23"/>
      <c r="K9" s="23"/>
      <c r="L9" s="23"/>
      <c r="M9" s="23"/>
    </row>
    <row r="10" customFormat="false" ht="15.75" hidden="false" customHeight="true" outlineLevel="0" collapsed="false">
      <c r="A10" s="0" t="s">
        <v>240</v>
      </c>
      <c r="B10" s="23" t="s">
        <v>244</v>
      </c>
      <c r="C10" s="23" t="n">
        <v>77626739</v>
      </c>
      <c r="D10" s="23"/>
      <c r="E10" s="23"/>
      <c r="F10" s="23"/>
      <c r="G10" s="23"/>
      <c r="H10" s="23" t="n">
        <v>133</v>
      </c>
      <c r="I10" s="23"/>
      <c r="J10" s="23"/>
      <c r="K10" s="23"/>
      <c r="L10" s="23"/>
      <c r="M10" s="23"/>
    </row>
    <row r="11" customFormat="false" ht="15.75" hidden="false" customHeight="true" outlineLevel="0" collapsed="false">
      <c r="A11" s="0" t="s">
        <v>240</v>
      </c>
      <c r="B11" s="23" t="s">
        <v>244</v>
      </c>
      <c r="C11" s="23" t="n">
        <v>77626759</v>
      </c>
      <c r="D11" s="23"/>
      <c r="E11" s="23"/>
      <c r="F11" s="23"/>
      <c r="G11" s="23"/>
      <c r="H11" s="23"/>
      <c r="I11" s="23"/>
      <c r="J11" s="23" t="n">
        <v>71</v>
      </c>
      <c r="K11" s="23"/>
      <c r="L11" s="23"/>
      <c r="M11" s="23"/>
    </row>
    <row r="12" customFormat="false" ht="15.75" hidden="false" customHeight="true" outlineLevel="0" collapsed="false">
      <c r="A12" s="0" t="s">
        <v>240</v>
      </c>
      <c r="B12" s="23" t="s">
        <v>245</v>
      </c>
      <c r="C12" s="24" t="n">
        <v>77726722</v>
      </c>
      <c r="D12" s="23"/>
      <c r="E12" s="23"/>
      <c r="F12" s="23" t="n">
        <v>93</v>
      </c>
      <c r="G12" s="23"/>
      <c r="H12" s="23"/>
      <c r="I12" s="23"/>
      <c r="J12" s="23"/>
      <c r="K12" s="23"/>
      <c r="L12" s="23"/>
      <c r="M12" s="23"/>
    </row>
    <row r="13" customFormat="false" ht="15.75" hidden="false" customHeight="true" outlineLevel="0" collapsed="false">
      <c r="A13" s="0" t="s">
        <v>240</v>
      </c>
      <c r="B13" s="23" t="s">
        <v>245</v>
      </c>
      <c r="C13" s="24" t="n">
        <v>77726732</v>
      </c>
      <c r="D13" s="23"/>
      <c r="E13" s="23"/>
      <c r="F13" s="23"/>
      <c r="G13" s="23"/>
      <c r="H13" s="23" t="n">
        <v>49</v>
      </c>
      <c r="I13" s="23"/>
      <c r="J13" s="23"/>
      <c r="K13" s="23"/>
      <c r="L13" s="23"/>
      <c r="M13" s="23"/>
    </row>
    <row r="14" customFormat="false" ht="15.75" hidden="false" customHeight="true" outlineLevel="0" collapsed="false">
      <c r="A14" s="0" t="s">
        <v>240</v>
      </c>
      <c r="B14" s="23" t="s">
        <v>245</v>
      </c>
      <c r="C14" s="24" t="n">
        <v>77726752</v>
      </c>
      <c r="D14" s="23"/>
      <c r="E14" s="23"/>
      <c r="F14" s="23"/>
      <c r="G14" s="23"/>
      <c r="H14" s="23"/>
      <c r="I14" s="23"/>
      <c r="J14" s="23" t="n">
        <v>108</v>
      </c>
      <c r="K14" s="23"/>
      <c r="L14" s="23"/>
      <c r="M14" s="23"/>
    </row>
    <row r="15" customFormat="false" ht="15.75" hidden="false" customHeight="true" outlineLevel="0" collapsed="false">
      <c r="A15" s="0" t="s">
        <v>240</v>
      </c>
      <c r="B15" s="23" t="s">
        <v>246</v>
      </c>
      <c r="C15" s="24" t="n">
        <v>77726729</v>
      </c>
      <c r="D15" s="23"/>
      <c r="E15" s="23"/>
      <c r="F15" s="23" t="n">
        <v>110</v>
      </c>
      <c r="G15" s="23"/>
      <c r="H15" s="23"/>
      <c r="I15" s="23"/>
      <c r="J15" s="23"/>
      <c r="K15" s="23"/>
      <c r="L15" s="23"/>
      <c r="M15" s="23"/>
    </row>
    <row r="16" customFormat="false" ht="15.75" hidden="false" customHeight="true" outlineLevel="0" collapsed="false">
      <c r="A16" s="0" t="s">
        <v>240</v>
      </c>
      <c r="B16" s="23" t="s">
        <v>246</v>
      </c>
      <c r="C16" s="24" t="n">
        <v>77726739</v>
      </c>
      <c r="D16" s="23"/>
      <c r="E16" s="23"/>
      <c r="F16" s="23"/>
      <c r="G16" s="23"/>
      <c r="H16" s="23" t="n">
        <v>110</v>
      </c>
      <c r="I16" s="23"/>
      <c r="J16" s="23"/>
      <c r="K16" s="23"/>
      <c r="L16" s="23"/>
      <c r="M16" s="23"/>
    </row>
    <row r="17" customFormat="false" ht="15.75" hidden="false" customHeight="true" outlineLevel="0" collapsed="false">
      <c r="A17" s="0" t="s">
        <v>240</v>
      </c>
      <c r="B17" s="23" t="s">
        <v>246</v>
      </c>
      <c r="C17" s="24" t="n">
        <v>77726759</v>
      </c>
      <c r="D17" s="23"/>
      <c r="E17" s="23"/>
      <c r="F17" s="23"/>
      <c r="G17" s="23"/>
      <c r="H17" s="23"/>
      <c r="I17" s="23"/>
      <c r="J17" s="23" t="n">
        <v>75</v>
      </c>
      <c r="K17" s="23"/>
      <c r="L17" s="23"/>
      <c r="M17" s="23"/>
    </row>
    <row r="18" customFormat="false" ht="15.75" hidden="false" customHeight="true" outlineLevel="0" collapsed="false">
      <c r="A18" s="0" t="s">
        <v>240</v>
      </c>
      <c r="B18" s="23" t="s">
        <v>247</v>
      </c>
      <c r="C18" s="24" t="n">
        <v>78700069</v>
      </c>
      <c r="D18" s="25"/>
      <c r="E18" s="23"/>
      <c r="F18" s="23"/>
      <c r="G18" s="23"/>
      <c r="H18" s="23"/>
      <c r="I18" s="23"/>
      <c r="J18" s="23"/>
      <c r="K18" s="23" t="n">
        <v>16</v>
      </c>
      <c r="L18" s="23"/>
      <c r="M18" s="23"/>
    </row>
    <row r="19" customFormat="false" ht="15.75" hidden="false" customHeight="true" outlineLevel="0" collapsed="false">
      <c r="A19" s="0" t="s">
        <v>240</v>
      </c>
      <c r="B19" s="23" t="s">
        <v>247</v>
      </c>
      <c r="C19" s="24" t="n">
        <v>78700079</v>
      </c>
      <c r="D19" s="25"/>
      <c r="E19" s="23"/>
      <c r="F19" s="23"/>
      <c r="G19" s="23"/>
      <c r="H19" s="23"/>
      <c r="I19" s="23"/>
      <c r="J19" s="23"/>
      <c r="K19" s="23"/>
      <c r="L19" s="23" t="n">
        <v>12</v>
      </c>
      <c r="M19" s="23"/>
    </row>
    <row r="20" customFormat="false" ht="15.75" hidden="false" customHeight="true" outlineLevel="0" collapsed="false">
      <c r="A20" s="0" t="s">
        <v>240</v>
      </c>
      <c r="B20" s="23" t="s">
        <v>216</v>
      </c>
      <c r="C20" s="24" t="n">
        <v>78700068</v>
      </c>
      <c r="D20" s="23"/>
      <c r="E20" s="23"/>
      <c r="F20" s="23"/>
      <c r="G20" s="23"/>
      <c r="H20" s="23"/>
      <c r="I20" s="23"/>
      <c r="J20" s="23"/>
      <c r="K20" s="23" t="n">
        <v>114</v>
      </c>
      <c r="L20" s="23"/>
      <c r="M20" s="23"/>
    </row>
    <row r="21" customFormat="false" ht="15.75" hidden="false" customHeight="true" outlineLevel="0" collapsed="false">
      <c r="A21" s="0" t="s">
        <v>240</v>
      </c>
      <c r="B21" s="23" t="s">
        <v>216</v>
      </c>
      <c r="C21" s="24" t="n">
        <v>78700078</v>
      </c>
      <c r="D21" s="23"/>
      <c r="E21" s="23"/>
      <c r="F21" s="23"/>
      <c r="G21" s="23"/>
      <c r="H21" s="23"/>
      <c r="I21" s="23"/>
      <c r="J21" s="23"/>
      <c r="K21" s="23"/>
      <c r="L21" s="23" t="n">
        <v>104</v>
      </c>
      <c r="M21" s="23"/>
    </row>
    <row r="22" customFormat="false" ht="15.75" hidden="false" customHeight="true" outlineLevel="0" collapsed="false">
      <c r="A22" s="0" t="s">
        <v>240</v>
      </c>
      <c r="B22" s="23" t="s">
        <v>248</v>
      </c>
      <c r="C22" s="24" t="n">
        <v>32900019</v>
      </c>
      <c r="D22" s="23"/>
      <c r="E22" s="23"/>
      <c r="F22" s="23" t="n">
        <v>11</v>
      </c>
      <c r="G22" s="23"/>
      <c r="H22" s="23"/>
      <c r="I22" s="23"/>
      <c r="J22" s="23"/>
      <c r="K22" s="23"/>
      <c r="L22" s="23"/>
      <c r="M22" s="23"/>
    </row>
    <row r="23" customFormat="false" ht="15.75" hidden="false" customHeight="true" outlineLevel="0" collapsed="false">
      <c r="A23" s="0" t="s">
        <v>240</v>
      </c>
      <c r="B23" s="23" t="s">
        <v>248</v>
      </c>
      <c r="C23" s="24" t="n">
        <v>32900029</v>
      </c>
      <c r="D23" s="23"/>
      <c r="E23" s="23"/>
      <c r="F23" s="23"/>
      <c r="G23" s="23" t="n">
        <v>18</v>
      </c>
      <c r="H23" s="23"/>
      <c r="I23" s="23"/>
      <c r="J23" s="23"/>
      <c r="K23" s="23"/>
      <c r="L23" s="23"/>
      <c r="M23" s="23"/>
    </row>
    <row r="24" customFormat="false" ht="15.75" hidden="false" customHeight="true" outlineLevel="0" collapsed="false">
      <c r="A24" s="0" t="s">
        <v>240</v>
      </c>
      <c r="B24" s="23" t="s">
        <v>248</v>
      </c>
      <c r="C24" s="24" t="n">
        <v>32900039</v>
      </c>
      <c r="D24" s="23"/>
      <c r="E24" s="23"/>
      <c r="F24" s="23"/>
      <c r="G24" s="23"/>
      <c r="H24" s="23" t="n">
        <v>13</v>
      </c>
      <c r="I24" s="23"/>
      <c r="J24" s="23"/>
      <c r="K24" s="23"/>
      <c r="L24" s="23"/>
      <c r="M24" s="23"/>
    </row>
    <row r="25" customFormat="false" ht="15.75" hidden="false" customHeight="true" outlineLevel="0" collapsed="false">
      <c r="A25" s="0" t="s">
        <v>240</v>
      </c>
      <c r="B25" s="23" t="s">
        <v>248</v>
      </c>
      <c r="C25" s="24" t="n">
        <v>32900049</v>
      </c>
      <c r="D25" s="23"/>
      <c r="E25" s="23"/>
      <c r="F25" s="23"/>
      <c r="G25" s="25"/>
      <c r="H25" s="25"/>
      <c r="I25" s="23" t="n">
        <v>15</v>
      </c>
      <c r="J25" s="23"/>
      <c r="K25" s="23"/>
      <c r="L25" s="23"/>
      <c r="M25" s="23"/>
    </row>
    <row r="26" customFormat="false" ht="15.75" hidden="false" customHeight="true" outlineLevel="0" collapsed="false">
      <c r="A26" s="0" t="s">
        <v>240</v>
      </c>
      <c r="B26" s="23" t="s">
        <v>248</v>
      </c>
      <c r="C26" s="24" t="n">
        <v>32900059</v>
      </c>
      <c r="D26" s="23"/>
      <c r="E26" s="23"/>
      <c r="F26" s="23"/>
      <c r="G26" s="25"/>
      <c r="H26" s="25"/>
      <c r="I26" s="23"/>
      <c r="J26" s="23" t="n">
        <v>10</v>
      </c>
      <c r="K26" s="23"/>
      <c r="L26" s="23"/>
      <c r="M26" s="23"/>
    </row>
    <row r="27" customFormat="false" ht="15.75" hidden="false" customHeight="true" outlineLevel="0" collapsed="false">
      <c r="A27" s="0" t="s">
        <v>240</v>
      </c>
      <c r="B27" s="23" t="n">
        <v>922</v>
      </c>
      <c r="C27" s="24" t="n">
        <v>32900018</v>
      </c>
      <c r="D27" s="23"/>
      <c r="E27" s="23"/>
      <c r="F27" s="23" t="n">
        <v>57</v>
      </c>
      <c r="G27" s="25"/>
      <c r="H27" s="25"/>
      <c r="I27" s="23"/>
      <c r="J27" s="23"/>
      <c r="K27" s="23"/>
      <c r="L27" s="23"/>
      <c r="M27" s="23"/>
    </row>
    <row r="28" customFormat="false" ht="15.75" hidden="false" customHeight="true" outlineLevel="0" collapsed="false">
      <c r="A28" s="0" t="s">
        <v>240</v>
      </c>
      <c r="B28" s="23" t="n">
        <v>922</v>
      </c>
      <c r="C28" s="24" t="n">
        <v>32900028</v>
      </c>
      <c r="D28" s="25"/>
      <c r="E28" s="25"/>
      <c r="F28" s="25"/>
      <c r="G28" s="25" t="n">
        <v>120</v>
      </c>
      <c r="H28" s="25"/>
      <c r="I28" s="25"/>
      <c r="J28" s="25"/>
      <c r="K28" s="23"/>
      <c r="L28" s="23"/>
      <c r="M28" s="23"/>
    </row>
    <row r="29" customFormat="false" ht="15.75" hidden="false" customHeight="true" outlineLevel="0" collapsed="false">
      <c r="A29" s="0" t="s">
        <v>240</v>
      </c>
      <c r="B29" s="23" t="n">
        <v>922</v>
      </c>
      <c r="C29" s="24" t="n">
        <v>32900038</v>
      </c>
      <c r="D29" s="23"/>
      <c r="E29" s="23"/>
      <c r="F29" s="23"/>
      <c r="G29" s="23"/>
      <c r="H29" s="23" t="n">
        <v>50</v>
      </c>
      <c r="I29" s="23"/>
      <c r="J29" s="23"/>
      <c r="K29" s="23"/>
      <c r="L29" s="23"/>
      <c r="M29" s="23"/>
    </row>
    <row r="30" customFormat="false" ht="15.75" hidden="false" customHeight="true" outlineLevel="0" collapsed="false">
      <c r="A30" s="0" t="s">
        <v>240</v>
      </c>
      <c r="B30" s="23" t="n">
        <v>922</v>
      </c>
      <c r="C30" s="24" t="n">
        <v>32900048</v>
      </c>
      <c r="D30" s="23"/>
      <c r="E30" s="23"/>
      <c r="F30" s="23"/>
      <c r="G30" s="23"/>
      <c r="H30" s="23"/>
      <c r="I30" s="23" t="n">
        <v>0</v>
      </c>
      <c r="J30" s="23"/>
      <c r="K30" s="23"/>
      <c r="L30" s="23"/>
      <c r="M30" s="23"/>
    </row>
    <row r="31" customFormat="false" ht="15.75" hidden="false" customHeight="true" outlineLevel="0" collapsed="false">
      <c r="A31" s="0" t="s">
        <v>240</v>
      </c>
      <c r="B31" s="23" t="n">
        <v>922</v>
      </c>
      <c r="C31" s="24" t="n">
        <v>32900058</v>
      </c>
      <c r="D31" s="23"/>
      <c r="E31" s="23"/>
      <c r="F31" s="25"/>
      <c r="G31" s="25"/>
      <c r="H31" s="25"/>
      <c r="I31" s="25"/>
      <c r="J31" s="23" t="n">
        <v>50</v>
      </c>
      <c r="K31" s="23"/>
      <c r="L31" s="23"/>
      <c r="M31" s="23"/>
    </row>
    <row r="32" customFormat="false" ht="15.75" hidden="false" customHeight="true" outlineLevel="0" collapsed="false">
      <c r="A32" s="0" t="s">
        <v>240</v>
      </c>
      <c r="B32" s="23" t="s">
        <v>217</v>
      </c>
      <c r="C32" s="24" t="n">
        <v>33000018</v>
      </c>
      <c r="D32" s="23"/>
      <c r="E32" s="23"/>
      <c r="F32" s="23" t="n">
        <v>400</v>
      </c>
      <c r="G32" s="23"/>
      <c r="H32" s="23"/>
      <c r="I32" s="23"/>
      <c r="J32" s="23"/>
      <c r="K32" s="23"/>
      <c r="L32" s="23"/>
      <c r="M32" s="23"/>
    </row>
    <row r="33" customFormat="false" ht="15.75" hidden="false" customHeight="true" outlineLevel="0" collapsed="false">
      <c r="A33" s="0" t="s">
        <v>240</v>
      </c>
      <c r="B33" s="23" t="s">
        <v>217</v>
      </c>
      <c r="C33" s="24" t="n">
        <v>33000028</v>
      </c>
      <c r="D33" s="23"/>
      <c r="E33" s="23"/>
      <c r="F33" s="23"/>
      <c r="G33" s="23" t="n">
        <v>620</v>
      </c>
      <c r="H33" s="23"/>
      <c r="I33" s="23"/>
      <c r="J33" s="23"/>
      <c r="K33" s="23"/>
      <c r="L33" s="23"/>
      <c r="M33" s="23"/>
    </row>
    <row r="34" customFormat="false" ht="15.75" hidden="false" customHeight="true" outlineLevel="0" collapsed="false">
      <c r="A34" s="0" t="s">
        <v>240</v>
      </c>
      <c r="B34" s="23" t="s">
        <v>217</v>
      </c>
      <c r="C34" s="24" t="n">
        <v>33000038</v>
      </c>
      <c r="D34" s="23"/>
      <c r="E34" s="23"/>
      <c r="F34" s="23"/>
      <c r="G34" s="23"/>
      <c r="H34" s="23" t="n">
        <v>640</v>
      </c>
      <c r="I34" s="23"/>
      <c r="J34" s="23"/>
      <c r="K34" s="23"/>
      <c r="L34" s="23"/>
      <c r="M34" s="23"/>
    </row>
    <row r="35" customFormat="false" ht="15.75" hidden="false" customHeight="true" outlineLevel="0" collapsed="false">
      <c r="A35" s="0" t="s">
        <v>240</v>
      </c>
      <c r="B35" s="23" t="s">
        <v>217</v>
      </c>
      <c r="C35" s="24" t="n">
        <v>33000048</v>
      </c>
      <c r="D35" s="23"/>
      <c r="E35" s="23"/>
      <c r="F35" s="23"/>
      <c r="G35" s="23"/>
      <c r="H35" s="23"/>
      <c r="I35" s="23" t="n">
        <v>320</v>
      </c>
      <c r="J35" s="23"/>
      <c r="K35" s="23"/>
      <c r="L35" s="23"/>
      <c r="M35" s="23"/>
    </row>
    <row r="36" customFormat="false" ht="15.75" hidden="false" customHeight="true" outlineLevel="0" collapsed="false">
      <c r="A36" s="0" t="s">
        <v>240</v>
      </c>
      <c r="B36" s="23" t="s">
        <v>217</v>
      </c>
      <c r="C36" s="24" t="n">
        <v>33000058</v>
      </c>
      <c r="D36" s="23"/>
      <c r="E36" s="23"/>
      <c r="F36" s="23"/>
      <c r="G36" s="23"/>
      <c r="H36" s="23"/>
      <c r="I36" s="23"/>
      <c r="J36" s="23" t="n">
        <v>220</v>
      </c>
      <c r="K36" s="23"/>
      <c r="L36" s="23"/>
      <c r="M36" s="23"/>
    </row>
    <row r="37" customFormat="false" ht="15.75" hidden="false" customHeight="true" outlineLevel="0" collapsed="false">
      <c r="A37" s="0" t="s">
        <v>240</v>
      </c>
      <c r="B37" s="23" t="s">
        <v>249</v>
      </c>
      <c r="C37" s="24" t="n">
        <v>31900019</v>
      </c>
      <c r="D37" s="23"/>
      <c r="E37" s="23"/>
      <c r="F37" s="23" t="n">
        <v>18</v>
      </c>
      <c r="G37" s="23"/>
      <c r="H37" s="23"/>
      <c r="I37" s="23"/>
      <c r="J37" s="23"/>
      <c r="K37" s="23"/>
      <c r="L37" s="23"/>
      <c r="M37" s="23"/>
    </row>
    <row r="38" customFormat="false" ht="15.75" hidden="false" customHeight="true" outlineLevel="0" collapsed="false">
      <c r="A38" s="0" t="s">
        <v>240</v>
      </c>
      <c r="B38" s="23" t="s">
        <v>249</v>
      </c>
      <c r="C38" s="24" t="n">
        <v>31900029</v>
      </c>
      <c r="D38" s="23"/>
      <c r="E38" s="23"/>
      <c r="F38" s="23"/>
      <c r="G38" s="23" t="n">
        <v>150</v>
      </c>
      <c r="H38" s="23"/>
      <c r="I38" s="23"/>
      <c r="J38" s="23"/>
      <c r="K38" s="23"/>
      <c r="L38" s="23"/>
      <c r="M38" s="23"/>
    </row>
    <row r="39" customFormat="false" ht="15.75" hidden="false" customHeight="true" outlineLevel="0" collapsed="false">
      <c r="A39" s="0" t="s">
        <v>240</v>
      </c>
      <c r="B39" s="23" t="s">
        <v>249</v>
      </c>
      <c r="C39" s="24" t="n">
        <v>31900039</v>
      </c>
      <c r="D39" s="23"/>
      <c r="E39" s="23"/>
      <c r="F39" s="23"/>
      <c r="G39" s="23"/>
      <c r="H39" s="23" t="n">
        <v>130</v>
      </c>
      <c r="I39" s="23"/>
      <c r="J39" s="23"/>
      <c r="K39" s="23"/>
      <c r="L39" s="23"/>
      <c r="M39" s="23"/>
    </row>
    <row r="40" customFormat="false" ht="15.75" hidden="false" customHeight="true" outlineLevel="0" collapsed="false">
      <c r="A40" s="0" t="s">
        <v>240</v>
      </c>
      <c r="B40" s="23" t="s">
        <v>249</v>
      </c>
      <c r="C40" s="24" t="n">
        <v>31900049</v>
      </c>
      <c r="D40" s="23"/>
      <c r="E40" s="23"/>
      <c r="F40" s="23"/>
      <c r="G40" s="23"/>
      <c r="H40" s="23"/>
      <c r="I40" s="23" t="n">
        <v>90</v>
      </c>
      <c r="J40" s="23"/>
      <c r="K40" s="23"/>
      <c r="L40" s="23"/>
      <c r="M40" s="23"/>
    </row>
    <row r="41" customFormat="false" ht="15.75" hidden="false" customHeight="true" outlineLevel="0" collapsed="false">
      <c r="A41" s="0" t="s">
        <v>240</v>
      </c>
      <c r="B41" s="23" t="s">
        <v>249</v>
      </c>
      <c r="C41" s="24" t="n">
        <v>31900059</v>
      </c>
      <c r="D41" s="23"/>
      <c r="E41" s="23"/>
      <c r="F41" s="23"/>
      <c r="G41" s="23"/>
      <c r="H41" s="23"/>
      <c r="I41" s="23"/>
      <c r="J41" s="23" t="n">
        <v>68</v>
      </c>
      <c r="K41" s="23"/>
      <c r="L41" s="23"/>
      <c r="M41" s="23"/>
    </row>
    <row r="42" customFormat="false" ht="15.75" hidden="false" customHeight="true" outlineLevel="0" collapsed="false">
      <c r="A42" s="0" t="s">
        <v>240</v>
      </c>
      <c r="B42" s="23" t="s">
        <v>249</v>
      </c>
      <c r="C42" s="24" t="n">
        <v>31900069</v>
      </c>
      <c r="D42" s="23"/>
      <c r="E42" s="23"/>
      <c r="F42" s="23"/>
      <c r="G42" s="23"/>
      <c r="H42" s="23"/>
      <c r="I42" s="23"/>
      <c r="J42" s="23"/>
      <c r="K42" s="23" t="n">
        <v>126</v>
      </c>
      <c r="L42" s="23"/>
      <c r="M42" s="23"/>
    </row>
    <row r="43" customFormat="false" ht="15.75" hidden="false" customHeight="true" outlineLevel="0" collapsed="false">
      <c r="A43" s="0" t="s">
        <v>240</v>
      </c>
      <c r="B43" s="23" t="s">
        <v>250</v>
      </c>
      <c r="C43" s="24" t="n">
        <v>31900018</v>
      </c>
      <c r="D43" s="23"/>
      <c r="E43" s="23"/>
      <c r="F43" s="23" t="n">
        <v>60</v>
      </c>
      <c r="G43" s="23"/>
      <c r="H43" s="23"/>
      <c r="I43" s="23"/>
      <c r="J43" s="23"/>
      <c r="K43" s="23"/>
      <c r="L43" s="23"/>
      <c r="M43" s="23"/>
    </row>
    <row r="44" customFormat="false" ht="15.75" hidden="false" customHeight="true" outlineLevel="0" collapsed="false">
      <c r="A44" s="0" t="s">
        <v>240</v>
      </c>
      <c r="B44" s="23" t="s">
        <v>250</v>
      </c>
      <c r="C44" s="24" t="n">
        <v>31900028</v>
      </c>
      <c r="D44" s="23"/>
      <c r="E44" s="23"/>
      <c r="F44" s="23"/>
      <c r="G44" s="23" t="n">
        <v>52</v>
      </c>
      <c r="H44" s="23"/>
      <c r="I44" s="23"/>
      <c r="J44" s="23"/>
      <c r="K44" s="23"/>
      <c r="L44" s="23"/>
      <c r="M44" s="23"/>
    </row>
    <row r="45" customFormat="false" ht="15.75" hidden="false" customHeight="true" outlineLevel="0" collapsed="false">
      <c r="A45" s="0" t="s">
        <v>240</v>
      </c>
      <c r="B45" s="23" t="s">
        <v>250</v>
      </c>
      <c r="C45" s="24" t="n">
        <v>31900068</v>
      </c>
      <c r="D45" s="23"/>
      <c r="E45" s="23"/>
      <c r="F45" s="23"/>
      <c r="G45" s="23"/>
      <c r="H45" s="23"/>
      <c r="I45" s="23"/>
      <c r="J45" s="23"/>
      <c r="K45" s="23" t="n">
        <v>102</v>
      </c>
      <c r="L45" s="23"/>
      <c r="M45" s="23"/>
    </row>
    <row r="46" customFormat="false" ht="15.75" hidden="false" customHeight="true" outlineLevel="0" collapsed="false">
      <c r="A46" s="0" t="s">
        <v>240</v>
      </c>
      <c r="B46" s="23" t="n">
        <v>322</v>
      </c>
      <c r="C46" s="24" t="n">
        <v>30800018</v>
      </c>
      <c r="D46" s="23"/>
      <c r="E46" s="23"/>
      <c r="F46" s="23" t="n">
        <v>20</v>
      </c>
      <c r="G46" s="23"/>
      <c r="H46" s="23"/>
      <c r="I46" s="23"/>
      <c r="J46" s="23"/>
      <c r="K46" s="23"/>
      <c r="L46" s="23"/>
      <c r="M46" s="23"/>
    </row>
    <row r="47" customFormat="false" ht="15.75" hidden="false" customHeight="true" outlineLevel="0" collapsed="false">
      <c r="A47" s="0" t="s">
        <v>240</v>
      </c>
      <c r="B47" s="23" t="n">
        <v>322</v>
      </c>
      <c r="C47" s="24" t="n">
        <v>30800048</v>
      </c>
      <c r="D47" s="23"/>
      <c r="E47" s="23"/>
      <c r="F47" s="23"/>
      <c r="G47" s="23"/>
      <c r="H47" s="23"/>
      <c r="I47" s="23" t="n">
        <v>40</v>
      </c>
      <c r="J47" s="23"/>
      <c r="K47" s="23"/>
      <c r="L47" s="23"/>
      <c r="M47" s="23"/>
    </row>
    <row r="48" customFormat="false" ht="15.75" hidden="false" customHeight="true" outlineLevel="0" collapsed="false">
      <c r="A48" s="0" t="s">
        <v>240</v>
      </c>
      <c r="B48" s="23" t="n">
        <v>322</v>
      </c>
      <c r="C48" s="24" t="n">
        <v>30800059</v>
      </c>
      <c r="D48" s="23"/>
      <c r="E48" s="23"/>
      <c r="F48" s="23"/>
      <c r="G48" s="23"/>
      <c r="H48" s="23"/>
      <c r="I48" s="23"/>
      <c r="J48" s="23" t="n">
        <v>35</v>
      </c>
      <c r="K48" s="23"/>
      <c r="L48" s="23"/>
      <c r="M48" s="23"/>
    </row>
    <row r="49" customFormat="false" ht="15.75" hidden="false" customHeight="true" outlineLevel="0" collapsed="false">
      <c r="A49" s="0" t="s">
        <v>240</v>
      </c>
      <c r="B49" s="23" t="s">
        <v>251</v>
      </c>
      <c r="C49" s="24" t="n">
        <v>30800029</v>
      </c>
      <c r="D49" s="23"/>
      <c r="E49" s="23"/>
      <c r="F49" s="23"/>
      <c r="G49" s="23" t="n">
        <v>40</v>
      </c>
      <c r="H49" s="23"/>
      <c r="I49" s="23"/>
      <c r="J49" s="23"/>
      <c r="K49" s="23"/>
      <c r="L49" s="23"/>
      <c r="M49" s="23"/>
    </row>
    <row r="50" customFormat="false" ht="15.75" hidden="false" customHeight="true" outlineLevel="0" collapsed="false">
      <c r="A50" s="0" t="s">
        <v>240</v>
      </c>
      <c r="B50" s="23" t="s">
        <v>201</v>
      </c>
      <c r="C50" s="24" t="n">
        <v>77633212</v>
      </c>
      <c r="D50" s="23"/>
      <c r="E50" s="23"/>
      <c r="F50" s="23" t="n">
        <v>70</v>
      </c>
      <c r="G50" s="23"/>
      <c r="H50" s="23"/>
      <c r="I50" s="23"/>
      <c r="J50" s="23"/>
      <c r="K50" s="23"/>
      <c r="L50" s="23"/>
      <c r="M50" s="23"/>
    </row>
    <row r="51" customFormat="false" ht="15.75" hidden="false" customHeight="true" outlineLevel="0" collapsed="false">
      <c r="A51" s="0" t="s">
        <v>240</v>
      </c>
      <c r="B51" s="23" t="s">
        <v>201</v>
      </c>
      <c r="C51" s="24" t="n">
        <v>77633222</v>
      </c>
      <c r="D51" s="23"/>
      <c r="E51" s="23"/>
      <c r="F51" s="23"/>
      <c r="G51" s="23" t="n">
        <v>118</v>
      </c>
      <c r="H51" s="23"/>
      <c r="I51" s="23"/>
      <c r="J51" s="23"/>
      <c r="K51" s="23"/>
      <c r="L51" s="23"/>
      <c r="M51" s="23"/>
    </row>
    <row r="52" customFormat="false" ht="15.75" hidden="false" customHeight="true" outlineLevel="0" collapsed="false">
      <c r="A52" s="0" t="s">
        <v>240</v>
      </c>
      <c r="B52" s="23" t="s">
        <v>201</v>
      </c>
      <c r="C52" s="24" t="n">
        <v>77633232</v>
      </c>
      <c r="D52" s="23"/>
      <c r="E52" s="23"/>
      <c r="F52" s="23"/>
      <c r="G52" s="23"/>
      <c r="H52" s="23" t="n">
        <v>59</v>
      </c>
      <c r="I52" s="23"/>
      <c r="J52" s="23"/>
      <c r="K52" s="23"/>
      <c r="L52" s="23"/>
      <c r="M52" s="23"/>
    </row>
    <row r="53" customFormat="false" ht="15.75" hidden="false" customHeight="true" outlineLevel="0" collapsed="false">
      <c r="A53" s="0" t="s">
        <v>240</v>
      </c>
      <c r="B53" s="23" t="s">
        <v>201</v>
      </c>
      <c r="C53" s="24" t="n">
        <v>77633242</v>
      </c>
      <c r="D53" s="23"/>
      <c r="E53" s="23"/>
      <c r="F53" s="23"/>
      <c r="G53" s="23"/>
      <c r="H53" s="23"/>
      <c r="I53" s="23" t="n">
        <v>84</v>
      </c>
      <c r="J53" s="23"/>
      <c r="K53" s="23"/>
      <c r="L53" s="23"/>
      <c r="M53" s="23"/>
    </row>
    <row r="54" customFormat="false" ht="15.75" hidden="false" customHeight="true" outlineLevel="0" collapsed="false">
      <c r="A54" s="0" t="s">
        <v>240</v>
      </c>
      <c r="B54" s="23" t="s">
        <v>201</v>
      </c>
      <c r="C54" s="24" t="n">
        <v>77633252</v>
      </c>
      <c r="D54" s="23"/>
      <c r="E54" s="23"/>
      <c r="F54" s="25"/>
      <c r="G54" s="25"/>
      <c r="H54" s="25"/>
      <c r="I54" s="25"/>
      <c r="J54" s="25" t="n">
        <v>45</v>
      </c>
      <c r="K54" s="23"/>
      <c r="L54" s="23"/>
      <c r="M54" s="23"/>
    </row>
    <row r="55" customFormat="false" ht="15.75" hidden="false" customHeight="true" outlineLevel="0" collapsed="false">
      <c r="A55" s="0" t="s">
        <v>240</v>
      </c>
      <c r="B55" s="23" t="s">
        <v>200</v>
      </c>
      <c r="C55" s="24" t="n">
        <v>77633219</v>
      </c>
      <c r="D55" s="23"/>
      <c r="E55" s="23"/>
      <c r="F55" s="25" t="n">
        <v>44</v>
      </c>
      <c r="G55" s="25"/>
      <c r="H55" s="25"/>
      <c r="I55" s="25"/>
      <c r="J55" s="25"/>
      <c r="K55" s="23"/>
      <c r="L55" s="23"/>
      <c r="M55" s="23"/>
    </row>
    <row r="56" customFormat="false" ht="15.75" hidden="false" customHeight="true" outlineLevel="0" collapsed="false">
      <c r="A56" s="0" t="s">
        <v>240</v>
      </c>
      <c r="B56" s="23" t="s">
        <v>200</v>
      </c>
      <c r="C56" s="24" t="n">
        <v>77633229</v>
      </c>
      <c r="D56" s="23"/>
      <c r="E56" s="23"/>
      <c r="F56" s="25"/>
      <c r="G56" s="25" t="n">
        <v>72</v>
      </c>
      <c r="H56" s="25"/>
      <c r="I56" s="25"/>
      <c r="J56" s="25"/>
      <c r="K56" s="23"/>
      <c r="L56" s="23"/>
      <c r="M56" s="23"/>
    </row>
    <row r="57" customFormat="false" ht="15.75" hidden="false" customHeight="true" outlineLevel="0" collapsed="false">
      <c r="A57" s="0" t="s">
        <v>240</v>
      </c>
      <c r="B57" s="23" t="s">
        <v>200</v>
      </c>
      <c r="C57" s="24" t="n">
        <v>77633239</v>
      </c>
      <c r="D57" s="23"/>
      <c r="E57" s="23"/>
      <c r="F57" s="25"/>
      <c r="G57" s="25"/>
      <c r="H57" s="25" t="n">
        <v>30</v>
      </c>
      <c r="I57" s="25"/>
      <c r="J57" s="25"/>
      <c r="K57" s="23"/>
      <c r="L57" s="23"/>
      <c r="M57" s="23"/>
    </row>
    <row r="58" customFormat="false" ht="15.75" hidden="false" customHeight="true" outlineLevel="0" collapsed="false">
      <c r="A58" s="0" t="s">
        <v>240</v>
      </c>
      <c r="B58" s="23" t="s">
        <v>200</v>
      </c>
      <c r="C58" s="24" t="n">
        <v>77633249</v>
      </c>
      <c r="D58" s="23"/>
      <c r="E58" s="23"/>
      <c r="F58" s="23"/>
      <c r="G58" s="25"/>
      <c r="H58" s="25"/>
      <c r="I58" s="25" t="n">
        <v>101</v>
      </c>
      <c r="J58" s="25"/>
      <c r="K58" s="23"/>
      <c r="L58" s="23"/>
      <c r="M58" s="23"/>
    </row>
    <row r="59" customFormat="false" ht="15.75" hidden="false" customHeight="true" outlineLevel="0" collapsed="false">
      <c r="A59" s="0" t="s">
        <v>240</v>
      </c>
      <c r="B59" s="23" t="s">
        <v>200</v>
      </c>
      <c r="C59" s="24" t="n">
        <v>77633259</v>
      </c>
      <c r="D59" s="23"/>
      <c r="E59" s="23"/>
      <c r="F59" s="23"/>
      <c r="G59" s="23"/>
      <c r="H59" s="23"/>
      <c r="I59" s="23"/>
      <c r="J59" s="23" t="n">
        <v>76</v>
      </c>
      <c r="K59" s="23"/>
      <c r="L59" s="23"/>
      <c r="M59" s="23"/>
    </row>
    <row r="60" customFormat="false" ht="15.75" hidden="false" customHeight="true" outlineLevel="0" collapsed="false">
      <c r="A60" s="0" t="s">
        <v>240</v>
      </c>
      <c r="B60" s="23" t="n">
        <v>355</v>
      </c>
      <c r="C60" s="24" t="n">
        <v>31000028</v>
      </c>
      <c r="D60" s="23"/>
      <c r="E60" s="23"/>
      <c r="F60" s="23"/>
      <c r="G60" s="23" t="n">
        <v>50</v>
      </c>
      <c r="H60" s="23"/>
      <c r="I60" s="23"/>
      <c r="J60" s="23"/>
      <c r="K60" s="23"/>
      <c r="L60" s="23"/>
      <c r="M60" s="23"/>
    </row>
    <row r="61" customFormat="false" ht="15.75" hidden="false" customHeight="true" outlineLevel="0" collapsed="false">
      <c r="A61" s="0" t="s">
        <v>240</v>
      </c>
      <c r="B61" s="23" t="n">
        <v>355</v>
      </c>
      <c r="C61" s="24" t="n">
        <v>31000038</v>
      </c>
      <c r="D61" s="23"/>
      <c r="E61" s="23"/>
      <c r="F61" s="23"/>
      <c r="G61" s="23"/>
      <c r="H61" s="23" t="n">
        <v>60</v>
      </c>
      <c r="I61" s="23"/>
      <c r="J61" s="23"/>
      <c r="K61" s="23"/>
      <c r="L61" s="23"/>
      <c r="M61" s="23"/>
    </row>
    <row r="62" customFormat="false" ht="15.75" hidden="false" customHeight="true" outlineLevel="0" collapsed="false">
      <c r="A62" s="0" t="s">
        <v>240</v>
      </c>
      <c r="B62" s="23" t="n">
        <v>355</v>
      </c>
      <c r="C62" s="24" t="n">
        <v>31000048</v>
      </c>
      <c r="D62" s="23"/>
      <c r="E62" s="23"/>
      <c r="F62" s="23"/>
      <c r="G62" s="23"/>
      <c r="H62" s="23"/>
      <c r="I62" s="23" t="n">
        <v>10</v>
      </c>
      <c r="J62" s="23"/>
      <c r="K62" s="23"/>
      <c r="L62" s="23"/>
      <c r="M62" s="23"/>
    </row>
    <row r="63" customFormat="false" ht="15.75" hidden="false" customHeight="true" outlineLevel="0" collapsed="false">
      <c r="A63" s="0" t="s">
        <v>240</v>
      </c>
      <c r="B63" s="23" t="n">
        <v>355</v>
      </c>
      <c r="C63" s="24" t="n">
        <v>31000058</v>
      </c>
      <c r="D63" s="23"/>
      <c r="E63" s="23"/>
      <c r="F63" s="23"/>
      <c r="G63" s="23"/>
      <c r="H63" s="23"/>
      <c r="I63" s="23"/>
      <c r="J63" s="23" t="n">
        <v>10</v>
      </c>
      <c r="K63" s="23"/>
      <c r="L63" s="23"/>
      <c r="M63" s="23"/>
    </row>
    <row r="64" customFormat="false" ht="15.75" hidden="false" customHeight="true" outlineLevel="0" collapsed="false">
      <c r="A64" s="0" t="s">
        <v>240</v>
      </c>
      <c r="B64" s="23" t="s">
        <v>103</v>
      </c>
      <c r="C64" s="23" t="s">
        <v>252</v>
      </c>
      <c r="D64" s="23" t="n">
        <v>1288</v>
      </c>
      <c r="E64" s="23"/>
      <c r="F64" s="23"/>
      <c r="G64" s="23"/>
      <c r="H64" s="23"/>
      <c r="I64" s="23"/>
      <c r="J64" s="23"/>
      <c r="K64" s="23"/>
      <c r="L64" s="23"/>
      <c r="M64" s="23"/>
    </row>
    <row r="65" customFormat="false" ht="15.75" hidden="false" customHeight="true" outlineLevel="0" collapsed="false">
      <c r="A65" s="0" t="s">
        <v>240</v>
      </c>
      <c r="B65" s="23" t="s">
        <v>253</v>
      </c>
      <c r="C65" s="24" t="s">
        <v>254</v>
      </c>
      <c r="D65" s="23" t="n">
        <v>96</v>
      </c>
      <c r="E65" s="20" t="s">
        <v>255</v>
      </c>
      <c r="F65" s="23"/>
      <c r="G65" s="23"/>
      <c r="H65" s="23"/>
      <c r="I65" s="23"/>
      <c r="J65" s="23"/>
      <c r="K65" s="23"/>
      <c r="L65" s="23"/>
      <c r="M65" s="23"/>
    </row>
    <row r="66" customFormat="false" ht="15.75" hidden="false" customHeight="true" outlineLevel="0" collapsed="false">
      <c r="A66" s="0" t="s">
        <v>240</v>
      </c>
      <c r="B66" s="23" t="s">
        <v>256</v>
      </c>
      <c r="C66" s="24" t="s">
        <v>257</v>
      </c>
      <c r="D66" s="23" t="n">
        <v>144</v>
      </c>
      <c r="E66" s="20" t="s">
        <v>258</v>
      </c>
      <c r="F66" s="23"/>
      <c r="G66" s="23"/>
      <c r="H66" s="23"/>
      <c r="I66" s="23"/>
      <c r="J66" s="23"/>
      <c r="K66" s="23"/>
      <c r="L66" s="23"/>
      <c r="M66" s="23"/>
    </row>
    <row r="67" customFormat="false" ht="15.75" hidden="false" customHeight="true" outlineLevel="0" collapsed="false">
      <c r="A67" s="0" t="s">
        <v>240</v>
      </c>
      <c r="B67" s="23" t="s">
        <v>259</v>
      </c>
      <c r="C67" s="24" t="n">
        <v>46730010</v>
      </c>
      <c r="D67" s="23" t="n">
        <v>100</v>
      </c>
      <c r="E67" s="23"/>
      <c r="F67" s="23"/>
      <c r="G67" s="23"/>
      <c r="H67" s="23"/>
      <c r="I67" s="23"/>
      <c r="J67" s="23"/>
      <c r="K67" s="23"/>
      <c r="L67" s="23"/>
      <c r="M67" s="23"/>
    </row>
    <row r="68" customFormat="false" ht="15.75" hidden="false" customHeight="true" outlineLevel="0" collapsed="false">
      <c r="A68" s="0" t="s">
        <v>240</v>
      </c>
      <c r="B68" s="23" t="s">
        <v>260</v>
      </c>
      <c r="C68" s="24" t="n">
        <v>46730020</v>
      </c>
      <c r="D68" s="23" t="n">
        <v>20</v>
      </c>
      <c r="E68" s="23"/>
      <c r="F68" s="23"/>
      <c r="G68" s="23"/>
      <c r="H68" s="23"/>
      <c r="I68" s="23"/>
      <c r="J68" s="23"/>
      <c r="K68" s="23"/>
      <c r="L68" s="23"/>
      <c r="M68" s="23"/>
    </row>
    <row r="69" customFormat="false" ht="15.75" hidden="false" customHeight="true" outlineLevel="0" collapsed="false">
      <c r="A69" s="0" t="s">
        <v>240</v>
      </c>
      <c r="B69" s="23" t="s">
        <v>261</v>
      </c>
      <c r="C69" s="24" t="n">
        <v>46730030</v>
      </c>
      <c r="D69" s="23" t="n">
        <v>30</v>
      </c>
      <c r="E69" s="23"/>
      <c r="F69" s="23"/>
      <c r="G69" s="23"/>
      <c r="H69" s="23"/>
      <c r="I69" s="23"/>
      <c r="J69" s="23"/>
      <c r="K69" s="23"/>
      <c r="L69" s="23"/>
      <c r="M69" s="23"/>
    </row>
    <row r="70" customFormat="false" ht="15.75" hidden="false" customHeight="true" outlineLevel="0" collapsed="false">
      <c r="A70" s="0" t="s">
        <v>240</v>
      </c>
      <c r="B70" s="23" t="s">
        <v>262</v>
      </c>
      <c r="C70" s="24" t="n">
        <v>46730040</v>
      </c>
      <c r="D70" s="23" t="n">
        <v>130</v>
      </c>
      <c r="E70" s="23"/>
      <c r="F70" s="23"/>
      <c r="G70" s="23"/>
      <c r="H70" s="23"/>
      <c r="I70" s="23"/>
      <c r="J70" s="23"/>
      <c r="K70" s="23"/>
      <c r="L70" s="23"/>
      <c r="M70" s="23"/>
    </row>
    <row r="71" customFormat="false" ht="15.75" hidden="false" customHeight="true" outlineLevel="0" collapsed="false">
      <c r="A71" s="0" t="s">
        <v>240</v>
      </c>
      <c r="B71" s="23" t="s">
        <v>263</v>
      </c>
      <c r="C71" s="24" t="n">
        <v>46730050</v>
      </c>
      <c r="D71" s="23" t="n">
        <v>190</v>
      </c>
      <c r="E71" s="23"/>
      <c r="F71" s="23"/>
      <c r="G71" s="23"/>
      <c r="H71" s="23"/>
      <c r="I71" s="23"/>
      <c r="J71" s="23"/>
      <c r="K71" s="23"/>
      <c r="L71" s="23"/>
      <c r="M71" s="23"/>
    </row>
    <row r="72" customFormat="false" ht="15.75" hidden="false" customHeight="true" outlineLevel="0" collapsed="false">
      <c r="A72" s="0" t="s">
        <v>240</v>
      </c>
      <c r="B72" s="23" t="s">
        <v>264</v>
      </c>
      <c r="C72" s="24" t="n">
        <v>46700010</v>
      </c>
      <c r="D72" s="23" t="n">
        <v>151</v>
      </c>
      <c r="E72" s="23"/>
      <c r="F72" s="23"/>
      <c r="G72" s="23"/>
      <c r="H72" s="23"/>
      <c r="I72" s="23"/>
      <c r="J72" s="23"/>
      <c r="K72" s="23"/>
      <c r="L72" s="23"/>
      <c r="M72" s="23"/>
    </row>
    <row r="73" customFormat="false" ht="15.75" hidden="false" customHeight="true" outlineLevel="0" collapsed="false">
      <c r="A73" s="0" t="s">
        <v>240</v>
      </c>
      <c r="B73" s="23" t="s">
        <v>265</v>
      </c>
      <c r="C73" s="24" t="n">
        <v>46700020</v>
      </c>
      <c r="D73" s="23" t="n">
        <v>52</v>
      </c>
      <c r="E73" s="23"/>
      <c r="F73" s="23"/>
      <c r="G73" s="23"/>
      <c r="H73" s="23"/>
      <c r="I73" s="23"/>
      <c r="J73" s="23"/>
      <c r="K73" s="23"/>
      <c r="L73" s="23"/>
      <c r="M73" s="23"/>
    </row>
    <row r="74" customFormat="false" ht="15.75" hidden="false" customHeight="true" outlineLevel="0" collapsed="false">
      <c r="A74" s="0" t="s">
        <v>240</v>
      </c>
      <c r="B74" s="23" t="s">
        <v>266</v>
      </c>
      <c r="C74" s="24" t="n">
        <v>46700030</v>
      </c>
      <c r="D74" s="23" t="n">
        <v>80</v>
      </c>
      <c r="E74" s="23"/>
      <c r="F74" s="23"/>
      <c r="G74" s="23"/>
      <c r="H74" s="23"/>
      <c r="I74" s="23"/>
      <c r="J74" s="23"/>
      <c r="K74" s="23"/>
      <c r="L74" s="23"/>
      <c r="M74" s="23"/>
    </row>
    <row r="75" customFormat="false" ht="15.75" hidden="false" customHeight="true" outlineLevel="0" collapsed="false">
      <c r="A75" s="0" t="s">
        <v>240</v>
      </c>
      <c r="B75" s="23" t="s">
        <v>267</v>
      </c>
      <c r="C75" s="24" t="n">
        <v>46700040</v>
      </c>
      <c r="D75" s="23" t="n">
        <v>215</v>
      </c>
      <c r="E75" s="23"/>
      <c r="F75" s="23"/>
      <c r="G75" s="23"/>
      <c r="H75" s="23"/>
      <c r="I75" s="23"/>
      <c r="J75" s="23"/>
      <c r="K75" s="23"/>
      <c r="L75" s="23"/>
      <c r="M75" s="23"/>
    </row>
    <row r="76" customFormat="false" ht="15.75" hidden="false" customHeight="true" outlineLevel="0" collapsed="false">
      <c r="A76" s="0" t="s">
        <v>240</v>
      </c>
      <c r="B76" s="23" t="s">
        <v>268</v>
      </c>
      <c r="C76" s="24" t="n">
        <v>46700050</v>
      </c>
      <c r="D76" s="23" t="n">
        <v>160</v>
      </c>
      <c r="E76" s="23"/>
      <c r="F76" s="23"/>
      <c r="G76" s="23"/>
      <c r="H76" s="23"/>
      <c r="I76" s="23"/>
      <c r="J76" s="23"/>
      <c r="K76" s="23"/>
      <c r="L76" s="23"/>
      <c r="M76" s="23"/>
    </row>
    <row r="77" customFormat="false" ht="15.75" hidden="false" customHeight="true" outlineLevel="0" collapsed="false">
      <c r="A77" s="0" t="s">
        <v>240</v>
      </c>
      <c r="B77" s="23" t="n">
        <v>377</v>
      </c>
      <c r="C77" s="26" t="n">
        <v>48137710</v>
      </c>
      <c r="D77" s="23"/>
      <c r="E77" s="23" t="s">
        <v>269</v>
      </c>
      <c r="F77" s="23"/>
      <c r="G77" s="23"/>
      <c r="H77" s="23"/>
      <c r="I77" s="23"/>
      <c r="J77" s="23"/>
      <c r="K77" s="23"/>
      <c r="L77" s="23"/>
      <c r="M77" s="23"/>
    </row>
    <row r="78" customFormat="false" ht="15.75" hidden="false" customHeight="true" outlineLevel="0" collapsed="false">
      <c r="A78" s="0" t="s">
        <v>240</v>
      </c>
      <c r="B78" s="23" t="n">
        <v>377</v>
      </c>
      <c r="C78" s="24" t="n">
        <v>48137720</v>
      </c>
      <c r="D78" s="23"/>
      <c r="E78" s="23" t="s">
        <v>270</v>
      </c>
      <c r="F78" s="23"/>
      <c r="G78" s="23"/>
      <c r="H78" s="23"/>
      <c r="I78" s="23"/>
      <c r="J78" s="23"/>
      <c r="K78" s="23"/>
      <c r="L78" s="23"/>
      <c r="M78" s="23"/>
    </row>
    <row r="79" customFormat="false" ht="15.75" hidden="false" customHeight="true" outlineLevel="0" collapsed="false">
      <c r="A79" s="0" t="s">
        <v>240</v>
      </c>
      <c r="B79" s="23" t="n">
        <v>377</v>
      </c>
      <c r="C79" s="24" t="n">
        <v>48137740</v>
      </c>
      <c r="D79" s="23"/>
      <c r="E79" s="23" t="s">
        <v>271</v>
      </c>
      <c r="F79" s="23"/>
      <c r="G79" s="23"/>
      <c r="H79" s="23"/>
      <c r="I79" s="23"/>
      <c r="J79" s="23"/>
      <c r="K79" s="23"/>
      <c r="L79" s="23"/>
      <c r="M79" s="23"/>
    </row>
    <row r="80" customFormat="false" ht="15.75" hidden="false" customHeight="true" outlineLevel="0" collapsed="false">
      <c r="A80" s="0" t="s">
        <v>240</v>
      </c>
      <c r="B80" s="23" t="n">
        <v>377</v>
      </c>
      <c r="C80" s="24" t="n">
        <v>48137770</v>
      </c>
      <c r="D80" s="23"/>
      <c r="E80" s="23" t="s">
        <v>272</v>
      </c>
      <c r="F80" s="23"/>
      <c r="G80" s="23"/>
      <c r="H80" s="23"/>
      <c r="I80" s="23"/>
      <c r="J80" s="23"/>
      <c r="K80" s="23"/>
      <c r="L80" s="23"/>
      <c r="M80" s="23"/>
    </row>
    <row r="81" customFormat="false" ht="15.75" hidden="false" customHeight="true" outlineLevel="0" collapsed="false">
      <c r="A81" s="0" t="s">
        <v>240</v>
      </c>
      <c r="B81" s="23" t="n">
        <v>377</v>
      </c>
      <c r="C81" s="24" t="n">
        <v>48137711</v>
      </c>
      <c r="D81" s="23"/>
      <c r="E81" s="23" t="s">
        <v>273</v>
      </c>
      <c r="F81" s="23"/>
      <c r="G81" s="23"/>
      <c r="H81" s="23"/>
      <c r="I81" s="23"/>
      <c r="J81" s="23"/>
      <c r="K81" s="23"/>
      <c r="L81" s="23"/>
      <c r="M81" s="23"/>
    </row>
    <row r="82" customFormat="false" ht="15.75" hidden="false" customHeight="true" outlineLevel="0" collapsed="false">
      <c r="A82" s="0" t="s">
        <v>240</v>
      </c>
      <c r="B82" s="23" t="n">
        <v>377</v>
      </c>
      <c r="C82" s="24" t="n">
        <v>48137712</v>
      </c>
      <c r="D82" s="23"/>
      <c r="E82" s="23" t="s">
        <v>274</v>
      </c>
      <c r="F82" s="23"/>
      <c r="G82" s="23"/>
      <c r="H82" s="23"/>
      <c r="I82" s="23"/>
      <c r="J82" s="23"/>
      <c r="K82" s="23"/>
      <c r="L82" s="23"/>
      <c r="M82" s="23"/>
    </row>
    <row r="83" customFormat="false" ht="15.75" hidden="false" customHeight="true" outlineLevel="0" collapsed="false">
      <c r="A83" s="0" t="s">
        <v>240</v>
      </c>
      <c r="B83" s="23" t="n">
        <v>377</v>
      </c>
      <c r="C83" s="24" t="n">
        <v>48137713</v>
      </c>
      <c r="D83" s="23"/>
      <c r="E83" s="23" t="s">
        <v>275</v>
      </c>
      <c r="F83" s="23"/>
      <c r="G83" s="23"/>
      <c r="H83" s="23"/>
      <c r="I83" s="23"/>
      <c r="J83" s="23"/>
      <c r="K83" s="23"/>
      <c r="L83" s="23"/>
      <c r="M83" s="23"/>
    </row>
    <row r="84" customFormat="false" ht="15.75" hidden="false" customHeight="true" outlineLevel="0" collapsed="false">
      <c r="A84" s="0" t="s">
        <v>240</v>
      </c>
      <c r="B84" s="23" t="s">
        <v>276</v>
      </c>
      <c r="C84" s="24" t="n">
        <v>46700170</v>
      </c>
      <c r="D84" s="23" t="n">
        <v>1691</v>
      </c>
      <c r="E84" s="23"/>
      <c r="F84" s="23"/>
      <c r="G84" s="23"/>
      <c r="H84" s="23"/>
      <c r="I84" s="23"/>
      <c r="J84" s="23"/>
      <c r="K84" s="23"/>
      <c r="L84" s="23"/>
      <c r="M84" s="23"/>
    </row>
    <row r="85" customFormat="false" ht="15.75" hidden="false" customHeight="true" outlineLevel="0" collapsed="false">
      <c r="A85" s="0" t="s">
        <v>240</v>
      </c>
      <c r="B85" s="23" t="n">
        <v>371</v>
      </c>
      <c r="C85" s="23" t="n">
        <v>48003710</v>
      </c>
      <c r="D85" s="23" t="n">
        <v>4000</v>
      </c>
      <c r="E85" s="23"/>
      <c r="F85" s="23"/>
      <c r="G85" s="23"/>
      <c r="H85" s="23"/>
      <c r="I85" s="23"/>
      <c r="J85" s="23"/>
      <c r="K85" s="23"/>
      <c r="L85" s="23"/>
      <c r="M85" s="23"/>
    </row>
    <row r="86" customFormat="false" ht="15.75" hidden="false" customHeight="true" outlineLevel="0" collapsed="false">
      <c r="A86" s="0" t="s">
        <v>240</v>
      </c>
      <c r="B86" s="23" t="s">
        <v>115</v>
      </c>
      <c r="C86" s="24" t="n">
        <v>46720012</v>
      </c>
      <c r="D86" s="23"/>
      <c r="E86" s="23"/>
      <c r="F86" s="23" t="n">
        <v>128</v>
      </c>
      <c r="G86" s="23"/>
      <c r="H86" s="23"/>
      <c r="I86" s="23"/>
      <c r="J86" s="23"/>
      <c r="K86" s="23"/>
      <c r="L86" s="23"/>
      <c r="M86" s="23"/>
    </row>
    <row r="87" customFormat="false" ht="15.75" hidden="false" customHeight="true" outlineLevel="0" collapsed="false">
      <c r="A87" s="0" t="s">
        <v>240</v>
      </c>
      <c r="B87" s="23" t="s">
        <v>115</v>
      </c>
      <c r="C87" s="24" t="n">
        <v>46720022</v>
      </c>
      <c r="D87" s="23"/>
      <c r="E87" s="23"/>
      <c r="F87" s="23"/>
      <c r="G87" s="23" t="n">
        <v>368</v>
      </c>
      <c r="H87" s="23"/>
      <c r="I87" s="23"/>
      <c r="J87" s="23"/>
      <c r="K87" s="23"/>
      <c r="L87" s="23"/>
      <c r="M87" s="23"/>
    </row>
    <row r="88" customFormat="false" ht="15.75" hidden="false" customHeight="true" outlineLevel="0" collapsed="false">
      <c r="A88" s="0" t="s">
        <v>240</v>
      </c>
      <c r="B88" s="23" t="s">
        <v>115</v>
      </c>
      <c r="C88" s="24" t="n">
        <v>46720032</v>
      </c>
      <c r="D88" s="23"/>
      <c r="E88" s="23"/>
      <c r="F88" s="23"/>
      <c r="G88" s="23"/>
      <c r="H88" s="23" t="n">
        <v>281</v>
      </c>
      <c r="I88" s="23"/>
      <c r="J88" s="23"/>
      <c r="K88" s="23"/>
      <c r="L88" s="23"/>
      <c r="M88" s="23"/>
    </row>
    <row r="89" customFormat="false" ht="15.75" hidden="false" customHeight="true" outlineLevel="0" collapsed="false">
      <c r="A89" s="0" t="s">
        <v>240</v>
      </c>
      <c r="B89" s="23" t="s">
        <v>218</v>
      </c>
      <c r="C89" s="26" t="n">
        <v>46803750</v>
      </c>
      <c r="D89" s="23" t="n">
        <v>1105</v>
      </c>
      <c r="E89" s="23"/>
      <c r="F89" s="23"/>
      <c r="G89" s="23"/>
      <c r="H89" s="23"/>
      <c r="I89" s="27"/>
      <c r="J89" s="27"/>
      <c r="K89" s="27"/>
      <c r="L89" s="27"/>
      <c r="M89" s="27"/>
    </row>
    <row r="90" customFormat="false" ht="15.75" hidden="false" customHeight="true" outlineLevel="0" collapsed="false">
      <c r="A90" s="0" t="s">
        <v>240</v>
      </c>
      <c r="B90" s="23" t="s">
        <v>277</v>
      </c>
      <c r="C90" s="23" t="s">
        <v>278</v>
      </c>
      <c r="D90" s="23" t="n">
        <v>300</v>
      </c>
      <c r="E90" s="23"/>
      <c r="F90" s="23"/>
      <c r="G90" s="23"/>
      <c r="H90" s="28"/>
      <c r="I90" s="29"/>
      <c r="J90" s="29"/>
      <c r="K90" s="29"/>
      <c r="L90" s="29"/>
      <c r="M90" s="29"/>
    </row>
    <row r="91" customFormat="false" ht="15.75" hidden="false" customHeight="true" outlineLevel="0" collapsed="false">
      <c r="A91" s="0" t="s">
        <v>240</v>
      </c>
      <c r="B91" s="23" t="s">
        <v>279</v>
      </c>
      <c r="C91" s="23" t="s">
        <v>280</v>
      </c>
      <c r="D91" s="23" t="n">
        <v>900</v>
      </c>
      <c r="E91" s="23"/>
      <c r="F91" s="23"/>
      <c r="G91" s="23"/>
      <c r="H91" s="28"/>
      <c r="I91" s="29"/>
      <c r="J91" s="29"/>
      <c r="K91" s="29"/>
      <c r="L91" s="29"/>
      <c r="M91" s="29"/>
    </row>
    <row r="92" customFormat="false" ht="15.75" hidden="false" customHeight="true" outlineLevel="0" collapsed="false">
      <c r="A92" s="0" t="s">
        <v>240</v>
      </c>
      <c r="B92" s="23" t="s">
        <v>281</v>
      </c>
      <c r="C92" s="23" t="s">
        <v>282</v>
      </c>
      <c r="D92" s="23" t="n">
        <v>600</v>
      </c>
      <c r="E92" s="23"/>
      <c r="F92" s="23"/>
      <c r="G92" s="23"/>
      <c r="H92" s="28"/>
      <c r="I92" s="29"/>
      <c r="J92" s="29"/>
      <c r="K92" s="29"/>
      <c r="L92" s="29"/>
      <c r="M92" s="29"/>
    </row>
    <row r="93" customFormat="false" ht="15.75" hidden="false" customHeight="true" outlineLevel="0" collapsed="false">
      <c r="A93" s="0" t="s">
        <v>240</v>
      </c>
      <c r="B93" s="23" t="s">
        <v>283</v>
      </c>
      <c r="C93" s="23" t="s">
        <v>284</v>
      </c>
      <c r="D93" s="23" t="n">
        <v>100</v>
      </c>
      <c r="E93" s="23"/>
      <c r="F93" s="23"/>
      <c r="G93" s="23"/>
      <c r="H93" s="28"/>
      <c r="I93" s="29"/>
      <c r="J93" s="29"/>
      <c r="K93" s="29"/>
      <c r="L93" s="29"/>
      <c r="M93" s="29"/>
    </row>
    <row r="94" customFormat="false" ht="15.75" hidden="false" customHeight="true" outlineLevel="0" collapsed="false">
      <c r="A94" s="0" t="s">
        <v>240</v>
      </c>
      <c r="B94" s="23" t="s">
        <v>285</v>
      </c>
      <c r="C94" s="23" t="s">
        <v>286</v>
      </c>
      <c r="D94" s="23" t="n">
        <v>100</v>
      </c>
      <c r="E94" s="23"/>
      <c r="F94" s="23"/>
      <c r="G94" s="23"/>
      <c r="H94" s="28"/>
      <c r="I94" s="29"/>
      <c r="J94" s="29"/>
      <c r="K94" s="29"/>
      <c r="L94" s="29"/>
      <c r="M94" s="29"/>
    </row>
    <row r="95" customFormat="false" ht="15.75" hidden="false" customHeight="true" outlineLevel="0" collapsed="false">
      <c r="A95" s="0" t="s">
        <v>240</v>
      </c>
      <c r="B95" s="23" t="s">
        <v>287</v>
      </c>
      <c r="C95" s="23" t="s">
        <v>288</v>
      </c>
      <c r="D95" s="23" t="n">
        <v>500</v>
      </c>
      <c r="E95" s="23"/>
      <c r="F95" s="23"/>
      <c r="G95" s="23"/>
      <c r="H95" s="28"/>
      <c r="I95" s="29"/>
      <c r="J95" s="29"/>
      <c r="K95" s="29"/>
      <c r="L95" s="29"/>
      <c r="M95" s="29"/>
    </row>
    <row r="96" customFormat="false" ht="15.75" hidden="false" customHeight="true" outlineLevel="0" collapsed="false">
      <c r="A96" s="0" t="s">
        <v>240</v>
      </c>
      <c r="B96" s="23" t="s">
        <v>289</v>
      </c>
      <c r="C96" s="23" t="s">
        <v>290</v>
      </c>
      <c r="D96" s="23" t="n">
        <v>100</v>
      </c>
      <c r="E96" s="23"/>
      <c r="F96" s="23"/>
      <c r="G96" s="23"/>
      <c r="H96" s="28"/>
      <c r="I96" s="29"/>
      <c r="J96" s="29"/>
      <c r="K96" s="29"/>
      <c r="L96" s="29"/>
      <c r="M96" s="29"/>
    </row>
    <row r="97" customFormat="false" ht="15.75" hidden="false" customHeight="true" outlineLevel="0" collapsed="false">
      <c r="A97" s="0" t="s">
        <v>240</v>
      </c>
      <c r="B97" s="23" t="s">
        <v>291</v>
      </c>
      <c r="C97" s="23" t="s">
        <v>292</v>
      </c>
      <c r="D97" s="23" t="n">
        <v>0</v>
      </c>
      <c r="E97" s="23"/>
      <c r="F97" s="23"/>
      <c r="G97" s="23"/>
      <c r="H97" s="28"/>
      <c r="I97" s="29"/>
      <c r="J97" s="29"/>
      <c r="K97" s="29"/>
      <c r="L97" s="29"/>
      <c r="M97" s="29"/>
    </row>
    <row r="98" customFormat="false" ht="15.75" hidden="false" customHeight="true" outlineLevel="0" collapsed="false">
      <c r="A98" s="0" t="s">
        <v>240</v>
      </c>
      <c r="B98" s="23" t="s">
        <v>293</v>
      </c>
      <c r="C98" s="23" t="s">
        <v>294</v>
      </c>
      <c r="D98" s="23" t="n">
        <v>300</v>
      </c>
      <c r="E98" s="23"/>
      <c r="F98" s="23"/>
      <c r="G98" s="23"/>
      <c r="H98" s="28"/>
      <c r="I98" s="29"/>
      <c r="J98" s="29"/>
      <c r="K98" s="29"/>
      <c r="L98" s="29"/>
      <c r="M98" s="29"/>
    </row>
    <row r="99" customFormat="false" ht="15.75" hidden="false" customHeight="true" outlineLevel="0" collapsed="false">
      <c r="A99" s="0" t="s">
        <v>240</v>
      </c>
      <c r="B99" s="23" t="s">
        <v>295</v>
      </c>
      <c r="C99" s="23" t="s">
        <v>296</v>
      </c>
      <c r="D99" s="23" t="n">
        <v>0</v>
      </c>
      <c r="E99" s="23"/>
      <c r="F99" s="23"/>
      <c r="G99" s="23"/>
      <c r="H99" s="28"/>
      <c r="I99" s="29"/>
      <c r="J99" s="29"/>
      <c r="K99" s="29"/>
      <c r="L99" s="29"/>
      <c r="M99" s="29"/>
    </row>
    <row r="100" customFormat="false" ht="15.75" hidden="false" customHeight="true" outlineLevel="0" collapsed="false">
      <c r="A100" s="0" t="s">
        <v>240</v>
      </c>
      <c r="B100" s="23" t="s">
        <v>297</v>
      </c>
      <c r="C100" s="23" t="s">
        <v>298</v>
      </c>
      <c r="D100" s="23" t="n">
        <v>0</v>
      </c>
      <c r="E100" s="23"/>
      <c r="F100" s="23"/>
      <c r="G100" s="23"/>
      <c r="H100" s="28"/>
      <c r="I100" s="29"/>
      <c r="J100" s="29"/>
      <c r="K100" s="29"/>
      <c r="L100" s="29"/>
      <c r="M100" s="29"/>
    </row>
    <row r="101" customFormat="false" ht="15.75" hidden="false" customHeight="true" outlineLevel="0" collapsed="false">
      <c r="A101" s="0" t="s">
        <v>240</v>
      </c>
      <c r="B101" s="23" t="s">
        <v>299</v>
      </c>
      <c r="C101" s="23" t="s">
        <v>300</v>
      </c>
      <c r="D101" s="23" t="n">
        <v>0</v>
      </c>
      <c r="E101" s="23"/>
      <c r="F101" s="23"/>
      <c r="G101" s="23"/>
      <c r="H101" s="28"/>
      <c r="I101" s="29"/>
      <c r="J101" s="29"/>
      <c r="K101" s="29"/>
      <c r="L101" s="29"/>
      <c r="M101" s="29"/>
    </row>
  </sheetData>
  <mergeCells count="19">
    <mergeCell ref="F2:G2"/>
    <mergeCell ref="H2:I2"/>
    <mergeCell ref="H3:I3"/>
    <mergeCell ref="F4:G4"/>
    <mergeCell ref="F5:G5"/>
    <mergeCell ref="H5:I5"/>
    <mergeCell ref="F6:G6"/>
    <mergeCell ref="H6:I6"/>
    <mergeCell ref="H7:I7"/>
    <mergeCell ref="F9:G9"/>
    <mergeCell ref="H9:I9"/>
    <mergeCell ref="H10:I10"/>
    <mergeCell ref="F12:G12"/>
    <mergeCell ref="H12:I12"/>
    <mergeCell ref="H13:I13"/>
    <mergeCell ref="F15:G15"/>
    <mergeCell ref="H15:I15"/>
    <mergeCell ref="H16:I16"/>
    <mergeCell ref="E18:G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H25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171875" defaultRowHeight="15" zeroHeight="false" outlineLevelRow="0" outlineLevelCol="0"/>
  <cols>
    <col collapsed="false" customWidth="true" hidden="false" outlineLevel="0" max="3" min="1" style="0" width="12"/>
    <col collapsed="false" customWidth="true" hidden="false" outlineLevel="0" max="6" min="4" style="0" width="10"/>
    <col collapsed="false" customWidth="true" hidden="false" outlineLevel="0" max="7" min="7" style="0" width="20"/>
    <col collapsed="false" customWidth="true" hidden="false" outlineLevel="0" max="8" min="8" style="0" width="14"/>
  </cols>
  <sheetData>
    <row r="1" customFormat="false" ht="17.15" hidden="false" customHeight="false" outlineLevel="0" collapsed="false">
      <c r="A1" s="30" t="s">
        <v>301</v>
      </c>
      <c r="B1" s="30"/>
      <c r="C1" s="30"/>
      <c r="D1" s="30"/>
      <c r="E1" s="30"/>
      <c r="F1" s="30"/>
      <c r="G1" s="30"/>
      <c r="H1" s="30"/>
    </row>
    <row r="2" customFormat="false" ht="15" hidden="false" customHeight="false" outlineLevel="0" collapsed="false">
      <c r="A2" s="31" t="s">
        <v>302</v>
      </c>
      <c r="B2" s="32" t="n">
        <v>46313</v>
      </c>
    </row>
    <row r="3" customFormat="false" ht="12.65" hidden="false" customHeight="false" outlineLevel="0" collapsed="false">
      <c r="A3" s="33" t="s">
        <v>303</v>
      </c>
      <c r="B3" s="33"/>
      <c r="C3" s="33"/>
      <c r="D3" s="33"/>
      <c r="E3" s="33"/>
      <c r="F3" s="33"/>
      <c r="G3" s="33"/>
      <c r="H3" s="33"/>
    </row>
    <row r="5" customFormat="false" ht="15" hidden="false" customHeight="false" outlineLevel="0" collapsed="false">
      <c r="A5" s="34" t="s">
        <v>1</v>
      </c>
      <c r="B5" s="34" t="s">
        <v>304</v>
      </c>
      <c r="C5" s="34" t="s">
        <v>2</v>
      </c>
      <c r="D5" s="34" t="s">
        <v>305</v>
      </c>
      <c r="E5" s="34" t="s">
        <v>306</v>
      </c>
      <c r="F5" s="34" t="s">
        <v>307</v>
      </c>
      <c r="G5" s="34" t="s">
        <v>308</v>
      </c>
      <c r="H5" s="34" t="s">
        <v>309</v>
      </c>
    </row>
    <row r="6" customFormat="false" ht="15" hidden="false" customHeight="false" outlineLevel="0" collapsed="false">
      <c r="A6" s="35" t="s">
        <v>6</v>
      </c>
      <c r="B6" s="36" t="str">
        <f aca="false">IF(AND(COUNTIF(ניו!$B:$B,$A6)&gt;0,COUNTIF('מדי '!$B:$B,$A6)&gt;0),"NZ + מדי",IF(COUNTIF(ניו!$B:$B,$A6)&gt;0,"NZ","מדי"))</f>
        <v>NZ + מדי</v>
      </c>
      <c r="C6" s="37" t="n">
        <f aca="false">IFERROR(INDEX(ניו!$C:$C,MATCH($A6,ניו!$B:$B,0)),IFERROR(INDEX('מדי '!$C:$C,MATCH($A6,'מדי '!$B:$B,0)),""))</f>
        <v>24.7801529452932</v>
      </c>
      <c r="D6" s="37" t="n">
        <f aca="false">IFERROR(INDEX(ניו!$D:$D,MATCH($A6,ניו!$B:$B,0)),"")</f>
        <v>16.5</v>
      </c>
      <c r="E6" s="37" t="n">
        <f aca="false">IFERROR(INDEX(ניו!$E:$E,MATCH($A6,ניו!$B:$B,0)),"")</f>
        <v>2.61015338132873</v>
      </c>
      <c r="F6" s="37" t="n">
        <f aca="false">IFERROR(INDEX('מדי '!$D:$D,MATCH($A6,'מדי '!$B:$B,0)),"")</f>
        <v>12.5</v>
      </c>
      <c r="G6" s="37" t="n">
        <f aca="false">IFERROR(INDEX('מדי '!$E:$E,MATCH($A6,'מדי '!$B:$B,0)),"")</f>
        <v>10.7954545454545</v>
      </c>
      <c r="H6" s="37" t="n">
        <f aca="false">IFERROR(INDEX('מדי '!$F:$F,MATCH($A6,'מדי '!$B:$B,0)),"")</f>
        <v>1.45942491989913</v>
      </c>
    </row>
    <row r="7" customFormat="false" ht="15" hidden="false" customHeight="false" outlineLevel="0" collapsed="false">
      <c r="A7" s="38" t="s">
        <v>7</v>
      </c>
      <c r="B7" s="39" t="str">
        <f aca="false">IF(AND(COUNTIF(ניו!$B:$B,$A7)&gt;0,COUNTIF('מדי '!$B:$B,$A7)&gt;0),"NZ + מדי",IF(COUNTIF(ניו!$B:$B,$A7)&gt;0,"NZ","מדי"))</f>
        <v>NZ</v>
      </c>
      <c r="C7" s="40" t="n">
        <f aca="false">IFERROR(INDEX(ניו!$C:$C,MATCH($A7,ניו!$B:$B,0)),IFERROR(INDEX('מדי '!$C:$C,MATCH($A7,'מדי '!$B:$B,0)),""))</f>
        <v>28.7633941595703</v>
      </c>
      <c r="D7" s="40" t="n">
        <f aca="false">IFERROR(INDEX(ניו!$D:$D,MATCH($A7,ניו!$B:$B,0)),"")</f>
        <v>16.5</v>
      </c>
      <c r="E7" s="40" t="n">
        <f aca="false">IFERROR(INDEX(ניו!$E:$E,MATCH($A7,ניו!$B:$B,0)),"")</f>
        <v>2.248691501468</v>
      </c>
      <c r="F7" s="40" t="str">
        <f aca="false">IFERROR(INDEX('מדי '!$D:$D,MATCH($A7,'מדי '!$B:$B,0)),"")</f>
        <v/>
      </c>
      <c r="G7" s="40" t="str">
        <f aca="false">IFERROR(INDEX('מדי '!$E:$E,MATCH($A7,'מדי '!$B:$B,0)),"")</f>
        <v/>
      </c>
      <c r="H7" s="40" t="str">
        <f aca="false">IFERROR(INDEX('מדי '!$F:$F,MATCH($A7,'מדי '!$B:$B,0)),"")</f>
        <v/>
      </c>
    </row>
    <row r="8" customFormat="false" ht="15" hidden="false" customHeight="false" outlineLevel="0" collapsed="false">
      <c r="A8" s="35" t="s">
        <v>8</v>
      </c>
      <c r="B8" s="36" t="str">
        <f aca="false">IF(AND(COUNTIF(ניו!$B:$B,$A8)&gt;0,COUNTIF('מדי '!$B:$B,$A8)&gt;0),"NZ + מדי",IF(COUNTIF(ניו!$B:$B,$A8)&gt;0,"NZ","מדי"))</f>
        <v>NZ + מדי</v>
      </c>
      <c r="C8" s="37" t="n">
        <f aca="false">IFERROR(INDEX(ניו!$C:$C,MATCH($A8,ניו!$B:$B,0)),IFERROR(INDEX('מדי '!$C:$C,MATCH($A8,'מדי '!$B:$B,0)),""))</f>
        <v>80.0209306890683</v>
      </c>
      <c r="D8" s="37" t="n">
        <f aca="false">IFERROR(INDEX(ניו!$D:$D,MATCH($A8,ניו!$B:$B,0)),"")</f>
        <v>38.75</v>
      </c>
      <c r="E8" s="37" t="n">
        <f aca="false">IFERROR(INDEX(ניו!$E:$E,MATCH($A8,ניו!$B:$B,0)),"")</f>
        <v>1.89825335311616</v>
      </c>
      <c r="F8" s="37" t="n">
        <f aca="false">IFERROR(INDEX('מדי '!$D:$D,MATCH($A8,'מדי '!$B:$B,0)),"")</f>
        <v>40.7</v>
      </c>
      <c r="G8" s="37" t="n">
        <f aca="false">IFERROR(INDEX('מדי '!$E:$E,MATCH($A8,'מדי '!$B:$B,0)),"")</f>
        <v>35.15</v>
      </c>
      <c r="H8" s="37" t="n">
        <f aca="false">IFERROR(INDEX('מדי '!$F:$F,MATCH($A8,'מדי '!$B:$B,0)),"")</f>
        <v>1.47152125057808</v>
      </c>
    </row>
    <row r="9" customFormat="false" ht="15" hidden="false" customHeight="false" outlineLevel="0" collapsed="false">
      <c r="A9" s="38" t="s">
        <v>9</v>
      </c>
      <c r="B9" s="39" t="str">
        <f aca="false">IF(AND(COUNTIF(ניו!$B:$B,$A9)&gt;0,COUNTIF('מדי '!$B:$B,$A9)&gt;0),"NZ + מדי",IF(COUNTIF(ניו!$B:$B,$A9)&gt;0,"NZ","מדי"))</f>
        <v>NZ</v>
      </c>
      <c r="C9" s="40" t="n">
        <f aca="false">IFERROR(INDEX(ניו!$C:$C,MATCH($A9,ניו!$B:$B,0)),IFERROR(INDEX('מדי '!$C:$C,MATCH($A9,'מדי '!$B:$B,0)),""))</f>
        <v>27.7514749840457</v>
      </c>
      <c r="D9" s="40" t="n">
        <f aca="false">IFERROR(INDEX(ניו!$D:$D,MATCH($A9,ניו!$B:$B,0)),"")</f>
        <v>22.5</v>
      </c>
      <c r="E9" s="40" t="n">
        <f aca="false">IFERROR(INDEX(ניו!$E:$E,MATCH($A9,ניו!$B:$B,0)),"")</f>
        <v>3.17820944835207</v>
      </c>
      <c r="F9" s="40" t="str">
        <f aca="false">IFERROR(INDEX('מדי '!$D:$D,MATCH($A9,'מדי '!$B:$B,0)),"")</f>
        <v/>
      </c>
      <c r="G9" s="40" t="str">
        <f aca="false">IFERROR(INDEX('מדי '!$E:$E,MATCH($A9,'מדי '!$B:$B,0)),"")</f>
        <v/>
      </c>
      <c r="H9" s="40" t="str">
        <f aca="false">IFERROR(INDEX('מדי '!$F:$F,MATCH($A9,'מדי '!$B:$B,0)),"")</f>
        <v/>
      </c>
    </row>
    <row r="10" customFormat="false" ht="15" hidden="false" customHeight="false" outlineLevel="0" collapsed="false">
      <c r="A10" s="38" t="s">
        <v>10</v>
      </c>
      <c r="B10" s="39" t="str">
        <f aca="false">IF(AND(COUNTIF(ניו!$B:$B,$A10)&gt;0,COUNTIF('מדי '!$B:$B,$A10)&gt;0),"NZ + מדי",IF(COUNTIF(ניו!$B:$B,$A10)&gt;0,"NZ","מדי"))</f>
        <v>NZ</v>
      </c>
      <c r="C10" s="40" t="n">
        <f aca="false">IFERROR(INDEX(ניו!$C:$C,MATCH($A10,ניו!$B:$B,0)),IFERROR(INDEX('מדי '!$C:$C,MATCH($A10,'מדי '!$B:$B,0)),""))</f>
        <v>39.6124465429786</v>
      </c>
      <c r="D10" s="40" t="n">
        <f aca="false">IFERROR(INDEX(ניו!$D:$D,MATCH($A10,ניו!$B:$B,0)),"")</f>
        <v>21.85</v>
      </c>
      <c r="E10" s="40" t="n">
        <f aca="false">IFERROR(INDEX(ניו!$E:$E,MATCH($A10,ניו!$B:$B,0)),"")</f>
        <v>2.16224968349455</v>
      </c>
      <c r="F10" s="40" t="str">
        <f aca="false">IFERROR(INDEX('מדי '!$D:$D,MATCH($A10,'מדי '!$B:$B,0)),"")</f>
        <v/>
      </c>
      <c r="G10" s="40" t="str">
        <f aca="false">IFERROR(INDEX('מדי '!$E:$E,MATCH($A10,'מדי '!$B:$B,0)),"")</f>
        <v/>
      </c>
      <c r="H10" s="40" t="str">
        <f aca="false">IFERROR(INDEX('מדי '!$F:$F,MATCH($A10,'מדי '!$B:$B,0)),"")</f>
        <v/>
      </c>
    </row>
    <row r="11" customFormat="false" ht="15" hidden="false" customHeight="false" outlineLevel="0" collapsed="false">
      <c r="A11" s="38" t="s">
        <v>11</v>
      </c>
      <c r="B11" s="39" t="str">
        <f aca="false">IF(AND(COUNTIF(ניו!$B:$B,$A11)&gt;0,COUNTIF('מדי '!$B:$B,$A11)&gt;0),"NZ + מדי",IF(COUNTIF(ניו!$B:$B,$A11)&gt;0,"NZ","מדי"))</f>
        <v>NZ</v>
      </c>
      <c r="C11" s="40" t="n">
        <f aca="false">IFERROR(INDEX(ניו!$C:$C,MATCH($A11,ניו!$B:$B,0)),IFERROR(INDEX('מדי '!$C:$C,MATCH($A11,'מדי '!$B:$B,0)),""))</f>
        <v>41.6454388204261</v>
      </c>
      <c r="D11" s="40" t="n">
        <f aca="false">IFERROR(INDEX(ניו!$D:$D,MATCH($A11,ניו!$B:$B,0)),"")</f>
        <v>21.8</v>
      </c>
      <c r="E11" s="40" t="n">
        <f aca="false">IFERROR(INDEX(ניו!$E:$E,MATCH($A11,ניו!$B:$B,0)),"")</f>
        <v>2.05198942358331</v>
      </c>
      <c r="F11" s="40" t="str">
        <f aca="false">IFERROR(INDEX('מדי '!$D:$D,MATCH($A11,'מדי '!$B:$B,0)),"")</f>
        <v/>
      </c>
      <c r="G11" s="40" t="str">
        <f aca="false">IFERROR(INDEX('מדי '!$E:$E,MATCH($A11,'מדי '!$B:$B,0)),"")</f>
        <v/>
      </c>
      <c r="H11" s="40" t="str">
        <f aca="false">IFERROR(INDEX('מדי '!$F:$F,MATCH($A11,'מדי '!$B:$B,0)),"")</f>
        <v/>
      </c>
    </row>
    <row r="12" customFormat="false" ht="15" hidden="false" customHeight="false" outlineLevel="0" collapsed="false">
      <c r="A12" s="38" t="s">
        <v>12</v>
      </c>
      <c r="B12" s="39" t="str">
        <f aca="false">IF(AND(COUNTIF(ניו!$B:$B,$A12)&gt;0,COUNTIF('מדי '!$B:$B,$A12)&gt;0),"NZ + מדי",IF(COUNTIF(ניו!$B:$B,$A12)&gt;0,"NZ","מדי"))</f>
        <v>NZ</v>
      </c>
      <c r="C12" s="40" t="n">
        <f aca="false">IFERROR(INDEX(ניו!$C:$C,MATCH($A12,ניו!$B:$B,0)),IFERROR(INDEX('מדי '!$C:$C,MATCH($A12,'מדי '!$B:$B,0)),""))</f>
        <v>62.1034225648175</v>
      </c>
      <c r="D12" s="40" t="n">
        <f aca="false">IFERROR(INDEX(ניו!$D:$D,MATCH($A12,ניו!$B:$B,0)),"")</f>
        <v>29.95</v>
      </c>
      <c r="E12" s="40" t="n">
        <f aca="false">IFERROR(INDEX(ניו!$E:$E,MATCH($A12,ניו!$B:$B,0)),"")</f>
        <v>1.89045941674897</v>
      </c>
      <c r="F12" s="40" t="str">
        <f aca="false">IFERROR(INDEX('מדי '!$D:$D,MATCH($A12,'מדי '!$B:$B,0)),"")</f>
        <v/>
      </c>
      <c r="G12" s="40" t="str">
        <f aca="false">IFERROR(INDEX('מדי '!$E:$E,MATCH($A12,'מדי '!$B:$B,0)),"")</f>
        <v/>
      </c>
      <c r="H12" s="40" t="str">
        <f aca="false">IFERROR(INDEX('מדי '!$F:$F,MATCH($A12,'מדי '!$B:$B,0)),"")</f>
        <v/>
      </c>
    </row>
    <row r="13" customFormat="false" ht="15" hidden="false" customHeight="false" outlineLevel="0" collapsed="false">
      <c r="A13" s="35" t="s">
        <v>13</v>
      </c>
      <c r="B13" s="36" t="str">
        <f aca="false">IF(AND(COUNTIF(ניו!$B:$B,$A13)&gt;0,COUNTIF('מדי '!$B:$B,$A13)&gt;0),"NZ + מדי",IF(COUNTIF(ניו!$B:$B,$A13)&gt;0,"NZ","מדי"))</f>
        <v>NZ + מדי</v>
      </c>
      <c r="C13" s="37" t="n">
        <f aca="false">IFERROR(INDEX(ניו!$C:$C,MATCH($A13,ניו!$B:$B,0)),IFERROR(INDEX('מדי '!$C:$C,MATCH($A13,'מדי '!$B:$B,0)),""))</f>
        <v>41.1422638303869</v>
      </c>
      <c r="D13" s="37" t="n">
        <f aca="false">IFERROR(INDEX(ניו!$D:$D,MATCH($A13,ניו!$B:$B,0)),"")</f>
        <v>19.95</v>
      </c>
      <c r="E13" s="37" t="n">
        <f aca="false">IFERROR(INDEX(ניו!$E:$E,MATCH($A13,ניו!$B:$B,0)),"")</f>
        <v>1.90081907797791</v>
      </c>
      <c r="F13" s="37" t="n">
        <f aca="false">IFERROR(INDEX('מדי '!$D:$D,MATCH($A13,'מדי '!$B:$B,0)),"")</f>
        <v>17.1</v>
      </c>
      <c r="G13" s="37" t="n">
        <f aca="false">IFERROR(INDEX('מדי '!$E:$E,MATCH($A13,'מדי '!$B:$B,0)),"")</f>
        <v>14.7681818181818</v>
      </c>
      <c r="H13" s="37" t="n">
        <f aca="false">IFERROR(INDEX('מדי '!$F:$F,MATCH($A13,'מדי '!$B:$B,0)),"")</f>
        <v>1.20249603412365</v>
      </c>
    </row>
    <row r="14" customFormat="false" ht="15" hidden="false" customHeight="false" outlineLevel="0" collapsed="false">
      <c r="A14" s="35" t="s">
        <v>14</v>
      </c>
      <c r="B14" s="36" t="str">
        <f aca="false">IF(AND(COUNTIF(ניו!$B:$B,$A14)&gt;0,COUNTIF('מדי '!$B:$B,$A14)&gt;0),"NZ + מדי",IF(COUNTIF(ניו!$B:$B,$A14)&gt;0,"NZ","מדי"))</f>
        <v>NZ + מדי</v>
      </c>
      <c r="C14" s="37" t="n">
        <f aca="false">IFERROR(INDEX(ניו!$C:$C,MATCH($A14,ניו!$B:$B,0)),IFERROR(INDEX('מדי '!$C:$C,MATCH($A14,'מדי '!$B:$B,0)),""))</f>
        <v>36.4947029013006</v>
      </c>
      <c r="D14" s="37" t="n">
        <f aca="false">IFERROR(INDEX(ניו!$D:$D,MATCH($A14,ניו!$B:$B,0)),"")</f>
        <v>18.9</v>
      </c>
      <c r="E14" s="37" t="n">
        <f aca="false">IFERROR(INDEX(ניו!$E:$E,MATCH($A14,ניו!$B:$B,0)),"")</f>
        <v>2.0301028398661</v>
      </c>
      <c r="F14" s="37" t="n">
        <f aca="false">IFERROR(INDEX('מדי '!$D:$D,MATCH($A14,'מדי '!$B:$B,0)),"")</f>
        <v>15.75</v>
      </c>
      <c r="G14" s="37" t="n">
        <f aca="false">IFERROR(INDEX('מדי '!$E:$E,MATCH($A14,'מדי '!$B:$B,0)),"")</f>
        <v>13.6022727272727</v>
      </c>
      <c r="H14" s="37" t="n">
        <f aca="false">IFERROR(INDEX('מדי '!$F:$F,MATCH($A14,'מדי '!$B:$B,0)),"")</f>
        <v>1.24860897647532</v>
      </c>
    </row>
    <row r="15" customFormat="false" ht="15" hidden="false" customHeight="false" outlineLevel="0" collapsed="false">
      <c r="A15" s="38" t="n">
        <v>16</v>
      </c>
      <c r="B15" s="39" t="str">
        <f aca="false">IF(AND(COUNTIF(ניו!$B:$B,$A15)&gt;0,COUNTIF('מדי '!$B:$B,$A15)&gt;0),"NZ + מדי",IF(COUNTIF(ניו!$B:$B,$A15)&gt;0,"NZ","מדי"))</f>
        <v>NZ</v>
      </c>
      <c r="C15" s="40" t="n">
        <f aca="false">IFERROR(INDEX(ניו!$C:$C,MATCH($A15,ניו!$B:$B,0)),IFERROR(INDEX('מדי '!$C:$C,MATCH($A15,'מדי '!$B:$B,0)),""))</f>
        <v>32.4017467881068</v>
      </c>
      <c r="D15" s="40" t="n">
        <f aca="false">IFERROR(INDEX(ניו!$D:$D,MATCH($A15,ניו!$B:$B,0)),"")</f>
        <v>16.8</v>
      </c>
      <c r="E15" s="40" t="n">
        <f aca="false">IFERROR(INDEX(ניו!$E:$E,MATCH($A15,ניו!$B:$B,0)),"")</f>
        <v>2.03248301490254</v>
      </c>
      <c r="F15" s="40" t="str">
        <f aca="false">IFERROR(INDEX('מדי '!$D:$D,MATCH($A15,'מדי '!$B:$B,0)),"")</f>
        <v/>
      </c>
      <c r="G15" s="40" t="str">
        <f aca="false">IFERROR(INDEX('מדי '!$E:$E,MATCH($A15,'מדי '!$B:$B,0)),"")</f>
        <v/>
      </c>
      <c r="H15" s="40" t="str">
        <f aca="false">IFERROR(INDEX('מדי '!$F:$F,MATCH($A15,'מדי '!$B:$B,0)),"")</f>
        <v/>
      </c>
    </row>
    <row r="16" customFormat="false" ht="15" hidden="false" customHeight="false" outlineLevel="0" collapsed="false">
      <c r="A16" s="35" t="s">
        <v>15</v>
      </c>
      <c r="B16" s="36" t="str">
        <f aca="false">IF(AND(COUNTIF(ניו!$B:$B,$A16)&gt;0,COUNTIF('מדי '!$B:$B,$A16)&gt;0),"NZ + מדי",IF(COUNTIF(ניו!$B:$B,$A16)&gt;0,"NZ","מדי"))</f>
        <v>NZ + מדי</v>
      </c>
      <c r="C16" s="37" t="n">
        <f aca="false">IFERROR(INDEX(ניו!$C:$C,MATCH($A16,ניו!$B:$B,0)),IFERROR(INDEX('מדי '!$C:$C,MATCH($A16,'מדי '!$B:$B,0)),""))</f>
        <v>10.7421985493387</v>
      </c>
      <c r="D16" s="37" t="n">
        <f aca="false">IFERROR(INDEX(ניו!$D:$D,MATCH($A16,ניו!$B:$B,0)),"")</f>
        <v>5.5</v>
      </c>
      <c r="E16" s="37" t="n">
        <f aca="false">IFERROR(INDEX(ניו!$E:$E,MATCH($A16,ניו!$B:$B,0)),"")</f>
        <v>2.00703793557486</v>
      </c>
      <c r="F16" s="37" t="n">
        <f aca="false">IFERROR(INDEX('מדי '!$D:$D,MATCH($A16,'מדי '!$B:$B,0)),"")</f>
        <v>5.73</v>
      </c>
      <c r="G16" s="37" t="n">
        <f aca="false">IFERROR(INDEX('מדי '!$E:$E,MATCH($A16,'מדי '!$B:$B,0)),"")</f>
        <v>4.94863636363636</v>
      </c>
      <c r="H16" s="37" t="n">
        <f aca="false">IFERROR(INDEX('מדי '!$F:$F,MATCH($A16,'מדי '!$B:$B,0)),"")</f>
        <v>1.54325315642228</v>
      </c>
    </row>
    <row r="17" customFormat="false" ht="15" hidden="false" customHeight="false" outlineLevel="0" collapsed="false">
      <c r="A17" s="38" t="s">
        <v>16</v>
      </c>
      <c r="B17" s="39" t="str">
        <f aca="false">IF(AND(COUNTIF(ניו!$B:$B,$A17)&gt;0,COUNTIF('מדי '!$B:$B,$A17)&gt;0),"NZ + מדי",IF(COUNTIF(ניו!$B:$B,$A17)&gt;0,"NZ","מדי"))</f>
        <v>NZ</v>
      </c>
      <c r="C17" s="40" t="n">
        <f aca="false">IFERROR(INDEX(ניו!$C:$C,MATCH($A17,ניו!$B:$B,0)),IFERROR(INDEX('מדי '!$C:$C,MATCH($A17,'מדי '!$B:$B,0)),""))</f>
        <v>9.75585805355342</v>
      </c>
      <c r="D17" s="40" t="n">
        <f aca="false">IFERROR(INDEX(ניו!$D:$D,MATCH($A17,ניו!$B:$B,0)),"")</f>
        <v>5.65</v>
      </c>
      <c r="E17" s="40" t="n">
        <f aca="false">IFERROR(INDEX(ניו!$E:$E,MATCH($A17,ניו!$B:$B,0)),"")</f>
        <v>2.27022573293109</v>
      </c>
      <c r="F17" s="40" t="str">
        <f aca="false">IFERROR(INDEX('מדי '!$D:$D,MATCH($A17,'מדי '!$B:$B,0)),"")</f>
        <v/>
      </c>
      <c r="G17" s="40" t="str">
        <f aca="false">IFERROR(INDEX('מדי '!$E:$E,MATCH($A17,'מדי '!$B:$B,0)),"")</f>
        <v/>
      </c>
      <c r="H17" s="40" t="str">
        <f aca="false">IFERROR(INDEX('מדי '!$F:$F,MATCH($A17,'מדי '!$B:$B,0)),"")</f>
        <v/>
      </c>
    </row>
    <row r="18" customFormat="false" ht="15" hidden="false" customHeight="false" outlineLevel="0" collapsed="false">
      <c r="A18" s="38" t="s">
        <v>17</v>
      </c>
      <c r="B18" s="39" t="str">
        <f aca="false">IF(AND(COUNTIF(ניו!$B:$B,$A18)&gt;0,COUNTIF('מדי '!$B:$B,$A18)&gt;0),"NZ + מדי",IF(COUNTIF(ניו!$B:$B,$A18)&gt;0,"NZ","מדי"))</f>
        <v>NZ</v>
      </c>
      <c r="C18" s="40" t="n">
        <f aca="false">IFERROR(INDEX(ניו!$C:$C,MATCH($A18,ניו!$B:$B,0)),IFERROR(INDEX('מדי '!$C:$C,MATCH($A18,'מדי '!$B:$B,0)),""))</f>
        <v>10.0642429520047</v>
      </c>
      <c r="D18" s="40" t="n">
        <f aca="false">IFERROR(INDEX(ניו!$D:$D,MATCH($A18,ניו!$B:$B,0)),"")</f>
        <v>5.85</v>
      </c>
      <c r="E18" s="40" t="n">
        <f aca="false">IFERROR(INDEX(ניו!$E:$E,MATCH($A18,ניו!$B:$B,0)),"")</f>
        <v>2.27856184606832</v>
      </c>
      <c r="F18" s="40" t="str">
        <f aca="false">IFERROR(INDEX('מדי '!$D:$D,MATCH($A18,'מדי '!$B:$B,0)),"")</f>
        <v/>
      </c>
      <c r="G18" s="40" t="str">
        <f aca="false">IFERROR(INDEX('מדי '!$E:$E,MATCH($A18,'מדי '!$B:$B,0)),"")</f>
        <v/>
      </c>
      <c r="H18" s="40" t="str">
        <f aca="false">IFERROR(INDEX('מדי '!$F:$F,MATCH($A18,'מדי '!$B:$B,0)),"")</f>
        <v/>
      </c>
    </row>
    <row r="19" customFormat="false" ht="15" hidden="false" customHeight="false" outlineLevel="0" collapsed="false">
      <c r="A19" s="38" t="s">
        <v>18</v>
      </c>
      <c r="B19" s="39" t="str">
        <f aca="false">IF(AND(COUNTIF(ניו!$B:$B,$A19)&gt;0,COUNTIF('מדי '!$B:$B,$A19)&gt;0),"NZ + מדי",IF(COUNTIF(ניו!$B:$B,$A19)&gt;0,"NZ","מדי"))</f>
        <v>NZ</v>
      </c>
      <c r="C19" s="40" t="n">
        <f aca="false">IFERROR(INDEX(ניו!$C:$C,MATCH($A19,ניו!$B:$B,0)),IFERROR(INDEX('מדי '!$C:$C,MATCH($A19,'מדי '!$B:$B,0)),""))</f>
        <v>7.90418907617764</v>
      </c>
      <c r="D19" s="40" t="n">
        <f aca="false">IFERROR(INDEX(ניו!$D:$D,MATCH($A19,ניו!$B:$B,0)),"")</f>
        <v>4.65</v>
      </c>
      <c r="E19" s="40" t="n">
        <f aca="false">IFERROR(INDEX(ניו!$E:$E,MATCH($A19,ניו!$B:$B,0)),"")</f>
        <v>2.3061189230578</v>
      </c>
      <c r="F19" s="40" t="str">
        <f aca="false">IFERROR(INDEX('מדי '!$D:$D,MATCH($A19,'מדי '!$B:$B,0)),"")</f>
        <v/>
      </c>
      <c r="G19" s="40" t="str">
        <f aca="false">IFERROR(INDEX('מדי '!$E:$E,MATCH($A19,'מדי '!$B:$B,0)),"")</f>
        <v/>
      </c>
      <c r="H19" s="40" t="str">
        <f aca="false">IFERROR(INDEX('מדי '!$F:$F,MATCH($A19,'מדי '!$B:$B,0)),"")</f>
        <v/>
      </c>
    </row>
    <row r="20" customFormat="false" ht="15" hidden="false" customHeight="false" outlineLevel="0" collapsed="false">
      <c r="A20" s="35" t="s">
        <v>19</v>
      </c>
      <c r="B20" s="36" t="str">
        <f aca="false">IF(AND(COUNTIF(ניו!$B:$B,$A20)&gt;0,COUNTIF('מדי '!$B:$B,$A20)&gt;0),"NZ + מדי",IF(COUNTIF(ניו!$B:$B,$A20)&gt;0,"NZ","מדי"))</f>
        <v>NZ + מדי</v>
      </c>
      <c r="C20" s="37" t="n">
        <f aca="false">IFERROR(INDEX(ניו!$C:$C,MATCH($A20,ניו!$B:$B,0)),IFERROR(INDEX('מדי '!$C:$C,MATCH($A20,'מדי '!$B:$B,0)),""))</f>
        <v>5.17083013864748</v>
      </c>
      <c r="D20" s="37" t="n">
        <f aca="false">IFERROR(INDEX(ניו!$D:$D,MATCH($A20,ניו!$B:$B,0)),"")</f>
        <v>2.8</v>
      </c>
      <c r="E20" s="37" t="n">
        <f aca="false">IFERROR(INDEX(ניו!$E:$E,MATCH($A20,ניו!$B:$B,0)),"")</f>
        <v>2.1226765733347</v>
      </c>
      <c r="F20" s="37" t="n">
        <f aca="false">IFERROR(INDEX('מדי '!$D:$D,MATCH($A20,'מדי '!$B:$B,0)),"")</f>
        <v>2.6</v>
      </c>
      <c r="G20" s="37" t="n">
        <f aca="false">IFERROR(INDEX('מדי '!$E:$E,MATCH($A20,'מדי '!$B:$B,0)),"")</f>
        <v>2.24545454545455</v>
      </c>
      <c r="H20" s="37" t="n">
        <f aca="false">IFERROR(INDEX('מדי '!$F:$F,MATCH($A20,'מדי '!$B:$B,0)),"")</f>
        <v>1.45475146651023</v>
      </c>
    </row>
    <row r="21" customFormat="false" ht="15" hidden="false" customHeight="false" outlineLevel="0" collapsed="false">
      <c r="A21" s="38" t="s">
        <v>20</v>
      </c>
      <c r="B21" s="39" t="str">
        <f aca="false">IF(AND(COUNTIF(ניו!$B:$B,$A21)&gt;0,COUNTIF('מדי '!$B:$B,$A21)&gt;0),"NZ + מדי",IF(COUNTIF(ניו!$B:$B,$A21)&gt;0,"NZ","מדי"))</f>
        <v>NZ</v>
      </c>
      <c r="C21" s="40" t="n">
        <f aca="false">IFERROR(INDEX(ניו!$C:$C,MATCH($A21,ניו!$B:$B,0)),IFERROR(INDEX('מדי '!$C:$C,MATCH($A21,'מדי '!$B:$B,0)),""))</f>
        <v>5.36038253395634</v>
      </c>
      <c r="D21" s="40" t="n">
        <f aca="false">IFERROR(INDEX(ניו!$D:$D,MATCH($A21,ניו!$B:$B,0)),"")</f>
        <v>3.25</v>
      </c>
      <c r="E21" s="40" t="n">
        <f aca="false">IFERROR(INDEX(ניו!$E:$E,MATCH($A21,ניו!$B:$B,0)),"")</f>
        <v>2.3766960509434</v>
      </c>
      <c r="F21" s="40" t="str">
        <f aca="false">IFERROR(INDEX('מדי '!$D:$D,MATCH($A21,'מדי '!$B:$B,0)),"")</f>
        <v/>
      </c>
      <c r="G21" s="40" t="str">
        <f aca="false">IFERROR(INDEX('מדי '!$E:$E,MATCH($A21,'מדי '!$B:$B,0)),"")</f>
        <v/>
      </c>
      <c r="H21" s="40" t="str">
        <f aca="false">IFERROR(INDEX('מדי '!$F:$F,MATCH($A21,'מדי '!$B:$B,0)),"")</f>
        <v/>
      </c>
    </row>
    <row r="22" customFormat="false" ht="15" hidden="false" customHeight="false" outlineLevel="0" collapsed="false">
      <c r="A22" s="38" t="s">
        <v>21</v>
      </c>
      <c r="B22" s="39" t="str">
        <f aca="false">IF(AND(COUNTIF(ניו!$B:$B,$A22)&gt;0,COUNTIF('מדי '!$B:$B,$A22)&gt;0),"NZ + מדי",IF(COUNTIF(ניו!$B:$B,$A22)&gt;0,"NZ","מדי"))</f>
        <v>NZ</v>
      </c>
      <c r="C22" s="40" t="n">
        <f aca="false">IFERROR(INDEX(ניו!$C:$C,MATCH($A22,ניו!$B:$B,0)),IFERROR(INDEX('מדי '!$C:$C,MATCH($A22,'מדי '!$B:$B,0)),""))</f>
        <v>14.0741926321993</v>
      </c>
      <c r="D22" s="40" t="n">
        <f aca="false">IFERROR(INDEX(ניו!$D:$D,MATCH($A22,ניו!$B:$B,0)),"")</f>
        <v>6.6</v>
      </c>
      <c r="E22" s="40" t="n">
        <f aca="false">IFERROR(INDEX(ניו!$E:$E,MATCH($A22,ניו!$B:$B,0)),"")</f>
        <v>1.83825819896834</v>
      </c>
      <c r="F22" s="40" t="str">
        <f aca="false">IFERROR(INDEX('מדי '!$D:$D,MATCH($A22,'מדי '!$B:$B,0)),"")</f>
        <v/>
      </c>
      <c r="G22" s="40" t="str">
        <f aca="false">IFERROR(INDEX('מדי '!$E:$E,MATCH($A22,'מדי '!$B:$B,0)),"")</f>
        <v/>
      </c>
      <c r="H22" s="40" t="str">
        <f aca="false">IFERROR(INDEX('מדי '!$F:$F,MATCH($A22,'מדי '!$B:$B,0)),"")</f>
        <v/>
      </c>
    </row>
    <row r="23" customFormat="false" ht="15" hidden="false" customHeight="false" outlineLevel="0" collapsed="false">
      <c r="A23" s="38" t="s">
        <v>22</v>
      </c>
      <c r="B23" s="39" t="str">
        <f aca="false">IF(AND(COUNTIF(ניו!$B:$B,$A23)&gt;0,COUNTIF('מדי '!$B:$B,$A23)&gt;0),"NZ + מדי",IF(COUNTIF(ניו!$B:$B,$A23)&gt;0,"NZ","מדי"))</f>
        <v>NZ</v>
      </c>
      <c r="C23" s="40" t="n">
        <f aca="false">IFERROR(INDEX(ניו!$C:$C,MATCH($A23,ניו!$B:$B,0)),IFERROR(INDEX('מדי '!$C:$C,MATCH($A23,'מדי '!$B:$B,0)),""))</f>
        <v>13.9819924007178</v>
      </c>
      <c r="D23" s="40" t="n">
        <f aca="false">IFERROR(INDEX(ניו!$D:$D,MATCH($A23,ניו!$B:$B,0)),"")</f>
        <v>7.5</v>
      </c>
      <c r="E23" s="40" t="n">
        <f aca="false">IFERROR(INDEX(ניו!$E:$E,MATCH($A23,ניו!$B:$B,0)),"")</f>
        <v>2.10270461872735</v>
      </c>
      <c r="F23" s="40" t="str">
        <f aca="false">IFERROR(INDEX('מדי '!$D:$D,MATCH($A23,'מדי '!$B:$B,0)),"")</f>
        <v/>
      </c>
      <c r="G23" s="40" t="str">
        <f aca="false">IFERROR(INDEX('מדי '!$E:$E,MATCH($A23,'מדי '!$B:$B,0)),"")</f>
        <v/>
      </c>
      <c r="H23" s="40" t="str">
        <f aca="false">IFERROR(INDEX('מדי '!$F:$F,MATCH($A23,'מדי '!$B:$B,0)),"")</f>
        <v/>
      </c>
    </row>
    <row r="24" customFormat="false" ht="15" hidden="false" customHeight="false" outlineLevel="0" collapsed="false">
      <c r="A24" s="35" t="s">
        <v>23</v>
      </c>
      <c r="B24" s="36" t="str">
        <f aca="false">IF(AND(COUNTIF(ניו!$B:$B,$A24)&gt;0,COUNTIF('מדי '!$B:$B,$A24)&gt;0),"NZ + מדי",IF(COUNTIF(ניו!$B:$B,$A24)&gt;0,"NZ","מדי"))</f>
        <v>NZ + מדי</v>
      </c>
      <c r="C24" s="37" t="n">
        <f aca="false">IFERROR(INDEX(ניו!$C:$C,MATCH($A24,ניו!$B:$B,0)),IFERROR(INDEX('מדי '!$C:$C,MATCH($A24,'מדי '!$B:$B,0)),""))</f>
        <v>32.8799368252528</v>
      </c>
      <c r="D24" s="37" t="n">
        <f aca="false">IFERROR(INDEX(ניו!$D:$D,MATCH($A24,ניו!$B:$B,0)),"")</f>
        <v>16.5</v>
      </c>
      <c r="E24" s="37" t="n">
        <f aca="false">IFERROR(INDEX(ניו!$E:$E,MATCH($A24,ניו!$B:$B,0)),"")</f>
        <v>1.96715706431418</v>
      </c>
      <c r="F24" s="37" t="n">
        <f aca="false">IFERROR(INDEX('מדי '!$D:$D,MATCH($A24,'מדי '!$B:$B,0)),"")</f>
        <v>15.55</v>
      </c>
      <c r="G24" s="37" t="n">
        <f aca="false">IFERROR(INDEX('מדי '!$E:$E,MATCH($A24,'מדי '!$B:$B,0)),"")</f>
        <v>13.4295454545455</v>
      </c>
      <c r="H24" s="37" t="n">
        <f aca="false">IFERROR(INDEX('מדי '!$F:$F,MATCH($A24,'מדי '!$B:$B,0)),"")</f>
        <v>1.36828052656641</v>
      </c>
    </row>
    <row r="25" customFormat="false" ht="15" hidden="false" customHeight="false" outlineLevel="0" collapsed="false">
      <c r="A25" s="35" t="s">
        <v>24</v>
      </c>
      <c r="B25" s="36" t="str">
        <f aca="false">IF(AND(COUNTIF(ניו!$B:$B,$A25)&gt;0,COUNTIF('מדי '!$B:$B,$A25)&gt;0),"NZ + מדי",IF(COUNTIF(ניו!$B:$B,$A25)&gt;0,"NZ","מדי"))</f>
        <v>NZ + מדי</v>
      </c>
      <c r="C25" s="37" t="n">
        <f aca="false">IFERROR(INDEX(ניו!$C:$C,MATCH($A25,ניו!$B:$B,0)),IFERROR(INDEX('מדי '!$C:$C,MATCH($A25,'מדי '!$B:$B,0)),""))</f>
        <v>12.4333904967268</v>
      </c>
      <c r="D25" s="37" t="n">
        <f aca="false">IFERROR(INDEX(ניו!$D:$D,MATCH($A25,ניו!$B:$B,0)),"")</f>
        <v>6.3</v>
      </c>
      <c r="E25" s="37" t="n">
        <f aca="false">IFERROR(INDEX(ניו!$E:$E,MATCH($A25,ניו!$B:$B,0)),"")</f>
        <v>1.98626432641212</v>
      </c>
      <c r="F25" s="37" t="n">
        <f aca="false">IFERROR(INDEX('מדי '!$D:$D,MATCH($A25,'מדי '!$B:$B,0)),"")</f>
        <v>8.2</v>
      </c>
      <c r="G25" s="37" t="n">
        <f aca="false">IFERROR(INDEX('מדי '!$E:$E,MATCH($A25,'מדי '!$B:$B,0)),"")</f>
        <v>7.08181818181818</v>
      </c>
      <c r="H25" s="37" t="n">
        <f aca="false">IFERROR(INDEX('מדי '!$F:$F,MATCH($A25,'מדי '!$B:$B,0)),"")</f>
        <v>1.90809505382594</v>
      </c>
    </row>
    <row r="26" customFormat="false" ht="15" hidden="false" customHeight="false" outlineLevel="0" collapsed="false">
      <c r="A26" s="35" t="s">
        <v>25</v>
      </c>
      <c r="B26" s="36" t="str">
        <f aca="false">IF(AND(COUNTIF(ניו!$B:$B,$A26)&gt;0,COUNTIF('מדי '!$B:$B,$A26)&gt;0),"NZ + מדי",IF(COUNTIF(ניו!$B:$B,$A26)&gt;0,"NZ","מדי"))</f>
        <v>NZ + מדי</v>
      </c>
      <c r="C26" s="37" t="n">
        <f aca="false">IFERROR(INDEX(ניו!$C:$C,MATCH($A26,ניו!$B:$B,0)),IFERROR(INDEX('מדי '!$C:$C,MATCH($A26,'מדי '!$B:$B,0)),""))</f>
        <v>19.7715231195059</v>
      </c>
      <c r="D26" s="37" t="n">
        <f aca="false">IFERROR(INDEX(ניו!$D:$D,MATCH($A26,ניו!$B:$B,0)),"")</f>
        <v>9.75</v>
      </c>
      <c r="E26" s="37" t="n">
        <f aca="false">IFERROR(INDEX(ניו!$E:$E,MATCH($A26,ניו!$B:$B,0)),"")</f>
        <v>1.93308324143695</v>
      </c>
      <c r="F26" s="37" t="n">
        <f aca="false">IFERROR(INDEX('מדי '!$D:$D,MATCH($A26,'מדי '!$B:$B,0)),"")</f>
        <v>11.7</v>
      </c>
      <c r="G26" s="37" t="n">
        <f aca="false">IFERROR(INDEX('מדי '!$E:$E,MATCH($A26,'מדי '!$B:$B,0)),"")</f>
        <v>10.1045454545455</v>
      </c>
      <c r="H26" s="37" t="n">
        <f aca="false">IFERROR(INDEX('מדי '!$F:$F,MATCH($A26,'מדי '!$B:$B,0)),"")</f>
        <v>1.71206978178286</v>
      </c>
    </row>
    <row r="27" customFormat="false" ht="15" hidden="false" customHeight="false" outlineLevel="0" collapsed="false">
      <c r="A27" s="35" t="s">
        <v>26</v>
      </c>
      <c r="B27" s="36" t="str">
        <f aca="false">IF(AND(COUNTIF(ניו!$B:$B,$A27)&gt;0,COUNTIF('מדי '!$B:$B,$A27)&gt;0),"NZ + מדי",IF(COUNTIF(ניו!$B:$B,$A27)&gt;0,"NZ","מדי"))</f>
        <v>NZ + מדי</v>
      </c>
      <c r="C27" s="37" t="n">
        <f aca="false">IFERROR(INDEX(ניו!$C:$C,MATCH($A27,ניו!$B:$B,0)),IFERROR(INDEX('מדי '!$C:$C,MATCH($A27,'מדי '!$B:$B,0)),""))</f>
        <v>16.6734153846154</v>
      </c>
      <c r="D27" s="37" t="n">
        <f aca="false">IFERROR(INDEX(ניו!$D:$D,MATCH($A27,ניו!$B:$B,0)),"")</f>
        <v>9.1</v>
      </c>
      <c r="E27" s="37" t="n">
        <f aca="false">IFERROR(INDEX(ניו!$E:$E,MATCH($A27,ניו!$B:$B,0)),"")</f>
        <v>2.1394536858306</v>
      </c>
      <c r="F27" s="37" t="n">
        <f aca="false">IFERROR(INDEX('מדי '!$D:$D,MATCH($A27,'מדי '!$B:$B,0)),"")</f>
        <v>8.5</v>
      </c>
      <c r="G27" s="37" t="n">
        <f aca="false">IFERROR(INDEX('מדי '!$E:$E,MATCH($A27,'מדי '!$B:$B,0)),"")</f>
        <v>7.34090909090909</v>
      </c>
      <c r="H27" s="37" t="n">
        <f aca="false">IFERROR(INDEX('מדי '!$F:$F,MATCH($A27,'מדי '!$B:$B,0)),"")</f>
        <v>1.47492549590269</v>
      </c>
    </row>
    <row r="28" customFormat="false" ht="15" hidden="false" customHeight="false" outlineLevel="0" collapsed="false">
      <c r="A28" s="35" t="s">
        <v>27</v>
      </c>
      <c r="B28" s="36" t="str">
        <f aca="false">IF(AND(COUNTIF(ניו!$B:$B,$A28)&gt;0,COUNTIF('מדי '!$B:$B,$A28)&gt;0),"NZ + מדי",IF(COUNTIF(ניו!$B:$B,$A28)&gt;0,"NZ","מדי"))</f>
        <v>NZ + מדי</v>
      </c>
      <c r="C28" s="37" t="n">
        <f aca="false">IFERROR(INDEX(ניו!$C:$C,MATCH($A28,ניו!$B:$B,0)),IFERROR(INDEX('מדי '!$C:$C,MATCH($A28,'מדי '!$B:$B,0)),""))</f>
        <v>16.0358769230769</v>
      </c>
      <c r="D28" s="37" t="n">
        <f aca="false">IFERROR(INDEX(ניו!$D:$D,MATCH($A28,ניו!$B:$B,0)),"")</f>
        <v>9.1</v>
      </c>
      <c r="E28" s="37" t="n">
        <f aca="false">IFERROR(INDEX(ניו!$E:$E,MATCH($A28,ניו!$B:$B,0)),"")</f>
        <v>2.22451195972109</v>
      </c>
      <c r="F28" s="37" t="n">
        <f aca="false">IFERROR(INDEX('מדי '!$D:$D,MATCH($A28,'מדי '!$B:$B,0)),"")</f>
        <v>8.5</v>
      </c>
      <c r="G28" s="37" t="n">
        <f aca="false">IFERROR(INDEX('מדי '!$E:$E,MATCH($A28,'מדי '!$B:$B,0)),"")</f>
        <v>7.34090909090909</v>
      </c>
      <c r="H28" s="37" t="n">
        <f aca="false">IFERROR(INDEX('מדי '!$F:$F,MATCH($A28,'מדי '!$B:$B,0)),"")</f>
        <v>1.53356411829</v>
      </c>
    </row>
    <row r="29" customFormat="false" ht="15" hidden="false" customHeight="false" outlineLevel="0" collapsed="false">
      <c r="A29" s="35" t="s">
        <v>28</v>
      </c>
      <c r="B29" s="36" t="str">
        <f aca="false">IF(AND(COUNTIF(ניו!$B:$B,$A29)&gt;0,COUNTIF('מדי '!$B:$B,$A29)&gt;0),"NZ + מדי",IF(COUNTIF(ניו!$B:$B,$A29)&gt;0,"NZ","מדי"))</f>
        <v>NZ + מדי</v>
      </c>
      <c r="C29" s="37" t="n">
        <f aca="false">IFERROR(INDEX(ניו!$C:$C,MATCH($A29,ניו!$B:$B,0)),IFERROR(INDEX('מדי '!$C:$C,MATCH($A29,'מדי '!$B:$B,0)),""))</f>
        <v>21.5412032862439</v>
      </c>
      <c r="D29" s="37" t="n">
        <f aca="false">IFERROR(INDEX(ניו!$D:$D,MATCH($A29,ניו!$B:$B,0)),"")</f>
        <v>12</v>
      </c>
      <c r="E29" s="37" t="n">
        <f aca="false">IFERROR(INDEX(ניו!$E:$E,MATCH($A29,ניו!$B:$B,0)),"")</f>
        <v>2.18372202216018</v>
      </c>
      <c r="F29" s="37" t="n">
        <f aca="false">IFERROR(INDEX('מדי '!$D:$D,MATCH($A29,'מדי '!$B:$B,0)),"")</f>
        <v>10.35</v>
      </c>
      <c r="G29" s="37" t="n">
        <f aca="false">IFERROR(INDEX('מדי '!$E:$E,MATCH($A29,'מדי '!$B:$B,0)),"")</f>
        <v>8.93863636363636</v>
      </c>
      <c r="H29" s="37" t="n">
        <f aca="false">IFERROR(INDEX('מדי '!$F:$F,MATCH($A29,'מדי '!$B:$B,0)),"")</f>
        <v>1.39010023814706</v>
      </c>
    </row>
    <row r="30" customFormat="false" ht="15" hidden="false" customHeight="false" outlineLevel="0" collapsed="false">
      <c r="A30" s="35" t="s">
        <v>29</v>
      </c>
      <c r="B30" s="36" t="str">
        <f aca="false">IF(AND(COUNTIF(ניו!$B:$B,$A30)&gt;0,COUNTIF('מדי '!$B:$B,$A30)&gt;0),"NZ + מדי",IF(COUNTIF(ניו!$B:$B,$A30)&gt;0,"NZ","מדי"))</f>
        <v>NZ + מדי</v>
      </c>
      <c r="C30" s="37" t="n">
        <f aca="false">IFERROR(INDEX(ניו!$C:$C,MATCH($A30,ניו!$B:$B,0)),IFERROR(INDEX('מדי '!$C:$C,MATCH($A30,'מדי '!$B:$B,0)),""))</f>
        <v>15.1561054618649</v>
      </c>
      <c r="D30" s="37" t="n">
        <f aca="false">IFERROR(INDEX(ניו!$D:$D,MATCH($A30,ניו!$B:$B,0)),"")</f>
        <v>8.1</v>
      </c>
      <c r="E30" s="37" t="n">
        <f aca="false">IFERROR(INDEX(ניו!$E:$E,MATCH($A30,ניו!$B:$B,0)),"")</f>
        <v>2.09499729860636</v>
      </c>
      <c r="F30" s="37" t="n">
        <f aca="false">IFERROR(INDEX('מדי '!$D:$D,MATCH($A30,'מדי '!$B:$B,0)),"")</f>
        <v>7.9</v>
      </c>
      <c r="G30" s="37" t="n">
        <f aca="false">IFERROR(INDEX('מדי '!$E:$E,MATCH($A30,'מדי '!$B:$B,0)),"")</f>
        <v>6.82272727272727</v>
      </c>
      <c r="H30" s="37" t="n">
        <f aca="false">IFERROR(INDEX('מדי '!$F:$F,MATCH($A30,'מדי '!$B:$B,0)),"")</f>
        <v>1.50804812101275</v>
      </c>
    </row>
    <row r="31" customFormat="false" ht="15" hidden="false" customHeight="false" outlineLevel="0" collapsed="false">
      <c r="A31" s="35" t="s">
        <v>30</v>
      </c>
      <c r="B31" s="36" t="str">
        <f aca="false">IF(AND(COUNTIF(ניו!$B:$B,$A31)&gt;0,COUNTIF('מדי '!$B:$B,$A31)&gt;0),"NZ + מדי",IF(COUNTIF(ניו!$B:$B,$A31)&gt;0,"NZ","מדי"))</f>
        <v>NZ + מדי</v>
      </c>
      <c r="C31" s="37" t="n">
        <f aca="false">IFERROR(INDEX(ניו!$C:$C,MATCH($A31,ניו!$B:$B,0)),IFERROR(INDEX('מדי '!$C:$C,MATCH($A31,'מדי '!$B:$B,0)),""))</f>
        <v>15.7465959975858</v>
      </c>
      <c r="D31" s="37" t="n">
        <f aca="false">IFERROR(INDEX(ניו!$D:$D,MATCH($A31,ניו!$B:$B,0)),"")</f>
        <v>7.45</v>
      </c>
      <c r="E31" s="37" t="n">
        <f aca="false">IFERROR(INDEX(ניו!$E:$E,MATCH($A31,ניו!$B:$B,0)),"")</f>
        <v>1.85462305659442</v>
      </c>
      <c r="F31" s="37" t="n">
        <f aca="false">IFERROR(INDEX('מדי '!$D:$D,MATCH($A31,'מדי '!$B:$B,0)),"")</f>
        <v>8.11</v>
      </c>
      <c r="G31" s="37" t="n">
        <f aca="false">IFERROR(INDEX('מדי '!$E:$E,MATCH($A31,'מדי '!$B:$B,0)),"")</f>
        <v>7.00409090909091</v>
      </c>
      <c r="H31" s="37" t="n">
        <f aca="false">IFERROR(INDEX('מדי '!$F:$F,MATCH($A31,'מדי '!$B:$B,0)),"")</f>
        <v>1.49008106571426</v>
      </c>
    </row>
    <row r="32" customFormat="false" ht="15" hidden="false" customHeight="false" outlineLevel="0" collapsed="false">
      <c r="A32" s="35" t="s">
        <v>31</v>
      </c>
      <c r="B32" s="36" t="str">
        <f aca="false">IF(AND(COUNTIF(ניו!$B:$B,$A32)&gt;0,COUNTIF('מדי '!$B:$B,$A32)&gt;0),"NZ + מדי",IF(COUNTIF(ניו!$B:$B,$A32)&gt;0,"NZ","מדי"))</f>
        <v>NZ + מדי</v>
      </c>
      <c r="C32" s="37" t="n">
        <f aca="false">IFERROR(INDEX(ניו!$C:$C,MATCH($A32,ניו!$B:$B,0)),IFERROR(INDEX('מדי '!$C:$C,MATCH($A32,'מדי '!$B:$B,0)),""))</f>
        <v>5.8133768365053</v>
      </c>
      <c r="D32" s="37" t="n">
        <f aca="false">IFERROR(INDEX(ניו!$D:$D,MATCH($A32,ניו!$B:$B,0)),"")</f>
        <v>3.45</v>
      </c>
      <c r="E32" s="37" t="n">
        <f aca="false">IFERROR(INDEX(ניו!$E:$E,MATCH($A32,ניו!$B:$B,0)),"")</f>
        <v>2.32635873784675</v>
      </c>
      <c r="F32" s="37" t="n">
        <f aca="false">IFERROR(INDEX('מדי '!$D:$D,MATCH($A32,'מדי '!$B:$B,0)),"")</f>
        <v>3.4</v>
      </c>
      <c r="G32" s="37" t="n">
        <f aca="false">IFERROR(INDEX('מדי '!$E:$E,MATCH($A32,'מדי '!$B:$B,0)),"")</f>
        <v>2.93636363636364</v>
      </c>
      <c r="H32" s="37" t="n">
        <f aca="false">IFERROR(INDEX('מדי '!$F:$F,MATCH($A32,'מדי '!$B:$B,0)),"")</f>
        <v>1.69210055677925</v>
      </c>
    </row>
    <row r="33" customFormat="false" ht="15" hidden="false" customHeight="false" outlineLevel="0" collapsed="false">
      <c r="A33" s="35" t="s">
        <v>32</v>
      </c>
      <c r="B33" s="36" t="str">
        <f aca="false">IF(AND(COUNTIF(ניו!$B:$B,$A33)&gt;0,COUNTIF('מדי '!$B:$B,$A33)&gt;0),"NZ + מדי",IF(COUNTIF(ניו!$B:$B,$A33)&gt;0,"NZ","מדי"))</f>
        <v>NZ + מדי</v>
      </c>
      <c r="C33" s="37" t="n">
        <f aca="false">IFERROR(INDEX(ניו!$C:$C,MATCH($A33,ניו!$B:$B,0)),IFERROR(INDEX('מדי '!$C:$C,MATCH($A33,'מדי '!$B:$B,0)),""))</f>
        <v>4.94523146216575</v>
      </c>
      <c r="D33" s="37" t="n">
        <f aca="false">IFERROR(INDEX(ניו!$D:$D,MATCH($A33,ניו!$B:$B,0)),"")</f>
        <v>2.8</v>
      </c>
      <c r="E33" s="37" t="n">
        <f aca="false">IFERROR(INDEX(ניו!$E:$E,MATCH($A33,ניו!$B:$B,0)),"")</f>
        <v>2.2195118841198</v>
      </c>
      <c r="F33" s="37" t="n">
        <f aca="false">IFERROR(INDEX('מדי '!$D:$D,MATCH($A33,'מדי '!$B:$B,0)),"")</f>
        <v>2.5</v>
      </c>
      <c r="G33" s="37" t="n">
        <f aca="false">IFERROR(INDEX('מדי '!$E:$E,MATCH($A33,'מדי '!$B:$B,0)),"")</f>
        <v>2.15909090909091</v>
      </c>
      <c r="H33" s="37" t="n">
        <f aca="false">IFERROR(INDEX('מדי '!$F:$F,MATCH($A33,'מדי '!$B:$B,0)),"")</f>
        <v>1.46261193248312</v>
      </c>
    </row>
    <row r="34" customFormat="false" ht="15" hidden="false" customHeight="false" outlineLevel="0" collapsed="false">
      <c r="A34" s="35" t="s">
        <v>33</v>
      </c>
      <c r="B34" s="36" t="str">
        <f aca="false">IF(AND(COUNTIF(ניו!$B:$B,$A34)&gt;0,COUNTIF('מדי '!$B:$B,$A34)&gt;0),"NZ + מדי",IF(COUNTIF(ניו!$B:$B,$A34)&gt;0,"NZ","מדי"))</f>
        <v>NZ + מדי</v>
      </c>
      <c r="C34" s="37" t="n">
        <f aca="false">IFERROR(INDEX(ניו!$C:$C,MATCH($A34,ניו!$B:$B,0)),IFERROR(INDEX('מדי '!$C:$C,MATCH($A34,'מדי '!$B:$B,0)),""))</f>
        <v>6.80602512680537</v>
      </c>
      <c r="D34" s="37" t="n">
        <f aca="false">IFERROR(INDEX(ניו!$D:$D,MATCH($A34,ניו!$B:$B,0)),"")</f>
        <v>4.25</v>
      </c>
      <c r="E34" s="37" t="n">
        <f aca="false">IFERROR(INDEX(ניו!$E:$E,MATCH($A34,ניו!$B:$B,0)),"")</f>
        <v>2.44783110400004</v>
      </c>
      <c r="F34" s="37" t="n">
        <f aca="false">IFERROR(INDEX('מדי '!$D:$D,MATCH($A34,'מדי '!$B:$B,0)),"")</f>
        <v>3.6</v>
      </c>
      <c r="G34" s="37" t="n">
        <f aca="false">IFERROR(INDEX('מדי '!$E:$E,MATCH($A34,'מדי '!$B:$B,0)),"")</f>
        <v>3.10909090909091</v>
      </c>
      <c r="H34" s="37" t="n">
        <f aca="false">IFERROR(INDEX('מדי '!$F:$F,MATCH($A34,'מדי '!$B:$B,0)),"")</f>
        <v>1.53032854733867</v>
      </c>
    </row>
    <row r="35" customFormat="false" ht="15" hidden="false" customHeight="false" outlineLevel="0" collapsed="false">
      <c r="A35" s="35" t="s">
        <v>34</v>
      </c>
      <c r="B35" s="36" t="str">
        <f aca="false">IF(AND(COUNTIF(ניו!$B:$B,$A35)&gt;0,COUNTIF('מדי '!$B:$B,$A35)&gt;0),"NZ + מדי",IF(COUNTIF(ניו!$B:$B,$A35)&gt;0,"NZ","מדי"))</f>
        <v>NZ + מדי</v>
      </c>
      <c r="C35" s="37" t="n">
        <f aca="false">IFERROR(INDEX(ניו!$C:$C,MATCH($A35,ניו!$B:$B,0)),IFERROR(INDEX('מדי '!$C:$C,MATCH($A35,'מדי '!$B:$B,0)),""))</f>
        <v>4.2736124145467</v>
      </c>
      <c r="D35" s="37" t="n">
        <f aca="false">IFERROR(INDEX(ניו!$D:$D,MATCH($A35,ניו!$B:$B,0)),"")</f>
        <v>2.25</v>
      </c>
      <c r="E35" s="37" t="n">
        <f aca="false">IFERROR(INDEX(ניו!$E:$E,MATCH($A35,ניו!$B:$B,0)),"")</f>
        <v>2.06382777483005</v>
      </c>
      <c r="F35" s="37" t="n">
        <f aca="false">IFERROR(INDEX('מדי '!$D:$D,MATCH($A35,'מדי '!$B:$B,0)),"")</f>
        <v>2.15</v>
      </c>
      <c r="G35" s="37" t="n">
        <f aca="false">IFERROR(INDEX('מדי '!$E:$E,MATCH($A35,'מדי '!$B:$B,0)),"")</f>
        <v>1.85681818181818</v>
      </c>
      <c r="H35" s="37" t="n">
        <f aca="false">IFERROR(INDEX('מדי '!$F:$F,MATCH($A35,'מדי '!$B:$B,0)),"")</f>
        <v>1.45552294071354</v>
      </c>
    </row>
    <row r="36" customFormat="false" ht="15" hidden="false" customHeight="false" outlineLevel="0" collapsed="false">
      <c r="A36" s="38" t="s">
        <v>35</v>
      </c>
      <c r="B36" s="39" t="str">
        <f aca="false">IF(AND(COUNTIF(ניו!$B:$B,$A36)&gt;0,COUNTIF('מדי '!$B:$B,$A36)&gt;0),"NZ + מדי",IF(COUNTIF(ניו!$B:$B,$A36)&gt;0,"NZ","מדי"))</f>
        <v>NZ</v>
      </c>
      <c r="C36" s="40" t="n">
        <f aca="false">IFERROR(INDEX(ניו!$C:$C,MATCH($A36,ניו!$B:$B,0)),IFERROR(INDEX('מדי '!$C:$C,MATCH($A36,'מדי '!$B:$B,0)),""))</f>
        <v>12.3342374923123</v>
      </c>
      <c r="D36" s="40" t="n">
        <f aca="false">IFERROR(INDEX(ניו!$D:$D,MATCH($A36,ניו!$B:$B,0)),"")</f>
        <v>6.5</v>
      </c>
      <c r="E36" s="40" t="n">
        <f aca="false">IFERROR(INDEX(ניו!$E:$E,MATCH($A36,ניו!$B:$B,0)),"")</f>
        <v>2.06579450216369</v>
      </c>
      <c r="F36" s="40" t="str">
        <f aca="false">IFERROR(INDEX('מדי '!$D:$D,MATCH($A36,'מדי '!$B:$B,0)),"")</f>
        <v/>
      </c>
      <c r="G36" s="40" t="str">
        <f aca="false">IFERROR(INDEX('מדי '!$E:$E,MATCH($A36,'מדי '!$B:$B,0)),"")</f>
        <v/>
      </c>
      <c r="H36" s="40" t="str">
        <f aca="false">IFERROR(INDEX('מדי '!$F:$F,MATCH($A36,'מדי '!$B:$B,0)),"")</f>
        <v/>
      </c>
    </row>
    <row r="37" customFormat="false" ht="15" hidden="false" customHeight="false" outlineLevel="0" collapsed="false">
      <c r="A37" s="35" t="s">
        <v>36</v>
      </c>
      <c r="B37" s="36" t="str">
        <f aca="false">IF(AND(COUNTIF(ניו!$B:$B,$A37)&gt;0,COUNTIF('מדי '!$B:$B,$A37)&gt;0),"NZ + מדי",IF(COUNTIF(ניו!$B:$B,$A37)&gt;0,"NZ","מדי"))</f>
        <v>NZ + מדי</v>
      </c>
      <c r="C37" s="37" t="n">
        <f aca="false">IFERROR(INDEX(ניו!$C:$C,MATCH($A37,ניו!$B:$B,0)),IFERROR(INDEX('מדי '!$C:$C,MATCH($A37,'מדי '!$B:$B,0)),""))</f>
        <v>19.2318953616916</v>
      </c>
      <c r="D37" s="37" t="n">
        <f aca="false">IFERROR(INDEX(ניו!$D:$D,MATCH($A37,ניו!$B:$B,0)),"")</f>
        <v>8.65</v>
      </c>
      <c r="E37" s="37" t="n">
        <f aca="false">IFERROR(INDEX(ניו!$E:$E,MATCH($A37,ניו!$B:$B,0)),"")</f>
        <v>1.76311275421881</v>
      </c>
      <c r="F37" s="37" t="n">
        <f aca="false">IFERROR(INDEX('מדי '!$D:$D,MATCH($A37,'מדי '!$B:$B,0)),"")</f>
        <v>10.45</v>
      </c>
      <c r="G37" s="37" t="n">
        <f aca="false">IFERROR(INDEX('מדי '!$E:$E,MATCH($A37,'מדי '!$B:$B,0)),"")</f>
        <v>9.025</v>
      </c>
      <c r="H37" s="37" t="n">
        <f aca="false">IFERROR(INDEX('מדי '!$F:$F,MATCH($A37,'מדי '!$B:$B,0)),"")</f>
        <v>1.57206294186808</v>
      </c>
    </row>
    <row r="38" customFormat="false" ht="15" hidden="false" customHeight="false" outlineLevel="0" collapsed="false">
      <c r="A38" s="38" t="s">
        <v>37</v>
      </c>
      <c r="B38" s="39" t="str">
        <f aca="false">IF(AND(COUNTIF(ניו!$B:$B,$A38)&gt;0,COUNTIF('מדי '!$B:$B,$A38)&gt;0),"NZ + מדי",IF(COUNTIF(ניו!$B:$B,$A38)&gt;0,"NZ","מדי"))</f>
        <v>NZ</v>
      </c>
      <c r="C38" s="40" t="n">
        <f aca="false">IFERROR(INDEX(ניו!$C:$C,MATCH($A38,ניו!$B:$B,0)),IFERROR(INDEX('מדי '!$C:$C,MATCH($A38,'מדי '!$B:$B,0)),""))</f>
        <v>17.0632608081552</v>
      </c>
      <c r="D38" s="40" t="n">
        <f aca="false">IFERROR(INDEX(ניו!$D:$D,MATCH($A38,ניו!$B:$B,0)),"")</f>
        <v>8.65</v>
      </c>
      <c r="E38" s="40" t="n">
        <f aca="false">IFERROR(INDEX(ניו!$E:$E,MATCH($A38,ניו!$B:$B,0)),"")</f>
        <v>1.98719344334198</v>
      </c>
      <c r="F38" s="40" t="str">
        <f aca="false">IFERROR(INDEX('מדי '!$D:$D,MATCH($A38,'מדי '!$B:$B,0)),"")</f>
        <v/>
      </c>
      <c r="G38" s="40" t="str">
        <f aca="false">IFERROR(INDEX('מדי '!$E:$E,MATCH($A38,'מדי '!$B:$B,0)),"")</f>
        <v/>
      </c>
      <c r="H38" s="40" t="str">
        <f aca="false">IFERROR(INDEX('מדי '!$F:$F,MATCH($A38,'מדי '!$B:$B,0)),"")</f>
        <v/>
      </c>
    </row>
    <row r="39" customFormat="false" ht="15" hidden="false" customHeight="false" outlineLevel="0" collapsed="false">
      <c r="A39" s="38" t="s">
        <v>38</v>
      </c>
      <c r="B39" s="39" t="str">
        <f aca="false">IF(AND(COUNTIF(ניו!$B:$B,$A39)&gt;0,COUNTIF('מדי '!$B:$B,$A39)&gt;0),"NZ + מדי",IF(COUNTIF(ניו!$B:$B,$A39)&gt;0,"NZ","מדי"))</f>
        <v>NZ</v>
      </c>
      <c r="C39" s="40" t="n">
        <f aca="false">IFERROR(INDEX(ניו!$C:$C,MATCH($A39,ניו!$B:$B,0)),IFERROR(INDEX('מדי '!$C:$C,MATCH($A39,'מדי '!$B:$B,0)),""))</f>
        <v>17.4320617340811</v>
      </c>
      <c r="D39" s="40" t="n">
        <f aca="false">IFERROR(INDEX(ניו!$D:$D,MATCH($A39,ניו!$B:$B,0)),"")</f>
        <v>9.15</v>
      </c>
      <c r="E39" s="40" t="n">
        <f aca="false">IFERROR(INDEX(ניו!$E:$E,MATCH($A39,ניו!$B:$B,0)),"")</f>
        <v>2.05758794037972</v>
      </c>
      <c r="F39" s="40" t="str">
        <f aca="false">IFERROR(INDEX('מדי '!$D:$D,MATCH($A39,'מדי '!$B:$B,0)),"")</f>
        <v/>
      </c>
      <c r="G39" s="40" t="str">
        <f aca="false">IFERROR(INDEX('מדי '!$E:$E,MATCH($A39,'מדי '!$B:$B,0)),"")</f>
        <v/>
      </c>
      <c r="H39" s="40" t="str">
        <f aca="false">IFERROR(INDEX('מדי '!$F:$F,MATCH($A39,'מדי '!$B:$B,0)),"")</f>
        <v/>
      </c>
    </row>
    <row r="40" customFormat="false" ht="15" hidden="false" customHeight="false" outlineLevel="0" collapsed="false">
      <c r="A40" s="35" t="n">
        <v>35</v>
      </c>
      <c r="B40" s="36" t="str">
        <f aca="false">IF(AND(COUNTIF(ניו!$B:$B,$A40)&gt;0,COUNTIF('מדי '!$B:$B,$A40)&gt;0),"NZ + מדי",IF(COUNTIF(ניו!$B:$B,$A40)&gt;0,"NZ","מדי"))</f>
        <v>NZ + מדי</v>
      </c>
      <c r="C40" s="37" t="n">
        <f aca="false">IFERROR(INDEX(ניו!$C:$C,MATCH($A40,ניו!$B:$B,0)),IFERROR(INDEX('מדי '!$C:$C,MATCH($A40,'מדי '!$B:$B,0)),""))</f>
        <v>6.64823884286583</v>
      </c>
      <c r="D40" s="37" t="n">
        <f aca="false">IFERROR(INDEX(ניו!$D:$D,MATCH($A40,ניו!$B:$B,0)),"")</f>
        <v>3.55</v>
      </c>
      <c r="E40" s="37" t="n">
        <f aca="false">IFERROR(INDEX(ניו!$E:$E,MATCH($A40,ניו!$B:$B,0)),"")</f>
        <v>2.09318592922292</v>
      </c>
      <c r="F40" s="37" t="n">
        <f aca="false">IFERROR(INDEX('מדי '!$D:$D,MATCH($A40,'מדי '!$B:$B,0)),"")</f>
        <v>3.85</v>
      </c>
      <c r="G40" s="37" t="n">
        <f aca="false">IFERROR(INDEX('מדי '!$E:$E,MATCH($A40,'מדי '!$B:$B,0)),"")</f>
        <v>3.325</v>
      </c>
      <c r="H40" s="37" t="n">
        <f aca="false">IFERROR(INDEX('מדי '!$F:$F,MATCH($A40,'מדי '!$B:$B,0)),"")</f>
        <v>1.67544371724143</v>
      </c>
    </row>
    <row r="41" customFormat="false" ht="15" hidden="false" customHeight="false" outlineLevel="0" collapsed="false">
      <c r="A41" s="38" t="s">
        <v>39</v>
      </c>
      <c r="B41" s="39" t="str">
        <f aca="false">IF(AND(COUNTIF(ניו!$B:$B,$A41)&gt;0,COUNTIF('מדי '!$B:$B,$A41)&gt;0),"NZ + מדי",IF(COUNTIF(ניו!$B:$B,$A41)&gt;0,"NZ","מדי"))</f>
        <v>NZ</v>
      </c>
      <c r="C41" s="40" t="n">
        <f aca="false">IFERROR(INDEX(ניו!$C:$C,MATCH($A41,ניו!$B:$B,0)),IFERROR(INDEX('מדי '!$C:$C,MATCH($A41,'מדי '!$B:$B,0)),""))</f>
        <v>6.84268275978265</v>
      </c>
      <c r="D41" s="40" t="n">
        <f aca="false">IFERROR(INDEX(ניו!$D:$D,MATCH($A41,ניו!$B:$B,0)),"")</f>
        <v>3.55</v>
      </c>
      <c r="E41" s="40" t="n">
        <f aca="false">IFERROR(INDEX(ניו!$E:$E,MATCH($A41,ניו!$B:$B,0)),"")</f>
        <v>2.0337052715333</v>
      </c>
      <c r="F41" s="40" t="str">
        <f aca="false">IFERROR(INDEX('מדי '!$D:$D,MATCH($A41,'מדי '!$B:$B,0)),"")</f>
        <v/>
      </c>
      <c r="G41" s="40" t="str">
        <f aca="false">IFERROR(INDEX('מדי '!$E:$E,MATCH($A41,'מדי '!$B:$B,0)),"")</f>
        <v/>
      </c>
      <c r="H41" s="40" t="str">
        <f aca="false">IFERROR(INDEX('מדי '!$F:$F,MATCH($A41,'מדי '!$B:$B,0)),"")</f>
        <v/>
      </c>
    </row>
    <row r="42" customFormat="false" ht="15" hidden="false" customHeight="false" outlineLevel="0" collapsed="false">
      <c r="A42" s="38" t="s">
        <v>40</v>
      </c>
      <c r="B42" s="39" t="str">
        <f aca="false">IF(AND(COUNTIF(ניו!$B:$B,$A42)&gt;0,COUNTIF('מדי '!$B:$B,$A42)&gt;0),"NZ + מדי",IF(COUNTIF(ניו!$B:$B,$A42)&gt;0,"NZ","מדי"))</f>
        <v>NZ</v>
      </c>
      <c r="C42" s="40" t="n">
        <f aca="false">IFERROR(INDEX(ניו!$C:$C,MATCH($A42,ניו!$B:$B,0)),IFERROR(INDEX('מדי '!$C:$C,MATCH($A42,'מדי '!$B:$B,0)),""))</f>
        <v>6.84268275978265</v>
      </c>
      <c r="D42" s="40" t="n">
        <f aca="false">IFERROR(INDEX(ניו!$D:$D,MATCH($A42,ניו!$B:$B,0)),"")</f>
        <v>3.55</v>
      </c>
      <c r="E42" s="40" t="n">
        <f aca="false">IFERROR(INDEX(ניו!$E:$E,MATCH($A42,ניו!$B:$B,0)),"")</f>
        <v>2.0337052715333</v>
      </c>
      <c r="F42" s="40" t="str">
        <f aca="false">IFERROR(INDEX('מדי '!$D:$D,MATCH($A42,'מדי '!$B:$B,0)),"")</f>
        <v/>
      </c>
      <c r="G42" s="40" t="str">
        <f aca="false">IFERROR(INDEX('מדי '!$E:$E,MATCH($A42,'מדי '!$B:$B,0)),"")</f>
        <v/>
      </c>
      <c r="H42" s="40" t="str">
        <f aca="false">IFERROR(INDEX('מדי '!$F:$F,MATCH($A42,'מדי '!$B:$B,0)),"")</f>
        <v/>
      </c>
    </row>
    <row r="43" customFormat="false" ht="15" hidden="false" customHeight="false" outlineLevel="0" collapsed="false">
      <c r="A43" s="35" t="s">
        <v>41</v>
      </c>
      <c r="B43" s="36" t="str">
        <f aca="false">IF(AND(COUNTIF(ניו!$B:$B,$A43)&gt;0,COUNTIF('מדי '!$B:$B,$A43)&gt;0),"NZ + מדי",IF(COUNTIF(ניו!$B:$B,$A43)&gt;0,"NZ","מדי"))</f>
        <v>NZ + מדי</v>
      </c>
      <c r="C43" s="37" t="n">
        <f aca="false">IFERROR(INDEX(ניו!$C:$C,MATCH($A43,ניו!$B:$B,0)),IFERROR(INDEX('מדי '!$C:$C,MATCH($A43,'מדי '!$B:$B,0)),""))</f>
        <v>17.7954467015137</v>
      </c>
      <c r="D43" s="37" t="n">
        <f aca="false">IFERROR(INDEX(ניו!$D:$D,MATCH($A43,ניו!$B:$B,0)),"")</f>
        <v>9.1</v>
      </c>
      <c r="E43" s="37" t="n">
        <f aca="false">IFERROR(INDEX(ניו!$E:$E,MATCH($A43,ניו!$B:$B,0)),"")</f>
        <v>2.00455771627052</v>
      </c>
      <c r="F43" s="37" t="n">
        <f aca="false">IFERROR(INDEX('מדי '!$D:$D,MATCH($A43,'מדי '!$B:$B,0)),"")</f>
        <v>9.36</v>
      </c>
      <c r="G43" s="37" t="n">
        <f aca="false">IFERROR(INDEX('מדי '!$E:$E,MATCH($A43,'מדי '!$B:$B,0)),"")</f>
        <v>8.08363636363636</v>
      </c>
      <c r="H43" s="37" t="n">
        <f aca="false">IFERROR(INDEX('מדי '!$F:$F,MATCH($A43,'מדי '!$B:$B,0)),"")</f>
        <v>1.52174779719794</v>
      </c>
    </row>
    <row r="44" customFormat="false" ht="15" hidden="false" customHeight="false" outlineLevel="0" collapsed="false">
      <c r="A44" s="35" t="n">
        <v>362</v>
      </c>
      <c r="B44" s="36" t="str">
        <f aca="false">IF(AND(COUNTIF(ניו!$B:$B,$A44)&gt;0,COUNTIF('מדי '!$B:$B,$A44)&gt;0),"NZ + מדי",IF(COUNTIF(ניו!$B:$B,$A44)&gt;0,"NZ","מדי"))</f>
        <v>NZ + מדי</v>
      </c>
      <c r="C44" s="37" t="n">
        <f aca="false">IFERROR(INDEX(ניו!$C:$C,MATCH($A44,ניו!$B:$B,0)),IFERROR(INDEX('מדי '!$C:$C,MATCH($A44,'מדי '!$B:$B,0)),""))</f>
        <v>8.756561543815</v>
      </c>
      <c r="D44" s="37" t="n">
        <f aca="false">IFERROR(INDEX(ניו!$D:$D,MATCH($A44,ניו!$B:$B,0)),"")</f>
        <v>4.9</v>
      </c>
      <c r="E44" s="37" t="n">
        <f aca="false">IFERROR(INDEX(ניו!$E:$E,MATCH($A44,ניו!$B:$B,0)),"")</f>
        <v>2.19355507340289</v>
      </c>
      <c r="F44" s="37" t="n">
        <f aca="false">IFERROR(INDEX('מדי '!$D:$D,MATCH($A44,'מדי '!$B:$B,0)),"")</f>
        <v>4.35</v>
      </c>
      <c r="G44" s="37" t="n">
        <f aca="false">IFERROR(INDEX('מדי '!$E:$E,MATCH($A44,'מדי '!$B:$B,0)),"")</f>
        <v>3.75681818181818</v>
      </c>
      <c r="H44" s="37" t="n">
        <f aca="false">IFERROR(INDEX('מדי '!$F:$F,MATCH($A44,'מדי '!$B:$B,0)),"")</f>
        <v>1.43724689721164</v>
      </c>
    </row>
    <row r="45" customFormat="false" ht="15" hidden="false" customHeight="false" outlineLevel="0" collapsed="false">
      <c r="A45" s="38" t="s">
        <v>42</v>
      </c>
      <c r="B45" s="39" t="str">
        <f aca="false">IF(AND(COUNTIF(ניו!$B:$B,$A45)&gt;0,COUNTIF('מדי '!$B:$B,$A45)&gt;0),"NZ + מדי",IF(COUNTIF(ניו!$B:$B,$A45)&gt;0,"NZ","מדי"))</f>
        <v>NZ</v>
      </c>
      <c r="C45" s="40" t="n">
        <f aca="false">IFERROR(INDEX(ניו!$C:$C,MATCH($A45,ניו!$B:$B,0)),IFERROR(INDEX('מדי '!$C:$C,MATCH($A45,'מדי '!$B:$B,0)),""))</f>
        <v>9.4336351984054</v>
      </c>
      <c r="D45" s="40" t="n">
        <f aca="false">IFERROR(INDEX(ניו!$D:$D,MATCH($A45,ניו!$B:$B,0)),"")</f>
        <v>5.45</v>
      </c>
      <c r="E45" s="40" t="n">
        <f aca="false">IFERROR(INDEX(ניו!$E:$E,MATCH($A45,ניו!$B:$B,0)),"")</f>
        <v>2.26466251351454</v>
      </c>
      <c r="F45" s="40" t="str">
        <f aca="false">IFERROR(INDEX('מדי '!$D:$D,MATCH($A45,'מדי '!$B:$B,0)),"")</f>
        <v/>
      </c>
      <c r="G45" s="40" t="str">
        <f aca="false">IFERROR(INDEX('מדי '!$E:$E,MATCH($A45,'מדי '!$B:$B,0)),"")</f>
        <v/>
      </c>
      <c r="H45" s="40" t="str">
        <f aca="false">IFERROR(INDEX('מדי '!$F:$F,MATCH($A45,'מדי '!$B:$B,0)),"")</f>
        <v/>
      </c>
    </row>
    <row r="46" customFormat="false" ht="15" hidden="false" customHeight="false" outlineLevel="0" collapsed="false">
      <c r="A46" s="35" t="s">
        <v>43</v>
      </c>
      <c r="B46" s="36" t="str">
        <f aca="false">IF(AND(COUNTIF(ניו!$B:$B,$A46)&gt;0,COUNTIF('מדי '!$B:$B,$A46)&gt;0),"NZ + מדי",IF(COUNTIF(ניו!$B:$B,$A46)&gt;0,"NZ","מדי"))</f>
        <v>NZ + מדי</v>
      </c>
      <c r="C46" s="37" t="n">
        <f aca="false">IFERROR(INDEX(ניו!$C:$C,MATCH($A46,ניו!$B:$B,0)),IFERROR(INDEX('מדי '!$C:$C,MATCH($A46,'מדי '!$B:$B,0)),""))</f>
        <v>8.87798722759801</v>
      </c>
      <c r="D46" s="37" t="n">
        <f aca="false">IFERROR(INDEX(ניו!$D:$D,MATCH($A46,ניו!$B:$B,0)),"")</f>
        <v>5.1</v>
      </c>
      <c r="E46" s="37" t="n">
        <f aca="false">IFERROR(INDEX(ניו!$E:$E,MATCH($A46,ניו!$B:$B,0)),"")</f>
        <v>2.2518617663532</v>
      </c>
      <c r="F46" s="37" t="n">
        <f aca="false">IFERROR(INDEX('מדי '!$D:$D,MATCH($A46,'מדי '!$B:$B,0)),"")</f>
        <v>4.4</v>
      </c>
      <c r="G46" s="37" t="n">
        <f aca="false">IFERROR(INDEX('מדי '!$E:$E,MATCH($A46,'מדי '!$B:$B,0)),"")</f>
        <v>3.8</v>
      </c>
      <c r="H46" s="37" t="n">
        <f aca="false">IFERROR(INDEX('מדי '!$F:$F,MATCH($A46,'מדי '!$B:$B,0)),"")</f>
        <v>1.4338835677109</v>
      </c>
    </row>
    <row r="47" customFormat="false" ht="15" hidden="false" customHeight="false" outlineLevel="0" collapsed="false">
      <c r="A47" s="35" t="n">
        <v>363</v>
      </c>
      <c r="B47" s="36" t="str">
        <f aca="false">IF(AND(COUNTIF(ניו!$B:$B,$A47)&gt;0,COUNTIF('מדי '!$B:$B,$A47)&gt;0),"NZ + מדי",IF(COUNTIF(ניו!$B:$B,$A47)&gt;0,"NZ","מדי"))</f>
        <v>NZ + מדי</v>
      </c>
      <c r="C47" s="37" t="n">
        <f aca="false">IFERROR(INDEX(ניו!$C:$C,MATCH($A47,ניו!$B:$B,0)),IFERROR(INDEX('מדי '!$C:$C,MATCH($A47,'מדי '!$B:$B,0)),""))</f>
        <v>6.56252677542423</v>
      </c>
      <c r="D47" s="37" t="n">
        <f aca="false">IFERROR(INDEX(ניו!$D:$D,MATCH($A47,ניו!$B:$B,0)),"")</f>
        <v>3.65</v>
      </c>
      <c r="E47" s="37" t="n">
        <f aca="false">IFERROR(INDEX(ניו!$E:$E,MATCH($A47,ניו!$B:$B,0)),"")</f>
        <v>2.18025777107402</v>
      </c>
      <c r="F47" s="37" t="n">
        <f aca="false">IFERROR(INDEX('מדי '!$D:$D,MATCH($A47,'מדי '!$B:$B,0)),"")</f>
        <v>3.89</v>
      </c>
      <c r="G47" s="37" t="n">
        <f aca="false">IFERROR(INDEX('מדי '!$E:$E,MATCH($A47,'מדי '!$B:$B,0)),"")</f>
        <v>3.35954545454545</v>
      </c>
      <c r="H47" s="37" t="n">
        <f aca="false">IFERROR(INDEX('מדי '!$F:$F,MATCH($A47,'מדי '!$B:$B,0)),"")</f>
        <v>1.71496096821635</v>
      </c>
    </row>
    <row r="48" customFormat="false" ht="15" hidden="false" customHeight="false" outlineLevel="0" collapsed="false">
      <c r="A48" s="35" t="s">
        <v>44</v>
      </c>
      <c r="B48" s="36" t="str">
        <f aca="false">IF(AND(COUNTIF(ניו!$B:$B,$A48)&gt;0,COUNTIF('מדי '!$B:$B,$A48)&gt;0),"NZ + מדי",IF(COUNTIF(ניו!$B:$B,$A48)&gt;0,"NZ","מדי"))</f>
        <v>NZ + מדי</v>
      </c>
      <c r="C48" s="37" t="n">
        <f aca="false">IFERROR(INDEX(ניו!$C:$C,MATCH($A48,ניו!$B:$B,0)),IFERROR(INDEX('מדי '!$C:$C,MATCH($A48,'מדי '!$B:$B,0)),""))</f>
        <v>2.94564574788004</v>
      </c>
      <c r="D48" s="37" t="n">
        <f aca="false">IFERROR(INDEX(ניו!$D:$D,MATCH($A48,ניו!$B:$B,0)),"")</f>
        <v>1.8</v>
      </c>
      <c r="E48" s="37" t="n">
        <f aca="false">IFERROR(INDEX(ניו!$E:$E,MATCH($A48,ניו!$B:$B,0)),"")</f>
        <v>2.39540005958903</v>
      </c>
      <c r="F48" s="37" t="n">
        <f aca="false">IFERROR(INDEX('מדי '!$D:$D,MATCH($A48,'מדי '!$B:$B,0)),"")</f>
        <v>3.28</v>
      </c>
      <c r="G48" s="37" t="n">
        <f aca="false">IFERROR(INDEX('מדי '!$E:$E,MATCH($A48,'מדי '!$B:$B,0)),"")</f>
        <v>2.83272727272727</v>
      </c>
      <c r="H48" s="37" t="n">
        <f aca="false">IFERROR(INDEX('מדי '!$F:$F,MATCH($A48,'מדי '!$B:$B,0)),"")</f>
        <v>3.22158099644738</v>
      </c>
    </row>
    <row r="49" customFormat="false" ht="15" hidden="false" customHeight="false" outlineLevel="0" collapsed="false">
      <c r="A49" s="35" t="s">
        <v>45</v>
      </c>
      <c r="B49" s="36" t="str">
        <f aca="false">IF(AND(COUNTIF(ניו!$B:$B,$A49)&gt;0,COUNTIF('מדי '!$B:$B,$A49)&gt;0),"NZ + מדי",IF(COUNTIF(ניו!$B:$B,$A49)&gt;0,"NZ","מדי"))</f>
        <v>NZ + מדי</v>
      </c>
      <c r="C49" s="37" t="n">
        <f aca="false">IFERROR(INDEX(ניו!$C:$C,MATCH($A49,ניו!$B:$B,0)),IFERROR(INDEX('מדי '!$C:$C,MATCH($A49,'מדי '!$B:$B,0)),""))</f>
        <v>3.47474574788004</v>
      </c>
      <c r="D49" s="37" t="n">
        <f aca="false">IFERROR(INDEX(ניו!$D:$D,MATCH($A49,ניו!$B:$B,0)),"")</f>
        <v>1.8</v>
      </c>
      <c r="E49" s="37" t="n">
        <f aca="false">IFERROR(INDEX(ניו!$E:$E,MATCH($A49,ניו!$B:$B,0)),"")</f>
        <v>2.03065217197687</v>
      </c>
      <c r="F49" s="37" t="n">
        <f aca="false">IFERROR(INDEX('מדי '!$D:$D,MATCH($A49,'מדי '!$B:$B,0)),"")</f>
        <v>1.91</v>
      </c>
      <c r="G49" s="37" t="n">
        <f aca="false">IFERROR(INDEX('מדי '!$E:$E,MATCH($A49,'מדי '!$B:$B,0)),"")</f>
        <v>1.64954545454545</v>
      </c>
      <c r="H49" s="37" t="n">
        <f aca="false">IFERROR(INDEX('מדי '!$F:$F,MATCH($A49,'מדי '!$B:$B,0)),"")</f>
        <v>1.59032564500545</v>
      </c>
    </row>
    <row r="50" customFormat="false" ht="15" hidden="false" customHeight="false" outlineLevel="0" collapsed="false">
      <c r="A50" s="35" t="s">
        <v>46</v>
      </c>
      <c r="B50" s="36" t="str">
        <f aca="false">IF(AND(COUNTIF(ניו!$B:$B,$A50)&gt;0,COUNTIF('מדי '!$B:$B,$A50)&gt;0),"NZ + מדי",IF(COUNTIF(ניו!$B:$B,$A50)&gt;0,"NZ","מדי"))</f>
        <v>NZ + מדי</v>
      </c>
      <c r="C50" s="37" t="n">
        <f aca="false">IFERROR(INDEX(ניו!$C:$C,MATCH($A50,ניו!$B:$B,0)),IFERROR(INDEX('מדי '!$C:$C,MATCH($A50,'מדי '!$B:$B,0)),""))</f>
        <v>4.21538644196133</v>
      </c>
      <c r="D50" s="37" t="n">
        <f aca="false">IFERROR(INDEX(ניו!$D:$D,MATCH($A50,ניו!$B:$B,0)),"")</f>
        <v>2.15</v>
      </c>
      <c r="E50" s="37" t="n">
        <f aca="false">IFERROR(INDEX(ניו!$E:$E,MATCH($A50,ניו!$B:$B,0)),"")</f>
        <v>1.99934219935448</v>
      </c>
      <c r="F50" s="37" t="n">
        <f aca="false">IFERROR(INDEX('מדי '!$D:$D,MATCH($A50,'מדי '!$B:$B,0)),"")</f>
        <v>2.28</v>
      </c>
      <c r="G50" s="37" t="n">
        <f aca="false">IFERROR(INDEX('מדי '!$E:$E,MATCH($A50,'מדי '!$B:$B,0)),"")</f>
        <v>1.96909090909091</v>
      </c>
      <c r="H50" s="37" t="n">
        <f aca="false">IFERROR(INDEX('מדי '!$F:$F,MATCH($A50,'מדי '!$B:$B,0)),"")</f>
        <v>1.56485167760452</v>
      </c>
    </row>
    <row r="51" customFormat="false" ht="15" hidden="false" customHeight="false" outlineLevel="0" collapsed="false">
      <c r="A51" s="35" t="s">
        <v>47</v>
      </c>
      <c r="B51" s="36" t="str">
        <f aca="false">IF(AND(COUNTIF(ניו!$B:$B,$A51)&gt;0,COUNTIF('מדי '!$B:$B,$A51)&gt;0),"NZ + מדי",IF(COUNTIF(ניו!$B:$B,$A51)&gt;0,"NZ","מדי"))</f>
        <v>NZ + מדי</v>
      </c>
      <c r="C51" s="37" t="n">
        <f aca="false">IFERROR(INDEX(ניו!$C:$C,MATCH($A51,ניו!$B:$B,0)),IFERROR(INDEX('מדי '!$C:$C,MATCH($A51,'מדי '!$B:$B,0)),""))</f>
        <v>3.8495956544897</v>
      </c>
      <c r="D51" s="37" t="n">
        <f aca="false">IFERROR(INDEX(ניו!$D:$D,MATCH($A51,ניו!$B:$B,0)),"")</f>
        <v>2</v>
      </c>
      <c r="E51" s="37" t="n">
        <f aca="false">IFERROR(INDEX(ניו!$E:$E,MATCH($A51,ניו!$B:$B,0)),"")</f>
        <v>2.03657752752718</v>
      </c>
      <c r="F51" s="37" t="n">
        <f aca="false">IFERROR(INDEX('מדי '!$D:$D,MATCH($A51,'מדי '!$B:$B,0)),"")</f>
        <v>1.86</v>
      </c>
      <c r="G51" s="37" t="n">
        <f aca="false">IFERROR(INDEX('מדי '!$E:$E,MATCH($A51,'מדי '!$B:$B,0)),"")</f>
        <v>1.60636363636364</v>
      </c>
      <c r="H51" s="37" t="n">
        <f aca="false">IFERROR(INDEX('מדי '!$F:$F,MATCH($A51,'מדי '!$B:$B,0)),"")</f>
        <v>1.39789179560769</v>
      </c>
    </row>
    <row r="52" customFormat="false" ht="15" hidden="false" customHeight="false" outlineLevel="0" collapsed="false">
      <c r="A52" s="35" t="s">
        <v>48</v>
      </c>
      <c r="B52" s="36" t="str">
        <f aca="false">IF(AND(COUNTIF(ניו!$B:$B,$A52)&gt;0,COUNTIF('מדי '!$B:$B,$A52)&gt;0),"NZ + מדי",IF(COUNTIF(ניו!$B:$B,$A52)&gt;0,"NZ","מדי"))</f>
        <v>NZ + מדי</v>
      </c>
      <c r="C52" s="37" t="n">
        <f aca="false">IFERROR(INDEX(ניו!$C:$C,MATCH($A52,ניו!$B:$B,0)),IFERROR(INDEX('מדי '!$C:$C,MATCH($A52,'מדי '!$B:$B,0)),""))</f>
        <v>4.65504574788004</v>
      </c>
      <c r="D52" s="37" t="n">
        <f aca="false">IFERROR(INDEX(ניו!$D:$D,MATCH($A52,ניו!$B:$B,0)),"")</f>
        <v>2.4</v>
      </c>
      <c r="E52" s="37" t="n">
        <f aca="false">IFERROR(INDEX(ניו!$E:$E,MATCH($A52,ניו!$B:$B,0)),"")</f>
        <v>2.02103276950275</v>
      </c>
      <c r="F52" s="37" t="n">
        <f aca="false">IFERROR(INDEX('מדי '!$D:$D,MATCH($A52,'מדי '!$B:$B,0)),"")</f>
        <v>2.6</v>
      </c>
      <c r="G52" s="37" t="n">
        <f aca="false">IFERROR(INDEX('מדי '!$E:$E,MATCH($A52,'מדי '!$B:$B,0)),"")</f>
        <v>2.24545454545455</v>
      </c>
      <c r="H52" s="37" t="n">
        <f aca="false">IFERROR(INDEX('מדי '!$F:$F,MATCH($A52,'מדי '!$B:$B,0)),"")</f>
        <v>1.61593959215083</v>
      </c>
    </row>
    <row r="53" customFormat="false" ht="15" hidden="false" customHeight="false" outlineLevel="0" collapsed="false">
      <c r="A53" s="38" t="s">
        <v>49</v>
      </c>
      <c r="B53" s="39" t="str">
        <f aca="false">IF(AND(COUNTIF(ניו!$B:$B,$A53)&gt;0,COUNTIF('מדי '!$B:$B,$A53)&gt;0),"NZ + מדי",IF(COUNTIF(ניו!$B:$B,$A53)&gt;0,"NZ","מדי"))</f>
        <v>NZ</v>
      </c>
      <c r="C53" s="40" t="n">
        <f aca="false">IFERROR(INDEX(ניו!$C:$C,MATCH($A53,ניו!$B:$B,0)),IFERROR(INDEX('מדי '!$C:$C,MATCH($A53,'מדי '!$B:$B,0)),""))</f>
        <v>10.6716206589335</v>
      </c>
      <c r="D53" s="40" t="n">
        <f aca="false">IFERROR(INDEX(ניו!$D:$D,MATCH($A53,ניו!$B:$B,0)),"")</f>
        <v>6.2</v>
      </c>
      <c r="E53" s="40" t="n">
        <f aca="false">IFERROR(INDEX(ניו!$E:$E,MATCH($A53,ניו!$B:$B,0)),"")</f>
        <v>2.27744227205588</v>
      </c>
      <c r="F53" s="40" t="str">
        <f aca="false">IFERROR(INDEX('מדי '!$D:$D,MATCH($A53,'מדי '!$B:$B,0)),"")</f>
        <v/>
      </c>
      <c r="G53" s="40" t="str">
        <f aca="false">IFERROR(INDEX('מדי '!$E:$E,MATCH($A53,'מדי '!$B:$B,0)),"")</f>
        <v/>
      </c>
      <c r="H53" s="40" t="str">
        <f aca="false">IFERROR(INDEX('מדי '!$F:$F,MATCH($A53,'מדי '!$B:$B,0)),"")</f>
        <v/>
      </c>
    </row>
    <row r="54" customFormat="false" ht="15" hidden="false" customHeight="false" outlineLevel="0" collapsed="false">
      <c r="A54" s="38" t="s">
        <v>50</v>
      </c>
      <c r="B54" s="39" t="str">
        <f aca="false">IF(AND(COUNTIF(ניו!$B:$B,$A54)&gt;0,COUNTIF('מדי '!$B:$B,$A54)&gt;0),"NZ + מדי",IF(COUNTIF(ניו!$B:$B,$A54)&gt;0,"NZ","מדי"))</f>
        <v>NZ</v>
      </c>
      <c r="C54" s="40" t="n">
        <f aca="false">IFERROR(INDEX(ניו!$C:$C,MATCH($A54,ניו!$B:$B,0)),IFERROR(INDEX('מדי '!$C:$C,MATCH($A54,'מדי '!$B:$B,0)),""))</f>
        <v>4.47309407210157</v>
      </c>
      <c r="D54" s="40" t="n">
        <f aca="false">IFERROR(INDEX(ניו!$D:$D,MATCH($A54,ניו!$B:$B,0)),"")</f>
        <v>2.6</v>
      </c>
      <c r="E54" s="40" t="n">
        <f aca="false">IFERROR(INDEX(ניו!$E:$E,MATCH($A54,ניו!$B:$B,0)),"")</f>
        <v>2.278512330775</v>
      </c>
      <c r="F54" s="40" t="str">
        <f aca="false">IFERROR(INDEX('מדי '!$D:$D,MATCH($A54,'מדי '!$B:$B,0)),"")</f>
        <v/>
      </c>
      <c r="G54" s="40" t="str">
        <f aca="false">IFERROR(INDEX('מדי '!$E:$E,MATCH($A54,'מדי '!$B:$B,0)),"")</f>
        <v/>
      </c>
      <c r="H54" s="40" t="str">
        <f aca="false">IFERROR(INDEX('מדי '!$F:$F,MATCH($A54,'מדי '!$B:$B,0)),"")</f>
        <v/>
      </c>
    </row>
    <row r="55" customFormat="false" ht="15" hidden="false" customHeight="false" outlineLevel="0" collapsed="false">
      <c r="A55" s="35" t="s">
        <v>51</v>
      </c>
      <c r="B55" s="36" t="str">
        <f aca="false">IF(AND(COUNTIF(ניו!$B:$B,$A55)&gt;0,COUNTIF('מדי '!$B:$B,$A55)&gt;0),"NZ + מדי",IF(COUNTIF(ניו!$B:$B,$A55)&gt;0,"NZ","מדי"))</f>
        <v>NZ + מדי</v>
      </c>
      <c r="C55" s="37" t="n">
        <f aca="false">IFERROR(INDEX(ניו!$C:$C,MATCH($A55,ניו!$B:$B,0)),IFERROR(INDEX('מדי '!$C:$C,MATCH($A55,'מדי '!$B:$B,0)),""))</f>
        <v>10.1089531076145</v>
      </c>
      <c r="D55" s="37" t="n">
        <f aca="false">IFERROR(INDEX(ניו!$D:$D,MATCH($A55,ניו!$B:$B,0)),"")</f>
        <v>6.45</v>
      </c>
      <c r="E55" s="37" t="n">
        <f aca="false">IFERROR(INDEX(ניו!$E:$E,MATCH($A55,ניו!$B:$B,0)),"")</f>
        <v>2.50114920218149</v>
      </c>
      <c r="F55" s="37" t="n">
        <f aca="false">IFERROR(INDEX('מדי '!$D:$D,MATCH($A55,'מדי '!$B:$B,0)),"")</f>
        <v>5.15</v>
      </c>
      <c r="G55" s="37" t="n">
        <f aca="false">IFERROR(INDEX('מדי '!$E:$E,MATCH($A55,'מדי '!$B:$B,0)),"")</f>
        <v>4.44772727272727</v>
      </c>
      <c r="H55" s="37" t="n">
        <f aca="false">IFERROR(INDEX('מדי '!$F:$F,MATCH($A55,'מדי '!$B:$B,0)),"")</f>
        <v>1.47392971408812</v>
      </c>
    </row>
    <row r="56" customFormat="false" ht="15" hidden="false" customHeight="false" outlineLevel="0" collapsed="false">
      <c r="A56" s="35" t="s">
        <v>52</v>
      </c>
      <c r="B56" s="36" t="str">
        <f aca="false">IF(AND(COUNTIF(ניו!$B:$B,$A56)&gt;0,COUNTIF('מדי '!$B:$B,$A56)&gt;0),"NZ + מדי",IF(COUNTIF(ניו!$B:$B,$A56)&gt;0,"NZ","מדי"))</f>
        <v>NZ + מדי</v>
      </c>
      <c r="C56" s="37" t="n">
        <f aca="false">IFERROR(INDEX(ניו!$C:$C,MATCH($A56,ניו!$B:$B,0)),IFERROR(INDEX('מדי '!$C:$C,MATCH($A56,'מדי '!$B:$B,0)),""))</f>
        <v>5.83534574788004</v>
      </c>
      <c r="D56" s="37" t="n">
        <f aca="false">IFERROR(INDEX(ניו!$D:$D,MATCH($A56,ניו!$B:$B,0)),"")</f>
        <v>4.65</v>
      </c>
      <c r="E56" s="37" t="n">
        <f aca="false">IFERROR(INDEX(ניו!$E:$E,MATCH($A56,ניו!$B:$B,0)),"")</f>
        <v>3.1237223615451</v>
      </c>
      <c r="F56" s="37" t="n">
        <f aca="false">IFERROR(INDEX('מדי '!$D:$D,MATCH($A56,'מדי '!$B:$B,0)),"")</f>
        <v>5.2</v>
      </c>
      <c r="G56" s="37" t="n">
        <f aca="false">IFERROR(INDEX('מדי '!$E:$E,MATCH($A56,'מדי '!$B:$B,0)),"")</f>
        <v>4.49090909090909</v>
      </c>
      <c r="H56" s="37" t="n">
        <f aca="false">IFERROR(INDEX('מדי '!$F:$F,MATCH($A56,'מדי '!$B:$B,0)),"")</f>
        <v>2.57817550228469</v>
      </c>
    </row>
    <row r="57" customFormat="false" ht="15" hidden="false" customHeight="false" outlineLevel="0" collapsed="false">
      <c r="A57" s="35" t="s">
        <v>53</v>
      </c>
      <c r="B57" s="36" t="str">
        <f aca="false">IF(AND(COUNTIF(ניו!$B:$B,$A57)&gt;0,COUNTIF('מדי '!$B:$B,$A57)&gt;0),"NZ + מדי",IF(COUNTIF(ניו!$B:$B,$A57)&gt;0,"NZ","מדי"))</f>
        <v>NZ + מדי</v>
      </c>
      <c r="C57" s="37" t="n">
        <f aca="false">IFERROR(INDEX(ניו!$C:$C,MATCH($A57,ניו!$B:$B,0)),IFERROR(INDEX('מדי '!$C:$C,MATCH($A57,'מדי '!$B:$B,0)),""))</f>
        <v>7.95025881845519</v>
      </c>
      <c r="D57" s="37" t="n">
        <f aca="false">IFERROR(INDEX(ניו!$D:$D,MATCH($A57,ניו!$B:$B,0)),"")</f>
        <v>3.8</v>
      </c>
      <c r="E57" s="37" t="n">
        <f aca="false">IFERROR(INDEX(ניו!$E:$E,MATCH($A57,ניו!$B:$B,0)),"")</f>
        <v>1.87364969369569</v>
      </c>
      <c r="F57" s="37" t="n">
        <f aca="false">IFERROR(INDEX('מדי '!$D:$D,MATCH($A57,'מדי '!$B:$B,0)),"")</f>
        <v>4.1</v>
      </c>
      <c r="G57" s="37" t="n">
        <f aca="false">IFERROR(INDEX('מדי '!$E:$E,MATCH($A57,'מדי '!$B:$B,0)),"")</f>
        <v>3.54090909090909</v>
      </c>
      <c r="H57" s="37" t="n">
        <f aca="false">IFERROR(INDEX('מדי '!$F:$F,MATCH($A57,'מדי '!$B:$B,0)),"")</f>
        <v>1.49203261496465</v>
      </c>
    </row>
    <row r="58" customFormat="false" ht="15" hidden="false" customHeight="false" outlineLevel="0" collapsed="false">
      <c r="A58" s="35" t="s">
        <v>54</v>
      </c>
      <c r="B58" s="36" t="str">
        <f aca="false">IF(AND(COUNTIF(ניו!$B:$B,$A58)&gt;0,COUNTIF('מדי '!$B:$B,$A58)&gt;0),"NZ + מדי",IF(COUNTIF(ניו!$B:$B,$A58)&gt;0,"NZ","מדי"))</f>
        <v>NZ + מדי</v>
      </c>
      <c r="C58" s="37" t="n">
        <f aca="false">IFERROR(INDEX(ניו!$C:$C,MATCH($A58,ניו!$B:$B,0)),IFERROR(INDEX('מדי '!$C:$C,MATCH($A58,'מדי '!$B:$B,0)),""))</f>
        <v>5.54100179930422</v>
      </c>
      <c r="D58" s="37" t="n">
        <f aca="false">IFERROR(INDEX(ניו!$D:$D,MATCH($A58,ניו!$B:$B,0)),"")</f>
        <v>2.95</v>
      </c>
      <c r="E58" s="37" t="n">
        <f aca="false">IFERROR(INDEX(ניו!$E:$E,MATCH($A58,ניו!$B:$B,0)),"")</f>
        <v>2.08698723062174</v>
      </c>
      <c r="F58" s="37" t="n">
        <f aca="false">IFERROR(INDEX('מדי '!$D:$D,MATCH($A58,'מדי '!$B:$B,0)),"")</f>
        <v>2.9</v>
      </c>
      <c r="G58" s="37" t="n">
        <f aca="false">IFERROR(INDEX('מדי '!$E:$E,MATCH($A58,'מדי '!$B:$B,0)),"")</f>
        <v>2.50454545454545</v>
      </c>
      <c r="H58" s="37" t="n">
        <f aca="false">IFERROR(INDEX('מדי '!$F:$F,MATCH($A58,'מדי '!$B:$B,0)),"")</f>
        <v>1.51420764270115</v>
      </c>
    </row>
    <row r="59" customFormat="false" ht="15" hidden="false" customHeight="false" outlineLevel="0" collapsed="false">
      <c r="A59" s="35" t="s">
        <v>55</v>
      </c>
      <c r="B59" s="36" t="str">
        <f aca="false">IF(AND(COUNTIF(ניו!$B:$B,$A59)&gt;0,COUNTIF('מדי '!$B:$B,$A59)&gt;0),"NZ + מדי",IF(COUNTIF(ניו!$B:$B,$A59)&gt;0,"NZ","מדי"))</f>
        <v>NZ + מדי</v>
      </c>
      <c r="C59" s="37" t="n">
        <f aca="false">IFERROR(INDEX(ניו!$C:$C,MATCH($A59,ניו!$B:$B,0)),IFERROR(INDEX('מדי '!$C:$C,MATCH($A59,'מדי '!$B:$B,0)),""))</f>
        <v>6.00357914698121</v>
      </c>
      <c r="D59" s="37" t="n">
        <f aca="false">IFERROR(INDEX(ניו!$D:$D,MATCH($A59,ניו!$B:$B,0)),"")</f>
        <v>3.2</v>
      </c>
      <c r="E59" s="37" t="n">
        <f aca="false">IFERROR(INDEX(ניו!$E:$E,MATCH($A59,ניו!$B:$B,0)),"")</f>
        <v>2.08942027628761</v>
      </c>
      <c r="F59" s="37" t="n">
        <f aca="false">IFERROR(INDEX('מדי '!$D:$D,MATCH($A59,'מדי '!$B:$B,0)),"")</f>
        <v>3.2</v>
      </c>
      <c r="G59" s="37" t="n">
        <f aca="false">IFERROR(INDEX('מדי '!$E:$E,MATCH($A59,'מדי '!$B:$B,0)),"")</f>
        <v>2.76363636363636</v>
      </c>
      <c r="H59" s="37" t="n">
        <f aca="false">IFERROR(INDEX('מדי '!$F:$F,MATCH($A59,'מדי '!$B:$B,0)),"")</f>
        <v>1.54211039640197</v>
      </c>
    </row>
    <row r="60" customFormat="false" ht="15" hidden="false" customHeight="false" outlineLevel="0" collapsed="false">
      <c r="A60" s="35" t="s">
        <v>56</v>
      </c>
      <c r="B60" s="36" t="str">
        <f aca="false">IF(AND(COUNTIF(ניו!$B:$B,$A60)&gt;0,COUNTIF('מדי '!$B:$B,$A60)&gt;0),"NZ + מדי",IF(COUNTIF(ניו!$B:$B,$A60)&gt;0,"NZ","מדי"))</f>
        <v>NZ + מדי</v>
      </c>
      <c r="C60" s="37" t="n">
        <f aca="false">IFERROR(INDEX(ניו!$C:$C,MATCH($A60,ניו!$B:$B,0)),IFERROR(INDEX('מדי '!$C:$C,MATCH($A60,'מדי '!$B:$B,0)),""))</f>
        <v>4.38337517785473</v>
      </c>
      <c r="D60" s="37" t="n">
        <f aca="false">IFERROR(INDEX(ניו!$D:$D,MATCH($A60,ניו!$B:$B,0)),"")</f>
        <v>2.6</v>
      </c>
      <c r="E60" s="37" t="n">
        <f aca="false">IFERROR(INDEX(ניו!$E:$E,MATCH($A60,ניו!$B:$B,0)),"")</f>
        <v>2.32514890614225</v>
      </c>
      <c r="F60" s="37" t="n">
        <f aca="false">IFERROR(INDEX('מדי '!$D:$D,MATCH($A60,'מדי '!$B:$B,0)),"")</f>
        <v>1.8</v>
      </c>
      <c r="G60" s="37" t="n">
        <f aca="false">IFERROR(INDEX('מדי '!$E:$E,MATCH($A60,'מדי '!$B:$B,0)),"")</f>
        <v>1.55454545454546</v>
      </c>
      <c r="H60" s="37" t="n">
        <f aca="false">IFERROR(INDEX('מדי '!$F:$F,MATCH($A60,'מדי '!$B:$B,0)),"")</f>
        <v>1.18806332139609</v>
      </c>
    </row>
    <row r="61" customFormat="false" ht="15" hidden="false" customHeight="false" outlineLevel="0" collapsed="false">
      <c r="A61" s="38" t="s">
        <v>57</v>
      </c>
      <c r="B61" s="39" t="str">
        <f aca="false">IF(AND(COUNTIF(ניו!$B:$B,$A61)&gt;0,COUNTIF('מדי '!$B:$B,$A61)&gt;0),"NZ + מדי",IF(COUNTIF(ניו!$B:$B,$A61)&gt;0,"NZ","מדי"))</f>
        <v>NZ</v>
      </c>
      <c r="C61" s="40" t="n">
        <f aca="false">IFERROR(INDEX(ניו!$C:$C,MATCH($A61,ניו!$B:$B,0)),IFERROR(INDEX('מדי '!$C:$C,MATCH($A61,'מדי '!$B:$B,0)),""))</f>
        <v>3.61435016932622</v>
      </c>
      <c r="D61" s="40" t="n">
        <f aca="false">IFERROR(INDEX(ניו!$D:$D,MATCH($A61,ניו!$B:$B,0)),"")</f>
        <v>2.6</v>
      </c>
      <c r="E61" s="40" t="n">
        <f aca="false">IFERROR(INDEX(ניו!$E:$E,MATCH($A61,ניו!$B:$B,0)),"")</f>
        <v>2.81987066070579</v>
      </c>
      <c r="F61" s="40" t="str">
        <f aca="false">IFERROR(INDEX('מדי '!$D:$D,MATCH($A61,'מדי '!$B:$B,0)),"")</f>
        <v/>
      </c>
      <c r="G61" s="40" t="str">
        <f aca="false">IFERROR(INDEX('מדי '!$E:$E,MATCH($A61,'מדי '!$B:$B,0)),"")</f>
        <v/>
      </c>
      <c r="H61" s="40" t="str">
        <f aca="false">IFERROR(INDEX('מדי '!$F:$F,MATCH($A61,'מדי '!$B:$B,0)),"")</f>
        <v/>
      </c>
    </row>
    <row r="62" customFormat="false" ht="15" hidden="false" customHeight="false" outlineLevel="0" collapsed="false">
      <c r="A62" s="35" t="s">
        <v>58</v>
      </c>
      <c r="B62" s="36" t="str">
        <f aca="false">IF(AND(COUNTIF(ניו!$B:$B,$A62)&gt;0,COUNTIF('מדי '!$B:$B,$A62)&gt;0),"NZ + מדי",IF(COUNTIF(ניו!$B:$B,$A62)&gt;0,"NZ","מדי"))</f>
        <v>NZ + מדי</v>
      </c>
      <c r="C62" s="37" t="n">
        <f aca="false">IFERROR(INDEX(ניו!$C:$C,MATCH($A62,ניו!$B:$B,0)),IFERROR(INDEX('מדי '!$C:$C,MATCH($A62,'מדי '!$B:$B,0)),""))</f>
        <v>4.66966892913401</v>
      </c>
      <c r="D62" s="37" t="n">
        <f aca="false">IFERROR(INDEX(ניו!$D:$D,MATCH($A62,ניו!$B:$B,0)),"")</f>
        <v>3.1</v>
      </c>
      <c r="E62" s="37" t="n">
        <f aca="false">IFERROR(INDEX(ניו!$E:$E,MATCH($A62,ניו!$B:$B,0)),"")</f>
        <v>2.60232581461692</v>
      </c>
      <c r="F62" s="37" t="n">
        <f aca="false">IFERROR(INDEX('מדי '!$D:$D,MATCH($A62,'מדי '!$B:$B,0)),"")</f>
        <v>2</v>
      </c>
      <c r="G62" s="37" t="n">
        <f aca="false">IFERROR(INDEX('מדי '!$E:$E,MATCH($A62,'מדי '!$B:$B,0)),"")</f>
        <v>1.72727272727273</v>
      </c>
      <c r="H62" s="37" t="n">
        <f aca="false">IFERROR(INDEX('מדי '!$F:$F,MATCH($A62,'מדי '!$B:$B,0)),"")</f>
        <v>1.23913787554886</v>
      </c>
    </row>
    <row r="63" customFormat="false" ht="15" hidden="false" customHeight="false" outlineLevel="0" collapsed="false">
      <c r="A63" s="35" t="s">
        <v>59</v>
      </c>
      <c r="B63" s="36" t="str">
        <f aca="false">IF(AND(COUNTIF(ניו!$B:$B,$A63)&gt;0,COUNTIF('מדי '!$B:$B,$A63)&gt;0),"NZ + מדי",IF(COUNTIF(ניו!$B:$B,$A63)&gt;0,"NZ","מדי"))</f>
        <v>NZ + מדי</v>
      </c>
      <c r="C63" s="37" t="n">
        <f aca="false">IFERROR(INDEX(ניו!$C:$C,MATCH($A63,ניו!$B:$B,0)),IFERROR(INDEX('מדי '!$C:$C,MATCH($A63,'מדי '!$B:$B,0)),""))</f>
        <v>5.3854033073322</v>
      </c>
      <c r="D63" s="37" t="n">
        <f aca="false">IFERROR(INDEX(ניו!$D:$D,MATCH($A63,ניו!$B:$B,0)),"")</f>
        <v>3.1</v>
      </c>
      <c r="E63" s="37" t="n">
        <f aca="false">IFERROR(INDEX(ניו!$E:$E,MATCH($A63,ניו!$B:$B,0)),"")</f>
        <v>2.25646981414653</v>
      </c>
      <c r="F63" s="37" t="n">
        <f aca="false">IFERROR(INDEX('מדי '!$D:$D,MATCH($A63,'מדי '!$B:$B,0)),"")</f>
        <v>2.45</v>
      </c>
      <c r="G63" s="37" t="n">
        <f aca="false">IFERROR(INDEX('מדי '!$E:$E,MATCH($A63,'מדי '!$B:$B,0)),"")</f>
        <v>2.11590909090909</v>
      </c>
      <c r="H63" s="37" t="n">
        <f aca="false">IFERROR(INDEX('מדי '!$F:$F,MATCH($A63,'מדי '!$B:$B,0)),"")</f>
        <v>1.31620512894453</v>
      </c>
    </row>
    <row r="64" customFormat="false" ht="15" hidden="false" customHeight="false" outlineLevel="0" collapsed="false">
      <c r="A64" s="38" t="s">
        <v>60</v>
      </c>
      <c r="B64" s="39" t="str">
        <f aca="false">IF(AND(COUNTIF(ניו!$B:$B,$A64)&gt;0,COUNTIF('מדי '!$B:$B,$A64)&gt;0),"NZ + מדי",IF(COUNTIF(ניו!$B:$B,$A64)&gt;0,"NZ","מדי"))</f>
        <v>NZ</v>
      </c>
      <c r="C64" s="40" t="n">
        <f aca="false">IFERROR(INDEX(ניו!$C:$C,MATCH($A64,ניו!$B:$B,0)),IFERROR(INDEX('מדי '!$C:$C,MATCH($A64,'מדי '!$B:$B,0)),""))</f>
        <v>8.41416000539179</v>
      </c>
      <c r="D64" s="40" t="n">
        <f aca="false">IFERROR(INDEX(ניו!$D:$D,MATCH($A64,ניו!$B:$B,0)),"")</f>
        <v>5.1</v>
      </c>
      <c r="E64" s="40" t="n">
        <f aca="false">IFERROR(INDEX(ניו!$E:$E,MATCH($A64,ניו!$B:$B,0)),"")</f>
        <v>2.37599475018173</v>
      </c>
      <c r="F64" s="40" t="str">
        <f aca="false">IFERROR(INDEX('מדי '!$D:$D,MATCH($A64,'מדי '!$B:$B,0)),"")</f>
        <v/>
      </c>
      <c r="G64" s="40" t="str">
        <f aca="false">IFERROR(INDEX('מדי '!$E:$E,MATCH($A64,'מדי '!$B:$B,0)),"")</f>
        <v/>
      </c>
      <c r="H64" s="40" t="str">
        <f aca="false">IFERROR(INDEX('מדי '!$F:$F,MATCH($A64,'מדי '!$B:$B,0)),"")</f>
        <v/>
      </c>
    </row>
    <row r="65" customFormat="false" ht="15" hidden="false" customHeight="false" outlineLevel="0" collapsed="false">
      <c r="A65" s="38" t="s">
        <v>61</v>
      </c>
      <c r="B65" s="39" t="str">
        <f aca="false">IF(AND(COUNTIF(ניו!$B:$B,$A65)&gt;0,COUNTIF('מדי '!$B:$B,$A65)&gt;0),"NZ + מדי",IF(COUNTIF(ניו!$B:$B,$A65)&gt;0,"NZ","מדי"))</f>
        <v>NZ</v>
      </c>
      <c r="C65" s="40" t="n">
        <f aca="false">IFERROR(INDEX(ניו!$C:$C,MATCH($A65,ניו!$B:$B,0)),IFERROR(INDEX('מדי '!$C:$C,MATCH($A65,'מדי '!$B:$B,0)),""))</f>
        <v>21.43</v>
      </c>
      <c r="D65" s="40" t="n">
        <f aca="false">IFERROR(INDEX(ניו!$D:$D,MATCH($A65,ניו!$B:$B,0)),"")</f>
        <v>11.75</v>
      </c>
      <c r="E65" s="40" t="n">
        <f aca="false">IFERROR(INDEX(ניו!$E:$E,MATCH($A65,ניו!$B:$B,0)),"")</f>
        <v>2.14932337844144</v>
      </c>
      <c r="F65" s="40" t="str">
        <f aca="false">IFERROR(INDEX('מדי '!$D:$D,MATCH($A65,'מדי '!$B:$B,0)),"")</f>
        <v/>
      </c>
      <c r="G65" s="40" t="str">
        <f aca="false">IFERROR(INDEX('מדי '!$E:$E,MATCH($A65,'מדי '!$B:$B,0)),"")</f>
        <v/>
      </c>
      <c r="H65" s="40" t="str">
        <f aca="false">IFERROR(INDEX('מדי '!$F:$F,MATCH($A65,'מדי '!$B:$B,0)),"")</f>
        <v/>
      </c>
    </row>
    <row r="66" customFormat="false" ht="15" hidden="false" customHeight="false" outlineLevel="0" collapsed="false">
      <c r="A66" s="35" t="s">
        <v>62</v>
      </c>
      <c r="B66" s="36" t="str">
        <f aca="false">IF(AND(COUNTIF(ניו!$B:$B,$A66)&gt;0,COUNTIF('מדי '!$B:$B,$A66)&gt;0),"NZ + מדי",IF(COUNTIF(ניו!$B:$B,$A66)&gt;0,"NZ","מדי"))</f>
        <v>NZ + מדי</v>
      </c>
      <c r="C66" s="37" t="n">
        <f aca="false">IFERROR(INDEX(ניו!$C:$C,MATCH($A66,ניו!$B:$B,0)),IFERROR(INDEX('מדי '!$C:$C,MATCH($A66,'מדי '!$B:$B,0)),""))</f>
        <v>27.3431178459843</v>
      </c>
      <c r="D66" s="37" t="n">
        <f aca="false">IFERROR(INDEX(ניו!$D:$D,MATCH($A66,ניו!$B:$B,0)),"")</f>
        <v>13.4</v>
      </c>
      <c r="E66" s="37" t="n">
        <f aca="false">IFERROR(INDEX(ניו!$E:$E,MATCH($A66,ניו!$B:$B,0)),"")</f>
        <v>1.92106841274922</v>
      </c>
      <c r="F66" s="37" t="n">
        <f aca="false">IFERROR(INDEX('מדי '!$D:$D,MATCH($A66,'מדי '!$B:$B,0)),"")</f>
        <v>11.23</v>
      </c>
      <c r="G66" s="37" t="n">
        <f aca="false">IFERROR(INDEX('מדי '!$E:$E,MATCH($A66,'מדי '!$B:$B,0)),"")</f>
        <v>9.69863636363636</v>
      </c>
      <c r="H66" s="37" t="n">
        <f aca="false">IFERROR(INDEX('מדי '!$F:$F,MATCH($A66,'מדי '!$B:$B,0)),"")</f>
        <v>1.18824897735477</v>
      </c>
    </row>
    <row r="67" customFormat="false" ht="15" hidden="false" customHeight="false" outlineLevel="0" collapsed="false">
      <c r="A67" s="35" t="s">
        <v>63</v>
      </c>
      <c r="B67" s="36" t="str">
        <f aca="false">IF(AND(COUNTIF(ניו!$B:$B,$A67)&gt;0,COUNTIF('מדי '!$B:$B,$A67)&gt;0),"NZ + מדי",IF(COUNTIF(ניו!$B:$B,$A67)&gt;0,"NZ","מדי"))</f>
        <v>NZ + מדי</v>
      </c>
      <c r="C67" s="37" t="n">
        <f aca="false">IFERROR(INDEX(ניו!$C:$C,MATCH($A67,ניו!$B:$B,0)),IFERROR(INDEX('מדי '!$C:$C,MATCH($A67,'מדי '!$B:$B,0)),""))</f>
        <v>10.9613583489127</v>
      </c>
      <c r="D67" s="37" t="n">
        <f aca="false">IFERROR(INDEX(ניו!$D:$D,MATCH($A67,ניו!$B:$B,0)),"")</f>
        <v>5.8</v>
      </c>
      <c r="E67" s="37" t="n">
        <f aca="false">IFERROR(INDEX(ניו!$E:$E,MATCH($A67,ניו!$B:$B,0)),"")</f>
        <v>2.0741954852936</v>
      </c>
      <c r="F67" s="37" t="n">
        <f aca="false">IFERROR(INDEX('מדי '!$D:$D,MATCH($A67,'מדי '!$B:$B,0)),"")</f>
        <v>5.1</v>
      </c>
      <c r="G67" s="37" t="n">
        <f aca="false">IFERROR(INDEX('מדי '!$E:$E,MATCH($A67,'מדי '!$B:$B,0)),"")</f>
        <v>4.40454545454545</v>
      </c>
      <c r="H67" s="37" t="n">
        <f aca="false">IFERROR(INDEX('מדי '!$F:$F,MATCH($A67,'מדי '!$B:$B,0)),"")</f>
        <v>1.3461130275146</v>
      </c>
    </row>
    <row r="68" customFormat="false" ht="15" hidden="false" customHeight="false" outlineLevel="0" collapsed="false">
      <c r="A68" s="38" t="s">
        <v>64</v>
      </c>
      <c r="B68" s="39" t="str">
        <f aca="false">IF(AND(COUNTIF(ניו!$B:$B,$A68)&gt;0,COUNTIF('מדי '!$B:$B,$A68)&gt;0),"NZ + מדי",IF(COUNTIF(ניו!$B:$B,$A68)&gt;0,"NZ","מדי"))</f>
        <v>NZ</v>
      </c>
      <c r="C68" s="40" t="n">
        <f aca="false">IFERROR(INDEX(ניו!$C:$C,MATCH($A68,ניו!$B:$B,0)),IFERROR(INDEX('מדי '!$C:$C,MATCH($A68,'מדי '!$B:$B,0)),""))</f>
        <v>12.3999284007477</v>
      </c>
      <c r="D68" s="40" t="n">
        <f aca="false">IFERROR(INDEX(ניו!$D:$D,MATCH($A68,ניו!$B:$B,0)),"")</f>
        <v>9.1</v>
      </c>
      <c r="E68" s="40" t="n">
        <f aca="false">IFERROR(INDEX(ניו!$E:$E,MATCH($A68,ניו!$B:$B,0)),"")</f>
        <v>2.87679080452182</v>
      </c>
      <c r="F68" s="40" t="str">
        <f aca="false">IFERROR(INDEX('מדי '!$D:$D,MATCH($A68,'מדי '!$B:$B,0)),"")</f>
        <v/>
      </c>
      <c r="G68" s="40" t="str">
        <f aca="false">IFERROR(INDEX('מדי '!$E:$E,MATCH($A68,'מדי '!$B:$B,0)),"")</f>
        <v/>
      </c>
      <c r="H68" s="40" t="str">
        <f aca="false">IFERROR(INDEX('מדי '!$F:$F,MATCH($A68,'מדי '!$B:$B,0)),"")</f>
        <v/>
      </c>
    </row>
    <row r="69" customFormat="false" ht="15" hidden="false" customHeight="false" outlineLevel="0" collapsed="false">
      <c r="A69" s="35" t="s">
        <v>65</v>
      </c>
      <c r="B69" s="36" t="str">
        <f aca="false">IF(AND(COUNTIF(ניו!$B:$B,$A69)&gt;0,COUNTIF('מדי '!$B:$B,$A69)&gt;0),"NZ + מדי",IF(COUNTIF(ניו!$B:$B,$A69)&gt;0,"NZ","מדי"))</f>
        <v>NZ + מדי</v>
      </c>
      <c r="C69" s="37" t="n">
        <f aca="false">IFERROR(INDEX(ניו!$C:$C,MATCH($A69,ניו!$B:$B,0)),IFERROR(INDEX('מדי '!$C:$C,MATCH($A69,'מדי '!$B:$B,0)),""))</f>
        <v>7.20934585479498</v>
      </c>
      <c r="D69" s="37" t="n">
        <f aca="false">IFERROR(INDEX(ניו!$D:$D,MATCH($A69,ניו!$B:$B,0)),"")</f>
        <v>3.95</v>
      </c>
      <c r="E69" s="37" t="n">
        <f aca="false">IFERROR(INDEX(ניו!$E:$E,MATCH($A69,ניו!$B:$B,0)),"")</f>
        <v>2.14776767710506</v>
      </c>
      <c r="F69" s="37" t="n">
        <f aca="false">IFERROR(INDEX('מדי '!$D:$D,MATCH($A69,'מדי '!$B:$B,0)),"")</f>
        <v>4.37</v>
      </c>
      <c r="G69" s="37" t="n">
        <f aca="false">IFERROR(INDEX('מדי '!$E:$E,MATCH($A69,'מדי '!$B:$B,0)),"")</f>
        <v>3.77409090909091</v>
      </c>
      <c r="H69" s="37" t="n">
        <f aca="false">IFERROR(INDEX('מדי '!$F:$F,MATCH($A69,'מדי '!$B:$B,0)),"")</f>
        <v>1.75372423519472</v>
      </c>
    </row>
    <row r="70" customFormat="false" ht="15" hidden="false" customHeight="false" outlineLevel="0" collapsed="false">
      <c r="A70" s="38" t="s">
        <v>66</v>
      </c>
      <c r="B70" s="39" t="str">
        <f aca="false">IF(AND(COUNTIF(ניו!$B:$B,$A70)&gt;0,COUNTIF('מדי '!$B:$B,$A70)&gt;0),"NZ + מדי",IF(COUNTIF(ניו!$B:$B,$A70)&gt;0,"NZ","מדי"))</f>
        <v>NZ</v>
      </c>
      <c r="C70" s="40" t="n">
        <f aca="false">IFERROR(INDEX(ניו!$C:$C,MATCH($A70,ניו!$B:$B,0)),IFERROR(INDEX('מדי '!$C:$C,MATCH($A70,'מדי '!$B:$B,0)),""))</f>
        <v>7.44267855509517</v>
      </c>
      <c r="D70" s="40" t="n">
        <f aca="false">IFERROR(INDEX(ניו!$D:$D,MATCH($A70,ניו!$B:$B,0)),"")</f>
        <v>3.95</v>
      </c>
      <c r="E70" s="40" t="n">
        <f aca="false">IFERROR(INDEX(ניו!$E:$E,MATCH($A70,ניו!$B:$B,0)),"")</f>
        <v>2.08043379616332</v>
      </c>
      <c r="F70" s="40" t="str">
        <f aca="false">IFERROR(INDEX('מדי '!$D:$D,MATCH($A70,'מדי '!$B:$B,0)),"")</f>
        <v/>
      </c>
      <c r="G70" s="40" t="str">
        <f aca="false">IFERROR(INDEX('מדי '!$E:$E,MATCH($A70,'מדי '!$B:$B,0)),"")</f>
        <v/>
      </c>
      <c r="H70" s="40" t="str">
        <f aca="false">IFERROR(INDEX('מדי '!$F:$F,MATCH($A70,'מדי '!$B:$B,0)),"")</f>
        <v/>
      </c>
    </row>
    <row r="71" customFormat="false" ht="15" hidden="false" customHeight="false" outlineLevel="0" collapsed="false">
      <c r="A71" s="35" t="n">
        <v>45</v>
      </c>
      <c r="B71" s="36" t="str">
        <f aca="false">IF(AND(COUNTIF(ניו!$B:$B,$A71)&gt;0,COUNTIF('מדי '!$B:$B,$A71)&gt;0),"NZ + מדי",IF(COUNTIF(ניו!$B:$B,$A71)&gt;0,"NZ","מדי"))</f>
        <v>NZ + מדי</v>
      </c>
      <c r="C71" s="37" t="n">
        <f aca="false">IFERROR(INDEX(ניו!$C:$C,MATCH($A71,ניו!$B:$B,0)),IFERROR(INDEX('מדי '!$C:$C,MATCH($A71,'מדי '!$B:$B,0)),""))</f>
        <v>6.76490519301592</v>
      </c>
      <c r="D71" s="37" t="n">
        <f aca="false">IFERROR(INDEX(ניו!$D:$D,MATCH($A71,ניו!$B:$B,0)),"")</f>
        <v>3.55</v>
      </c>
      <c r="E71" s="37" t="n">
        <f aca="false">IFERROR(INDEX(ניו!$E:$E,MATCH($A71,ניו!$B:$B,0)),"")</f>
        <v>2.05708721747747</v>
      </c>
      <c r="F71" s="37" t="n">
        <f aca="false">IFERROR(INDEX('מדי '!$D:$D,MATCH($A71,'מדי '!$B:$B,0)),"")</f>
        <v>3.85</v>
      </c>
      <c r="G71" s="37" t="n">
        <f aca="false">IFERROR(INDEX('מדי '!$E:$E,MATCH($A71,'מדי '!$B:$B,0)),"")</f>
        <v>3.325</v>
      </c>
      <c r="H71" s="37" t="n">
        <f aca="false">IFERROR(INDEX('מדי '!$F:$F,MATCH($A71,'מדי '!$B:$B,0)),"")</f>
        <v>1.64654931328522</v>
      </c>
    </row>
    <row r="72" customFormat="false" ht="15" hidden="false" customHeight="false" outlineLevel="0" collapsed="false">
      <c r="A72" s="38" t="s">
        <v>67</v>
      </c>
      <c r="B72" s="39" t="str">
        <f aca="false">IF(AND(COUNTIF(ניו!$B:$B,$A72)&gt;0,COUNTIF('מדי '!$B:$B,$A72)&gt;0),"NZ + מדי",IF(COUNTIF(ניו!$B:$B,$A72)&gt;0,"NZ","מדי"))</f>
        <v>NZ</v>
      </c>
      <c r="C72" s="40" t="n">
        <f aca="false">IFERROR(INDEX(ניו!$C:$C,MATCH($A72,ניו!$B:$B,0)),IFERROR(INDEX('מדי '!$C:$C,MATCH($A72,'מדי '!$B:$B,0)),""))</f>
        <v>7.19010202076607</v>
      </c>
      <c r="D72" s="40" t="n">
        <f aca="false">IFERROR(INDEX(ניו!$D:$D,MATCH($A72,ניו!$B:$B,0)),"")</f>
        <v>3.55</v>
      </c>
      <c r="E72" s="40" t="n">
        <f aca="false">IFERROR(INDEX(ניו!$E:$E,MATCH($A72,ניו!$B:$B,0)),"")</f>
        <v>1.93543846245972</v>
      </c>
      <c r="F72" s="40" t="str">
        <f aca="false">IFERROR(INDEX('מדי '!$D:$D,MATCH($A72,'מדי '!$B:$B,0)),"")</f>
        <v/>
      </c>
      <c r="G72" s="40" t="str">
        <f aca="false">IFERROR(INDEX('מדי '!$E:$E,MATCH($A72,'מדי '!$B:$B,0)),"")</f>
        <v/>
      </c>
      <c r="H72" s="40" t="str">
        <f aca="false">IFERROR(INDEX('מדי '!$F:$F,MATCH($A72,'מדי '!$B:$B,0)),"")</f>
        <v/>
      </c>
    </row>
    <row r="73" customFormat="false" ht="15" hidden="false" customHeight="false" outlineLevel="0" collapsed="false">
      <c r="A73" s="38" t="s">
        <v>68</v>
      </c>
      <c r="B73" s="39" t="str">
        <f aca="false">IF(AND(COUNTIF(ניו!$B:$B,$A73)&gt;0,COUNTIF('מדי '!$B:$B,$A73)&gt;0),"NZ + מדי",IF(COUNTIF(ניו!$B:$B,$A73)&gt;0,"NZ","מדי"))</f>
        <v>NZ</v>
      </c>
      <c r="C73" s="40" t="n">
        <f aca="false">IFERROR(INDEX(ניו!$C:$C,MATCH($A73,ניו!$B:$B,0)),IFERROR(INDEX('מדי '!$C:$C,MATCH($A73,'מדי '!$B:$B,0)),""))</f>
        <v>6.84268275978265</v>
      </c>
      <c r="D73" s="40" t="n">
        <f aca="false">IFERROR(INDEX(ניו!$D:$D,MATCH($A73,ניו!$B:$B,0)),"")</f>
        <v>3.55</v>
      </c>
      <c r="E73" s="40" t="n">
        <f aca="false">IFERROR(INDEX(ניו!$E:$E,MATCH($A73,ניו!$B:$B,0)),"")</f>
        <v>2.0337052715333</v>
      </c>
      <c r="F73" s="40" t="str">
        <f aca="false">IFERROR(INDEX('מדי '!$D:$D,MATCH($A73,'מדי '!$B:$B,0)),"")</f>
        <v/>
      </c>
      <c r="G73" s="40" t="str">
        <f aca="false">IFERROR(INDEX('מדי '!$E:$E,MATCH($A73,'מדי '!$B:$B,0)),"")</f>
        <v/>
      </c>
      <c r="H73" s="40" t="str">
        <f aca="false">IFERROR(INDEX('מדי '!$F:$F,MATCH($A73,'מדי '!$B:$B,0)),"")</f>
        <v/>
      </c>
    </row>
    <row r="74" customFormat="false" ht="15" hidden="false" customHeight="false" outlineLevel="0" collapsed="false">
      <c r="A74" s="38" t="s">
        <v>69</v>
      </c>
      <c r="B74" s="39" t="str">
        <f aca="false">IF(AND(COUNTIF(ניו!$B:$B,$A74)&gt;0,COUNTIF('מדי '!$B:$B,$A74)&gt;0),"NZ + מדי",IF(COUNTIF(ניו!$B:$B,$A74)&gt;0,"NZ","מדי"))</f>
        <v>NZ</v>
      </c>
      <c r="C74" s="40" t="n">
        <f aca="false">IFERROR(INDEX(ניו!$C:$C,MATCH($A74,ניו!$B:$B,0)),IFERROR(INDEX('מדי '!$C:$C,MATCH($A74,'מדי '!$B:$B,0)),""))</f>
        <v>7.55676511577839</v>
      </c>
      <c r="D74" s="40" t="n">
        <f aca="false">IFERROR(INDEX(ניו!$D:$D,MATCH($A74,ניו!$B:$B,0)),"")</f>
        <v>4.2</v>
      </c>
      <c r="E74" s="40" t="n">
        <f aca="false">IFERROR(INDEX(ניו!$E:$E,MATCH($A74,ניו!$B:$B,0)),"")</f>
        <v>2.17871003633863</v>
      </c>
      <c r="F74" s="40" t="str">
        <f aca="false">IFERROR(INDEX('מדי '!$D:$D,MATCH($A74,'מדי '!$B:$B,0)),"")</f>
        <v/>
      </c>
      <c r="G74" s="40" t="str">
        <f aca="false">IFERROR(INDEX('מדי '!$E:$E,MATCH($A74,'מדי '!$B:$B,0)),"")</f>
        <v/>
      </c>
      <c r="H74" s="40" t="str">
        <f aca="false">IFERROR(INDEX('מדי '!$F:$F,MATCH($A74,'מדי '!$B:$B,0)),"")</f>
        <v/>
      </c>
    </row>
    <row r="75" customFormat="false" ht="15" hidden="false" customHeight="false" outlineLevel="0" collapsed="false">
      <c r="A75" s="38" t="s">
        <v>70</v>
      </c>
      <c r="B75" s="39" t="str">
        <f aca="false">IF(AND(COUNTIF(ניו!$B:$B,$A75)&gt;0,COUNTIF('מדי '!$B:$B,$A75)&gt;0),"NZ + מדי",IF(COUNTIF(ניו!$B:$B,$A75)&gt;0,"NZ","מדי"))</f>
        <v>NZ</v>
      </c>
      <c r="C75" s="40" t="n">
        <f aca="false">IFERROR(INDEX(ניו!$C:$C,MATCH($A75,ניו!$B:$B,0)),IFERROR(INDEX('מדי '!$C:$C,MATCH($A75,'מדי '!$B:$B,0)),""))</f>
        <v>36.876</v>
      </c>
      <c r="D75" s="40" t="n">
        <f aca="false">IFERROR(INDEX(ניו!$D:$D,MATCH($A75,ניו!$B:$B,0)),"")</f>
        <v>23.45</v>
      </c>
      <c r="E75" s="40" t="n">
        <f aca="false">IFERROR(INDEX(ניו!$E:$E,MATCH($A75,ניו!$B:$B,0)),"")</f>
        <v>2.49278663629461</v>
      </c>
      <c r="F75" s="40" t="str">
        <f aca="false">IFERROR(INDEX('מדי '!$D:$D,MATCH($A75,'מדי '!$B:$B,0)),"")</f>
        <v/>
      </c>
      <c r="G75" s="40" t="str">
        <f aca="false">IFERROR(INDEX('מדי '!$E:$E,MATCH($A75,'מדי '!$B:$B,0)),"")</f>
        <v/>
      </c>
      <c r="H75" s="40" t="str">
        <f aca="false">IFERROR(INDEX('מדי '!$F:$F,MATCH($A75,'מדי '!$B:$B,0)),"")</f>
        <v/>
      </c>
    </row>
    <row r="76" customFormat="false" ht="15" hidden="false" customHeight="false" outlineLevel="0" collapsed="false">
      <c r="A76" s="38" t="s">
        <v>71</v>
      </c>
      <c r="B76" s="39" t="str">
        <f aca="false">IF(AND(COUNTIF(ניו!$B:$B,$A76)&gt;0,COUNTIF('מדי '!$B:$B,$A76)&gt;0),"NZ + מדי",IF(COUNTIF(ניו!$B:$B,$A76)&gt;0,"NZ","מדי"))</f>
        <v>NZ</v>
      </c>
      <c r="C76" s="40" t="n">
        <f aca="false">IFERROR(INDEX(ניו!$C:$C,MATCH($A76,ניו!$B:$B,0)),IFERROR(INDEX('מדי '!$C:$C,MATCH($A76,'מדי '!$B:$B,0)),""))</f>
        <v>33.6577272944588</v>
      </c>
      <c r="D76" s="40" t="n">
        <f aca="false">IFERROR(INDEX(ניו!$D:$D,MATCH($A76,ניו!$B:$B,0)),"")</f>
        <v>16.7</v>
      </c>
      <c r="E76" s="40" t="n">
        <f aca="false">IFERROR(INDEX(ניו!$E:$E,MATCH($A76,ניו!$B:$B,0)),"")</f>
        <v>1.94499169320852</v>
      </c>
      <c r="F76" s="40" t="str">
        <f aca="false">IFERROR(INDEX('מדי '!$D:$D,MATCH($A76,'מדי '!$B:$B,0)),"")</f>
        <v/>
      </c>
      <c r="G76" s="40" t="str">
        <f aca="false">IFERROR(INDEX('מדי '!$E:$E,MATCH($A76,'מדי '!$B:$B,0)),"")</f>
        <v/>
      </c>
      <c r="H76" s="40" t="str">
        <f aca="false">IFERROR(INDEX('מדי '!$F:$F,MATCH($A76,'מדי '!$B:$B,0)),"")</f>
        <v/>
      </c>
    </row>
    <row r="77" customFormat="false" ht="15" hidden="false" customHeight="false" outlineLevel="0" collapsed="false">
      <c r="A77" s="35" t="s">
        <v>72</v>
      </c>
      <c r="B77" s="36" t="str">
        <f aca="false">IF(AND(COUNTIF(ניו!$B:$B,$A77)&gt;0,COUNTIF('מדי '!$B:$B,$A77)&gt;0),"NZ + מדי",IF(COUNTIF(ניו!$B:$B,$A77)&gt;0,"NZ","מדי"))</f>
        <v>NZ + מדי</v>
      </c>
      <c r="C77" s="37" t="n">
        <f aca="false">IFERROR(INDEX(ניו!$C:$C,MATCH($A77,ניו!$B:$B,0)),IFERROR(INDEX('מדי '!$C:$C,MATCH($A77,'מדי '!$B:$B,0)),""))</f>
        <v>24.8468219214462</v>
      </c>
      <c r="D77" s="37" t="n">
        <f aca="false">IFERROR(INDEX(ניו!$D:$D,MATCH($A77,ניו!$B:$B,0)),"")</f>
        <v>9.05</v>
      </c>
      <c r="E77" s="37" t="n">
        <f aca="false">IFERROR(INDEX(ניו!$E:$E,MATCH($A77,ניו!$B:$B,0)),"")</f>
        <v>1.42778823433267</v>
      </c>
      <c r="F77" s="37" t="n">
        <f aca="false">IFERROR(INDEX('מדי '!$D:$D,MATCH($A77,'מדי '!$B:$B,0)),"")</f>
        <v>11.8</v>
      </c>
      <c r="G77" s="37" t="n">
        <f aca="false">IFERROR(INDEX('מדי '!$E:$E,MATCH($A77,'מדי '!$B:$B,0)),"")</f>
        <v>10.1909090909091</v>
      </c>
      <c r="H77" s="37" t="n">
        <f aca="false">IFERROR(INDEX('מדי '!$F:$F,MATCH($A77,'מדי '!$B:$B,0)),"")</f>
        <v>1.37400048837145</v>
      </c>
    </row>
    <row r="78" customFormat="false" ht="15" hidden="false" customHeight="false" outlineLevel="0" collapsed="false">
      <c r="A78" s="38" t="s">
        <v>73</v>
      </c>
      <c r="B78" s="39" t="str">
        <f aca="false">IF(AND(COUNTIF(ניו!$B:$B,$A78)&gt;0,COUNTIF('מדי '!$B:$B,$A78)&gt;0),"NZ + מדי",IF(COUNTIF(ניו!$B:$B,$A78)&gt;0,"NZ","מדי"))</f>
        <v>NZ</v>
      </c>
      <c r="C78" s="40" t="n">
        <f aca="false">IFERROR(INDEX(ניו!$C:$C,MATCH($A78,ניו!$B:$B,0)),IFERROR(INDEX('מדי '!$C:$C,MATCH($A78,'מדי '!$B:$B,0)),""))</f>
        <v>52.9123524176038</v>
      </c>
      <c r="D78" s="40" t="n">
        <f aca="false">IFERROR(INDEX(ניו!$D:$D,MATCH($A78,ניו!$B:$B,0)),"")</f>
        <v>28</v>
      </c>
      <c r="E78" s="40" t="n">
        <f aca="false">IFERROR(INDEX(ניו!$E:$E,MATCH($A78,ניו!$B:$B,0)),"")</f>
        <v>2.0743738462757</v>
      </c>
      <c r="F78" s="40" t="str">
        <f aca="false">IFERROR(INDEX('מדי '!$D:$D,MATCH($A78,'מדי '!$B:$B,0)),"")</f>
        <v/>
      </c>
      <c r="G78" s="40" t="str">
        <f aca="false">IFERROR(INDEX('מדי '!$E:$E,MATCH($A78,'מדי '!$B:$B,0)),"")</f>
        <v/>
      </c>
      <c r="H78" s="40" t="str">
        <f aca="false">IFERROR(INDEX('מדי '!$F:$F,MATCH($A78,'מדי '!$B:$B,0)),"")</f>
        <v/>
      </c>
    </row>
    <row r="79" customFormat="false" ht="15" hidden="false" customHeight="false" outlineLevel="0" collapsed="false">
      <c r="A79" s="35" t="s">
        <v>74</v>
      </c>
      <c r="B79" s="36" t="str">
        <f aca="false">IF(AND(COUNTIF(ניו!$B:$B,$A79)&gt;0,COUNTIF('מדי '!$B:$B,$A79)&gt;0),"NZ + מדי",IF(COUNTIF(ניו!$B:$B,$A79)&gt;0,"NZ","מדי"))</f>
        <v>NZ + מדי</v>
      </c>
      <c r="C79" s="37" t="n">
        <f aca="false">IFERROR(INDEX(ניו!$C:$C,MATCH($A79,ניו!$B:$B,0)),IFERROR(INDEX('מדי '!$C:$C,MATCH($A79,'מדי '!$B:$B,0)),""))</f>
        <v>49.7507091310306</v>
      </c>
      <c r="D79" s="37" t="n">
        <f aca="false">IFERROR(INDEX(ניו!$D:$D,MATCH($A79,ניו!$B:$B,0)),"")</f>
        <v>25.5</v>
      </c>
      <c r="E79" s="37" t="n">
        <f aca="false">IFERROR(INDEX(ניו!$E:$E,MATCH($A79,ניו!$B:$B,0)),"")</f>
        <v>2.00921759198911</v>
      </c>
      <c r="F79" s="37" t="n">
        <f aca="false">IFERROR(INDEX('מדי '!$D:$D,MATCH($A79,'מדי '!$B:$B,0)),"")</f>
        <v>28</v>
      </c>
      <c r="G79" s="37" t="n">
        <f aca="false">IFERROR(INDEX('מדי '!$E:$E,MATCH($A79,'מדי '!$B:$B,0)),"")</f>
        <v>24.1818181818182</v>
      </c>
      <c r="H79" s="37" t="n">
        <f aca="false">IFERROR(INDEX('מדי '!$F:$F,MATCH($A79,'מדי '!$B:$B,0)),"")</f>
        <v>1.6283002257462</v>
      </c>
    </row>
    <row r="80" customFormat="false" ht="15" hidden="false" customHeight="false" outlineLevel="0" collapsed="false">
      <c r="A80" s="35" t="s">
        <v>75</v>
      </c>
      <c r="B80" s="36" t="str">
        <f aca="false">IF(AND(COUNTIF(ניו!$B:$B,$A80)&gt;0,COUNTIF('מדי '!$B:$B,$A80)&gt;0),"NZ + מדי",IF(COUNTIF(ניו!$B:$B,$A80)&gt;0,"NZ","מדי"))</f>
        <v>NZ + מדי</v>
      </c>
      <c r="C80" s="37" t="n">
        <f aca="false">IFERROR(INDEX(ניו!$C:$C,MATCH($A80,ניו!$B:$B,0)),IFERROR(INDEX('מדי '!$C:$C,MATCH($A80,'מדי '!$B:$B,0)),""))</f>
        <v>49.7507091310306</v>
      </c>
      <c r="D80" s="37" t="n">
        <f aca="false">IFERROR(INDEX(ניו!$D:$D,MATCH($A80,ניו!$B:$B,0)),"")</f>
        <v>25.5</v>
      </c>
      <c r="E80" s="37" t="n">
        <f aca="false">IFERROR(INDEX(ניו!$E:$E,MATCH($A80,ניו!$B:$B,0)),"")</f>
        <v>2.00921759198911</v>
      </c>
      <c r="F80" s="37" t="n">
        <f aca="false">IFERROR(INDEX('מדי '!$D:$D,MATCH($A80,'מדי '!$B:$B,0)),"")</f>
        <v>28</v>
      </c>
      <c r="G80" s="37" t="n">
        <f aca="false">IFERROR(INDEX('מדי '!$E:$E,MATCH($A80,'מדי '!$B:$B,0)),"")</f>
        <v>24.1818181818182</v>
      </c>
      <c r="H80" s="37" t="n">
        <f aca="false">IFERROR(INDEX('מדי '!$F:$F,MATCH($A80,'מדי '!$B:$B,0)),"")</f>
        <v>1.6283002257462</v>
      </c>
    </row>
    <row r="81" customFormat="false" ht="15" hidden="false" customHeight="false" outlineLevel="0" collapsed="false">
      <c r="A81" s="35" t="n">
        <v>60</v>
      </c>
      <c r="B81" s="36" t="str">
        <f aca="false">IF(AND(COUNTIF(ניו!$B:$B,$A81)&gt;0,COUNTIF('מדי '!$B:$B,$A81)&gt;0),"NZ + מדי",IF(COUNTIF(ניו!$B:$B,$A81)&gt;0,"NZ","מדי"))</f>
        <v>NZ + מדי</v>
      </c>
      <c r="C81" s="37" t="n">
        <f aca="false">IFERROR(INDEX(ניו!$C:$C,MATCH($A81,ניו!$B:$B,0)),IFERROR(INDEX('מדי '!$C:$C,MATCH($A81,'מדי '!$B:$B,0)),""))</f>
        <v>16.8416207793064</v>
      </c>
      <c r="D81" s="37" t="n">
        <f aca="false">IFERROR(INDEX(ניו!$D:$D,MATCH($A81,ניו!$B:$B,0)),"")</f>
        <v>6.55</v>
      </c>
      <c r="E81" s="37" t="n">
        <f aca="false">IFERROR(INDEX(ניו!$E:$E,MATCH($A81,ניו!$B:$B,0)),"")</f>
        <v>1.52455635573677</v>
      </c>
      <c r="F81" s="37" t="n">
        <f aca="false">IFERROR(INDEX('מדי '!$D:$D,MATCH($A81,'מדי '!$B:$B,0)),"")</f>
        <v>8.94</v>
      </c>
      <c r="G81" s="37" t="n">
        <f aca="false">IFERROR(INDEX('מדי '!$E:$E,MATCH($A81,'מדי '!$B:$B,0)),"")</f>
        <v>7.72090909090909</v>
      </c>
      <c r="H81" s="37" t="n">
        <f aca="false">IFERROR(INDEX('מדי '!$F:$F,MATCH($A81,'מדי '!$B:$B,0)),"")</f>
        <v>1.53578125249836</v>
      </c>
    </row>
    <row r="82" customFormat="false" ht="15" hidden="false" customHeight="false" outlineLevel="0" collapsed="false">
      <c r="A82" s="38" t="s">
        <v>76</v>
      </c>
      <c r="B82" s="39" t="str">
        <f aca="false">IF(AND(COUNTIF(ניו!$B:$B,$A82)&gt;0,COUNTIF('מדי '!$B:$B,$A82)&gt;0),"NZ + מדי",IF(COUNTIF(ניו!$B:$B,$A82)&gt;0,"NZ","מדי"))</f>
        <v>NZ</v>
      </c>
      <c r="C82" s="40" t="n">
        <f aca="false">IFERROR(INDEX(ניו!$C:$C,MATCH($A82,ניו!$B:$B,0)),IFERROR(INDEX('מדי '!$C:$C,MATCH($A82,'מדי '!$B:$B,0)),""))</f>
        <v>16.8409789336104</v>
      </c>
      <c r="D82" s="40" t="n">
        <f aca="false">IFERROR(INDEX(ניו!$D:$D,MATCH($A82,ניו!$B:$B,0)),"")</f>
        <v>7.5</v>
      </c>
      <c r="E82" s="40" t="n">
        <f aca="false">IFERROR(INDEX(ניו!$E:$E,MATCH($A82,ניו!$B:$B,0)),"")</f>
        <v>1.74574174790546</v>
      </c>
      <c r="F82" s="40" t="str">
        <f aca="false">IFERROR(INDEX('מדי '!$D:$D,MATCH($A82,'מדי '!$B:$B,0)),"")</f>
        <v/>
      </c>
      <c r="G82" s="40" t="str">
        <f aca="false">IFERROR(INDEX('מדי '!$E:$E,MATCH($A82,'מדי '!$B:$B,0)),"")</f>
        <v/>
      </c>
      <c r="H82" s="40" t="str">
        <f aca="false">IFERROR(INDEX('מדי '!$F:$F,MATCH($A82,'מדי '!$B:$B,0)),"")</f>
        <v/>
      </c>
    </row>
    <row r="83" customFormat="false" ht="15" hidden="false" customHeight="false" outlineLevel="0" collapsed="false">
      <c r="A83" s="38" t="s">
        <v>77</v>
      </c>
      <c r="B83" s="39" t="str">
        <f aca="false">IF(AND(COUNTIF(ניו!$B:$B,$A83)&gt;0,COUNTIF('מדי '!$B:$B,$A83)&gt;0),"NZ + מדי",IF(COUNTIF(ניו!$B:$B,$A83)&gt;0,"NZ","מדי"))</f>
        <v>NZ</v>
      </c>
      <c r="C83" s="40" t="n">
        <f aca="false">IFERROR(INDEX(ניו!$C:$C,MATCH($A83,ניו!$B:$B,0)),IFERROR(INDEX('מדי '!$C:$C,MATCH($A83,'מדי '!$B:$B,0)),""))</f>
        <v>7.731</v>
      </c>
      <c r="D83" s="40" t="n">
        <f aca="false">IFERROR(INDEX(ניו!$D:$D,MATCH($A83,ניו!$B:$B,0)),"")</f>
        <v>5.05</v>
      </c>
      <c r="E83" s="40" t="n">
        <f aca="false">IFERROR(INDEX(ניו!$E:$E,MATCH($A83,ניו!$B:$B,0)),"")</f>
        <v>2.56060018108912</v>
      </c>
      <c r="F83" s="40" t="str">
        <f aca="false">IFERROR(INDEX('מדי '!$D:$D,MATCH($A83,'מדי '!$B:$B,0)),"")</f>
        <v/>
      </c>
      <c r="G83" s="40" t="str">
        <f aca="false">IFERROR(INDEX('מדי '!$E:$E,MATCH($A83,'מדי '!$B:$B,0)),"")</f>
        <v/>
      </c>
      <c r="H83" s="40" t="str">
        <f aca="false">IFERROR(INDEX('מדי '!$F:$F,MATCH($A83,'מדי '!$B:$B,0)),"")</f>
        <v/>
      </c>
    </row>
    <row r="84" customFormat="false" ht="15" hidden="false" customHeight="false" outlineLevel="0" collapsed="false">
      <c r="A84" s="35" t="s">
        <v>78</v>
      </c>
      <c r="B84" s="36" t="str">
        <f aca="false">IF(AND(COUNTIF(ניו!$B:$B,$A84)&gt;0,COUNTIF('מדי '!$B:$B,$A84)&gt;0),"NZ + מדי",IF(COUNTIF(ניו!$B:$B,$A84)&gt;0,"NZ","מדי"))</f>
        <v>NZ + מדי</v>
      </c>
      <c r="C84" s="37" t="n">
        <f aca="false">IFERROR(INDEX(ניו!$C:$C,MATCH($A84,ניו!$B:$B,0)),IFERROR(INDEX('מדי '!$C:$C,MATCH($A84,'מדי '!$B:$B,0)),""))</f>
        <v>37.35</v>
      </c>
      <c r="D84" s="37" t="n">
        <f aca="false">IFERROR(INDEX(ניו!$D:$D,MATCH($A84,ניו!$B:$B,0)),"")</f>
        <v>34.8</v>
      </c>
      <c r="E84" s="37" t="n">
        <f aca="false">IFERROR(INDEX(ניו!$E:$E,MATCH($A84,ניו!$B:$B,0)),"")</f>
        <v>3.65236947791165</v>
      </c>
      <c r="F84" s="37" t="n">
        <f aca="false">IFERROR(INDEX('מדי '!$D:$D,MATCH($A84,'מדי '!$B:$B,0)),"")</f>
        <v>52.3</v>
      </c>
      <c r="G84" s="37" t="n">
        <f aca="false">IFERROR(INDEX('מדי '!$E:$E,MATCH($A84,'מדי '!$B:$B,0)),"")</f>
        <v>45.1681818181818</v>
      </c>
      <c r="H84" s="37" t="n">
        <f aca="false">IFERROR(INDEX('מדי '!$F:$F,MATCH($A84,'מדי '!$B:$B,0)),"")</f>
        <v>4.05122915906048</v>
      </c>
    </row>
    <row r="85" customFormat="false" ht="15" hidden="false" customHeight="false" outlineLevel="0" collapsed="false">
      <c r="A85" s="35" t="s">
        <v>79</v>
      </c>
      <c r="B85" s="36" t="str">
        <f aca="false">IF(AND(COUNTIF(ניו!$B:$B,$A85)&gt;0,COUNTIF('מדי '!$B:$B,$A85)&gt;0),"NZ + מדי",IF(COUNTIF(ניו!$B:$B,$A85)&gt;0,"NZ","מדי"))</f>
        <v>NZ + מדי</v>
      </c>
      <c r="C85" s="37" t="n">
        <f aca="false">IFERROR(INDEX(ניו!$C:$C,MATCH($A85,ניו!$B:$B,0)),IFERROR(INDEX('מדי '!$C:$C,MATCH($A85,'מדי '!$B:$B,0)),""))</f>
        <v>51.6999787918999</v>
      </c>
      <c r="D85" s="37" t="n">
        <f aca="false">IFERROR(INDEX(ניו!$D:$D,MATCH($A85,ניו!$B:$B,0)),"")</f>
        <v>26.65</v>
      </c>
      <c r="E85" s="37" t="n">
        <f aca="false">IFERROR(INDEX(ניו!$E:$E,MATCH($A85,ניו!$B:$B,0)),"")</f>
        <v>2.02065846913592</v>
      </c>
      <c r="F85" s="37" t="n">
        <f aca="false">IFERROR(INDEX('מדי '!$D:$D,MATCH($A85,'מדי '!$B:$B,0)),"")</f>
        <v>25.73</v>
      </c>
      <c r="G85" s="37" t="n">
        <f aca="false">IFERROR(INDEX('מדי '!$E:$E,MATCH($A85,'מדי '!$B:$B,0)),"")</f>
        <v>22.2213636363636</v>
      </c>
      <c r="H85" s="37" t="n">
        <f aca="false">IFERROR(INDEX('מדי '!$F:$F,MATCH($A85,'מדי '!$B:$B,0)),"")</f>
        <v>1.43987618411715</v>
      </c>
    </row>
    <row r="86" customFormat="false" ht="15" hidden="false" customHeight="false" outlineLevel="0" collapsed="false">
      <c r="A86" s="38" t="s">
        <v>80</v>
      </c>
      <c r="B86" s="39" t="str">
        <f aca="false">IF(AND(COUNTIF(ניו!$B:$B,$A86)&gt;0,COUNTIF('מדי '!$B:$B,$A86)&gt;0),"NZ + מדי",IF(COUNTIF(ניו!$B:$B,$A86)&gt;0,"NZ","מדי"))</f>
        <v>NZ</v>
      </c>
      <c r="C86" s="40" t="n">
        <f aca="false">IFERROR(INDEX(ניו!$C:$C,MATCH($A86,ניו!$B:$B,0)),IFERROR(INDEX('מדי '!$C:$C,MATCH($A86,'מדי '!$B:$B,0)),""))</f>
        <v>57.6351019815826</v>
      </c>
      <c r="D86" s="40" t="n">
        <f aca="false">IFERROR(INDEX(ניו!$D:$D,MATCH($A86,ניו!$B:$B,0)),"")</f>
        <v>31.35</v>
      </c>
      <c r="E86" s="40" t="n">
        <f aca="false">IFERROR(INDEX(ניו!$E:$E,MATCH($A86,ניו!$B:$B,0)),"")</f>
        <v>2.13224225818617</v>
      </c>
      <c r="F86" s="40" t="str">
        <f aca="false">IFERROR(INDEX('מדי '!$D:$D,MATCH($A86,'מדי '!$B:$B,0)),"")</f>
        <v/>
      </c>
      <c r="G86" s="40" t="str">
        <f aca="false">IFERROR(INDEX('מדי '!$E:$E,MATCH($A86,'מדי '!$B:$B,0)),"")</f>
        <v/>
      </c>
      <c r="H86" s="40" t="str">
        <f aca="false">IFERROR(INDEX('מדי '!$F:$F,MATCH($A86,'מדי '!$B:$B,0)),"")</f>
        <v/>
      </c>
    </row>
    <row r="87" customFormat="false" ht="15" hidden="false" customHeight="false" outlineLevel="0" collapsed="false">
      <c r="A87" s="38" t="s">
        <v>81</v>
      </c>
      <c r="B87" s="39" t="str">
        <f aca="false">IF(AND(COUNTIF(ניו!$B:$B,$A87)&gt;0,COUNTIF('מדי '!$B:$B,$A87)&gt;0),"NZ + מדי",IF(COUNTIF(ניו!$B:$B,$A87)&gt;0,"NZ","מדי"))</f>
        <v>NZ</v>
      </c>
      <c r="C87" s="40" t="n">
        <f aca="false">IFERROR(INDEX(ניו!$C:$C,MATCH($A87,ניו!$B:$B,0)),IFERROR(INDEX('מדי '!$C:$C,MATCH($A87,'מדי '!$B:$B,0)),""))</f>
        <v>3.67</v>
      </c>
      <c r="D87" s="40" t="n">
        <f aca="false">IFERROR(INDEX(ניו!$D:$D,MATCH($A87,ניו!$B:$B,0)),"")</f>
        <v>2.8</v>
      </c>
      <c r="E87" s="40" t="n">
        <f aca="false">IFERROR(INDEX(ניו!$E:$E,MATCH($A87,ניו!$B:$B,0)),"")</f>
        <v>2.99073569482289</v>
      </c>
      <c r="F87" s="40" t="str">
        <f aca="false">IFERROR(INDEX('מדי '!$D:$D,MATCH($A87,'מדי '!$B:$B,0)),"")</f>
        <v/>
      </c>
      <c r="G87" s="40" t="str">
        <f aca="false">IFERROR(INDEX('מדי '!$E:$E,MATCH($A87,'מדי '!$B:$B,0)),"")</f>
        <v/>
      </c>
      <c r="H87" s="40" t="str">
        <f aca="false">IFERROR(INDEX('מדי '!$F:$F,MATCH($A87,'מדי '!$B:$B,0)),"")</f>
        <v/>
      </c>
    </row>
    <row r="88" customFormat="false" ht="15" hidden="false" customHeight="false" outlineLevel="0" collapsed="false">
      <c r="A88" s="35" t="s">
        <v>82</v>
      </c>
      <c r="B88" s="36" t="str">
        <f aca="false">IF(AND(COUNTIF(ניו!$B:$B,$A88)&gt;0,COUNTIF('מדי '!$B:$B,$A88)&gt;0),"NZ + מדי",IF(COUNTIF(ניו!$B:$B,$A88)&gt;0,"NZ","מדי"))</f>
        <v>NZ + מדי</v>
      </c>
      <c r="C88" s="37" t="n">
        <f aca="false">IFERROR(INDEX(ניו!$C:$C,MATCH($A88,ניו!$B:$B,0)),IFERROR(INDEX('מדי '!$C:$C,MATCH($A88,'מדי '!$B:$B,0)),""))</f>
        <v>4.73146262188516</v>
      </c>
      <c r="D88" s="37" t="n">
        <f aca="false">IFERROR(INDEX(ניו!$D:$D,MATCH($A88,ניו!$B:$B,0)),"")</f>
        <v>3.2</v>
      </c>
      <c r="E88" s="37" t="n">
        <f aca="false">IFERROR(INDEX(ניו!$E:$E,MATCH($A88,ניו!$B:$B,0)),"")</f>
        <v>2.65118864977995</v>
      </c>
      <c r="F88" s="37" t="n">
        <f aca="false">IFERROR(INDEX('מדי '!$D:$D,MATCH($A88,'מדי '!$B:$B,0)),"")</f>
        <v>3</v>
      </c>
      <c r="G88" s="37" t="n">
        <f aca="false">IFERROR(INDEX('מדי '!$E:$E,MATCH($A88,'מדי '!$B:$B,0)),"")</f>
        <v>2.59090909090909</v>
      </c>
      <c r="H88" s="37" t="n">
        <f aca="false">IFERROR(INDEX('מדי '!$F:$F,MATCH($A88,'מדי '!$B:$B,0)),"")</f>
        <v>1.83443179164063</v>
      </c>
    </row>
    <row r="89" customFormat="false" ht="15" hidden="false" customHeight="false" outlineLevel="0" collapsed="false">
      <c r="A89" s="38" t="s">
        <v>83</v>
      </c>
      <c r="B89" s="39" t="str">
        <f aca="false">IF(AND(COUNTIF(ניו!$B:$B,$A89)&gt;0,COUNTIF('מדי '!$B:$B,$A89)&gt;0),"NZ + מדי",IF(COUNTIF(ניו!$B:$B,$A89)&gt;0,"NZ","מדי"))</f>
        <v>NZ</v>
      </c>
      <c r="C89" s="40" t="n">
        <f aca="false">IFERROR(INDEX(ניו!$C:$C,MATCH($A89,ניו!$B:$B,0)),IFERROR(INDEX('מדי '!$C:$C,MATCH($A89,'מדי '!$B:$B,0)),""))</f>
        <v>5.06015196821957</v>
      </c>
      <c r="D89" s="40" t="n">
        <f aca="false">IFERROR(INDEX(ניו!$D:$D,MATCH($A89,ניו!$B:$B,0)),"")</f>
        <v>3</v>
      </c>
      <c r="E89" s="40" t="n">
        <f aca="false">IFERROR(INDEX(ניו!$E:$E,MATCH($A89,ניו!$B:$B,0)),"")</f>
        <v>2.32404087344788</v>
      </c>
      <c r="F89" s="40" t="str">
        <f aca="false">IFERROR(INDEX('מדי '!$D:$D,MATCH($A89,'מדי '!$B:$B,0)),"")</f>
        <v/>
      </c>
      <c r="G89" s="40" t="str">
        <f aca="false">IFERROR(INDEX('מדי '!$E:$E,MATCH($A89,'מדי '!$B:$B,0)),"")</f>
        <v/>
      </c>
      <c r="H89" s="40" t="str">
        <f aca="false">IFERROR(INDEX('מדי '!$F:$F,MATCH($A89,'מדי '!$B:$B,0)),"")</f>
        <v/>
      </c>
    </row>
    <row r="90" customFormat="false" ht="15" hidden="false" customHeight="false" outlineLevel="0" collapsed="false">
      <c r="A90" s="38" t="s">
        <v>84</v>
      </c>
      <c r="B90" s="39" t="str">
        <f aca="false">IF(AND(COUNTIF(ניו!$B:$B,$A90)&gt;0,COUNTIF('מדי '!$B:$B,$A90)&gt;0),"NZ + מדי",IF(COUNTIF(ניו!$B:$B,$A90)&gt;0,"NZ","מדי"))</f>
        <v>NZ</v>
      </c>
      <c r="C90" s="40" t="n">
        <f aca="false">IFERROR(INDEX(ניו!$C:$C,MATCH($A90,ניו!$B:$B,0)),IFERROR(INDEX('מדי '!$C:$C,MATCH($A90,'מדי '!$B:$B,0)),""))</f>
        <v>2.796</v>
      </c>
      <c r="D90" s="40" t="n">
        <f aca="false">IFERROR(INDEX(ניו!$D:$D,MATCH($A90,ניו!$B:$B,0)),"")</f>
        <v>2</v>
      </c>
      <c r="E90" s="40" t="n">
        <f aca="false">IFERROR(INDEX(ניו!$E:$E,MATCH($A90,ניו!$B:$B,0)),"")</f>
        <v>2.80400572246066</v>
      </c>
      <c r="F90" s="40" t="str">
        <f aca="false">IFERROR(INDEX('מדי '!$D:$D,MATCH($A90,'מדי '!$B:$B,0)),"")</f>
        <v/>
      </c>
      <c r="G90" s="40" t="str">
        <f aca="false">IFERROR(INDEX('מדי '!$E:$E,MATCH($A90,'מדי '!$B:$B,0)),"")</f>
        <v/>
      </c>
      <c r="H90" s="40" t="str">
        <f aca="false">IFERROR(INDEX('מדי '!$F:$F,MATCH($A90,'מדי '!$B:$B,0)),"")</f>
        <v/>
      </c>
    </row>
    <row r="91" customFormat="false" ht="15" hidden="false" customHeight="false" outlineLevel="0" collapsed="false">
      <c r="A91" s="38" t="s">
        <v>85</v>
      </c>
      <c r="B91" s="39" t="str">
        <f aca="false">IF(AND(COUNTIF(ניו!$B:$B,$A91)&gt;0,COUNTIF('מדי '!$B:$B,$A91)&gt;0),"NZ + מדי",IF(COUNTIF(ניו!$B:$B,$A91)&gt;0,"NZ","מדי"))</f>
        <v>NZ</v>
      </c>
      <c r="C91" s="40" t="n">
        <f aca="false">IFERROR(INDEX(ניו!$C:$C,MATCH($A91,ניו!$B:$B,0)),IFERROR(INDEX('מדי '!$C:$C,MATCH($A91,'מדי '!$B:$B,0)),""))</f>
        <v>2.616</v>
      </c>
      <c r="D91" s="40" t="n">
        <f aca="false">IFERROR(INDEX(ניו!$D:$D,MATCH($A91,ניו!$B:$B,0)),"")</f>
        <v>2.3</v>
      </c>
      <c r="E91" s="40" t="n">
        <f aca="false">IFERROR(INDEX(ניו!$E:$E,MATCH($A91,ניו!$B:$B,0)),"")</f>
        <v>3.44648318042813</v>
      </c>
      <c r="F91" s="40" t="str">
        <f aca="false">IFERROR(INDEX('מדי '!$D:$D,MATCH($A91,'מדי '!$B:$B,0)),"")</f>
        <v/>
      </c>
      <c r="G91" s="40" t="str">
        <f aca="false">IFERROR(INDEX('מדי '!$E:$E,MATCH($A91,'מדי '!$B:$B,0)),"")</f>
        <v/>
      </c>
      <c r="H91" s="40" t="str">
        <f aca="false">IFERROR(INDEX('מדי '!$F:$F,MATCH($A91,'מדי '!$B:$B,0)),"")</f>
        <v/>
      </c>
    </row>
    <row r="92" customFormat="false" ht="15" hidden="false" customHeight="false" outlineLevel="0" collapsed="false">
      <c r="A92" s="35" t="s">
        <v>86</v>
      </c>
      <c r="B92" s="36" t="str">
        <f aca="false">IF(AND(COUNTIF(ניו!$B:$B,$A92)&gt;0,COUNTIF('מדי '!$B:$B,$A92)&gt;0),"NZ + מדי",IF(COUNTIF(ניו!$B:$B,$A92)&gt;0,"NZ","מדי"))</f>
        <v>NZ + מדי</v>
      </c>
      <c r="C92" s="37" t="n">
        <f aca="false">IFERROR(INDEX(ניו!$C:$C,MATCH($A92,ניו!$B:$B,0)),IFERROR(INDEX('מדי '!$C:$C,MATCH($A92,'מדי '!$B:$B,0)),""))</f>
        <v>7.27880505597689</v>
      </c>
      <c r="D92" s="37" t="n">
        <f aca="false">IFERROR(INDEX(ניו!$D:$D,MATCH($A92,ניו!$B:$B,0)),"")</f>
        <v>4</v>
      </c>
      <c r="E92" s="37" t="n">
        <f aca="false">IFERROR(INDEX(ניו!$E:$E,MATCH($A92,ניו!$B:$B,0)),"")</f>
        <v>2.15419974561959</v>
      </c>
      <c r="F92" s="37" t="n">
        <f aca="false">IFERROR(INDEX('מדי '!$D:$D,MATCH($A92,'מדי '!$B:$B,0)),"")</f>
        <v>4.5</v>
      </c>
      <c r="G92" s="37" t="n">
        <f aca="false">IFERROR(INDEX('מדי '!$E:$E,MATCH($A92,'מדי '!$B:$B,0)),"")</f>
        <v>3.88636363636364</v>
      </c>
      <c r="H92" s="37" t="n">
        <f aca="false">IFERROR(INDEX('מדי '!$F:$F,MATCH($A92,'מדי '!$B:$B,0)),"")</f>
        <v>1.78866147419727</v>
      </c>
    </row>
    <row r="93" customFormat="false" ht="15" hidden="false" customHeight="false" outlineLevel="0" collapsed="false">
      <c r="A93" s="38" t="s">
        <v>87</v>
      </c>
      <c r="B93" s="39" t="str">
        <f aca="false">IF(AND(COUNTIF(ניו!$B:$B,$A93)&gt;0,COUNTIF('מדי '!$B:$B,$A93)&gt;0),"NZ + מדי",IF(COUNTIF(ניו!$B:$B,$A93)&gt;0,"NZ","מדי"))</f>
        <v>NZ</v>
      </c>
      <c r="C93" s="40" t="n">
        <f aca="false">IFERROR(INDEX(ניו!$C:$C,MATCH($A93,ניו!$B:$B,0)),IFERROR(INDEX('מדי '!$C:$C,MATCH($A93,'מדי '!$B:$B,0)),""))</f>
        <v>16.5405488526263</v>
      </c>
      <c r="D93" s="40" t="n">
        <f aca="false">IFERROR(INDEX(ניו!$D:$D,MATCH($A93,ניו!$B:$B,0)),"")</f>
        <v>8.45</v>
      </c>
      <c r="E93" s="40" t="n">
        <f aca="false">IFERROR(INDEX(ניו!$E:$E,MATCH($A93,ניו!$B:$B,0)),"")</f>
        <v>2.00259376488227</v>
      </c>
      <c r="F93" s="40" t="str">
        <f aca="false">IFERROR(INDEX('מדי '!$D:$D,MATCH($A93,'מדי '!$B:$B,0)),"")</f>
        <v/>
      </c>
      <c r="G93" s="40" t="str">
        <f aca="false">IFERROR(INDEX('מדי '!$E:$E,MATCH($A93,'מדי '!$B:$B,0)),"")</f>
        <v/>
      </c>
      <c r="H93" s="40" t="str">
        <f aca="false">IFERROR(INDEX('מדי '!$F:$F,MATCH($A93,'מדי '!$B:$B,0)),"")</f>
        <v/>
      </c>
    </row>
    <row r="94" customFormat="false" ht="15" hidden="false" customHeight="false" outlineLevel="0" collapsed="false">
      <c r="A94" s="38" t="s">
        <v>88</v>
      </c>
      <c r="B94" s="39" t="str">
        <f aca="false">IF(AND(COUNTIF(ניו!$B:$B,$A94)&gt;0,COUNTIF('מדי '!$B:$B,$A94)&gt;0),"NZ + מדי",IF(COUNTIF(ניו!$B:$B,$A94)&gt;0,"NZ","מדי"))</f>
        <v>NZ</v>
      </c>
      <c r="C94" s="40" t="n">
        <f aca="false">IFERROR(INDEX(ניו!$C:$C,MATCH($A94,ניו!$B:$B,0)),IFERROR(INDEX('מדי '!$C:$C,MATCH($A94,'מדי '!$B:$B,0)),""))</f>
        <v>15.600138220387</v>
      </c>
      <c r="D94" s="40" t="n">
        <f aca="false">IFERROR(INDEX(ניו!$D:$D,MATCH($A94,ניו!$B:$B,0)),"")</f>
        <v>7.9</v>
      </c>
      <c r="E94" s="40" t="n">
        <f aca="false">IFERROR(INDEX(ניו!$E:$E,MATCH($A94,ניו!$B:$B,0)),"")</f>
        <v>1.98511061648989</v>
      </c>
      <c r="F94" s="40" t="str">
        <f aca="false">IFERROR(INDEX('מדי '!$D:$D,MATCH($A94,'מדי '!$B:$B,0)),"")</f>
        <v/>
      </c>
      <c r="G94" s="40" t="str">
        <f aca="false">IFERROR(INDEX('מדי '!$E:$E,MATCH($A94,'מדי '!$B:$B,0)),"")</f>
        <v/>
      </c>
      <c r="H94" s="40" t="str">
        <f aca="false">IFERROR(INDEX('מדי '!$F:$F,MATCH($A94,'מדי '!$B:$B,0)),"")</f>
        <v/>
      </c>
    </row>
    <row r="95" customFormat="false" ht="15" hidden="false" customHeight="false" outlineLevel="0" collapsed="false">
      <c r="A95" s="38" t="n">
        <v>85</v>
      </c>
      <c r="B95" s="39" t="str">
        <f aca="false">IF(AND(COUNTIF(ניו!$B:$B,$A95)&gt;0,COUNTIF('מדי '!$B:$B,$A95)&gt;0),"NZ + מדי",IF(COUNTIF(ניו!$B:$B,$A95)&gt;0,"NZ","מדי"))</f>
        <v>NZ</v>
      </c>
      <c r="C95" s="40" t="n">
        <f aca="false">IFERROR(INDEX(ניו!$C:$C,MATCH($A95,ניו!$B:$B,0)),IFERROR(INDEX('מדי '!$C:$C,MATCH($A95,'מדי '!$B:$B,0)),""))</f>
        <v>10.7</v>
      </c>
      <c r="D95" s="40" t="n">
        <f aca="false">IFERROR(INDEX(ניו!$D:$D,MATCH($A95,ניו!$B:$B,0)),"")</f>
        <v>5.8</v>
      </c>
      <c r="E95" s="40" t="n">
        <f aca="false">IFERROR(INDEX(ניו!$E:$E,MATCH($A95,ניו!$B:$B,0)),"")</f>
        <v>2.12485981308411</v>
      </c>
      <c r="F95" s="40" t="str">
        <f aca="false">IFERROR(INDEX('מדי '!$D:$D,MATCH($A95,'מדי '!$B:$B,0)),"")</f>
        <v/>
      </c>
      <c r="G95" s="40" t="str">
        <f aca="false">IFERROR(INDEX('מדי '!$E:$E,MATCH($A95,'מדי '!$B:$B,0)),"")</f>
        <v/>
      </c>
      <c r="H95" s="40" t="str">
        <f aca="false">IFERROR(INDEX('מדי '!$F:$F,MATCH($A95,'מדי '!$B:$B,0)),"")</f>
        <v/>
      </c>
    </row>
    <row r="96" customFormat="false" ht="15" hidden="false" customHeight="false" outlineLevel="0" collapsed="false">
      <c r="A96" s="38" t="s">
        <v>89</v>
      </c>
      <c r="B96" s="39" t="str">
        <f aca="false">IF(AND(COUNTIF(ניו!$B:$B,$A96)&gt;0,COUNTIF('מדי '!$B:$B,$A96)&gt;0),"NZ + מדי",IF(COUNTIF(ניו!$B:$B,$A96)&gt;0,"NZ","מדי"))</f>
        <v>NZ</v>
      </c>
      <c r="C96" s="40" t="n">
        <f aca="false">IFERROR(INDEX(ניו!$C:$C,MATCH($A96,ניו!$B:$B,0)),IFERROR(INDEX('מדי '!$C:$C,MATCH($A96,'מדי '!$B:$B,0)),""))</f>
        <v>10.7371120269651</v>
      </c>
      <c r="D96" s="40" t="n">
        <f aca="false">IFERROR(INDEX(ניו!$D:$D,MATCH($A96,ניו!$B:$B,0)),"")</f>
        <v>5.8</v>
      </c>
      <c r="E96" s="40" t="n">
        <f aca="false">IFERROR(INDEX(ניו!$E:$E,MATCH($A96,ניו!$B:$B,0)),"")</f>
        <v>2.11751539360873</v>
      </c>
      <c r="F96" s="40" t="str">
        <f aca="false">IFERROR(INDEX('מדי '!$D:$D,MATCH($A96,'מדי '!$B:$B,0)),"")</f>
        <v/>
      </c>
      <c r="G96" s="40" t="str">
        <f aca="false">IFERROR(INDEX('מדי '!$E:$E,MATCH($A96,'מדי '!$B:$B,0)),"")</f>
        <v/>
      </c>
      <c r="H96" s="40" t="str">
        <f aca="false">IFERROR(INDEX('מדי '!$F:$F,MATCH($A96,'מדי '!$B:$B,0)),"")</f>
        <v/>
      </c>
    </row>
    <row r="97" customFormat="false" ht="15" hidden="false" customHeight="false" outlineLevel="0" collapsed="false">
      <c r="A97" s="35" t="s">
        <v>90</v>
      </c>
      <c r="B97" s="36" t="str">
        <f aca="false">IF(AND(COUNTIF(ניו!$B:$B,$A97)&gt;0,COUNTIF('מדי '!$B:$B,$A97)&gt;0),"NZ + מדי",IF(COUNTIF(ניו!$B:$B,$A97)&gt;0,"NZ","מדי"))</f>
        <v>NZ + מדי</v>
      </c>
      <c r="C97" s="37" t="n">
        <f aca="false">IFERROR(INDEX(ניו!$C:$C,MATCH($A97,ניו!$B:$B,0)),IFERROR(INDEX('מדי '!$C:$C,MATCH($A97,'מדי '!$B:$B,0)),""))</f>
        <v>58.4401128890552</v>
      </c>
      <c r="D97" s="37" t="n">
        <f aca="false">IFERROR(INDEX(ניו!$D:$D,MATCH($A97,ניו!$B:$B,0)),"")</f>
        <v>32.8</v>
      </c>
      <c r="E97" s="37" t="n">
        <f aca="false">IFERROR(INDEX(ניו!$E:$E,MATCH($A97,ניו!$B:$B,0)),"")</f>
        <v>2.20013264252403</v>
      </c>
      <c r="F97" s="37" t="n">
        <f aca="false">IFERROR(INDEX('מדי '!$D:$D,MATCH($A97,'מדי '!$B:$B,0)),"")</f>
        <v>29.85</v>
      </c>
      <c r="G97" s="37" t="n">
        <f aca="false">IFERROR(INDEX('מדי '!$E:$E,MATCH($A97,'מדי '!$B:$B,0)),"")</f>
        <v>25.7795454545455</v>
      </c>
      <c r="H97" s="37" t="n">
        <f aca="false">IFERROR(INDEX('מדי '!$F:$F,MATCH($A97,'מדי '!$B:$B,0)),"")</f>
        <v>1.47777738617102</v>
      </c>
    </row>
    <row r="98" customFormat="false" ht="15" hidden="false" customHeight="false" outlineLevel="0" collapsed="false">
      <c r="A98" s="35" t="s">
        <v>91</v>
      </c>
      <c r="B98" s="36" t="str">
        <f aca="false">IF(AND(COUNTIF(ניו!$B:$B,$A98)&gt;0,COUNTIF('מדי '!$B:$B,$A98)&gt;0),"NZ + מדי",IF(COUNTIF(ניו!$B:$B,$A98)&gt;0,"NZ","מדי"))</f>
        <v>NZ + מדי</v>
      </c>
      <c r="C98" s="37" t="n">
        <f aca="false">IFERROR(INDEX(ניו!$C:$C,MATCH($A98,ניו!$B:$B,0)),IFERROR(INDEX('מדי '!$C:$C,MATCH($A98,'מדי '!$B:$B,0)),""))</f>
        <v>15.7066802457658</v>
      </c>
      <c r="D98" s="37" t="n">
        <f aca="false">IFERROR(INDEX(ניו!$D:$D,MATCH($A98,ניו!$B:$B,0)),"")</f>
        <v>12</v>
      </c>
      <c r="E98" s="37" t="n">
        <f aca="false">IFERROR(INDEX(ניו!$E:$E,MATCH($A98,ניו!$B:$B,0)),"")</f>
        <v>2.99490403216689</v>
      </c>
      <c r="F98" s="37" t="n">
        <f aca="false">IFERROR(INDEX('מדי '!$D:$D,MATCH($A98,'מדי '!$B:$B,0)),"")</f>
        <v>12</v>
      </c>
      <c r="G98" s="37" t="n">
        <f aca="false">IFERROR(INDEX('מדי '!$E:$E,MATCH($A98,'מדי '!$B:$B,0)),"")</f>
        <v>10.3636363636364</v>
      </c>
      <c r="H98" s="37" t="n">
        <f aca="false">IFERROR(INDEX('מדי '!$F:$F,MATCH($A98,'מדי '!$B:$B,0)),"")</f>
        <v>2.21040864618996</v>
      </c>
    </row>
    <row r="99" customFormat="false" ht="15" hidden="false" customHeight="false" outlineLevel="0" collapsed="false">
      <c r="A99" s="35" t="n">
        <v>95</v>
      </c>
      <c r="B99" s="36" t="str">
        <f aca="false">IF(AND(COUNTIF(ניו!$B:$B,$A99)&gt;0,COUNTIF('מדי '!$B:$B,$A99)&gt;0),"NZ + מדי",IF(COUNTIF(ניו!$B:$B,$A99)&gt;0,"NZ","מדי"))</f>
        <v>NZ + מדי</v>
      </c>
      <c r="C99" s="37" t="n">
        <f aca="false">IFERROR(INDEX(ניו!$C:$C,MATCH($A99,ניו!$B:$B,0)),IFERROR(INDEX('מדי '!$C:$C,MATCH($A99,'מדי '!$B:$B,0)),""))</f>
        <v>5.04268370933237</v>
      </c>
      <c r="D99" s="37" t="n">
        <f aca="false">IFERROR(INDEX(ניו!$D:$D,MATCH($A99,ניו!$B:$B,0)),"")</f>
        <v>3.1</v>
      </c>
      <c r="E99" s="37" t="n">
        <f aca="false">IFERROR(INDEX(ניו!$E:$E,MATCH($A99,ניו!$B:$B,0)),"")</f>
        <v>2.40982792109499</v>
      </c>
      <c r="F99" s="37" t="n">
        <f aca="false">IFERROR(INDEX('מדי '!$D:$D,MATCH($A99,'מדי '!$B:$B,0)),"")</f>
        <v>3.85</v>
      </c>
      <c r="G99" s="37" t="n">
        <f aca="false">IFERROR(INDEX('מדי '!$E:$E,MATCH($A99,'מדי '!$B:$B,0)),"")</f>
        <v>3.325</v>
      </c>
      <c r="H99" s="37" t="n">
        <f aca="false">IFERROR(INDEX('מדי '!$F:$F,MATCH($A99,'מדי '!$B:$B,0)),"")</f>
        <v>2.20889324852673</v>
      </c>
    </row>
    <row r="100" customFormat="false" ht="15" hidden="false" customHeight="false" outlineLevel="0" collapsed="false">
      <c r="A100" s="38" t="s">
        <v>92</v>
      </c>
      <c r="B100" s="39" t="str">
        <f aca="false">IF(AND(COUNTIF(ניו!$B:$B,$A100)&gt;0,COUNTIF('מדי '!$B:$B,$A100)&gt;0),"NZ + מדי",IF(COUNTIF(ניו!$B:$B,$A100)&gt;0,"NZ","מדי"))</f>
        <v>NZ</v>
      </c>
      <c r="C100" s="40" t="n">
        <f aca="false">IFERROR(INDEX(ניו!$C:$C,MATCH($A100,ניו!$B:$B,0)),IFERROR(INDEX('מדי '!$C:$C,MATCH($A100,'מדי '!$B:$B,0)),""))</f>
        <v>5.58454688723261</v>
      </c>
      <c r="D100" s="40" t="n">
        <f aca="false">IFERROR(INDEX(ניו!$D:$D,MATCH($A100,ניו!$B:$B,0)),"")</f>
        <v>3.1</v>
      </c>
      <c r="E100" s="40" t="n">
        <f aca="false">IFERROR(INDEX(ניו!$E:$E,MATCH($A100,ניו!$B:$B,0)),"")</f>
        <v>2.17600465093809</v>
      </c>
      <c r="F100" s="40" t="str">
        <f aca="false">IFERROR(INDEX('מדי '!$D:$D,MATCH($A100,'מדי '!$B:$B,0)),"")</f>
        <v/>
      </c>
      <c r="G100" s="40" t="str">
        <f aca="false">IFERROR(INDEX('מדי '!$E:$E,MATCH($A100,'מדי '!$B:$B,0)),"")</f>
        <v/>
      </c>
      <c r="H100" s="40" t="str">
        <f aca="false">IFERROR(INDEX('מדי '!$F:$F,MATCH($A100,'מדי '!$B:$B,0)),"")</f>
        <v/>
      </c>
    </row>
    <row r="101" customFormat="false" ht="15" hidden="false" customHeight="false" outlineLevel="0" collapsed="false">
      <c r="A101" s="38" t="s">
        <v>93</v>
      </c>
      <c r="B101" s="39" t="str">
        <f aca="false">IF(AND(COUNTIF(ניו!$B:$B,$A101)&gt;0,COUNTIF('מדי '!$B:$B,$A101)&gt;0),"NZ + מדי",IF(COUNTIF(ניו!$B:$B,$A101)&gt;0,"NZ","מדי"))</f>
        <v>NZ</v>
      </c>
      <c r="C101" s="40" t="n">
        <f aca="false">IFERROR(INDEX(ניו!$C:$C,MATCH($A101,ניו!$B:$B,0)),IFERROR(INDEX('מדי '!$C:$C,MATCH($A101,'מדי '!$B:$B,0)),""))</f>
        <v>5.23712762624919</v>
      </c>
      <c r="D101" s="40" t="n">
        <f aca="false">IFERROR(INDEX(ניו!$D:$D,MATCH($A101,ניו!$B:$B,0)),"")</f>
        <v>3.1</v>
      </c>
      <c r="E101" s="40" t="n">
        <f aca="false">IFERROR(INDEX(ניו!$E:$E,MATCH($A101,ניו!$B:$B,0)),"")</f>
        <v>2.32035590255478</v>
      </c>
      <c r="F101" s="40" t="str">
        <f aca="false">IFERROR(INDEX('מדי '!$D:$D,MATCH($A101,'מדי '!$B:$B,0)),"")</f>
        <v/>
      </c>
      <c r="G101" s="40" t="str">
        <f aca="false">IFERROR(INDEX('מדי '!$E:$E,MATCH($A101,'מדי '!$B:$B,0)),"")</f>
        <v/>
      </c>
      <c r="H101" s="40" t="str">
        <f aca="false">IFERROR(INDEX('מדי '!$F:$F,MATCH($A101,'מדי '!$B:$B,0)),"")</f>
        <v/>
      </c>
    </row>
    <row r="102" customFormat="false" ht="15" hidden="false" customHeight="false" outlineLevel="0" collapsed="false">
      <c r="A102" s="35" t="s">
        <v>94</v>
      </c>
      <c r="B102" s="36" t="str">
        <f aca="false">IF(AND(COUNTIF(ניו!$B:$B,$A102)&gt;0,COUNTIF('מדי '!$B:$B,$A102)&gt;0),"NZ + מדי",IF(COUNTIF(ניו!$B:$B,$A102)&gt;0,"NZ","מדי"))</f>
        <v>NZ + מדי</v>
      </c>
      <c r="C102" s="37" t="n">
        <f aca="false">IFERROR(INDEX(ניו!$C:$C,MATCH($A102,ניו!$B:$B,0)),IFERROR(INDEX('מדי '!$C:$C,MATCH($A102,'מדי '!$B:$B,0)),""))</f>
        <v>26.7977752850886</v>
      </c>
      <c r="D102" s="37" t="n">
        <f aca="false">IFERROR(INDEX(ניו!$D:$D,MATCH($A102,ניו!$B:$B,0)),"")</f>
        <v>14.7</v>
      </c>
      <c r="E102" s="37" t="n">
        <f aca="false">IFERROR(INDEX(ניו!$E:$E,MATCH($A102,ניו!$B:$B,0)),"")</f>
        <v>2.15032775620237</v>
      </c>
      <c r="F102" s="37" t="n">
        <f aca="false">IFERROR(INDEX('מדי '!$D:$D,MATCH($A102,'מדי '!$B:$B,0)),"")</f>
        <v>16.28</v>
      </c>
      <c r="G102" s="37" t="n">
        <f aca="false">IFERROR(INDEX('מדי '!$E:$E,MATCH($A102,'מדי '!$B:$B,0)),"")</f>
        <v>14.06</v>
      </c>
      <c r="H102" s="37" t="n">
        <f aca="false">IFERROR(INDEX('מדי '!$F:$F,MATCH($A102,'מדי '!$B:$B,0)),"")</f>
        <v>1.75764590526322</v>
      </c>
    </row>
    <row r="103" customFormat="false" ht="15" hidden="false" customHeight="false" outlineLevel="0" collapsed="false">
      <c r="A103" s="35" t="s">
        <v>95</v>
      </c>
      <c r="B103" s="36" t="str">
        <f aca="false">IF(AND(COUNTIF(ניו!$B:$B,$A103)&gt;0,COUNTIF('מדי '!$B:$B,$A103)&gt;0),"NZ + מדי",IF(COUNTIF(ניו!$B:$B,$A103)&gt;0,"NZ","מדי"))</f>
        <v>NZ + מדי</v>
      </c>
      <c r="C103" s="37" t="n">
        <f aca="false">IFERROR(INDEX(ניו!$C:$C,MATCH($A103,ניו!$B:$B,0)),IFERROR(INDEX('מדי '!$C:$C,MATCH($A103,'מדי '!$B:$B,0)),""))</f>
        <v>22.4066344026695</v>
      </c>
      <c r="D103" s="37" t="n">
        <f aca="false">IFERROR(INDEX(ניו!$D:$D,MATCH($A103,ניו!$B:$B,0)),"")</f>
        <v>11.7</v>
      </c>
      <c r="E103" s="37" t="n">
        <f aca="false">IFERROR(INDEX(ניו!$E:$E,MATCH($A103,ניו!$B:$B,0)),"")</f>
        <v>2.04689375368823</v>
      </c>
      <c r="F103" s="37" t="n">
        <f aca="false">IFERROR(INDEX('מדי '!$D:$D,MATCH($A103,'מדי '!$B:$B,0)),"")</f>
        <v>12.32</v>
      </c>
      <c r="G103" s="37" t="n">
        <f aca="false">IFERROR(INDEX('מדי '!$E:$E,MATCH($A103,'מדי '!$B:$B,0)),"")</f>
        <v>10.64</v>
      </c>
      <c r="H103" s="37" t="n">
        <f aca="false">IFERROR(INDEX('מדי '!$F:$F,MATCH($A103,'מדי '!$B:$B,0)),"")</f>
        <v>1.59077884520459</v>
      </c>
    </row>
    <row r="104" customFormat="false" ht="15" hidden="false" customHeight="false" outlineLevel="0" collapsed="false">
      <c r="A104" s="35" t="s">
        <v>96</v>
      </c>
      <c r="B104" s="36" t="str">
        <f aca="false">IF(AND(COUNTIF(ניו!$B:$B,$A104)&gt;0,COUNTIF('מדי '!$B:$B,$A104)&gt;0),"NZ + מדי",IF(COUNTIF(ניו!$B:$B,$A104)&gt;0,"NZ","מדי"))</f>
        <v>NZ + מדי</v>
      </c>
      <c r="C104" s="37" t="n">
        <f aca="false">IFERROR(INDEX(ניו!$C:$C,MATCH($A104,ניו!$B:$B,0)),IFERROR(INDEX('מדי '!$C:$C,MATCH($A104,'מדי '!$B:$B,0)),""))</f>
        <v>9.5354533264461</v>
      </c>
      <c r="D104" s="37" t="n">
        <f aca="false">IFERROR(INDEX(ניו!$D:$D,MATCH($A104,ניו!$B:$B,0)),"")</f>
        <v>5.45</v>
      </c>
      <c r="E104" s="37" t="n">
        <f aca="false">IFERROR(INDEX(ניו!$E:$E,MATCH($A104,ניו!$B:$B,0)),"")</f>
        <v>2.24048078980661</v>
      </c>
      <c r="F104" s="37" t="n">
        <f aca="false">IFERROR(INDEX('מדי '!$D:$D,MATCH($A104,'מדי '!$B:$B,0)),"")</f>
        <v>5.25</v>
      </c>
      <c r="G104" s="37" t="n">
        <f aca="false">IFERROR(INDEX('מדי '!$E:$E,MATCH($A104,'מדי '!$B:$B,0)),"")</f>
        <v>4.53409090909091</v>
      </c>
      <c r="H104" s="37" t="n">
        <f aca="false">IFERROR(INDEX('מדי '!$F:$F,MATCH($A104,'מדי '!$B:$B,0)),"")</f>
        <v>1.59291897568499</v>
      </c>
    </row>
    <row r="105" customFormat="false" ht="15" hidden="false" customHeight="false" outlineLevel="0" collapsed="false">
      <c r="A105" s="35" t="s">
        <v>97</v>
      </c>
      <c r="B105" s="36" t="str">
        <f aca="false">IF(AND(COUNTIF(ניו!$B:$B,$A105)&gt;0,COUNTIF('מדי '!$B:$B,$A105)&gt;0),"NZ + מדי",IF(COUNTIF(ניו!$B:$B,$A105)&gt;0,"NZ","מדי"))</f>
        <v>NZ + מדי</v>
      </c>
      <c r="C105" s="37" t="n">
        <f aca="false">IFERROR(INDEX(ניו!$C:$C,MATCH($A105,ניו!$B:$B,0)),IFERROR(INDEX('מדי '!$C:$C,MATCH($A105,'מדי '!$B:$B,0)),""))</f>
        <v>14.9054881599483</v>
      </c>
      <c r="D105" s="37" t="n">
        <f aca="false">IFERROR(INDEX(ניו!$D:$D,MATCH($A105,ניו!$B:$B,0)),"")</f>
        <v>7.75</v>
      </c>
      <c r="E105" s="37" t="n">
        <f aca="false">IFERROR(INDEX(ניו!$E:$E,MATCH($A105,ניו!$B:$B,0)),"")</f>
        <v>2.03817544745917</v>
      </c>
      <c r="F105" s="37" t="n">
        <f aca="false">IFERROR(INDEX('מדי '!$D:$D,MATCH($A105,'מדי '!$B:$B,0)),"")</f>
        <v>6.94</v>
      </c>
      <c r="G105" s="37" t="n">
        <f aca="false">IFERROR(INDEX('מדי '!$E:$E,MATCH($A105,'מדי '!$B:$B,0)),"")</f>
        <v>5.99363636363636</v>
      </c>
      <c r="H105" s="37" t="n">
        <f aca="false">IFERROR(INDEX('מדי '!$F:$F,MATCH($A105,'מדי '!$B:$B,0)),"")</f>
        <v>1.34706636929438</v>
      </c>
    </row>
    <row r="106" customFormat="false" ht="15" hidden="false" customHeight="false" outlineLevel="0" collapsed="false">
      <c r="A106" s="35" t="s">
        <v>98</v>
      </c>
      <c r="B106" s="36" t="str">
        <f aca="false">IF(AND(COUNTIF(ניו!$B:$B,$A106)&gt;0,COUNTIF('מדי '!$B:$B,$A106)&gt;0),"NZ + מדי",IF(COUNTIF(ניו!$B:$B,$A106)&gt;0,"NZ","מדי"))</f>
        <v>NZ + מדי</v>
      </c>
      <c r="C106" s="37" t="n">
        <f aca="false">IFERROR(INDEX(ניו!$C:$C,MATCH($A106,ניו!$B:$B,0)),IFERROR(INDEX('מדי '!$C:$C,MATCH($A106,'מדי '!$B:$B,0)),""))</f>
        <v>10.8347006716933</v>
      </c>
      <c r="D106" s="37" t="n">
        <f aca="false">IFERROR(INDEX(ניו!$D:$D,MATCH($A106,ניו!$B:$B,0)),"")</f>
        <v>5.85</v>
      </c>
      <c r="E106" s="37" t="n">
        <f aca="false">IFERROR(INDEX(ניו!$E:$E,MATCH($A106,ניו!$B:$B,0)),"")</f>
        <v>2.11653286000895</v>
      </c>
      <c r="F106" s="37" t="n">
        <f aca="false">IFERROR(INDEX('מדי '!$D:$D,MATCH($A106,'מדי '!$B:$B,0)),"")</f>
        <v>4.84</v>
      </c>
      <c r="G106" s="37" t="n">
        <f aca="false">IFERROR(INDEX('מדי '!$E:$E,MATCH($A106,'מדי '!$B:$B,0)),"")</f>
        <v>4.18</v>
      </c>
      <c r="H106" s="37" t="n">
        <f aca="false">IFERROR(INDEX('מדי '!$F:$F,MATCH($A106,'מדי '!$B:$B,0)),"")</f>
        <v>1.29242149130932</v>
      </c>
    </row>
    <row r="107" customFormat="false" ht="15" hidden="false" customHeight="false" outlineLevel="0" collapsed="false">
      <c r="A107" s="35" t="s">
        <v>99</v>
      </c>
      <c r="B107" s="36" t="str">
        <f aca="false">IF(AND(COUNTIF(ניו!$B:$B,$A107)&gt;0,COUNTIF('מדי '!$B:$B,$A107)&gt;0),"NZ + מדי",IF(COUNTIF(ניו!$B:$B,$A107)&gt;0,"NZ","מדי"))</f>
        <v>NZ + מדי</v>
      </c>
      <c r="C107" s="37" t="n">
        <f aca="false">IFERROR(INDEX(ניו!$C:$C,MATCH($A107,ניו!$B:$B,0)),IFERROR(INDEX('מדי '!$C:$C,MATCH($A107,'מדי '!$B:$B,0)),""))</f>
        <v>8.94200765946623</v>
      </c>
      <c r="D107" s="37" t="n">
        <f aca="false">IFERROR(INDEX(ניו!$D:$D,MATCH($A107,ניו!$B:$B,0)),"")</f>
        <v>5.25</v>
      </c>
      <c r="E107" s="37" t="n">
        <f aca="false">IFERROR(INDEX(ניו!$E:$E,MATCH($A107,ניו!$B:$B,0)),"")</f>
        <v>2.30149657478916</v>
      </c>
      <c r="F107" s="37" t="n">
        <f aca="false">IFERROR(INDEX('מדי '!$D:$D,MATCH($A107,'מדי '!$B:$B,0)),"")</f>
        <v>5.5</v>
      </c>
      <c r="G107" s="37" t="n">
        <f aca="false">IFERROR(INDEX('מדי '!$E:$E,MATCH($A107,'מדי '!$B:$B,0)),"")</f>
        <v>4.75</v>
      </c>
      <c r="H107" s="37" t="n">
        <f aca="false">IFERROR(INDEX('מדי '!$F:$F,MATCH($A107,'מדי '!$B:$B,0)),"")</f>
        <v>1.77952207222219</v>
      </c>
    </row>
    <row r="108" customFormat="false" ht="15" hidden="false" customHeight="false" outlineLevel="0" collapsed="false">
      <c r="A108" s="38" t="s">
        <v>100</v>
      </c>
      <c r="B108" s="39" t="str">
        <f aca="false">IF(AND(COUNTIF(ניו!$B:$B,$A108)&gt;0,COUNTIF('מדי '!$B:$B,$A108)&gt;0),"NZ + מדי",IF(COUNTIF(ניו!$B:$B,$A108)&gt;0,"NZ","מדי"))</f>
        <v>NZ</v>
      </c>
      <c r="C108" s="40" t="n">
        <f aca="false">IFERROR(INDEX(ניו!$C:$C,MATCH($A108,ניו!$B:$B,0)),IFERROR(INDEX('מדי '!$C:$C,MATCH($A108,'מדי '!$B:$B,0)),""))</f>
        <v>22.7078312812197</v>
      </c>
      <c r="D108" s="40" t="n">
        <f aca="false">IFERROR(INDEX(ניו!$D:$D,MATCH($A108,ניו!$B:$B,0)),"")</f>
        <v>12</v>
      </c>
      <c r="E108" s="40" t="n">
        <f aca="false">IFERROR(INDEX(ניו!$E:$E,MATCH($A108,ניו!$B:$B,0)),"")</f>
        <v>2.07153203744754</v>
      </c>
      <c r="F108" s="40" t="str">
        <f aca="false">IFERROR(INDEX('מדי '!$D:$D,MATCH($A108,'מדי '!$B:$B,0)),"")</f>
        <v/>
      </c>
      <c r="G108" s="40" t="str">
        <f aca="false">IFERROR(INDEX('מדי '!$E:$E,MATCH($A108,'מדי '!$B:$B,0)),"")</f>
        <v/>
      </c>
      <c r="H108" s="40" t="str">
        <f aca="false">IFERROR(INDEX('מדי '!$F:$F,MATCH($A108,'מדי '!$B:$B,0)),"")</f>
        <v/>
      </c>
    </row>
    <row r="109" customFormat="false" ht="15" hidden="false" customHeight="false" outlineLevel="0" collapsed="false">
      <c r="A109" s="35" t="s">
        <v>101</v>
      </c>
      <c r="B109" s="36" t="str">
        <f aca="false">IF(AND(COUNTIF(ניו!$B:$B,$A109)&gt;0,COUNTIF('מדי '!$B:$B,$A109)&gt;0),"NZ + מדי",IF(COUNTIF(ניו!$B:$B,$A109)&gt;0,"NZ","מדי"))</f>
        <v>NZ + מדי</v>
      </c>
      <c r="C109" s="37" t="n">
        <f aca="false">IFERROR(INDEX(ניו!$C:$C,MATCH($A109,ניו!$B:$B,0)),IFERROR(INDEX('מדי '!$C:$C,MATCH($A109,'מדי '!$B:$B,0)),""))</f>
        <v>28.3884707225352</v>
      </c>
      <c r="D109" s="37" t="n">
        <f aca="false">IFERROR(INDEX(ניו!$D:$D,MATCH($A109,ניו!$B:$B,0)),"")</f>
        <v>15.45</v>
      </c>
      <c r="E109" s="37" t="n">
        <f aca="false">IFERROR(INDEX(ניו!$E:$E,MATCH($A109,ניו!$B:$B,0)),"")</f>
        <v>2.1334012878659</v>
      </c>
      <c r="F109" s="37" t="n">
        <f aca="false">IFERROR(INDEX('מדי '!$D:$D,MATCH($A109,'מדי '!$B:$B,0)),"")</f>
        <v>16.22</v>
      </c>
      <c r="G109" s="37" t="n">
        <f aca="false">IFERROR(INDEX('מדי '!$E:$E,MATCH($A109,'מדי '!$B:$B,0)),"")</f>
        <v>14.0081818181818</v>
      </c>
      <c r="H109" s="37" t="n">
        <f aca="false">IFERROR(INDEX('מדי '!$F:$F,MATCH($A109,'מדי '!$B:$B,0)),"")</f>
        <v>1.65304463032091</v>
      </c>
    </row>
    <row r="110" customFormat="false" ht="15" hidden="false" customHeight="false" outlineLevel="0" collapsed="false">
      <c r="A110" s="35" t="s">
        <v>102</v>
      </c>
      <c r="B110" s="36" t="str">
        <f aca="false">IF(AND(COUNTIF(ניו!$B:$B,$A110)&gt;0,COUNTIF('מדי '!$B:$B,$A110)&gt;0),"NZ + מדי",IF(COUNTIF(ניו!$B:$B,$A110)&gt;0,"NZ","מדי"))</f>
        <v>NZ + מדי</v>
      </c>
      <c r="C110" s="37" t="n">
        <f aca="false">IFERROR(INDEX(ניו!$C:$C,MATCH($A110,ניו!$B:$B,0)),IFERROR(INDEX('מדי '!$C:$C,MATCH($A110,'מדי '!$B:$B,0)),""))</f>
        <v>19.1258302032307</v>
      </c>
      <c r="D110" s="37" t="n">
        <f aca="false">IFERROR(INDEX(ניו!$D:$D,MATCH($A110,ניו!$B:$B,0)),"")</f>
        <v>9.85</v>
      </c>
      <c r="E110" s="37" t="n">
        <f aca="false">IFERROR(INDEX(ניו!$E:$E,MATCH($A110,ניו!$B:$B,0)),"")</f>
        <v>2.01884046808476</v>
      </c>
      <c r="F110" s="37" t="n">
        <f aca="false">IFERROR(INDEX('מדי '!$D:$D,MATCH($A110,'מדי '!$B:$B,0)),"")</f>
        <v>10.92</v>
      </c>
      <c r="G110" s="37" t="n">
        <f aca="false">IFERROR(INDEX('מדי '!$E:$E,MATCH($A110,'מדי '!$B:$B,0)),"")</f>
        <v>9.43090909090909</v>
      </c>
      <c r="H110" s="37" t="n">
        <f aca="false">IFERROR(INDEX('מדי '!$F:$F,MATCH($A110,'מדי '!$B:$B,0)),"")</f>
        <v>1.6518783822105</v>
      </c>
    </row>
    <row r="111" customFormat="false" ht="15" hidden="false" customHeight="false" outlineLevel="0" collapsed="false">
      <c r="A111" s="35" t="s">
        <v>103</v>
      </c>
      <c r="B111" s="36" t="str">
        <f aca="false">IF(AND(COUNTIF(ניו!$B:$B,$A111)&gt;0,COUNTIF('מדי '!$B:$B,$A111)&gt;0),"NZ + מדי",IF(COUNTIF(ניו!$B:$B,$A111)&gt;0,"NZ","מדי"))</f>
        <v>NZ + מדי</v>
      </c>
      <c r="C111" s="37" t="n">
        <f aca="false">IFERROR(INDEX(ניו!$C:$C,MATCH($A111,ניו!$B:$B,0)),IFERROR(INDEX('מדי '!$C:$C,MATCH($A111,'מדי '!$B:$B,0)),""))</f>
        <v>17.7277026227945</v>
      </c>
      <c r="D111" s="37" t="n">
        <f aca="false">IFERROR(INDEX(ניו!$D:$D,MATCH($A111,ניו!$B:$B,0)),"")</f>
        <v>9.25</v>
      </c>
      <c r="E111" s="37" t="n">
        <f aca="false">IFERROR(INDEX(ניו!$E:$E,MATCH($A111,ניו!$B:$B,0)),"")</f>
        <v>2.04538629576155</v>
      </c>
      <c r="F111" s="37" t="n">
        <f aca="false">IFERROR(INDEX('מדי '!$D:$D,MATCH($A111,'מדי '!$B:$B,0)),"")</f>
        <v>10.85</v>
      </c>
      <c r="G111" s="37" t="n">
        <f aca="false">IFERROR(INDEX('מדי '!$E:$E,MATCH($A111,'מדי '!$B:$B,0)),"")</f>
        <v>7.4</v>
      </c>
      <c r="H111" s="37" t="n">
        <f aca="false">IFERROR(INDEX('מדי '!$F:$F,MATCH($A111,'מדי '!$B:$B,0)),"")</f>
        <v>1.39837634506147</v>
      </c>
    </row>
    <row r="112" customFormat="false" ht="15" hidden="false" customHeight="false" outlineLevel="0" collapsed="false">
      <c r="A112" s="35" t="s">
        <v>104</v>
      </c>
      <c r="B112" s="36" t="str">
        <f aca="false">IF(AND(COUNTIF(ניו!$B:$B,$A112)&gt;0,COUNTIF('מדי '!$B:$B,$A112)&gt;0),"NZ + מדי",IF(COUNTIF(ניו!$B:$B,$A112)&gt;0,"NZ","מדי"))</f>
        <v>NZ + מדי</v>
      </c>
      <c r="C112" s="37" t="n">
        <f aca="false">IFERROR(INDEX(ניו!$C:$C,MATCH($A112,ניו!$B:$B,0)),IFERROR(INDEX('מדי '!$C:$C,MATCH($A112,'מדי '!$B:$B,0)),""))</f>
        <v>18.0954345388552</v>
      </c>
      <c r="D112" s="37" t="n">
        <f aca="false">IFERROR(INDEX(ניו!$D:$D,MATCH($A112,ניו!$B:$B,0)),"")</f>
        <v>9.55</v>
      </c>
      <c r="E112" s="37" t="n">
        <f aca="false">IFERROR(INDEX(ניו!$E:$E,MATCH($A112,ניו!$B:$B,0)),"")</f>
        <v>2.0688091197598</v>
      </c>
      <c r="F112" s="37" t="n">
        <f aca="false">IFERROR(INDEX('מדי '!$D:$D,MATCH($A112,'מדי '!$B:$B,0)),"")</f>
        <v>9.3</v>
      </c>
      <c r="G112" s="37" t="n">
        <f aca="false">IFERROR(INDEX('מדי '!$E:$E,MATCH($A112,'מדי '!$B:$B,0)),"")</f>
        <v>8.03181818181818</v>
      </c>
      <c r="H112" s="37" t="n">
        <f aca="false">IFERROR(INDEX('מדי '!$F:$F,MATCH($A112,'מדי '!$B:$B,0)),"")</f>
        <v>1.48692703959754</v>
      </c>
    </row>
    <row r="113" customFormat="false" ht="15" hidden="false" customHeight="false" outlineLevel="0" collapsed="false">
      <c r="A113" s="35" t="s">
        <v>105</v>
      </c>
      <c r="B113" s="36" t="str">
        <f aca="false">IF(AND(COUNTIF(ניו!$B:$B,$A113)&gt;0,COUNTIF('מדי '!$B:$B,$A113)&gt;0),"NZ + מדי",IF(COUNTIF(ניו!$B:$B,$A113)&gt;0,"NZ","מדי"))</f>
        <v>NZ + מדי</v>
      </c>
      <c r="C113" s="37" t="n">
        <f aca="false">IFERROR(INDEX(ניו!$C:$C,MATCH($A113,ניו!$B:$B,0)),IFERROR(INDEX('מדי '!$C:$C,MATCH($A113,'מדי '!$B:$B,0)),""))</f>
        <v>9.21597774225146</v>
      </c>
      <c r="D113" s="37" t="n">
        <f aca="false">IFERROR(INDEX(ניו!$D:$D,MATCH($A113,ניו!$B:$B,0)),"")</f>
        <v>5.45</v>
      </c>
      <c r="E113" s="37" t="n">
        <f aca="false">IFERROR(INDEX(ניו!$E:$E,MATCH($A113,ניו!$B:$B,0)),"")</f>
        <v>2.31814795971727</v>
      </c>
      <c r="F113" s="37" t="n">
        <f aca="false">IFERROR(INDEX('מדי '!$D:$D,MATCH($A113,'מדי '!$B:$B,0)),"")</f>
        <v>4.8</v>
      </c>
      <c r="G113" s="37" t="n">
        <f aca="false">IFERROR(INDEX('מדי '!$E:$E,MATCH($A113,'מדי '!$B:$B,0)),"")</f>
        <v>4.14545454545455</v>
      </c>
      <c r="H113" s="37" t="n">
        <f aca="false">IFERROR(INDEX('מדי '!$F:$F,MATCH($A113,'מדי '!$B:$B,0)),"")</f>
        <v>1.50686916957333</v>
      </c>
    </row>
    <row r="114" customFormat="false" ht="15" hidden="false" customHeight="false" outlineLevel="0" collapsed="false">
      <c r="A114" s="35" t="s">
        <v>106</v>
      </c>
      <c r="B114" s="36" t="str">
        <f aca="false">IF(AND(COUNTIF(ניו!$B:$B,$A114)&gt;0,COUNTIF('מדי '!$B:$B,$A114)&gt;0),"NZ + מדי",IF(COUNTIF(ניו!$B:$B,$A114)&gt;0,"NZ","מדי"))</f>
        <v>NZ + מדי</v>
      </c>
      <c r="C114" s="37" t="n">
        <f aca="false">IFERROR(INDEX(ניו!$C:$C,MATCH($A114,ניו!$B:$B,0)),IFERROR(INDEX('מדי '!$C:$C,MATCH($A114,'מדי '!$B:$B,0)),""))</f>
        <v>11.8526786660557</v>
      </c>
      <c r="D114" s="37" t="n">
        <f aca="false">IFERROR(INDEX(ניו!$D:$D,MATCH($A114,ניו!$B:$B,0)),"")</f>
        <v>6.45</v>
      </c>
      <c r="E114" s="37" t="n">
        <f aca="false">IFERROR(INDEX(ניו!$E:$E,MATCH($A114,ניו!$B:$B,0)),"")</f>
        <v>2.13318868353443</v>
      </c>
      <c r="F114" s="37" t="n">
        <f aca="false">IFERROR(INDEX('מדי '!$D:$D,MATCH($A114,'מדי '!$B:$B,0)),"")</f>
        <v>6.29</v>
      </c>
      <c r="G114" s="37" t="n">
        <f aca="false">IFERROR(INDEX('מדי '!$E:$E,MATCH($A114,'מדי '!$B:$B,0)),"")</f>
        <v>5.43227272727273</v>
      </c>
      <c r="H114" s="37" t="n">
        <f aca="false">IFERROR(INDEX('מדי '!$F:$F,MATCH($A114,'מדי '!$B:$B,0)),"")</f>
        <v>1.53535872768409</v>
      </c>
    </row>
    <row r="115" customFormat="false" ht="15" hidden="false" customHeight="false" outlineLevel="0" collapsed="false">
      <c r="A115" s="38" t="s">
        <v>107</v>
      </c>
      <c r="B115" s="39" t="str">
        <f aca="false">IF(AND(COUNTIF(ניו!$B:$B,$A115)&gt;0,COUNTIF('מדי '!$B:$B,$A115)&gt;0),"NZ + מדי",IF(COUNTIF(ניו!$B:$B,$A115)&gt;0,"NZ","מדי"))</f>
        <v>NZ</v>
      </c>
      <c r="C115" s="40" t="n">
        <f aca="false">IFERROR(INDEX(ניו!$C:$C,MATCH($A115,ניו!$B:$B,0)),IFERROR(INDEX('מדי '!$C:$C,MATCH($A115,'מדי '!$B:$B,0)),""))</f>
        <v>5.25</v>
      </c>
      <c r="D115" s="40" t="n">
        <f aca="false">IFERROR(INDEX(ניו!$D:$D,MATCH($A115,ניו!$B:$B,0)),"")</f>
        <v>2.95</v>
      </c>
      <c r="E115" s="40" t="n">
        <f aca="false">IFERROR(INDEX(ניו!$E:$E,MATCH($A115,ניו!$B:$B,0)),"")</f>
        <v>2.20266666666667</v>
      </c>
      <c r="F115" s="40" t="str">
        <f aca="false">IFERROR(INDEX('מדי '!$D:$D,MATCH($A115,'מדי '!$B:$B,0)),"")</f>
        <v/>
      </c>
      <c r="G115" s="40" t="str">
        <f aca="false">IFERROR(INDEX('מדי '!$E:$E,MATCH($A115,'מדי '!$B:$B,0)),"")</f>
        <v/>
      </c>
      <c r="H115" s="40" t="str">
        <f aca="false">IFERROR(INDEX('מדי '!$F:$F,MATCH($A115,'מדי '!$B:$B,0)),"")</f>
        <v/>
      </c>
    </row>
    <row r="116" customFormat="false" ht="15" hidden="false" customHeight="false" outlineLevel="0" collapsed="false">
      <c r="A116" s="38" t="s">
        <v>108</v>
      </c>
      <c r="B116" s="39" t="str">
        <f aca="false">IF(AND(COUNTIF(ניו!$B:$B,$A116)&gt;0,COUNTIF('מדי '!$B:$B,$A116)&gt;0),"NZ + מדי",IF(COUNTIF(ניו!$B:$B,$A116)&gt;0,"NZ","מדי"))</f>
        <v>NZ</v>
      </c>
      <c r="C116" s="40" t="n">
        <f aca="false">IFERROR(INDEX(ניו!$C:$C,MATCH($A116,ניו!$B:$B,0)),IFERROR(INDEX('מדי '!$C:$C,MATCH($A116,'מדי '!$B:$B,0)),""))</f>
        <v>5.7</v>
      </c>
      <c r="D116" s="40" t="n">
        <f aca="false">IFERROR(INDEX(ניו!$D:$D,MATCH($A116,ניו!$B:$B,0)),"")</f>
        <v>3.25</v>
      </c>
      <c r="E116" s="40" t="n">
        <f aca="false">IFERROR(INDEX(ניו!$E:$E,MATCH($A116,ניו!$B:$B,0)),"")</f>
        <v>2.23508771929825</v>
      </c>
      <c r="F116" s="40" t="str">
        <f aca="false">IFERROR(INDEX('מדי '!$D:$D,MATCH($A116,'מדי '!$B:$B,0)),"")</f>
        <v/>
      </c>
      <c r="G116" s="40" t="str">
        <f aca="false">IFERROR(INDEX('מדי '!$E:$E,MATCH($A116,'מדי '!$B:$B,0)),"")</f>
        <v/>
      </c>
      <c r="H116" s="40" t="str">
        <f aca="false">IFERROR(INDEX('מדי '!$F:$F,MATCH($A116,'מדי '!$B:$B,0)),"")</f>
        <v/>
      </c>
    </row>
    <row r="117" customFormat="false" ht="15" hidden="false" customHeight="false" outlineLevel="0" collapsed="false">
      <c r="A117" s="38" t="s">
        <v>109</v>
      </c>
      <c r="B117" s="39" t="str">
        <f aca="false">IF(AND(COUNTIF(ניו!$B:$B,$A117)&gt;0,COUNTIF('מדי '!$B:$B,$A117)&gt;0),"NZ + מדי",IF(COUNTIF(ניו!$B:$B,$A117)&gt;0,"NZ","מדי"))</f>
        <v>NZ</v>
      </c>
      <c r="C117" s="40" t="n">
        <f aca="false">IFERROR(INDEX(ניו!$C:$C,MATCH($A117,ניו!$B:$B,0)),IFERROR(INDEX('מדי '!$C:$C,MATCH($A117,'מדי '!$B:$B,0)),""))</f>
        <v>8.6</v>
      </c>
      <c r="D117" s="40" t="n">
        <f aca="false">IFERROR(INDEX(ניו!$D:$D,MATCH($A117,ניו!$B:$B,0)),"")</f>
        <v>4.95</v>
      </c>
      <c r="E117" s="40" t="n">
        <f aca="false">IFERROR(INDEX(ניו!$E:$E,MATCH($A117,ניו!$B:$B,0)),"")</f>
        <v>2.25627906976744</v>
      </c>
      <c r="F117" s="40" t="str">
        <f aca="false">IFERROR(INDEX('מדי '!$D:$D,MATCH($A117,'מדי '!$B:$B,0)),"")</f>
        <v/>
      </c>
      <c r="G117" s="40" t="str">
        <f aca="false">IFERROR(INDEX('מדי '!$E:$E,MATCH($A117,'מדי '!$B:$B,0)),"")</f>
        <v/>
      </c>
      <c r="H117" s="40" t="str">
        <f aca="false">IFERROR(INDEX('מדי '!$F:$F,MATCH($A117,'מדי '!$B:$B,0)),"")</f>
        <v/>
      </c>
    </row>
    <row r="118" customFormat="false" ht="15" hidden="false" customHeight="false" outlineLevel="0" collapsed="false">
      <c r="A118" s="38" t="s">
        <v>110</v>
      </c>
      <c r="B118" s="39" t="str">
        <f aca="false">IF(AND(COUNTIF(ניו!$B:$B,$A118)&gt;0,COUNTIF('מדי '!$B:$B,$A118)&gt;0),"NZ + מדי",IF(COUNTIF(ניו!$B:$B,$A118)&gt;0,"NZ","מדי"))</f>
        <v>NZ</v>
      </c>
      <c r="C118" s="40" t="n">
        <f aca="false">IFERROR(INDEX(ניו!$C:$C,MATCH($A118,ניו!$B:$B,0)),IFERROR(INDEX('מדי '!$C:$C,MATCH($A118,'מדי '!$B:$B,0)),""))</f>
        <v>6.51008575155416</v>
      </c>
      <c r="D118" s="40" t="n">
        <f aca="false">IFERROR(INDEX(ניו!$D:$D,MATCH($A118,ניו!$B:$B,0)),"")</f>
        <v>3.6</v>
      </c>
      <c r="E118" s="40" t="n">
        <f aca="false">IFERROR(INDEX(ניו!$E:$E,MATCH($A118,ניו!$B:$B,0)),"")</f>
        <v>2.16771338175247</v>
      </c>
      <c r="F118" s="40" t="str">
        <f aca="false">IFERROR(INDEX('מדי '!$D:$D,MATCH($A118,'מדי '!$B:$B,0)),"")</f>
        <v/>
      </c>
      <c r="G118" s="40" t="str">
        <f aca="false">IFERROR(INDEX('מדי '!$E:$E,MATCH($A118,'מדי '!$B:$B,0)),"")</f>
        <v/>
      </c>
      <c r="H118" s="40" t="str">
        <f aca="false">IFERROR(INDEX('מדי '!$F:$F,MATCH($A118,'מדי '!$B:$B,0)),"")</f>
        <v/>
      </c>
    </row>
    <row r="119" customFormat="false" ht="15" hidden="false" customHeight="false" outlineLevel="0" collapsed="false">
      <c r="A119" s="38" t="s">
        <v>111</v>
      </c>
      <c r="B119" s="39" t="str">
        <f aca="false">IF(AND(COUNTIF(ניו!$B:$B,$A119)&gt;0,COUNTIF('מדי '!$B:$B,$A119)&gt;0),"NZ + מדי",IF(COUNTIF(ניו!$B:$B,$A119)&gt;0,"NZ","מדי"))</f>
        <v>NZ</v>
      </c>
      <c r="C119" s="40" t="n">
        <f aca="false">IFERROR(INDEX(ניו!$C:$C,MATCH($A119,ניו!$B:$B,0)),IFERROR(INDEX('מדי '!$C:$C,MATCH($A119,'מדי '!$B:$B,0)),""))</f>
        <v>4.30084795860313</v>
      </c>
      <c r="D119" s="40" t="n">
        <f aca="false">IFERROR(INDEX(ניו!$D:$D,MATCH($A119,ניו!$B:$B,0)),"")</f>
        <v>2.5</v>
      </c>
      <c r="E119" s="40" t="n">
        <f aca="false">IFERROR(INDEX(ניו!$E:$E,MATCH($A119,ניו!$B:$B,0)),"")</f>
        <v>2.27862042423442</v>
      </c>
      <c r="F119" s="40" t="str">
        <f aca="false">IFERROR(INDEX('מדי '!$D:$D,MATCH($A119,'מדי '!$B:$B,0)),"")</f>
        <v/>
      </c>
      <c r="G119" s="40" t="str">
        <f aca="false">IFERROR(INDEX('מדי '!$E:$E,MATCH($A119,'מדי '!$B:$B,0)),"")</f>
        <v/>
      </c>
      <c r="H119" s="40" t="str">
        <f aca="false">IFERROR(INDEX('מדי '!$F:$F,MATCH($A119,'מדי '!$B:$B,0)),"")</f>
        <v/>
      </c>
    </row>
    <row r="120" customFormat="false" ht="15" hidden="false" customHeight="false" outlineLevel="0" collapsed="false">
      <c r="A120" s="38" t="s">
        <v>112</v>
      </c>
      <c r="B120" s="39" t="str">
        <f aca="false">IF(AND(COUNTIF(ניו!$B:$B,$A120)&gt;0,COUNTIF('מדי '!$B:$B,$A120)&gt;0),"NZ + מדי",IF(COUNTIF(ניו!$B:$B,$A120)&gt;0,"NZ","מדי"))</f>
        <v>NZ</v>
      </c>
      <c r="C120" s="40" t="n">
        <f aca="false">IFERROR(INDEX(ניו!$C:$C,MATCH($A120,ניו!$B:$B,0)),IFERROR(INDEX('מדי '!$C:$C,MATCH($A120,'מדי '!$B:$B,0)),""))</f>
        <v>5.63653372926127</v>
      </c>
      <c r="D120" s="40" t="n">
        <f aca="false">IFERROR(INDEX(ניו!$D:$D,MATCH($A120,ניו!$B:$B,0)),"")</f>
        <v>3.85</v>
      </c>
      <c r="E120" s="40" t="n">
        <f aca="false">IFERROR(INDEX(ניו!$E:$E,MATCH($A120,ניו!$B:$B,0)),"")</f>
        <v>2.6775321012721</v>
      </c>
      <c r="F120" s="40" t="str">
        <f aca="false">IFERROR(INDEX('מדי '!$D:$D,MATCH($A120,'מדי '!$B:$B,0)),"")</f>
        <v/>
      </c>
      <c r="G120" s="40" t="str">
        <f aca="false">IFERROR(INDEX('מדי '!$E:$E,MATCH($A120,'מדי '!$B:$B,0)),"")</f>
        <v/>
      </c>
      <c r="H120" s="40" t="str">
        <f aca="false">IFERROR(INDEX('מדי '!$F:$F,MATCH($A120,'מדי '!$B:$B,0)),"")</f>
        <v/>
      </c>
    </row>
    <row r="121" customFormat="false" ht="15" hidden="false" customHeight="false" outlineLevel="0" collapsed="false">
      <c r="A121" s="38" t="s">
        <v>113</v>
      </c>
      <c r="B121" s="39" t="str">
        <f aca="false">IF(AND(COUNTIF(ניו!$B:$B,$A121)&gt;0,COUNTIF('מדי '!$B:$B,$A121)&gt;0),"NZ + מדי",IF(COUNTIF(ניו!$B:$B,$A121)&gt;0,"NZ","מדי"))</f>
        <v>NZ</v>
      </c>
      <c r="C121" s="40" t="n">
        <f aca="false">IFERROR(INDEX(ניו!$C:$C,MATCH($A121,ניו!$B:$B,0)),IFERROR(INDEX('מדי '!$C:$C,MATCH($A121,'מדי '!$B:$B,0)),""))</f>
        <v>6.13689500602872</v>
      </c>
      <c r="D121" s="40" t="n">
        <f aca="false">IFERROR(INDEX(ניו!$D:$D,MATCH($A121,ניו!$B:$B,0)),"")</f>
        <v>3.5</v>
      </c>
      <c r="E121" s="40" t="n">
        <f aca="false">IFERROR(INDEX(ניו!$E:$E,MATCH($A121,ניו!$B:$B,0)),"")</f>
        <v>2.23565825821068</v>
      </c>
      <c r="F121" s="40" t="str">
        <f aca="false">IFERROR(INDEX('מדי '!$D:$D,MATCH($A121,'מדי '!$B:$B,0)),"")</f>
        <v/>
      </c>
      <c r="G121" s="40" t="str">
        <f aca="false">IFERROR(INDEX('מדי '!$E:$E,MATCH($A121,'מדי '!$B:$B,0)),"")</f>
        <v/>
      </c>
      <c r="H121" s="40" t="str">
        <f aca="false">IFERROR(INDEX('מדי '!$F:$F,MATCH($A121,'מדי '!$B:$B,0)),"")</f>
        <v/>
      </c>
    </row>
    <row r="122" customFormat="false" ht="15" hidden="false" customHeight="false" outlineLevel="0" collapsed="false">
      <c r="A122" s="38" t="s">
        <v>114</v>
      </c>
      <c r="B122" s="39" t="str">
        <f aca="false">IF(AND(COUNTIF(ניו!$B:$B,$A122)&gt;0,COUNTIF('מדי '!$B:$B,$A122)&gt;0),"NZ + מדי",IF(COUNTIF(ניו!$B:$B,$A122)&gt;0,"NZ","מדי"))</f>
        <v>NZ</v>
      </c>
      <c r="C122" s="40" t="n">
        <f aca="false">IFERROR(INDEX(ניו!$C:$C,MATCH($A122,ניו!$B:$B,0)),IFERROR(INDEX('מדי '!$C:$C,MATCH($A122,'מדי '!$B:$B,0)),""))</f>
        <v>10.7681595918367</v>
      </c>
      <c r="D122" s="40" t="n">
        <f aca="false">IFERROR(INDEX(ניו!$D:$D,MATCH($A122,ניו!$B:$B,0)),"")</f>
        <v>6.1</v>
      </c>
      <c r="E122" s="40" t="n">
        <f aca="false">IFERROR(INDEX(ניו!$E:$E,MATCH($A122,ניו!$B:$B,0)),"")</f>
        <v>2.22062087732499</v>
      </c>
      <c r="F122" s="40" t="str">
        <f aca="false">IFERROR(INDEX('מדי '!$D:$D,MATCH($A122,'מדי '!$B:$B,0)),"")</f>
        <v/>
      </c>
      <c r="G122" s="40" t="str">
        <f aca="false">IFERROR(INDEX('מדי '!$E:$E,MATCH($A122,'מדי '!$B:$B,0)),"")</f>
        <v/>
      </c>
      <c r="H122" s="40" t="str">
        <f aca="false">IFERROR(INDEX('מדי '!$F:$F,MATCH($A122,'מדי '!$B:$B,0)),"")</f>
        <v/>
      </c>
    </row>
    <row r="123" customFormat="false" ht="15" hidden="false" customHeight="false" outlineLevel="0" collapsed="false">
      <c r="A123" s="35" t="s">
        <v>115</v>
      </c>
      <c r="B123" s="36" t="str">
        <f aca="false">IF(AND(COUNTIF(ניו!$B:$B,$A123)&gt;0,COUNTIF('מדי '!$B:$B,$A123)&gt;0),"NZ + מדי",IF(COUNTIF(ניו!$B:$B,$A123)&gt;0,"NZ","מדי"))</f>
        <v>NZ + מדי</v>
      </c>
      <c r="C123" s="37" t="n">
        <f aca="false">IFERROR(INDEX(ניו!$C:$C,MATCH($A123,ניו!$B:$B,0)),IFERROR(INDEX('מדי '!$C:$C,MATCH($A123,'מדי '!$B:$B,0)),""))</f>
        <v>17.3962523338984</v>
      </c>
      <c r="D123" s="37" t="n">
        <f aca="false">IFERROR(INDEX(ניו!$D:$D,MATCH($A123,ניו!$B:$B,0)),"")</f>
        <v>9.3</v>
      </c>
      <c r="E123" s="37" t="n">
        <f aca="false">IFERROR(INDEX(ניו!$E:$E,MATCH($A123,ניו!$B:$B,0)),"")</f>
        <v>2.09562377575782</v>
      </c>
      <c r="F123" s="37" t="n">
        <f aca="false">IFERROR(INDEX('מדי '!$D:$D,MATCH($A123,'מדי '!$B:$B,0)),"")</f>
        <v>12.45</v>
      </c>
      <c r="G123" s="37" t="n">
        <f aca="false">IFERROR(INDEX('מדי '!$E:$E,MATCH($A123,'מדי '!$B:$B,0)),"")</f>
        <v>7.3</v>
      </c>
      <c r="H123" s="37" t="n">
        <f aca="false">IFERROR(INDEX('מדי '!$F:$F,MATCH($A123,'מדי '!$B:$B,0)),"")</f>
        <v>1.40576254762337</v>
      </c>
    </row>
    <row r="124" customFormat="false" ht="15" hidden="false" customHeight="false" outlineLevel="0" collapsed="false">
      <c r="A124" s="38" t="s">
        <v>116</v>
      </c>
      <c r="B124" s="39" t="str">
        <f aca="false">IF(AND(COUNTIF(ניו!$B:$B,$A124)&gt;0,COUNTIF('מדי '!$B:$B,$A124)&gt;0),"NZ + מדי",IF(COUNTIF(ניו!$B:$B,$A124)&gt;0,"NZ","מדי"))</f>
        <v>NZ</v>
      </c>
      <c r="C124" s="40" t="n">
        <f aca="false">IFERROR(INDEX(ניו!$C:$C,MATCH($A124,ניו!$B:$B,0)),IFERROR(INDEX('מדי '!$C:$C,MATCH($A124,'מדי '!$B:$B,0)),""))</f>
        <v>5.18746</v>
      </c>
      <c r="D124" s="40" t="n">
        <f aca="false">IFERROR(INDEX(ניו!$D:$D,MATCH($A124,ניו!$B:$B,0)),"")</f>
        <v>2.85</v>
      </c>
      <c r="E124" s="40" t="n">
        <f aca="false">IFERROR(INDEX(ניו!$E:$E,MATCH($A124,ניו!$B:$B,0)),"")</f>
        <v>2.15365516071449</v>
      </c>
      <c r="F124" s="40" t="str">
        <f aca="false">IFERROR(INDEX('מדי '!$D:$D,MATCH($A124,'מדי '!$B:$B,0)),"")</f>
        <v/>
      </c>
      <c r="G124" s="40" t="str">
        <f aca="false">IFERROR(INDEX('מדי '!$E:$E,MATCH($A124,'מדי '!$B:$B,0)),"")</f>
        <v/>
      </c>
      <c r="H124" s="40" t="str">
        <f aca="false">IFERROR(INDEX('מדי '!$F:$F,MATCH($A124,'מדי '!$B:$B,0)),"")</f>
        <v/>
      </c>
    </row>
    <row r="125" customFormat="false" ht="15" hidden="false" customHeight="false" outlineLevel="0" collapsed="false">
      <c r="A125" s="38" t="s">
        <v>117</v>
      </c>
      <c r="B125" s="39" t="str">
        <f aca="false">IF(AND(COUNTIF(ניו!$B:$B,$A125)&gt;0,COUNTIF('מדי '!$B:$B,$A125)&gt;0),"NZ + מדי",IF(COUNTIF(ניו!$B:$B,$A125)&gt;0,"NZ","מדי"))</f>
        <v>NZ</v>
      </c>
      <c r="C125" s="40" t="n">
        <f aca="false">IFERROR(INDEX(ניו!$C:$C,MATCH($A125,ניו!$B:$B,0)),IFERROR(INDEX('מדי '!$C:$C,MATCH($A125,'מדי '!$B:$B,0)),""))</f>
        <v>9.79367299591056</v>
      </c>
      <c r="D125" s="40" t="n">
        <f aca="false">IFERROR(INDEX(ניו!$D:$D,MATCH($A125,ניו!$B:$B,0)),"")</f>
        <v>5.15</v>
      </c>
      <c r="E125" s="40" t="n">
        <f aca="false">IFERROR(INDEX(ניו!$E:$E,MATCH($A125,ניו!$B:$B,0)),"")</f>
        <v>2.06133082127918</v>
      </c>
      <c r="F125" s="40" t="str">
        <f aca="false">IFERROR(INDEX('מדי '!$D:$D,MATCH($A125,'מדי '!$B:$B,0)),"")</f>
        <v/>
      </c>
      <c r="G125" s="40" t="str">
        <f aca="false">IFERROR(INDEX('מדי '!$E:$E,MATCH($A125,'מדי '!$B:$B,0)),"")</f>
        <v/>
      </c>
      <c r="H125" s="40" t="str">
        <f aca="false">IFERROR(INDEX('מדי '!$F:$F,MATCH($A125,'מדי '!$B:$B,0)),"")</f>
        <v/>
      </c>
    </row>
    <row r="126" customFormat="false" ht="15" hidden="false" customHeight="false" outlineLevel="0" collapsed="false">
      <c r="A126" s="38" t="s">
        <v>118</v>
      </c>
      <c r="B126" s="39" t="str">
        <f aca="false">IF(AND(COUNTIF(ניו!$B:$B,$A126)&gt;0,COUNTIF('מדי '!$B:$B,$A126)&gt;0),"NZ + מדי",IF(COUNTIF(ניו!$B:$B,$A126)&gt;0,"NZ","מדי"))</f>
        <v>NZ</v>
      </c>
      <c r="C126" s="40" t="n">
        <f aca="false">IFERROR(INDEX(ניו!$C:$C,MATCH($A126,ניו!$B:$B,0)),IFERROR(INDEX('מדי '!$C:$C,MATCH($A126,'מדי '!$B:$B,0)),""))</f>
        <v>8.56967908419062</v>
      </c>
      <c r="D126" s="40" t="n">
        <f aca="false">IFERROR(INDEX(ניו!$D:$D,MATCH($A126,ניו!$B:$B,0)),"")</f>
        <v>4.65</v>
      </c>
      <c r="E126" s="40" t="n">
        <f aca="false">IFERROR(INDEX(ניו!$E:$E,MATCH($A126,ניו!$B:$B,0)),"")</f>
        <v>2.12703414222676</v>
      </c>
      <c r="F126" s="40" t="str">
        <f aca="false">IFERROR(INDEX('מדי '!$D:$D,MATCH($A126,'מדי '!$B:$B,0)),"")</f>
        <v/>
      </c>
      <c r="G126" s="40" t="str">
        <f aca="false">IFERROR(INDEX('מדי '!$E:$E,MATCH($A126,'מדי '!$B:$B,0)),"")</f>
        <v/>
      </c>
      <c r="H126" s="40" t="str">
        <f aca="false">IFERROR(INDEX('מדי '!$F:$F,MATCH($A126,'מדי '!$B:$B,0)),"")</f>
        <v/>
      </c>
    </row>
    <row r="127" customFormat="false" ht="15" hidden="false" customHeight="false" outlineLevel="0" collapsed="false">
      <c r="A127" s="38" t="s">
        <v>119</v>
      </c>
      <c r="B127" s="39" t="str">
        <f aca="false">IF(AND(COUNTIF(ניו!$B:$B,$A127)&gt;0,COUNTIF('מדי '!$B:$B,$A127)&gt;0),"NZ + מדי",IF(COUNTIF(ניו!$B:$B,$A127)&gt;0,"NZ","מדי"))</f>
        <v>NZ</v>
      </c>
      <c r="C127" s="40" t="n">
        <f aca="false">IFERROR(INDEX(ניו!$C:$C,MATCH($A127,ניו!$B:$B,0)),IFERROR(INDEX('מדי '!$C:$C,MATCH($A127,'מדי '!$B:$B,0)),""))</f>
        <v>2.822987257314</v>
      </c>
      <c r="D127" s="40" t="n">
        <f aca="false">IFERROR(INDEX(ניו!$D:$D,MATCH($A127,ניו!$B:$B,0)),"")</f>
        <v>1.6</v>
      </c>
      <c r="E127" s="40" t="n">
        <f aca="false">IFERROR(INDEX(ניו!$E:$E,MATCH($A127,ניו!$B:$B,0)),"")</f>
        <v>2.22175994020166</v>
      </c>
      <c r="F127" s="40" t="str">
        <f aca="false">IFERROR(INDEX('מדי '!$D:$D,MATCH($A127,'מדי '!$B:$B,0)),"")</f>
        <v/>
      </c>
      <c r="G127" s="40" t="str">
        <f aca="false">IFERROR(INDEX('מדי '!$E:$E,MATCH($A127,'מדי '!$B:$B,0)),"")</f>
        <v/>
      </c>
      <c r="H127" s="40" t="str">
        <f aca="false">IFERROR(INDEX('מדי '!$F:$F,MATCH($A127,'מדי '!$B:$B,0)),"")</f>
        <v/>
      </c>
    </row>
    <row r="128" customFormat="false" ht="15" hidden="false" customHeight="false" outlineLevel="0" collapsed="false">
      <c r="A128" s="38" t="s">
        <v>120</v>
      </c>
      <c r="B128" s="39" t="str">
        <f aca="false">IF(AND(COUNTIF(ניו!$B:$B,$A128)&gt;0,COUNTIF('מדי '!$B:$B,$A128)&gt;0),"NZ + מדי",IF(COUNTIF(ניו!$B:$B,$A128)&gt;0,"NZ","מדי"))</f>
        <v>NZ</v>
      </c>
      <c r="C128" s="40" t="n">
        <f aca="false">IFERROR(INDEX(ניו!$C:$C,MATCH($A128,ניו!$B:$B,0)),IFERROR(INDEX('מדי '!$C:$C,MATCH($A128,'מדי '!$B:$B,0)),""))</f>
        <v>3.59163342209017</v>
      </c>
      <c r="D128" s="40" t="n">
        <f aca="false">IFERROR(INDEX(ניו!$D:$D,MATCH($A128,ניו!$B:$B,0)),"")</f>
        <v>2.3</v>
      </c>
      <c r="E128" s="40" t="n">
        <f aca="false">IFERROR(INDEX(ניו!$E:$E,MATCH($A128,ניו!$B:$B,0)),"")</f>
        <v>2.51027845563178</v>
      </c>
      <c r="F128" s="40" t="str">
        <f aca="false">IFERROR(INDEX('מדי '!$D:$D,MATCH($A128,'מדי '!$B:$B,0)),"")</f>
        <v/>
      </c>
      <c r="G128" s="40" t="str">
        <f aca="false">IFERROR(INDEX('מדי '!$E:$E,MATCH($A128,'מדי '!$B:$B,0)),"")</f>
        <v/>
      </c>
      <c r="H128" s="40" t="str">
        <f aca="false">IFERROR(INDEX('מדי '!$F:$F,MATCH($A128,'מדי '!$B:$B,0)),"")</f>
        <v/>
      </c>
    </row>
    <row r="129" customFormat="false" ht="15" hidden="false" customHeight="false" outlineLevel="0" collapsed="false">
      <c r="A129" s="38" t="s">
        <v>121</v>
      </c>
      <c r="B129" s="39" t="str">
        <f aca="false">IF(AND(COUNTIF(ניו!$B:$B,$A129)&gt;0,COUNTIF('מדי '!$B:$B,$A129)&gt;0),"NZ + מדי",IF(COUNTIF(ניו!$B:$B,$A129)&gt;0,"NZ","מדי"))</f>
        <v>NZ</v>
      </c>
      <c r="C129" s="40" t="n">
        <f aca="false">IFERROR(INDEX(ניו!$C:$C,MATCH($A129,ניו!$B:$B,0)),IFERROR(INDEX('מדי '!$C:$C,MATCH($A129,'מדי '!$B:$B,0)),""))</f>
        <v>20.5779392117255</v>
      </c>
      <c r="D129" s="40" t="n">
        <f aca="false">IFERROR(INDEX(ניו!$D:$D,MATCH($A129,ניו!$B:$B,0)),"")</f>
        <v>10.65</v>
      </c>
      <c r="E129" s="40" t="n">
        <f aca="false">IFERROR(INDEX(ניו!$E:$E,MATCH($A129,ניו!$B:$B,0)),"")</f>
        <v>2.02877458089738</v>
      </c>
      <c r="F129" s="40" t="str">
        <f aca="false">IFERROR(INDEX('מדי '!$D:$D,MATCH($A129,'מדי '!$B:$B,0)),"")</f>
        <v/>
      </c>
      <c r="G129" s="40" t="str">
        <f aca="false">IFERROR(INDEX('מדי '!$E:$E,MATCH($A129,'מדי '!$B:$B,0)),"")</f>
        <v/>
      </c>
      <c r="H129" s="40" t="str">
        <f aca="false">IFERROR(INDEX('מדי '!$F:$F,MATCH($A129,'מדי '!$B:$B,0)),"")</f>
        <v/>
      </c>
    </row>
    <row r="130" customFormat="false" ht="15" hidden="false" customHeight="false" outlineLevel="0" collapsed="false">
      <c r="A130" s="38" t="s">
        <v>122</v>
      </c>
      <c r="B130" s="39" t="str">
        <f aca="false">IF(AND(COUNTIF(ניו!$B:$B,$A130)&gt;0,COUNTIF('מדי '!$B:$B,$A130)&gt;0),"NZ + מדי",IF(COUNTIF(ניו!$B:$B,$A130)&gt;0,"NZ","מדי"))</f>
        <v>NZ</v>
      </c>
      <c r="C130" s="40" t="n">
        <f aca="false">IFERROR(INDEX(ניו!$C:$C,MATCH($A130,ניו!$B:$B,0)),IFERROR(INDEX('מדי '!$C:$C,MATCH($A130,'מדי '!$B:$B,0)),""))</f>
        <v>24.9724240146568</v>
      </c>
      <c r="D130" s="40" t="n">
        <f aca="false">IFERROR(INDEX(ניו!$D:$D,MATCH($A130,ניו!$B:$B,0)),"")</f>
        <v>12.75</v>
      </c>
      <c r="E130" s="40" t="n">
        <f aca="false">IFERROR(INDEX(ניו!$E:$E,MATCH($A130,ניו!$B:$B,0)),"")</f>
        <v>2.00140763150048</v>
      </c>
      <c r="F130" s="40" t="str">
        <f aca="false">IFERROR(INDEX('מדי '!$D:$D,MATCH($A130,'מדי '!$B:$B,0)),"")</f>
        <v/>
      </c>
      <c r="G130" s="40" t="str">
        <f aca="false">IFERROR(INDEX('מדי '!$E:$E,MATCH($A130,'מדי '!$B:$B,0)),"")</f>
        <v/>
      </c>
      <c r="H130" s="40" t="str">
        <f aca="false">IFERROR(INDEX('מדי '!$F:$F,MATCH($A130,'מדי '!$B:$B,0)),"")</f>
        <v/>
      </c>
    </row>
    <row r="131" customFormat="false" ht="15" hidden="false" customHeight="false" outlineLevel="0" collapsed="false">
      <c r="A131" s="38" t="s">
        <v>123</v>
      </c>
      <c r="B131" s="39" t="str">
        <f aca="false">IF(AND(COUNTIF(ניו!$B:$B,$A131)&gt;0,COUNTIF('מדי '!$B:$B,$A131)&gt;0),"NZ + מדי",IF(COUNTIF(ניו!$B:$B,$A131)&gt;0,"NZ","מדי"))</f>
        <v>NZ</v>
      </c>
      <c r="C131" s="40" t="n">
        <f aca="false">IFERROR(INDEX(ניו!$C:$C,MATCH($A131,ניו!$B:$B,0)),IFERROR(INDEX('מדי '!$C:$C,MATCH($A131,'מדי '!$B:$B,0)),""))</f>
        <v>42.5889113386887</v>
      </c>
      <c r="D131" s="40" t="n">
        <f aca="false">IFERROR(INDEX(ניו!$D:$D,MATCH($A131,ניו!$B:$B,0)),"")</f>
        <v>24</v>
      </c>
      <c r="E131" s="40" t="n">
        <f aca="false">IFERROR(INDEX(ניו!$E:$E,MATCH($A131,ניו!$B:$B,0)),"")</f>
        <v>2.20902570746239</v>
      </c>
      <c r="F131" s="40" t="str">
        <f aca="false">IFERROR(INDEX('מדי '!$D:$D,MATCH($A131,'מדי '!$B:$B,0)),"")</f>
        <v/>
      </c>
      <c r="G131" s="40" t="str">
        <f aca="false">IFERROR(INDEX('מדי '!$E:$E,MATCH($A131,'מדי '!$B:$B,0)),"")</f>
        <v/>
      </c>
      <c r="H131" s="40" t="str">
        <f aca="false">IFERROR(INDEX('מדי '!$F:$F,MATCH($A131,'מדי '!$B:$B,0)),"")</f>
        <v/>
      </c>
    </row>
    <row r="132" customFormat="false" ht="15" hidden="false" customHeight="false" outlineLevel="0" collapsed="false">
      <c r="A132" s="35" t="s">
        <v>124</v>
      </c>
      <c r="B132" s="36" t="str">
        <f aca="false">IF(AND(COUNTIF(ניו!$B:$B,$A132)&gt;0,COUNTIF('מדי '!$B:$B,$A132)&gt;0),"NZ + מדי",IF(COUNTIF(ניו!$B:$B,$A132)&gt;0,"NZ","מדי"))</f>
        <v>NZ + מדי</v>
      </c>
      <c r="C132" s="37" t="n">
        <f aca="false">IFERROR(INDEX(ניו!$C:$C,MATCH($A132,ניו!$B:$B,0)),IFERROR(INDEX('מדי '!$C:$C,MATCH($A132,'מדי '!$B:$B,0)),""))</f>
        <v>36.0742803589045</v>
      </c>
      <c r="D132" s="37" t="n">
        <f aca="false">IFERROR(INDEX(ניו!$D:$D,MATCH($A132,ניו!$B:$B,0)),"")</f>
        <v>20.05</v>
      </c>
      <c r="E132" s="37" t="n">
        <f aca="false">IFERROR(INDEX(ניו!$E:$E,MATCH($A132,ניו!$B:$B,0)),"")</f>
        <v>2.17872676095116</v>
      </c>
      <c r="F132" s="37" t="n">
        <f aca="false">IFERROR(INDEX('מדי '!$D:$D,MATCH($A132,'מדי '!$B:$B,0)),"")</f>
        <v>22.5</v>
      </c>
      <c r="G132" s="37" t="n">
        <f aca="false">IFERROR(INDEX('מדי '!$E:$E,MATCH($A132,'מדי '!$B:$B,0)),"")</f>
        <v>19.4318181818182</v>
      </c>
      <c r="H132" s="37" t="n">
        <f aca="false">IFERROR(INDEX('מדי '!$F:$F,MATCH($A132,'מדי '!$B:$B,0)),"")</f>
        <v>1.80451530180068</v>
      </c>
    </row>
    <row r="133" customFormat="false" ht="15" hidden="false" customHeight="false" outlineLevel="0" collapsed="false">
      <c r="A133" s="38" t="s">
        <v>125</v>
      </c>
      <c r="B133" s="39" t="str">
        <f aca="false">IF(AND(COUNTIF(ניו!$B:$B,$A133)&gt;0,COUNTIF('מדי '!$B:$B,$A133)&gt;0),"NZ + מדי",IF(COUNTIF(ניו!$B:$B,$A133)&gt;0,"NZ","מדי"))</f>
        <v>NZ</v>
      </c>
      <c r="C133" s="40" t="n">
        <f aca="false">IFERROR(INDEX(ניו!$C:$C,MATCH($A133,ניו!$B:$B,0)),IFERROR(INDEX('מדי '!$C:$C,MATCH($A133,'מדי '!$B:$B,0)),""))</f>
        <v>23.7422608008017</v>
      </c>
      <c r="D133" s="40" t="n">
        <f aca="false">IFERROR(INDEX(ניו!$D:$D,MATCH($A133,ניו!$B:$B,0)),"")</f>
        <v>12.75</v>
      </c>
      <c r="E133" s="40" t="n">
        <f aca="false">IFERROR(INDEX(ניו!$E:$E,MATCH($A133,ניו!$B:$B,0)),"")</f>
        <v>2.10510702495157</v>
      </c>
      <c r="F133" s="40" t="str">
        <f aca="false">IFERROR(INDEX('מדי '!$D:$D,MATCH($A133,'מדי '!$B:$B,0)),"")</f>
        <v/>
      </c>
      <c r="G133" s="40" t="str">
        <f aca="false">IFERROR(INDEX('מדי '!$E:$E,MATCH($A133,'מדי '!$B:$B,0)),"")</f>
        <v/>
      </c>
      <c r="H133" s="40" t="str">
        <f aca="false">IFERROR(INDEX('מדי '!$F:$F,MATCH($A133,'מדי '!$B:$B,0)),"")</f>
        <v/>
      </c>
    </row>
    <row r="134" customFormat="false" ht="15" hidden="false" customHeight="false" outlineLevel="0" collapsed="false">
      <c r="A134" s="38" t="s">
        <v>126</v>
      </c>
      <c r="B134" s="39" t="str">
        <f aca="false">IF(AND(COUNTIF(ניו!$B:$B,$A134)&gt;0,COUNTIF('מדי '!$B:$B,$A134)&gt;0),"NZ + מדי",IF(COUNTIF(ניו!$B:$B,$A134)&gt;0,"NZ","מדי"))</f>
        <v>NZ</v>
      </c>
      <c r="C134" s="40" t="n">
        <f aca="false">IFERROR(INDEX(ניו!$C:$C,MATCH($A134,ניו!$B:$B,0)),IFERROR(INDEX('מדי '!$C:$C,MATCH($A134,'מדי '!$B:$B,0)),""))</f>
        <v>12.7701723725447</v>
      </c>
      <c r="D134" s="40" t="n">
        <f aca="false">IFERROR(INDEX(ניו!$D:$D,MATCH($A134,ניו!$B:$B,0)),"")</f>
        <v>7.15</v>
      </c>
      <c r="E134" s="40" t="n">
        <f aca="false">IFERROR(INDEX(ניו!$E:$E,MATCH($A134,ניו!$B:$B,0)),"")</f>
        <v>2.19480201068068</v>
      </c>
      <c r="F134" s="40" t="str">
        <f aca="false">IFERROR(INDEX('מדי '!$D:$D,MATCH($A134,'מדי '!$B:$B,0)),"")</f>
        <v/>
      </c>
      <c r="G134" s="40" t="str">
        <f aca="false">IFERROR(INDEX('מדי '!$E:$E,MATCH($A134,'מדי '!$B:$B,0)),"")</f>
        <v/>
      </c>
      <c r="H134" s="40" t="str">
        <f aca="false">IFERROR(INDEX('מדי '!$F:$F,MATCH($A134,'מדי '!$B:$B,0)),"")</f>
        <v/>
      </c>
    </row>
    <row r="135" customFormat="false" ht="15" hidden="false" customHeight="false" outlineLevel="0" collapsed="false">
      <c r="A135" s="38" t="s">
        <v>127</v>
      </c>
      <c r="B135" s="39" t="str">
        <f aca="false">IF(AND(COUNTIF(ניו!$B:$B,$A135)&gt;0,COUNTIF('מדי '!$B:$B,$A135)&gt;0),"NZ + מדי",IF(COUNTIF(ניו!$B:$B,$A135)&gt;0,"NZ","מדי"))</f>
        <v>NZ</v>
      </c>
      <c r="C135" s="40" t="n">
        <f aca="false">IFERROR(INDEX(ניו!$C:$C,MATCH($A135,ניו!$B:$B,0)),IFERROR(INDEX('מדי '!$C:$C,MATCH($A135,'מדי '!$B:$B,0)),""))</f>
        <v>5.92276225399971</v>
      </c>
      <c r="D135" s="40" t="n">
        <f aca="false">IFERROR(INDEX(ניו!$D:$D,MATCH($A135,ניו!$B:$B,0)),"")</f>
        <v>3.2</v>
      </c>
      <c r="E135" s="40" t="n">
        <f aca="false">IFERROR(INDEX(ניו!$E:$E,MATCH($A135,ניו!$B:$B,0)),"")</f>
        <v>2.11793069889457</v>
      </c>
      <c r="F135" s="40" t="str">
        <f aca="false">IFERROR(INDEX('מדי '!$D:$D,MATCH($A135,'מדי '!$B:$B,0)),"")</f>
        <v/>
      </c>
      <c r="G135" s="40" t="str">
        <f aca="false">IFERROR(INDEX('מדי '!$E:$E,MATCH($A135,'מדי '!$B:$B,0)),"")</f>
        <v/>
      </c>
      <c r="H135" s="40" t="str">
        <f aca="false">IFERROR(INDEX('מדי '!$F:$F,MATCH($A135,'מדי '!$B:$B,0)),"")</f>
        <v/>
      </c>
    </row>
    <row r="136" customFormat="false" ht="15" hidden="false" customHeight="false" outlineLevel="0" collapsed="false">
      <c r="A136" s="38" t="s">
        <v>128</v>
      </c>
      <c r="B136" s="39" t="str">
        <f aca="false">IF(AND(COUNTIF(ניו!$B:$B,$A136)&gt;0,COUNTIF('מדי '!$B:$B,$A136)&gt;0),"NZ + מדי",IF(COUNTIF(ניו!$B:$B,$A136)&gt;0,"NZ","מדי"))</f>
        <v>NZ</v>
      </c>
      <c r="C136" s="40" t="n">
        <f aca="false">IFERROR(INDEX(ניו!$C:$C,MATCH($A136,ניו!$B:$B,0)),IFERROR(INDEX('מדי '!$C:$C,MATCH($A136,'מדי '!$B:$B,0)),""))</f>
        <v>7.17519691816076</v>
      </c>
      <c r="D136" s="40" t="n">
        <f aca="false">IFERROR(INDEX(ניו!$D:$D,MATCH($A136,ניו!$B:$B,0)),"")</f>
        <v>3.95</v>
      </c>
      <c r="E136" s="40" t="n">
        <f aca="false">IFERROR(INDEX(ניו!$E:$E,MATCH($A136,ניו!$B:$B,0)),"")</f>
        <v>2.15798955437854</v>
      </c>
      <c r="F136" s="40" t="str">
        <f aca="false">IFERROR(INDEX('מדי '!$D:$D,MATCH($A136,'מדי '!$B:$B,0)),"")</f>
        <v/>
      </c>
      <c r="G136" s="40" t="str">
        <f aca="false">IFERROR(INDEX('מדי '!$E:$E,MATCH($A136,'מדי '!$B:$B,0)),"")</f>
        <v/>
      </c>
      <c r="H136" s="40" t="str">
        <f aca="false">IFERROR(INDEX('מדי '!$F:$F,MATCH($A136,'מדי '!$B:$B,0)),"")</f>
        <v/>
      </c>
    </row>
    <row r="137" customFormat="false" ht="15" hidden="false" customHeight="false" outlineLevel="0" collapsed="false">
      <c r="A137" s="38" t="s">
        <v>129</v>
      </c>
      <c r="B137" s="39" t="str">
        <f aca="false">IF(AND(COUNTIF(ניו!$B:$B,$A137)&gt;0,COUNTIF('מדי '!$B:$B,$A137)&gt;0),"NZ + מדי",IF(COUNTIF(ניו!$B:$B,$A137)&gt;0,"NZ","מדי"))</f>
        <v>NZ</v>
      </c>
      <c r="C137" s="40" t="n">
        <f aca="false">IFERROR(INDEX(ניו!$C:$C,MATCH($A137,ניו!$B:$B,0)),IFERROR(INDEX('מדי '!$C:$C,MATCH($A137,'מדי '!$B:$B,0)),""))</f>
        <v>9.12939093321572</v>
      </c>
      <c r="D137" s="40" t="n">
        <f aca="false">IFERROR(INDEX(ניו!$D:$D,MATCH($A137,ניו!$B:$B,0)),"")</f>
        <v>4.75</v>
      </c>
      <c r="E137" s="40" t="n">
        <f aca="false">IFERROR(INDEX(ניו!$E:$E,MATCH($A137,ניו!$B:$B,0)),"")</f>
        <v>2.03956650955261</v>
      </c>
      <c r="F137" s="40" t="str">
        <f aca="false">IFERROR(INDEX('מדי '!$D:$D,MATCH($A137,'מדי '!$B:$B,0)),"")</f>
        <v/>
      </c>
      <c r="G137" s="40" t="str">
        <f aca="false">IFERROR(INDEX('מדי '!$E:$E,MATCH($A137,'מדי '!$B:$B,0)),"")</f>
        <v/>
      </c>
      <c r="H137" s="40" t="str">
        <f aca="false">IFERROR(INDEX('מדי '!$F:$F,MATCH($A137,'מדי '!$B:$B,0)),"")</f>
        <v/>
      </c>
    </row>
    <row r="138" customFormat="false" ht="15" hidden="false" customHeight="false" outlineLevel="0" collapsed="false">
      <c r="A138" s="38" t="s">
        <v>130</v>
      </c>
      <c r="B138" s="39" t="str">
        <f aca="false">IF(AND(COUNTIF(ניו!$B:$B,$A138)&gt;0,COUNTIF('מדי '!$B:$B,$A138)&gt;0),"NZ + מדי",IF(COUNTIF(ניו!$B:$B,$A138)&gt;0,"NZ","מדי"))</f>
        <v>NZ</v>
      </c>
      <c r="C138" s="40" t="n">
        <f aca="false">IFERROR(INDEX(ניו!$C:$C,MATCH($A138,ניו!$B:$B,0)),IFERROR(INDEX('מדי '!$C:$C,MATCH($A138,'מדי '!$B:$B,0)),""))</f>
        <v>12.8923121843902</v>
      </c>
      <c r="D138" s="40" t="n">
        <f aca="false">IFERROR(INDEX(ניו!$D:$D,MATCH($A138,ניו!$B:$B,0)),"")</f>
        <v>4.75</v>
      </c>
      <c r="E138" s="40" t="n">
        <f aca="false">IFERROR(INDEX(ניו!$E:$E,MATCH($A138,ניו!$B:$B,0)),"")</f>
        <v>1.44427157314301</v>
      </c>
      <c r="F138" s="40" t="str">
        <f aca="false">IFERROR(INDEX('מדי '!$D:$D,MATCH($A138,'מדי '!$B:$B,0)),"")</f>
        <v/>
      </c>
      <c r="G138" s="40" t="str">
        <f aca="false">IFERROR(INDEX('מדי '!$E:$E,MATCH($A138,'מדי '!$B:$B,0)),"")</f>
        <v/>
      </c>
      <c r="H138" s="40" t="str">
        <f aca="false">IFERROR(INDEX('מדי '!$F:$F,MATCH($A138,'מדי '!$B:$B,0)),"")</f>
        <v/>
      </c>
    </row>
    <row r="139" customFormat="false" ht="15" hidden="false" customHeight="false" outlineLevel="0" collapsed="false">
      <c r="A139" s="38" t="s">
        <v>131</v>
      </c>
      <c r="B139" s="39" t="str">
        <f aca="false">IF(AND(COUNTIF(ניו!$B:$B,$A139)&gt;0,COUNTIF('מדי '!$B:$B,$A139)&gt;0),"NZ + מדי",IF(COUNTIF(ניו!$B:$B,$A139)&gt;0,"NZ","מדי"))</f>
        <v>NZ</v>
      </c>
      <c r="C139" s="40" t="n">
        <f aca="false">IFERROR(INDEX(ניו!$C:$C,MATCH($A139,ניו!$B:$B,0)),IFERROR(INDEX('מדי '!$C:$C,MATCH($A139,'מדי '!$B:$B,0)),""))</f>
        <v>8.38849299906678</v>
      </c>
      <c r="D139" s="40" t="n">
        <f aca="false">IFERROR(INDEX(ניו!$D:$D,MATCH($A139,ניו!$B:$B,0)),"")</f>
        <v>4.4</v>
      </c>
      <c r="E139" s="40" t="n">
        <f aca="false">IFERROR(INDEX(ניו!$E:$E,MATCH($A139,ניו!$B:$B,0)),"")</f>
        <v>2.0561500143016</v>
      </c>
      <c r="F139" s="40" t="str">
        <f aca="false">IFERROR(INDEX('מדי '!$D:$D,MATCH($A139,'מדי '!$B:$B,0)),"")</f>
        <v/>
      </c>
      <c r="G139" s="40" t="str">
        <f aca="false">IFERROR(INDEX('מדי '!$E:$E,MATCH($A139,'מדי '!$B:$B,0)),"")</f>
        <v/>
      </c>
      <c r="H139" s="40" t="str">
        <f aca="false">IFERROR(INDEX('מדי '!$F:$F,MATCH($A139,'מדי '!$B:$B,0)),"")</f>
        <v/>
      </c>
    </row>
    <row r="140" customFormat="false" ht="15" hidden="false" customHeight="false" outlineLevel="0" collapsed="false">
      <c r="A140" s="38" t="s">
        <v>132</v>
      </c>
      <c r="B140" s="39" t="str">
        <f aca="false">IF(AND(COUNTIF(ניו!$B:$B,$A140)&gt;0,COUNTIF('מדי '!$B:$B,$A140)&gt;0),"NZ + מדי",IF(COUNTIF(ניו!$B:$B,$A140)&gt;0,"NZ","מדי"))</f>
        <v>NZ</v>
      </c>
      <c r="C140" s="40" t="n">
        <f aca="false">IFERROR(INDEX(ניו!$C:$C,MATCH($A140,ניו!$B:$B,0)),IFERROR(INDEX('מדי '!$C:$C,MATCH($A140,'מדי '!$B:$B,0)),""))</f>
        <v>17.6949924040883</v>
      </c>
      <c r="D140" s="40" t="n">
        <f aca="false">IFERROR(INDEX(ניו!$D:$D,MATCH($A140,ניו!$B:$B,0)),"")</f>
        <v>10.85</v>
      </c>
      <c r="E140" s="40" t="n">
        <f aca="false">IFERROR(INDEX(ניו!$E:$E,MATCH($A140,ניו!$B:$B,0)),"")</f>
        <v>2.40361787271371</v>
      </c>
      <c r="F140" s="40" t="str">
        <f aca="false">IFERROR(INDEX('מדי '!$D:$D,MATCH($A140,'מדי '!$B:$B,0)),"")</f>
        <v/>
      </c>
      <c r="G140" s="40" t="str">
        <f aca="false">IFERROR(INDEX('מדי '!$E:$E,MATCH($A140,'מדי '!$B:$B,0)),"")</f>
        <v/>
      </c>
      <c r="H140" s="40" t="str">
        <f aca="false">IFERROR(INDEX('מדי '!$F:$F,MATCH($A140,'מדי '!$B:$B,0)),"")</f>
        <v/>
      </c>
    </row>
    <row r="141" customFormat="false" ht="15" hidden="false" customHeight="false" outlineLevel="0" collapsed="false">
      <c r="A141" s="38" t="s">
        <v>133</v>
      </c>
      <c r="B141" s="39" t="str">
        <f aca="false">IF(AND(COUNTIF(ניו!$B:$B,$A141)&gt;0,COUNTIF('מדי '!$B:$B,$A141)&gt;0),"NZ + מדי",IF(COUNTIF(ניו!$B:$B,$A141)&gt;0,"NZ","מדי"))</f>
        <v>NZ</v>
      </c>
      <c r="C141" s="40" t="n">
        <f aca="false">IFERROR(INDEX(ניו!$C:$C,MATCH($A141,ניו!$B:$B,0)),IFERROR(INDEX('מדי '!$C:$C,MATCH($A141,'מדי '!$B:$B,0)),""))</f>
        <v>31.7920820564955</v>
      </c>
      <c r="D141" s="40" t="n">
        <f aca="false">IFERROR(INDEX(ניו!$D:$D,MATCH($A141,ניו!$B:$B,0)),"")</f>
        <v>18.7</v>
      </c>
      <c r="E141" s="40" t="n">
        <f aca="false">IFERROR(INDEX(ניו!$E:$E,MATCH($A141,ניו!$B:$B,0)),"")</f>
        <v>2.30573134121058</v>
      </c>
      <c r="F141" s="40" t="str">
        <f aca="false">IFERROR(INDEX('מדי '!$D:$D,MATCH($A141,'מדי '!$B:$B,0)),"")</f>
        <v/>
      </c>
      <c r="G141" s="40" t="str">
        <f aca="false">IFERROR(INDEX('מדי '!$E:$E,MATCH($A141,'מדי '!$B:$B,0)),"")</f>
        <v/>
      </c>
      <c r="H141" s="40" t="str">
        <f aca="false">IFERROR(INDEX('מדי '!$F:$F,MATCH($A141,'מדי '!$B:$B,0)),"")</f>
        <v/>
      </c>
    </row>
    <row r="142" customFormat="false" ht="15" hidden="false" customHeight="false" outlineLevel="0" collapsed="false">
      <c r="A142" s="35" t="s">
        <v>134</v>
      </c>
      <c r="B142" s="36" t="str">
        <f aca="false">IF(AND(COUNTIF(ניו!$B:$B,$A142)&gt;0,COUNTIF('מדי '!$B:$B,$A142)&gt;0),"NZ + מדי",IF(COUNTIF(ניו!$B:$B,$A142)&gt;0,"NZ","מדי"))</f>
        <v>NZ + מדי</v>
      </c>
      <c r="C142" s="37" t="n">
        <f aca="false">IFERROR(INDEX(ניו!$C:$C,MATCH($A142,ניו!$B:$B,0)),IFERROR(INDEX('מדי '!$C:$C,MATCH($A142,'מדי '!$B:$B,0)),""))</f>
        <v>52.000308768548</v>
      </c>
      <c r="D142" s="37" t="n">
        <f aca="false">IFERROR(INDEX(ניו!$D:$D,MATCH($A142,ניו!$B:$B,0)),"")</f>
        <v>32.45</v>
      </c>
      <c r="E142" s="37" t="n">
        <f aca="false">IFERROR(INDEX(ניו!$E:$E,MATCH($A142,ניו!$B:$B,0)),"")</f>
        <v>2.44621624394927</v>
      </c>
      <c r="F142" s="37" t="n">
        <f aca="false">IFERROR(INDEX('מדי '!$D:$D,MATCH($A142,'מדי '!$B:$B,0)),"")</f>
        <v>35</v>
      </c>
      <c r="G142" s="37" t="n">
        <f aca="false">IFERROR(INDEX('מדי '!$E:$E,MATCH($A142,'מדי '!$B:$B,0)),"")</f>
        <v>30.2272727272727</v>
      </c>
      <c r="H142" s="37" t="n">
        <f aca="false">IFERROR(INDEX('מדי '!$F:$F,MATCH($A142,'מדי '!$B:$B,0)),"")</f>
        <v>1.94732235316285</v>
      </c>
    </row>
    <row r="143" customFormat="false" ht="15" hidden="false" customHeight="false" outlineLevel="0" collapsed="false">
      <c r="A143" s="38" t="s">
        <v>135</v>
      </c>
      <c r="B143" s="39" t="str">
        <f aca="false">IF(AND(COUNTIF(ניו!$B:$B,$A143)&gt;0,COUNTIF('מדי '!$B:$B,$A143)&gt;0),"NZ + מדי",IF(COUNTIF(ניו!$B:$B,$A143)&gt;0,"NZ","מדי"))</f>
        <v>NZ</v>
      </c>
      <c r="C143" s="40" t="n">
        <f aca="false">IFERROR(INDEX(ניו!$C:$C,MATCH($A143,ניו!$B:$B,0)),IFERROR(INDEX('מדי '!$C:$C,MATCH($A143,'מדי '!$B:$B,0)),""))</f>
        <v>11.6456762107327</v>
      </c>
      <c r="D143" s="40" t="n">
        <f aca="false">IFERROR(INDEX(ניו!$D:$D,MATCH($A143,ניו!$B:$B,0)),"")</f>
        <v>5.9</v>
      </c>
      <c r="E143" s="40" t="n">
        <f aca="false">IFERROR(INDEX(ניו!$E:$E,MATCH($A143,ניו!$B:$B,0)),"")</f>
        <v>1.98597312697782</v>
      </c>
      <c r="F143" s="40" t="str">
        <f aca="false">IFERROR(INDEX('מדי '!$D:$D,MATCH($A143,'מדי '!$B:$B,0)),"")</f>
        <v/>
      </c>
      <c r="G143" s="40" t="str">
        <f aca="false">IFERROR(INDEX('מדי '!$E:$E,MATCH($A143,'מדי '!$B:$B,0)),"")</f>
        <v/>
      </c>
      <c r="H143" s="40" t="str">
        <f aca="false">IFERROR(INDEX('מדי '!$F:$F,MATCH($A143,'מדי '!$B:$B,0)),"")</f>
        <v/>
      </c>
    </row>
    <row r="144" customFormat="false" ht="15" hidden="false" customHeight="false" outlineLevel="0" collapsed="false">
      <c r="A144" s="38" t="s">
        <v>136</v>
      </c>
      <c r="B144" s="39" t="str">
        <f aca="false">IF(AND(COUNTIF(ניו!$B:$B,$A144)&gt;0,COUNTIF('מדי '!$B:$B,$A144)&gt;0),"NZ + מדי",IF(COUNTIF(ניו!$B:$B,$A144)&gt;0,"NZ","מדי"))</f>
        <v>NZ</v>
      </c>
      <c r="C144" s="40" t="n">
        <f aca="false">IFERROR(INDEX(ניו!$C:$C,MATCH($A144,ניו!$B:$B,0)),IFERROR(INDEX('מדי '!$C:$C,MATCH($A144,'מדי '!$B:$B,0)),""))</f>
        <v>6.89623949464189</v>
      </c>
      <c r="D144" s="40" t="n">
        <f aca="false">IFERROR(INDEX(ניו!$D:$D,MATCH($A144,ניו!$B:$B,0)),"")</f>
        <v>4.7</v>
      </c>
      <c r="E144" s="40" t="n">
        <f aca="false">IFERROR(INDEX(ניו!$E:$E,MATCH($A144,ניו!$B:$B,0)),"")</f>
        <v>2.67160095212974</v>
      </c>
      <c r="F144" s="40" t="str">
        <f aca="false">IFERROR(INDEX('מדי '!$D:$D,MATCH($A144,'מדי '!$B:$B,0)),"")</f>
        <v/>
      </c>
      <c r="G144" s="40" t="str">
        <f aca="false">IFERROR(INDEX('מדי '!$E:$E,MATCH($A144,'מדי '!$B:$B,0)),"")</f>
        <v/>
      </c>
      <c r="H144" s="40" t="str">
        <f aca="false">IFERROR(INDEX('מדי '!$F:$F,MATCH($A144,'מדי '!$B:$B,0)),"")</f>
        <v/>
      </c>
    </row>
    <row r="145" customFormat="false" ht="15" hidden="false" customHeight="false" outlineLevel="0" collapsed="false">
      <c r="A145" s="38" t="s">
        <v>137</v>
      </c>
      <c r="B145" s="39" t="str">
        <f aca="false">IF(AND(COUNTIF(ניו!$B:$B,$A145)&gt;0,COUNTIF('מדי '!$B:$B,$A145)&gt;0),"NZ + מדי",IF(COUNTIF(ניו!$B:$B,$A145)&gt;0,"NZ","מדי"))</f>
        <v>NZ</v>
      </c>
      <c r="C145" s="40" t="n">
        <f aca="false">IFERROR(INDEX(ניו!$C:$C,MATCH($A145,ניו!$B:$B,0)),IFERROR(INDEX('מדי '!$C:$C,MATCH($A145,'מדי '!$B:$B,0)),""))</f>
        <v>8.11452291628156</v>
      </c>
      <c r="D145" s="40" t="n">
        <f aca="false">IFERROR(INDEX(ניו!$D:$D,MATCH($A145,ניו!$B:$B,0)),"")</f>
        <v>4.45</v>
      </c>
      <c r="E145" s="40" t="n">
        <f aca="false">IFERROR(INDEX(ניו!$E:$E,MATCH($A145,ניו!$B:$B,0)),"")</f>
        <v>2.1497258902306</v>
      </c>
      <c r="F145" s="40" t="str">
        <f aca="false">IFERROR(INDEX('מדי '!$D:$D,MATCH($A145,'מדי '!$B:$B,0)),"")</f>
        <v/>
      </c>
      <c r="G145" s="40" t="str">
        <f aca="false">IFERROR(INDEX('מדי '!$E:$E,MATCH($A145,'מדי '!$B:$B,0)),"")</f>
        <v/>
      </c>
      <c r="H145" s="40" t="str">
        <f aca="false">IFERROR(INDEX('מדי '!$F:$F,MATCH($A145,'מדי '!$B:$B,0)),"")</f>
        <v/>
      </c>
    </row>
    <row r="146" customFormat="false" ht="15" hidden="false" customHeight="false" outlineLevel="0" collapsed="false">
      <c r="A146" s="38" t="s">
        <v>138</v>
      </c>
      <c r="B146" s="39" t="str">
        <f aca="false">IF(AND(COUNTIF(ניו!$B:$B,$A146)&gt;0,COUNTIF('מדי '!$B:$B,$A146)&gt;0),"NZ + מדי",IF(COUNTIF(ניו!$B:$B,$A146)&gt;0,"NZ","מדי"))</f>
        <v>NZ</v>
      </c>
      <c r="C146" s="40" t="n">
        <f aca="false">IFERROR(INDEX(ניו!$C:$C,MATCH($A146,ניו!$B:$B,0)),IFERROR(INDEX('מדי '!$C:$C,MATCH($A146,'מדי '!$B:$B,0)),""))</f>
        <v>10.1861326811016</v>
      </c>
      <c r="D146" s="40" t="n">
        <f aca="false">IFERROR(INDEX(ניו!$D:$D,MATCH($A146,ניו!$B:$B,0)),"")</f>
        <v>5.3</v>
      </c>
      <c r="E146" s="40" t="n">
        <f aca="false">IFERROR(INDEX(ניו!$E:$E,MATCH($A146,ניו!$B:$B,0)),"")</f>
        <v>2.03963571361542</v>
      </c>
      <c r="F146" s="40" t="str">
        <f aca="false">IFERROR(INDEX('מדי '!$D:$D,MATCH($A146,'מדי '!$B:$B,0)),"")</f>
        <v/>
      </c>
      <c r="G146" s="40" t="str">
        <f aca="false">IFERROR(INDEX('מדי '!$E:$E,MATCH($A146,'מדי '!$B:$B,0)),"")</f>
        <v/>
      </c>
      <c r="H146" s="40" t="str">
        <f aca="false">IFERROR(INDEX('מדי '!$F:$F,MATCH($A146,'מדי '!$B:$B,0)),"")</f>
        <v/>
      </c>
    </row>
    <row r="147" customFormat="false" ht="15" hidden="false" customHeight="false" outlineLevel="0" collapsed="false">
      <c r="A147" s="38" t="s">
        <v>139</v>
      </c>
      <c r="B147" s="39" t="str">
        <f aca="false">IF(AND(COUNTIF(ניו!$B:$B,$A147)&gt;0,COUNTIF('מדי '!$B:$B,$A147)&gt;0),"NZ + מדי",IF(COUNTIF(ניו!$B:$B,$A147)&gt;0,"NZ","מדי"))</f>
        <v>NZ</v>
      </c>
      <c r="C147" s="40" t="n">
        <f aca="false">IFERROR(INDEX(ניו!$C:$C,MATCH($A147,ניו!$B:$B,0)),IFERROR(INDEX('מדי '!$C:$C,MATCH($A147,'מדי '!$B:$B,0)),""))</f>
        <v>25.3015063944653</v>
      </c>
      <c r="D147" s="40" t="n">
        <f aca="false">IFERROR(INDEX(ניו!$D:$D,MATCH($A147,ניו!$B:$B,0)),"")</f>
        <v>13.85</v>
      </c>
      <c r="E147" s="40" t="n">
        <f aca="false">IFERROR(INDEX(ניו!$E:$E,MATCH($A147,ניו!$B:$B,0)),"")</f>
        <v>2.14580109000452</v>
      </c>
      <c r="F147" s="40" t="str">
        <f aca="false">IFERROR(INDEX('מדי '!$D:$D,MATCH($A147,'מדי '!$B:$B,0)),"")</f>
        <v/>
      </c>
      <c r="G147" s="40" t="str">
        <f aca="false">IFERROR(INDEX('מדי '!$E:$E,MATCH($A147,'מדי '!$B:$B,0)),"")</f>
        <v/>
      </c>
      <c r="H147" s="40" t="str">
        <f aca="false">IFERROR(INDEX('מדי '!$F:$F,MATCH($A147,'מדי '!$B:$B,0)),"")</f>
        <v/>
      </c>
    </row>
    <row r="148" customFormat="false" ht="15" hidden="false" customHeight="false" outlineLevel="0" collapsed="false">
      <c r="A148" s="38" t="s">
        <v>140</v>
      </c>
      <c r="B148" s="39" t="str">
        <f aca="false">IF(AND(COUNTIF(ניו!$B:$B,$A148)&gt;0,COUNTIF('מדי '!$B:$B,$A148)&gt;0),"NZ + מדי",IF(COUNTIF(ניו!$B:$B,$A148)&gt;0,"NZ","מדי"))</f>
        <v>NZ</v>
      </c>
      <c r="C148" s="40" t="n">
        <f aca="false">IFERROR(INDEX(ניו!$C:$C,MATCH($A148,ניו!$B:$B,0)),IFERROR(INDEX('מדי '!$C:$C,MATCH($A148,'מדי '!$B:$B,0)),""))</f>
        <v>23.0297148009858</v>
      </c>
      <c r="D148" s="40" t="n">
        <f aca="false">IFERROR(INDEX(ניו!$D:$D,MATCH($A148,ניו!$B:$B,0)),"")</f>
        <v>13.3</v>
      </c>
      <c r="E148" s="40" t="n">
        <f aca="false">IFERROR(INDEX(ניו!$E:$E,MATCH($A148,ניו!$B:$B,0)),"")</f>
        <v>2.2638578224064</v>
      </c>
      <c r="F148" s="40" t="str">
        <f aca="false">IFERROR(INDEX('מדי '!$D:$D,MATCH($A148,'מדי '!$B:$B,0)),"")</f>
        <v/>
      </c>
      <c r="G148" s="40" t="str">
        <f aca="false">IFERROR(INDEX('מדי '!$E:$E,MATCH($A148,'מדי '!$B:$B,0)),"")</f>
        <v/>
      </c>
      <c r="H148" s="40" t="str">
        <f aca="false">IFERROR(INDEX('מדי '!$F:$F,MATCH($A148,'מדי '!$B:$B,0)),"")</f>
        <v/>
      </c>
    </row>
    <row r="149" customFormat="false" ht="15" hidden="false" customHeight="false" outlineLevel="0" collapsed="false">
      <c r="A149" s="38" t="s">
        <v>141</v>
      </c>
      <c r="B149" s="39" t="str">
        <f aca="false">IF(AND(COUNTIF(ניו!$B:$B,$A149)&gt;0,COUNTIF('מדי '!$B:$B,$A149)&gt;0),"NZ + מדי",IF(COUNTIF(ניו!$B:$B,$A149)&gt;0,"NZ","מדי"))</f>
        <v>NZ</v>
      </c>
      <c r="C149" s="40" t="n">
        <f aca="false">IFERROR(INDEX(ניו!$C:$C,MATCH($A149,ניו!$B:$B,0)),IFERROR(INDEX('מדי '!$C:$C,MATCH($A149,'מדי '!$B:$B,0)),""))</f>
        <v>10.2708330566265</v>
      </c>
      <c r="D149" s="40" t="n">
        <f aca="false">IFERROR(INDEX(ניו!$D:$D,MATCH($A149,ניו!$B:$B,0)),"")</f>
        <v>5.8</v>
      </c>
      <c r="E149" s="40" t="n">
        <f aca="false">IFERROR(INDEX(ניו!$E:$E,MATCH($A149,ניו!$B:$B,0)),"")</f>
        <v>2.21364711846145</v>
      </c>
      <c r="F149" s="40" t="str">
        <f aca="false">IFERROR(INDEX('מדי '!$D:$D,MATCH($A149,'מדי '!$B:$B,0)),"")</f>
        <v/>
      </c>
      <c r="G149" s="40" t="str">
        <f aca="false">IFERROR(INDEX('מדי '!$E:$E,MATCH($A149,'מדי '!$B:$B,0)),"")</f>
        <v/>
      </c>
      <c r="H149" s="40" t="str">
        <f aca="false">IFERROR(INDEX('מדי '!$F:$F,MATCH($A149,'מדי '!$B:$B,0)),"")</f>
        <v/>
      </c>
    </row>
    <row r="150" customFormat="false" ht="15" hidden="false" customHeight="false" outlineLevel="0" collapsed="false">
      <c r="A150" s="38" t="s">
        <v>142</v>
      </c>
      <c r="B150" s="39" t="str">
        <f aca="false">IF(AND(COUNTIF(ניו!$B:$B,$A150)&gt;0,COUNTIF('מדי '!$B:$B,$A150)&gt;0),"NZ + מדי",IF(COUNTIF(ניו!$B:$B,$A150)&gt;0,"NZ","מדי"))</f>
        <v>NZ</v>
      </c>
      <c r="C150" s="40" t="n">
        <f aca="false">IFERROR(INDEX(ניו!$C:$C,MATCH($A150,ניו!$B:$B,0)),IFERROR(INDEX('מדי '!$C:$C,MATCH($A150,'מדי '!$B:$B,0)),""))</f>
        <v>10.2708330566265</v>
      </c>
      <c r="D150" s="40" t="n">
        <f aca="false">IFERROR(INDEX(ניו!$D:$D,MATCH($A150,ניו!$B:$B,0)),"")</f>
        <v>5.8</v>
      </c>
      <c r="E150" s="40" t="n">
        <f aca="false">IFERROR(INDEX(ניו!$E:$E,MATCH($A150,ניו!$B:$B,0)),"")</f>
        <v>2.21364711846145</v>
      </c>
      <c r="F150" s="40" t="str">
        <f aca="false">IFERROR(INDEX('מדי '!$D:$D,MATCH($A150,'מדי '!$B:$B,0)),"")</f>
        <v/>
      </c>
      <c r="G150" s="40" t="str">
        <f aca="false">IFERROR(INDEX('מדי '!$E:$E,MATCH($A150,'מדי '!$B:$B,0)),"")</f>
        <v/>
      </c>
      <c r="H150" s="40" t="str">
        <f aca="false">IFERROR(INDEX('מדי '!$F:$F,MATCH($A150,'מדי '!$B:$B,0)),"")</f>
        <v/>
      </c>
    </row>
    <row r="151" customFormat="false" ht="15" hidden="false" customHeight="false" outlineLevel="0" collapsed="false">
      <c r="A151" s="38" t="s">
        <v>143</v>
      </c>
      <c r="B151" s="39" t="str">
        <f aca="false">IF(AND(COUNTIF(ניו!$B:$B,$A151)&gt;0,COUNTIF('מדי '!$B:$B,$A151)&gt;0),"NZ + מדי",IF(COUNTIF(ניו!$B:$B,$A151)&gt;0,"NZ","מדי"))</f>
        <v>NZ</v>
      </c>
      <c r="C151" s="40" t="n">
        <f aca="false">IFERROR(INDEX(ניו!$C:$C,MATCH($A151,ניו!$B:$B,0)),IFERROR(INDEX('מדי '!$C:$C,MATCH($A151,'מדי '!$B:$B,0)),""))</f>
        <v>10.2262170283633</v>
      </c>
      <c r="D151" s="40" t="n">
        <f aca="false">IFERROR(INDEX(ניו!$D:$D,MATCH($A151,ניו!$B:$B,0)),"")</f>
        <v>5.8</v>
      </c>
      <c r="E151" s="40" t="n">
        <f aca="false">IFERROR(INDEX(ניו!$E:$E,MATCH($A151,ניו!$B:$B,0)),"")</f>
        <v>2.22330505375936</v>
      </c>
      <c r="F151" s="40" t="str">
        <f aca="false">IFERROR(INDEX('מדי '!$D:$D,MATCH($A151,'מדי '!$B:$B,0)),"")</f>
        <v/>
      </c>
      <c r="G151" s="40" t="str">
        <f aca="false">IFERROR(INDEX('מדי '!$E:$E,MATCH($A151,'מדי '!$B:$B,0)),"")</f>
        <v/>
      </c>
      <c r="H151" s="40" t="str">
        <f aca="false">IFERROR(INDEX('מדי '!$F:$F,MATCH($A151,'מדי '!$B:$B,0)),"")</f>
        <v/>
      </c>
    </row>
    <row r="152" customFormat="false" ht="15" hidden="false" customHeight="false" outlineLevel="0" collapsed="false">
      <c r="A152" s="38" t="s">
        <v>144</v>
      </c>
      <c r="B152" s="39" t="str">
        <f aca="false">IF(AND(COUNTIF(ניו!$B:$B,$A152)&gt;0,COUNTIF('מדי '!$B:$B,$A152)&gt;0),"NZ + מדי",IF(COUNTIF(ניו!$B:$B,$A152)&gt;0,"NZ","מדי"))</f>
        <v>NZ</v>
      </c>
      <c r="C152" s="40" t="n">
        <f aca="false">IFERROR(INDEX(ניו!$C:$C,MATCH($A152,ניו!$B:$B,0)),IFERROR(INDEX('מדי '!$C:$C,MATCH($A152,'מדי '!$B:$B,0)),""))</f>
        <v>35.5706227002297</v>
      </c>
      <c r="D152" s="40" t="n">
        <f aca="false">IFERROR(INDEX(ניו!$D:$D,MATCH($A152,ניו!$B:$B,0)),"")</f>
        <v>18.1</v>
      </c>
      <c r="E152" s="40" t="n">
        <f aca="false">IFERROR(INDEX(ניו!$E:$E,MATCH($A152,ניו!$B:$B,0)),"")</f>
        <v>1.99467972764901</v>
      </c>
      <c r="F152" s="40" t="str">
        <f aca="false">IFERROR(INDEX('מדי '!$D:$D,MATCH($A152,'מדי '!$B:$B,0)),"")</f>
        <v/>
      </c>
      <c r="G152" s="40" t="str">
        <f aca="false">IFERROR(INDEX('מדי '!$E:$E,MATCH($A152,'מדי '!$B:$B,0)),"")</f>
        <v/>
      </c>
      <c r="H152" s="40" t="str">
        <f aca="false">IFERROR(INDEX('מדי '!$F:$F,MATCH($A152,'מדי '!$B:$B,0)),"")</f>
        <v/>
      </c>
    </row>
    <row r="153" customFormat="false" ht="15" hidden="false" customHeight="false" outlineLevel="0" collapsed="false">
      <c r="A153" s="38" t="s">
        <v>145</v>
      </c>
      <c r="B153" s="39" t="str">
        <f aca="false">IF(AND(COUNTIF(ניו!$B:$B,$A153)&gt;0,COUNTIF('מדי '!$B:$B,$A153)&gt;0),"NZ + מדי",IF(COUNTIF(ניו!$B:$B,$A153)&gt;0,"NZ","מדי"))</f>
        <v>NZ</v>
      </c>
      <c r="C153" s="40" t="n">
        <f aca="false">IFERROR(INDEX(ניו!$C:$C,MATCH($A153,ניו!$B:$B,0)),IFERROR(INDEX('מדי '!$C:$C,MATCH($A153,'מדי '!$B:$B,0)),""))</f>
        <v>26.2585852035449</v>
      </c>
      <c r="D153" s="40" t="n">
        <f aca="false">IFERROR(INDEX(ניו!$D:$D,MATCH($A153,ניו!$B:$B,0)),"")</f>
        <v>14.2</v>
      </c>
      <c r="E153" s="40" t="n">
        <f aca="false">IFERROR(INDEX(ניו!$E:$E,MATCH($A153,ניו!$B:$B,0)),"")</f>
        <v>2.11984002826189</v>
      </c>
      <c r="F153" s="40" t="str">
        <f aca="false">IFERROR(INDEX('מדי '!$D:$D,MATCH($A153,'מדי '!$B:$B,0)),"")</f>
        <v/>
      </c>
      <c r="G153" s="40" t="str">
        <f aca="false">IFERROR(INDEX('מדי '!$E:$E,MATCH($A153,'מדי '!$B:$B,0)),"")</f>
        <v/>
      </c>
      <c r="H153" s="40" t="str">
        <f aca="false">IFERROR(INDEX('מדי '!$F:$F,MATCH($A153,'מדי '!$B:$B,0)),"")</f>
        <v/>
      </c>
    </row>
    <row r="154" customFormat="false" ht="15" hidden="false" customHeight="false" outlineLevel="0" collapsed="false">
      <c r="A154" s="35" t="s">
        <v>146</v>
      </c>
      <c r="B154" s="36" t="str">
        <f aca="false">IF(AND(COUNTIF(ניו!$B:$B,$A154)&gt;0,COUNTIF('מדי '!$B:$B,$A154)&gt;0),"NZ + מדי",IF(COUNTIF(ניו!$B:$B,$A154)&gt;0,"NZ","מדי"))</f>
        <v>NZ + מדי</v>
      </c>
      <c r="C154" s="37" t="n">
        <f aca="false">IFERROR(INDEX(ניו!$C:$C,MATCH($A154,ניו!$B:$B,0)),IFERROR(INDEX('מדי '!$C:$C,MATCH($A154,'מדי '!$B:$B,0)),""))</f>
        <v>26.6502740471221</v>
      </c>
      <c r="D154" s="37" t="n">
        <f aca="false">IFERROR(INDEX(ניו!$D:$D,MATCH($A154,ניו!$B:$B,0)),"")</f>
        <v>13.8</v>
      </c>
      <c r="E154" s="37" t="n">
        <f aca="false">IFERROR(INDEX(ניו!$E:$E,MATCH($A154,ניו!$B:$B,0)),"")</f>
        <v>2.02984779459863</v>
      </c>
      <c r="F154" s="37" t="n">
        <f aca="false">IFERROR(INDEX('מדי '!$D:$D,MATCH($A154,'מדי '!$B:$B,0)),"")</f>
        <v>12.25</v>
      </c>
      <c r="G154" s="37" t="n">
        <f aca="false">IFERROR(INDEX('מדי '!$E:$E,MATCH($A154,'מדי '!$B:$B,0)),"")</f>
        <v>10.5795454545455</v>
      </c>
      <c r="H154" s="37" t="n">
        <f aca="false">IFERROR(INDEX('מדי '!$F:$F,MATCH($A154,'מדי '!$B:$B,0)),"")</f>
        <v>1.32987290149666</v>
      </c>
    </row>
    <row r="155" customFormat="false" ht="15" hidden="false" customHeight="false" outlineLevel="0" collapsed="false">
      <c r="A155" s="38" t="s">
        <v>147</v>
      </c>
      <c r="B155" s="39" t="str">
        <f aca="false">IF(AND(COUNTIF(ניו!$B:$B,$A155)&gt;0,COUNTIF('מדי '!$B:$B,$A155)&gt;0),"NZ + מדי",IF(COUNTIF(ניו!$B:$B,$A155)&gt;0,"NZ","מדי"))</f>
        <v>NZ</v>
      </c>
      <c r="C155" s="40" t="n">
        <f aca="false">IFERROR(INDEX(ניו!$C:$C,MATCH($A155,ניו!$B:$B,0)),IFERROR(INDEX('מדי '!$C:$C,MATCH($A155,'מדי '!$B:$B,0)),""))</f>
        <v>87.9077167386325</v>
      </c>
      <c r="D155" s="40" t="n">
        <f aca="false">IFERROR(INDEX(ניו!$D:$D,MATCH($A155,ניו!$B:$B,0)),"")</f>
        <v>45.8</v>
      </c>
      <c r="E155" s="40" t="n">
        <f aca="false">IFERROR(INDEX(ניו!$E:$E,MATCH($A155,ניו!$B:$B,0)),"")</f>
        <v>2.04232354861175</v>
      </c>
      <c r="F155" s="40" t="str">
        <f aca="false">IFERROR(INDEX('מדי '!$D:$D,MATCH($A155,'מדי '!$B:$B,0)),"")</f>
        <v/>
      </c>
      <c r="G155" s="40" t="str">
        <f aca="false">IFERROR(INDEX('מדי '!$E:$E,MATCH($A155,'מדי '!$B:$B,0)),"")</f>
        <v/>
      </c>
      <c r="H155" s="40" t="str">
        <f aca="false">IFERROR(INDEX('מדי '!$F:$F,MATCH($A155,'מדי '!$B:$B,0)),"")</f>
        <v/>
      </c>
    </row>
    <row r="156" customFormat="false" ht="15" hidden="false" customHeight="false" outlineLevel="0" collapsed="false">
      <c r="A156" s="35" t="s">
        <v>148</v>
      </c>
      <c r="B156" s="36" t="str">
        <f aca="false">IF(AND(COUNTIF(ניו!$B:$B,$A156)&gt;0,COUNTIF('מדי '!$B:$B,$A156)&gt;0),"NZ + מדי",IF(COUNTIF(ניו!$B:$B,$A156)&gt;0,"NZ","מדי"))</f>
        <v>NZ + מדי</v>
      </c>
      <c r="C156" s="37" t="n">
        <f aca="false">IFERROR(INDEX(ניו!$C:$C,MATCH($A156,ניו!$B:$B,0)),IFERROR(INDEX('מדי '!$C:$C,MATCH($A156,'מדי '!$B:$B,0)),""))</f>
        <v>39.5344972435949</v>
      </c>
      <c r="D156" s="37" t="n">
        <f aca="false">IFERROR(INDEX(ניו!$D:$D,MATCH($A156,ניו!$B:$B,0)),"")</f>
        <v>24.45</v>
      </c>
      <c r="E156" s="37" t="n">
        <f aca="false">IFERROR(INDEX(ניו!$E:$E,MATCH($A156,ניו!$B:$B,0)),"")</f>
        <v>2.42431311088768</v>
      </c>
      <c r="F156" s="37" t="n">
        <f aca="false">IFERROR(INDEX('מדי '!$D:$D,MATCH($A156,'מדי '!$B:$B,0)),"")</f>
        <v>24.5</v>
      </c>
      <c r="G156" s="37" t="n">
        <f aca="false">IFERROR(INDEX('מדי '!$E:$E,MATCH($A156,'מדי '!$B:$B,0)),"")</f>
        <v>21.1590909090909</v>
      </c>
      <c r="H156" s="37" t="n">
        <f aca="false">IFERROR(INDEX('מדי '!$F:$F,MATCH($A156,'מדי '!$B:$B,0)),"")</f>
        <v>1.79293931850717</v>
      </c>
    </row>
    <row r="157" customFormat="false" ht="15" hidden="false" customHeight="false" outlineLevel="0" collapsed="false">
      <c r="A157" s="38" t="s">
        <v>149</v>
      </c>
      <c r="B157" s="39" t="str">
        <f aca="false">IF(AND(COUNTIF(ניו!$B:$B,$A157)&gt;0,COUNTIF('מדי '!$B:$B,$A157)&gt;0),"NZ + מדי",IF(COUNTIF(ניו!$B:$B,$A157)&gt;0,"NZ","מדי"))</f>
        <v>NZ</v>
      </c>
      <c r="C157" s="40" t="n">
        <f aca="false">IFERROR(INDEX(ניו!$C:$C,MATCH($A157,ניו!$B:$B,0)),IFERROR(INDEX('מדי '!$C:$C,MATCH($A157,'מדי '!$B:$B,0)),""))</f>
        <v>9.64</v>
      </c>
      <c r="D157" s="40" t="n">
        <f aca="false">IFERROR(INDEX(ניו!$D:$D,MATCH($A157,ניו!$B:$B,0)),"")</f>
        <v>4.8</v>
      </c>
      <c r="E157" s="40" t="n">
        <f aca="false">IFERROR(INDEX(ניו!$E:$E,MATCH($A157,ניו!$B:$B,0)),"")</f>
        <v>1.95186721991701</v>
      </c>
      <c r="F157" s="40" t="str">
        <f aca="false">IFERROR(INDEX('מדי '!$D:$D,MATCH($A157,'מדי '!$B:$B,0)),"")</f>
        <v/>
      </c>
      <c r="G157" s="40" t="str">
        <f aca="false">IFERROR(INDEX('מדי '!$E:$E,MATCH($A157,'מדי '!$B:$B,0)),"")</f>
        <v/>
      </c>
      <c r="H157" s="40" t="str">
        <f aca="false">IFERROR(INDEX('מדי '!$F:$F,MATCH($A157,'מדי '!$B:$B,0)),"")</f>
        <v/>
      </c>
    </row>
    <row r="158" customFormat="false" ht="15" hidden="false" customHeight="false" outlineLevel="0" collapsed="false">
      <c r="A158" s="38" t="s">
        <v>150</v>
      </c>
      <c r="B158" s="39" t="str">
        <f aca="false">IF(AND(COUNTIF(ניו!$B:$B,$A158)&gt;0,COUNTIF('מדי '!$B:$B,$A158)&gt;0),"NZ + מדי",IF(COUNTIF(ניו!$B:$B,$A158)&gt;0,"NZ","מדי"))</f>
        <v>NZ</v>
      </c>
      <c r="C158" s="40" t="n">
        <f aca="false">IFERROR(INDEX(ניו!$C:$C,MATCH($A158,ניו!$B:$B,0)),IFERROR(INDEX('מדי '!$C:$C,MATCH($A158,'מדי '!$B:$B,0)),""))</f>
        <v>18.84</v>
      </c>
      <c r="D158" s="40" t="n">
        <f aca="false">IFERROR(INDEX(ניו!$D:$D,MATCH($A158,ניו!$B:$B,0)),"")</f>
        <v>11.75</v>
      </c>
      <c r="E158" s="40" t="n">
        <f aca="false">IFERROR(INDEX(ניו!$E:$E,MATCH($A158,ניו!$B:$B,0)),"")</f>
        <v>2.4447983014862</v>
      </c>
      <c r="F158" s="40" t="str">
        <f aca="false">IFERROR(INDEX('מדי '!$D:$D,MATCH($A158,'מדי '!$B:$B,0)),"")</f>
        <v/>
      </c>
      <c r="G158" s="40" t="str">
        <f aca="false">IFERROR(INDEX('מדי '!$E:$E,MATCH($A158,'מדי '!$B:$B,0)),"")</f>
        <v/>
      </c>
      <c r="H158" s="40" t="str">
        <f aca="false">IFERROR(INDEX('מדי '!$F:$F,MATCH($A158,'מדי '!$B:$B,0)),"")</f>
        <v/>
      </c>
    </row>
    <row r="159" customFormat="false" ht="15" hidden="false" customHeight="false" outlineLevel="0" collapsed="false">
      <c r="A159" s="38" t="n">
        <v>202</v>
      </c>
      <c r="B159" s="39" t="str">
        <f aca="false">IF(AND(COUNTIF(ניו!$B:$B,$A159)&gt;0,COUNTIF('מדי '!$B:$B,$A159)&gt;0),"NZ + מדי",IF(COUNTIF(ניו!$B:$B,$A159)&gt;0,"NZ","מדי"))</f>
        <v>NZ</v>
      </c>
      <c r="C159" s="40" t="n">
        <f aca="false">IFERROR(INDEX(ניו!$C:$C,MATCH($A159,ניו!$B:$B,0)),IFERROR(INDEX('מדי '!$C:$C,MATCH($A159,'מדי '!$B:$B,0)),""))</f>
        <v>7.128</v>
      </c>
      <c r="D159" s="40" t="n">
        <f aca="false">IFERROR(INDEX(ניו!$D:$D,MATCH($A159,ניו!$B:$B,0)),"")</f>
        <v>4.9</v>
      </c>
      <c r="E159" s="40" t="n">
        <f aca="false">IFERROR(INDEX(ניו!$E:$E,MATCH($A159,ניו!$B:$B,0)),"")</f>
        <v>2.69472502805836</v>
      </c>
      <c r="F159" s="40" t="str">
        <f aca="false">IFERROR(INDEX('מדי '!$D:$D,MATCH($A159,'מדי '!$B:$B,0)),"")</f>
        <v/>
      </c>
      <c r="G159" s="40" t="str">
        <f aca="false">IFERROR(INDEX('מדי '!$E:$E,MATCH($A159,'מדי '!$B:$B,0)),"")</f>
        <v/>
      </c>
      <c r="H159" s="40" t="str">
        <f aca="false">IFERROR(INDEX('מדי '!$F:$F,MATCH($A159,'מדי '!$B:$B,0)),"")</f>
        <v/>
      </c>
    </row>
    <row r="160" customFormat="false" ht="15" hidden="false" customHeight="false" outlineLevel="0" collapsed="false">
      <c r="A160" s="38" t="s">
        <v>151</v>
      </c>
      <c r="B160" s="39" t="str">
        <f aca="false">IF(AND(COUNTIF(ניו!$B:$B,$A160)&gt;0,COUNTIF('מדי '!$B:$B,$A160)&gt;0),"NZ + מדי",IF(COUNTIF(ניו!$B:$B,$A160)&gt;0,"NZ","מדי"))</f>
        <v>NZ</v>
      </c>
      <c r="C160" s="40" t="n">
        <f aca="false">IFERROR(INDEX(ניו!$C:$C,MATCH($A160,ניו!$B:$B,0)),IFERROR(INDEX('מדי '!$C:$C,MATCH($A160,'מדי '!$B:$B,0)),""))</f>
        <v>9.741</v>
      </c>
      <c r="D160" s="40" t="n">
        <f aca="false">IFERROR(INDEX(ניו!$D:$D,MATCH($A160,ניו!$B:$B,0)),"")</f>
        <v>8.15</v>
      </c>
      <c r="E160" s="40" t="n">
        <f aca="false">IFERROR(INDEX(ניו!$E:$E,MATCH($A160,ניו!$B:$B,0)),"")</f>
        <v>3.27974540601581</v>
      </c>
      <c r="F160" s="40" t="str">
        <f aca="false">IFERROR(INDEX('מדי '!$D:$D,MATCH($A160,'מדי '!$B:$B,0)),"")</f>
        <v/>
      </c>
      <c r="G160" s="40" t="str">
        <f aca="false">IFERROR(INDEX('מדי '!$E:$E,MATCH($A160,'מדי '!$B:$B,0)),"")</f>
        <v/>
      </c>
      <c r="H160" s="40" t="str">
        <f aca="false">IFERROR(INDEX('מדי '!$F:$F,MATCH($A160,'מדי '!$B:$B,0)),"")</f>
        <v/>
      </c>
    </row>
    <row r="161" customFormat="false" ht="15" hidden="false" customHeight="false" outlineLevel="0" collapsed="false">
      <c r="A161" s="38" t="s">
        <v>152</v>
      </c>
      <c r="B161" s="39" t="str">
        <f aca="false">IF(AND(COUNTIF(ניו!$B:$B,$A161)&gt;0,COUNTIF('מדי '!$B:$B,$A161)&gt;0),"NZ + מדי",IF(COUNTIF(ניו!$B:$B,$A161)&gt;0,"NZ","מדי"))</f>
        <v>NZ</v>
      </c>
      <c r="C161" s="40" t="n">
        <f aca="false">IFERROR(INDEX(ניו!$C:$C,MATCH($A161,ניו!$B:$B,0)),IFERROR(INDEX('מדי '!$C:$C,MATCH($A161,'מדי '!$B:$B,0)),""))</f>
        <v>28.7958</v>
      </c>
      <c r="D161" s="40" t="n">
        <f aca="false">IFERROR(INDEX(ניו!$D:$D,MATCH($A161,ניו!$B:$B,0)),"")</f>
        <v>17.05</v>
      </c>
      <c r="E161" s="40" t="n">
        <f aca="false">IFERROR(INDEX(ניו!$E:$E,MATCH($A161,ניו!$B:$B,0)),"")</f>
        <v>2.32103292841317</v>
      </c>
      <c r="F161" s="40" t="str">
        <f aca="false">IFERROR(INDEX('מדי '!$D:$D,MATCH($A161,'מדי '!$B:$B,0)),"")</f>
        <v/>
      </c>
      <c r="G161" s="40" t="str">
        <f aca="false">IFERROR(INDEX('מדי '!$E:$E,MATCH($A161,'מדי '!$B:$B,0)),"")</f>
        <v/>
      </c>
      <c r="H161" s="40" t="str">
        <f aca="false">IFERROR(INDEX('מדי '!$F:$F,MATCH($A161,'מדי '!$B:$B,0)),"")</f>
        <v/>
      </c>
    </row>
    <row r="162" customFormat="false" ht="15" hidden="false" customHeight="false" outlineLevel="0" collapsed="false">
      <c r="A162" s="38" t="s">
        <v>153</v>
      </c>
      <c r="B162" s="39" t="str">
        <f aca="false">IF(AND(COUNTIF(ניו!$B:$B,$A162)&gt;0,COUNTIF('מדי '!$B:$B,$A162)&gt;0),"NZ + מדי",IF(COUNTIF(ניו!$B:$B,$A162)&gt;0,"NZ","מדי"))</f>
        <v>NZ</v>
      </c>
      <c r="C162" s="40" t="n">
        <f aca="false">IFERROR(INDEX(ניו!$C:$C,MATCH($A162,ניו!$B:$B,0)),IFERROR(INDEX('מדי '!$C:$C,MATCH($A162,'מדי '!$B:$B,0)),""))</f>
        <v>27.429</v>
      </c>
      <c r="D162" s="40" t="n">
        <f aca="false">IFERROR(INDEX(ניו!$D:$D,MATCH($A162,ניו!$B:$B,0)),"")</f>
        <v>17.05</v>
      </c>
      <c r="E162" s="40" t="n">
        <f aca="false">IFERROR(INDEX(ניו!$E:$E,MATCH($A162,ניו!$B:$B,0)),"")</f>
        <v>2.43669109336833</v>
      </c>
      <c r="F162" s="40" t="str">
        <f aca="false">IFERROR(INDEX('מדי '!$D:$D,MATCH($A162,'מדי '!$B:$B,0)),"")</f>
        <v/>
      </c>
      <c r="G162" s="40" t="str">
        <f aca="false">IFERROR(INDEX('מדי '!$E:$E,MATCH($A162,'מדי '!$B:$B,0)),"")</f>
        <v/>
      </c>
      <c r="H162" s="40" t="str">
        <f aca="false">IFERROR(INDEX('מדי '!$F:$F,MATCH($A162,'מדי '!$B:$B,0)),"")</f>
        <v/>
      </c>
    </row>
    <row r="163" customFormat="false" ht="15" hidden="false" customHeight="false" outlineLevel="0" collapsed="false">
      <c r="A163" s="38" t="s">
        <v>154</v>
      </c>
      <c r="B163" s="39" t="str">
        <f aca="false">IF(AND(COUNTIF(ניו!$B:$B,$A163)&gt;0,COUNTIF('מדי '!$B:$B,$A163)&gt;0),"NZ + מדי",IF(COUNTIF(ניו!$B:$B,$A163)&gt;0,"NZ","מדי"))</f>
        <v>NZ</v>
      </c>
      <c r="C163" s="40" t="n">
        <f aca="false">IFERROR(INDEX(ניו!$C:$C,MATCH($A163,ניו!$B:$B,0)),IFERROR(INDEX('מדי '!$C:$C,MATCH($A163,'מדי '!$B:$B,0)),""))</f>
        <v>39.5</v>
      </c>
      <c r="D163" s="40" t="n">
        <f aca="false">IFERROR(INDEX(ניו!$D:$D,MATCH($A163,ניו!$B:$B,0)),"")</f>
        <v>26.8</v>
      </c>
      <c r="E163" s="40" t="n">
        <f aca="false">IFERROR(INDEX(ניו!$E:$E,MATCH($A163,ניו!$B:$B,0)),"")</f>
        <v>2.65964556962025</v>
      </c>
      <c r="F163" s="40" t="str">
        <f aca="false">IFERROR(INDEX('מדי '!$D:$D,MATCH($A163,'מדי '!$B:$B,0)),"")</f>
        <v/>
      </c>
      <c r="G163" s="40" t="str">
        <f aca="false">IFERROR(INDEX('מדי '!$E:$E,MATCH($A163,'מדי '!$B:$B,0)),"")</f>
        <v/>
      </c>
      <c r="H163" s="40" t="str">
        <f aca="false">IFERROR(INDEX('מדי '!$F:$F,MATCH($A163,'מדי '!$B:$B,0)),"")</f>
        <v/>
      </c>
    </row>
    <row r="164" customFormat="false" ht="15" hidden="false" customHeight="false" outlineLevel="0" collapsed="false">
      <c r="A164" s="38" t="s">
        <v>155</v>
      </c>
      <c r="B164" s="39" t="str">
        <f aca="false">IF(AND(COUNTIF(ניו!$B:$B,$A164)&gt;0,COUNTIF('מדי '!$B:$B,$A164)&gt;0),"NZ + מדי",IF(COUNTIF(ניו!$B:$B,$A164)&gt;0,"NZ","מדי"))</f>
        <v>NZ</v>
      </c>
      <c r="C164" s="40" t="n">
        <f aca="false">IFERROR(INDEX(ניו!$C:$C,MATCH($A164,ניו!$B:$B,0)),IFERROR(INDEX('מדי '!$C:$C,MATCH($A164,'מדי '!$B:$B,0)),""))</f>
        <v>19.7</v>
      </c>
      <c r="D164" s="40" t="n">
        <f aca="false">IFERROR(INDEX(ניו!$D:$D,MATCH($A164,ניו!$B:$B,0)),"")</f>
        <v>15.3</v>
      </c>
      <c r="E164" s="40" t="n">
        <f aca="false">IFERROR(INDEX(ניו!$E:$E,MATCH($A164,ניו!$B:$B,0)),"")</f>
        <v>3.04446700507614</v>
      </c>
      <c r="F164" s="40" t="str">
        <f aca="false">IFERROR(INDEX('מדי '!$D:$D,MATCH($A164,'מדי '!$B:$B,0)),"")</f>
        <v/>
      </c>
      <c r="G164" s="40" t="str">
        <f aca="false">IFERROR(INDEX('מדי '!$E:$E,MATCH($A164,'מדי '!$B:$B,0)),"")</f>
        <v/>
      </c>
      <c r="H164" s="40" t="str">
        <f aca="false">IFERROR(INDEX('מדי '!$F:$F,MATCH($A164,'מדי '!$B:$B,0)),"")</f>
        <v/>
      </c>
    </row>
    <row r="165" customFormat="false" ht="15" hidden="false" customHeight="false" outlineLevel="0" collapsed="false">
      <c r="A165" s="38" t="s">
        <v>156</v>
      </c>
      <c r="B165" s="39" t="str">
        <f aca="false">IF(AND(COUNTIF(ניו!$B:$B,$A165)&gt;0,COUNTIF('מדי '!$B:$B,$A165)&gt;0),"NZ + מדי",IF(COUNTIF(ניו!$B:$B,$A165)&gt;0,"NZ","מדי"))</f>
        <v>NZ</v>
      </c>
      <c r="C165" s="40" t="n">
        <f aca="false">IFERROR(INDEX(ניו!$C:$C,MATCH($A165,ניו!$B:$B,0)),IFERROR(INDEX('מדי '!$C:$C,MATCH($A165,'מדי '!$B:$B,0)),""))</f>
        <v>3.67</v>
      </c>
      <c r="D165" s="40" t="n">
        <f aca="false">IFERROR(INDEX(ניו!$D:$D,MATCH($A165,ניו!$B:$B,0)),"")</f>
        <v>2.35</v>
      </c>
      <c r="E165" s="40" t="n">
        <f aca="false">IFERROR(INDEX(ניו!$E:$E,MATCH($A165,ניו!$B:$B,0)),"")</f>
        <v>2.51008174386921</v>
      </c>
      <c r="F165" s="40" t="str">
        <f aca="false">IFERROR(INDEX('מדי '!$D:$D,MATCH($A165,'מדי '!$B:$B,0)),"")</f>
        <v/>
      </c>
      <c r="G165" s="40" t="str">
        <f aca="false">IFERROR(INDEX('מדי '!$E:$E,MATCH($A165,'מדי '!$B:$B,0)),"")</f>
        <v/>
      </c>
      <c r="H165" s="40" t="str">
        <f aca="false">IFERROR(INDEX('מדי '!$F:$F,MATCH($A165,'מדי '!$B:$B,0)),"")</f>
        <v/>
      </c>
    </row>
    <row r="166" customFormat="false" ht="15" hidden="false" customHeight="false" outlineLevel="0" collapsed="false">
      <c r="A166" s="38" t="s">
        <v>157</v>
      </c>
      <c r="B166" s="39" t="str">
        <f aca="false">IF(AND(COUNTIF(ניו!$B:$B,$A166)&gt;0,COUNTIF('מדי '!$B:$B,$A166)&gt;0),"NZ + מדי",IF(COUNTIF(ניו!$B:$B,$A166)&gt;0,"NZ","מדי"))</f>
        <v>NZ</v>
      </c>
      <c r="C166" s="40" t="n">
        <f aca="false">IFERROR(INDEX(ניו!$C:$C,MATCH($A166,ניו!$B:$B,0)),IFERROR(INDEX('מדי '!$C:$C,MATCH($A166,'מדי '!$B:$B,0)),""))</f>
        <v>9.71</v>
      </c>
      <c r="D166" s="40" t="n">
        <f aca="false">IFERROR(INDEX(ניו!$D:$D,MATCH($A166,ניו!$B:$B,0)),"")</f>
        <v>8.1</v>
      </c>
      <c r="E166" s="40" t="n">
        <f aca="false">IFERROR(INDEX(ניו!$E:$E,MATCH($A166,ניו!$B:$B,0)),"")</f>
        <v>3.27003089598352</v>
      </c>
      <c r="F166" s="40" t="str">
        <f aca="false">IFERROR(INDEX('מדי '!$D:$D,MATCH($A166,'מדי '!$B:$B,0)),"")</f>
        <v/>
      </c>
      <c r="G166" s="40" t="str">
        <f aca="false">IFERROR(INDEX('מדי '!$E:$E,MATCH($A166,'מדי '!$B:$B,0)),"")</f>
        <v/>
      </c>
      <c r="H166" s="40" t="str">
        <f aca="false">IFERROR(INDEX('מדי '!$F:$F,MATCH($A166,'מדי '!$B:$B,0)),"")</f>
        <v/>
      </c>
    </row>
    <row r="167" customFormat="false" ht="15" hidden="false" customHeight="false" outlineLevel="0" collapsed="false">
      <c r="A167" s="38" t="n">
        <v>395</v>
      </c>
      <c r="B167" s="39" t="str">
        <f aca="false">IF(AND(COUNTIF(ניו!$B:$B,$A167)&gt;0,COUNTIF('מדי '!$B:$B,$A167)&gt;0),"NZ + מדי",IF(COUNTIF(ניו!$B:$B,$A167)&gt;0,"NZ","מדי"))</f>
        <v>NZ</v>
      </c>
      <c r="C167" s="40" t="n">
        <f aca="false">IFERROR(INDEX(ניו!$C:$C,MATCH($A167,ניו!$B:$B,0)),IFERROR(INDEX('מדי '!$C:$C,MATCH($A167,'מדי '!$B:$B,0)),""))</f>
        <v>6.6</v>
      </c>
      <c r="D167" s="40" t="n">
        <f aca="false">IFERROR(INDEX(ניו!$D:$D,MATCH($A167,ניו!$B:$B,0)),"")</f>
        <v>5.8</v>
      </c>
      <c r="E167" s="40" t="n">
        <f aca="false">IFERROR(INDEX(ניו!$E:$E,MATCH($A167,ניו!$B:$B,0)),"")</f>
        <v>3.44484848484849</v>
      </c>
      <c r="F167" s="40" t="str">
        <f aca="false">IFERROR(INDEX('מדי '!$D:$D,MATCH($A167,'מדי '!$B:$B,0)),"")</f>
        <v/>
      </c>
      <c r="G167" s="40" t="str">
        <f aca="false">IFERROR(INDEX('מדי '!$E:$E,MATCH($A167,'מדי '!$B:$B,0)),"")</f>
        <v/>
      </c>
      <c r="H167" s="40" t="str">
        <f aca="false">IFERROR(INDEX('מדי '!$F:$F,MATCH($A167,'מדי '!$B:$B,0)),"")</f>
        <v/>
      </c>
    </row>
    <row r="168" customFormat="false" ht="15" hidden="false" customHeight="false" outlineLevel="0" collapsed="false">
      <c r="A168" s="38" t="n">
        <v>391</v>
      </c>
      <c r="B168" s="39" t="str">
        <f aca="false">IF(AND(COUNTIF(ניו!$B:$B,$A168)&gt;0,COUNTIF('מדי '!$B:$B,$A168)&gt;0),"NZ + מדי",IF(COUNTIF(ניו!$B:$B,$A168)&gt;0,"NZ","מדי"))</f>
        <v>NZ</v>
      </c>
      <c r="C168" s="40" t="n">
        <f aca="false">IFERROR(INDEX(ניו!$C:$C,MATCH($A168,ניו!$B:$B,0)),IFERROR(INDEX('מדי '!$C:$C,MATCH($A168,'מדי '!$B:$B,0)),""))</f>
        <v>6.6</v>
      </c>
      <c r="D168" s="40" t="n">
        <f aca="false">IFERROR(INDEX(ניו!$D:$D,MATCH($A168,ניו!$B:$B,0)),"")</f>
        <v>6.3</v>
      </c>
      <c r="E168" s="40" t="n">
        <f aca="false">IFERROR(INDEX(ניו!$E:$E,MATCH($A168,ניו!$B:$B,0)),"")</f>
        <v>3.74181818181818</v>
      </c>
      <c r="F168" s="40" t="str">
        <f aca="false">IFERROR(INDEX('מדי '!$D:$D,MATCH($A168,'מדי '!$B:$B,0)),"")</f>
        <v/>
      </c>
      <c r="G168" s="40" t="str">
        <f aca="false">IFERROR(INDEX('מדי '!$E:$E,MATCH($A168,'מדי '!$B:$B,0)),"")</f>
        <v/>
      </c>
      <c r="H168" s="40" t="str">
        <f aca="false">IFERROR(INDEX('מדי '!$F:$F,MATCH($A168,'מדי '!$B:$B,0)),"")</f>
        <v/>
      </c>
    </row>
    <row r="169" customFormat="false" ht="15" hidden="false" customHeight="false" outlineLevel="0" collapsed="false">
      <c r="A169" s="38" t="s">
        <v>158</v>
      </c>
      <c r="B169" s="39" t="str">
        <f aca="false">IF(AND(COUNTIF(ניו!$B:$B,$A169)&gt;0,COUNTIF('מדי '!$B:$B,$A169)&gt;0),"NZ + מדי",IF(COUNTIF(ניו!$B:$B,$A169)&gt;0,"NZ","מדי"))</f>
        <v>NZ</v>
      </c>
      <c r="C169" s="40" t="n">
        <f aca="false">IFERROR(INDEX(ניו!$C:$C,MATCH($A169,ניו!$B:$B,0)),IFERROR(INDEX('מדי '!$C:$C,MATCH($A169,'מדי '!$B:$B,0)),""))</f>
        <v>44.12</v>
      </c>
      <c r="D169" s="40" t="n">
        <f aca="false">IFERROR(INDEX(ניו!$D:$D,MATCH($A169,ניו!$B:$B,0)),"")</f>
        <v>42</v>
      </c>
      <c r="E169" s="40" t="n">
        <f aca="false">IFERROR(INDEX(ניו!$E:$E,MATCH($A169,ניו!$B:$B,0)),"")</f>
        <v>3.73164097914778</v>
      </c>
      <c r="F169" s="40" t="str">
        <f aca="false">IFERROR(INDEX('מדי '!$D:$D,MATCH($A169,'מדי '!$B:$B,0)),"")</f>
        <v/>
      </c>
      <c r="G169" s="40" t="str">
        <f aca="false">IFERROR(INDEX('מדי '!$E:$E,MATCH($A169,'מדי '!$B:$B,0)),"")</f>
        <v/>
      </c>
      <c r="H169" s="40" t="str">
        <f aca="false">IFERROR(INDEX('מדי '!$F:$F,MATCH($A169,'מדי '!$B:$B,0)),"")</f>
        <v/>
      </c>
    </row>
    <row r="170" customFormat="false" ht="15" hidden="false" customHeight="false" outlineLevel="0" collapsed="false">
      <c r="A170" s="38" t="s">
        <v>159</v>
      </c>
      <c r="B170" s="39" t="str">
        <f aca="false">IF(AND(COUNTIF(ניו!$B:$B,$A170)&gt;0,COUNTIF('מדי '!$B:$B,$A170)&gt;0),"NZ + מדי",IF(COUNTIF(ניו!$B:$B,$A170)&gt;0,"NZ","מדי"))</f>
        <v>NZ</v>
      </c>
      <c r="C170" s="40" t="n">
        <f aca="false">IFERROR(INDEX(ניו!$C:$C,MATCH($A170,ניו!$B:$B,0)),IFERROR(INDEX('מדי '!$C:$C,MATCH($A170,'מדי '!$B:$B,0)),""))</f>
        <v>28.2066</v>
      </c>
      <c r="D170" s="40" t="n">
        <f aca="false">IFERROR(INDEX(ניו!$D:$D,MATCH($A170,ניו!$B:$B,0)),"")</f>
        <v>22.6</v>
      </c>
      <c r="E170" s="40" t="n">
        <f aca="false">IFERROR(INDEX(ניו!$E:$E,MATCH($A170,ניו!$B:$B,0)),"")</f>
        <v>3.14082519693972</v>
      </c>
      <c r="F170" s="40" t="str">
        <f aca="false">IFERROR(INDEX('מדי '!$D:$D,MATCH($A170,'מדי '!$B:$B,0)),"")</f>
        <v/>
      </c>
      <c r="G170" s="40" t="str">
        <f aca="false">IFERROR(INDEX('מדי '!$E:$E,MATCH($A170,'מדי '!$B:$B,0)),"")</f>
        <v/>
      </c>
      <c r="H170" s="40" t="str">
        <f aca="false">IFERROR(INDEX('מדי '!$F:$F,MATCH($A170,'מדי '!$B:$B,0)),"")</f>
        <v/>
      </c>
    </row>
    <row r="171" customFormat="false" ht="15" hidden="false" customHeight="false" outlineLevel="0" collapsed="false">
      <c r="A171" s="38" t="s">
        <v>160</v>
      </c>
      <c r="B171" s="39" t="str">
        <f aca="false">IF(AND(COUNTIF(ניו!$B:$B,$A171)&gt;0,COUNTIF('מדי '!$B:$B,$A171)&gt;0),"NZ + מדי",IF(COUNTIF(ניו!$B:$B,$A171)&gt;0,"NZ","מדי"))</f>
        <v>NZ</v>
      </c>
      <c r="C171" s="40" t="n">
        <f aca="false">IFERROR(INDEX(ניו!$C:$C,MATCH($A171,ניו!$B:$B,0)),IFERROR(INDEX('מדי '!$C:$C,MATCH($A171,'מדי '!$B:$B,0)),""))</f>
        <v>12.3501673484567</v>
      </c>
      <c r="D171" s="40" t="n">
        <f aca="false">IFERROR(INDEX(ניו!$D:$D,MATCH($A171,ניו!$B:$B,0)),"")</f>
        <v>10.95</v>
      </c>
      <c r="E171" s="40" t="n">
        <f aca="false">IFERROR(INDEX(ניו!$E:$E,MATCH($A171,ניו!$B:$B,0)),"")</f>
        <v>3.47558043457314</v>
      </c>
      <c r="F171" s="40" t="str">
        <f aca="false">IFERROR(INDEX('מדי '!$D:$D,MATCH($A171,'מדי '!$B:$B,0)),"")</f>
        <v/>
      </c>
      <c r="G171" s="40" t="str">
        <f aca="false">IFERROR(INDEX('מדי '!$E:$E,MATCH($A171,'מדי '!$B:$B,0)),"")</f>
        <v/>
      </c>
      <c r="H171" s="40" t="str">
        <f aca="false">IFERROR(INDEX('מדי '!$F:$F,MATCH($A171,'מדי '!$B:$B,0)),"")</f>
        <v/>
      </c>
    </row>
    <row r="172" customFormat="false" ht="15" hidden="false" customHeight="false" outlineLevel="0" collapsed="false">
      <c r="A172" s="38" t="n">
        <v>67</v>
      </c>
      <c r="B172" s="39" t="str">
        <f aca="false">IF(AND(COUNTIF(ניו!$B:$B,$A172)&gt;0,COUNTIF('מדי '!$B:$B,$A172)&gt;0),"NZ + מדי",IF(COUNTIF(ניו!$B:$B,$A172)&gt;0,"NZ","מדי"))</f>
        <v>NZ</v>
      </c>
      <c r="C172" s="40" t="n">
        <f aca="false">IFERROR(INDEX(ניו!$C:$C,MATCH($A172,ניו!$B:$B,0)),IFERROR(INDEX('מדי '!$C:$C,MATCH($A172,'מדי '!$B:$B,0)),""))</f>
        <v>44.92</v>
      </c>
      <c r="D172" s="40" t="n">
        <f aca="false">IFERROR(INDEX(ניו!$D:$D,MATCH($A172,ניו!$B:$B,0)),"")</f>
        <v>28.85</v>
      </c>
      <c r="E172" s="40" t="n">
        <f aca="false">IFERROR(INDEX(ניו!$E:$E,MATCH($A172,ניו!$B:$B,0)),"")</f>
        <v>2.51763134461265</v>
      </c>
      <c r="F172" s="40" t="str">
        <f aca="false">IFERROR(INDEX('מדי '!$D:$D,MATCH($A172,'מדי '!$B:$B,0)),"")</f>
        <v/>
      </c>
      <c r="G172" s="40" t="str">
        <f aca="false">IFERROR(INDEX('מדי '!$E:$E,MATCH($A172,'מדי '!$B:$B,0)),"")</f>
        <v/>
      </c>
      <c r="H172" s="40" t="str">
        <f aca="false">IFERROR(INDEX('מדי '!$F:$F,MATCH($A172,'מדי '!$B:$B,0)),"")</f>
        <v/>
      </c>
    </row>
    <row r="173" customFormat="false" ht="15" hidden="false" customHeight="false" outlineLevel="0" collapsed="false">
      <c r="A173" s="38" t="s">
        <v>161</v>
      </c>
      <c r="B173" s="39" t="str">
        <f aca="false">IF(AND(COUNTIF(ניו!$B:$B,$A173)&gt;0,COUNTIF('מדי '!$B:$B,$A173)&gt;0),"NZ + מדי",IF(COUNTIF(ניו!$B:$B,$A173)&gt;0,"NZ","מדי"))</f>
        <v>NZ</v>
      </c>
      <c r="C173" s="40" t="n">
        <f aca="false">IFERROR(INDEX(ניו!$C:$C,MATCH($A173,ניו!$B:$B,0)),IFERROR(INDEX('מדי '!$C:$C,MATCH($A173,'מדי '!$B:$B,0)),""))</f>
        <v>33.3384</v>
      </c>
      <c r="D173" s="40" t="n">
        <f aca="false">IFERROR(INDEX(ניו!$D:$D,MATCH($A173,ניו!$B:$B,0)),"")</f>
        <v>20.05</v>
      </c>
      <c r="E173" s="40" t="n">
        <f aca="false">IFERROR(INDEX(ניו!$E:$E,MATCH($A173,ניו!$B:$B,0)),"")</f>
        <v>2.35752165670818</v>
      </c>
      <c r="F173" s="40" t="str">
        <f aca="false">IFERROR(INDEX('מדי '!$D:$D,MATCH($A173,'מדי '!$B:$B,0)),"")</f>
        <v/>
      </c>
      <c r="G173" s="40" t="str">
        <f aca="false">IFERROR(INDEX('מדי '!$E:$E,MATCH($A173,'מדי '!$B:$B,0)),"")</f>
        <v/>
      </c>
      <c r="H173" s="40" t="str">
        <f aca="false">IFERROR(INDEX('מדי '!$F:$F,MATCH($A173,'מדי '!$B:$B,0)),"")</f>
        <v/>
      </c>
    </row>
    <row r="174" customFormat="false" ht="15" hidden="false" customHeight="false" outlineLevel="0" collapsed="false">
      <c r="A174" s="38" t="s">
        <v>162</v>
      </c>
      <c r="B174" s="39" t="str">
        <f aca="false">IF(AND(COUNTIF(ניו!$B:$B,$A174)&gt;0,COUNTIF('מדי '!$B:$B,$A174)&gt;0),"NZ + מדי",IF(COUNTIF(ניו!$B:$B,$A174)&gt;0,"NZ","מדי"))</f>
        <v>NZ</v>
      </c>
      <c r="C174" s="40" t="n">
        <f aca="false">IFERROR(INDEX(ניו!$C:$C,MATCH($A174,ניו!$B:$B,0)),IFERROR(INDEX('מדי '!$C:$C,MATCH($A174,'מדי '!$B:$B,0)),""))</f>
        <v>5.62452</v>
      </c>
      <c r="D174" s="40" t="n">
        <f aca="false">IFERROR(INDEX(ניו!$D:$D,MATCH($A174,ניו!$B:$B,0)),"")</f>
        <v>3.5</v>
      </c>
      <c r="E174" s="40" t="n">
        <f aca="false">IFERROR(INDEX(ניו!$E:$E,MATCH($A174,ניו!$B:$B,0)),"")</f>
        <v>2.43931926635517</v>
      </c>
      <c r="F174" s="40" t="str">
        <f aca="false">IFERROR(INDEX('מדי '!$D:$D,MATCH($A174,'מדי '!$B:$B,0)),"")</f>
        <v/>
      </c>
      <c r="G174" s="40" t="str">
        <f aca="false">IFERROR(INDEX('מדי '!$E:$E,MATCH($A174,'מדי '!$B:$B,0)),"")</f>
        <v/>
      </c>
      <c r="H174" s="40" t="str">
        <f aca="false">IFERROR(INDEX('מדי '!$F:$F,MATCH($A174,'מדי '!$B:$B,0)),"")</f>
        <v/>
      </c>
    </row>
    <row r="175" customFormat="false" ht="15" hidden="false" customHeight="false" outlineLevel="0" collapsed="false">
      <c r="A175" s="38" t="s">
        <v>163</v>
      </c>
      <c r="B175" s="39" t="str">
        <f aca="false">IF(AND(COUNTIF(ניו!$B:$B,$A175)&gt;0,COUNTIF('מדי '!$B:$B,$A175)&gt;0),"NZ + מדי",IF(COUNTIF(ניו!$B:$B,$A175)&gt;0,"NZ","מדי"))</f>
        <v>NZ</v>
      </c>
      <c r="C175" s="40" t="n">
        <f aca="false">IFERROR(INDEX(ניו!$C:$C,MATCH($A175,ניו!$B:$B,0)),IFERROR(INDEX('מדי '!$C:$C,MATCH($A175,'מדי '!$B:$B,0)),""))</f>
        <v>31.65</v>
      </c>
      <c r="D175" s="40" t="n">
        <f aca="false">IFERROR(INDEX(ניו!$D:$D,MATCH($A175,ניו!$B:$B,0)),"")</f>
        <v>18.8</v>
      </c>
      <c r="E175" s="40" t="n">
        <f aca="false">IFERROR(INDEX(ניו!$E:$E,MATCH($A175,ניו!$B:$B,0)),"")</f>
        <v>2.32846761453397</v>
      </c>
      <c r="F175" s="40" t="str">
        <f aca="false">IFERROR(INDEX('מדי '!$D:$D,MATCH($A175,'מדי '!$B:$B,0)),"")</f>
        <v/>
      </c>
      <c r="G175" s="40" t="str">
        <f aca="false">IFERROR(INDEX('מדי '!$E:$E,MATCH($A175,'מדי '!$B:$B,0)),"")</f>
        <v/>
      </c>
      <c r="H175" s="40" t="str">
        <f aca="false">IFERROR(INDEX('מדי '!$F:$F,MATCH($A175,'מדי '!$B:$B,0)),"")</f>
        <v/>
      </c>
    </row>
    <row r="176" customFormat="false" ht="15" hidden="false" customHeight="false" outlineLevel="0" collapsed="false">
      <c r="A176" s="38" t="s">
        <v>164</v>
      </c>
      <c r="B176" s="39" t="str">
        <f aca="false">IF(AND(COUNTIF(ניו!$B:$B,$A176)&gt;0,COUNTIF('מדי '!$B:$B,$A176)&gt;0),"NZ + מדי",IF(COUNTIF(ניו!$B:$B,$A176)&gt;0,"NZ","מדי"))</f>
        <v>NZ</v>
      </c>
      <c r="C176" s="40" t="n">
        <f aca="false">IFERROR(INDEX(ניו!$C:$C,MATCH($A176,ניו!$B:$B,0)),IFERROR(INDEX('מדי '!$C:$C,MATCH($A176,'מדי '!$B:$B,0)),""))</f>
        <v>17.3388</v>
      </c>
      <c r="D176" s="40" t="n">
        <f aca="false">IFERROR(INDEX(ניו!$D:$D,MATCH($A176,ניו!$B:$B,0)),"")</f>
        <v>12.2</v>
      </c>
      <c r="E176" s="40" t="n">
        <f aca="false">IFERROR(INDEX(ניו!$E:$E,MATCH($A176,ניו!$B:$B,0)),"")</f>
        <v>2.75820702701456</v>
      </c>
      <c r="F176" s="40" t="str">
        <f aca="false">IFERROR(INDEX('מדי '!$D:$D,MATCH($A176,'מדי '!$B:$B,0)),"")</f>
        <v/>
      </c>
      <c r="G176" s="40" t="str">
        <f aca="false">IFERROR(INDEX('מדי '!$E:$E,MATCH($A176,'מדי '!$B:$B,0)),"")</f>
        <v/>
      </c>
      <c r="H176" s="40" t="str">
        <f aca="false">IFERROR(INDEX('מדי '!$F:$F,MATCH($A176,'מדי '!$B:$B,0)),"")</f>
        <v/>
      </c>
    </row>
    <row r="177" customFormat="false" ht="15" hidden="false" customHeight="false" outlineLevel="0" collapsed="false">
      <c r="A177" s="38" t="s">
        <v>165</v>
      </c>
      <c r="B177" s="39" t="str">
        <f aca="false">IF(AND(COUNTIF(ניו!$B:$B,$A177)&gt;0,COUNTIF('מדי '!$B:$B,$A177)&gt;0),"NZ + מדי",IF(COUNTIF(ניו!$B:$B,$A177)&gt;0,"NZ","מדי"))</f>
        <v>NZ</v>
      </c>
      <c r="C177" s="40" t="n">
        <f aca="false">IFERROR(INDEX(ניו!$C:$C,MATCH($A177,ניו!$B:$B,0)),IFERROR(INDEX('מדי '!$C:$C,MATCH($A177,'מדי '!$B:$B,0)),""))</f>
        <v>15.771</v>
      </c>
      <c r="D177" s="40" t="n">
        <f aca="false">IFERROR(INDEX(ניו!$D:$D,MATCH($A177,ניו!$B:$B,0)),"")</f>
        <v>10.35</v>
      </c>
      <c r="E177" s="40" t="n">
        <f aca="false">IFERROR(INDEX(ניו!$E:$E,MATCH($A177,ניו!$B:$B,0)),"")</f>
        <v>2.57256990679095</v>
      </c>
      <c r="F177" s="40" t="str">
        <f aca="false">IFERROR(INDEX('מדי '!$D:$D,MATCH($A177,'מדי '!$B:$B,0)),"")</f>
        <v/>
      </c>
      <c r="G177" s="40" t="str">
        <f aca="false">IFERROR(INDEX('מדי '!$E:$E,MATCH($A177,'מדי '!$B:$B,0)),"")</f>
        <v/>
      </c>
      <c r="H177" s="40" t="str">
        <f aca="false">IFERROR(INDEX('מדי '!$F:$F,MATCH($A177,'מדי '!$B:$B,0)),"")</f>
        <v/>
      </c>
    </row>
    <row r="178" customFormat="false" ht="15" hidden="false" customHeight="false" outlineLevel="0" collapsed="false">
      <c r="A178" s="38" t="s">
        <v>166</v>
      </c>
      <c r="B178" s="39" t="str">
        <f aca="false">IF(AND(COUNTIF(ניו!$B:$B,$A178)&gt;0,COUNTIF('מדי '!$B:$B,$A178)&gt;0),"NZ + מדי",IF(COUNTIF(ניו!$B:$B,$A178)&gt;0,"NZ","מדי"))</f>
        <v>NZ</v>
      </c>
      <c r="C178" s="40" t="n">
        <f aca="false">IFERROR(INDEX(ניו!$C:$C,MATCH($A178,ניו!$B:$B,0)),IFERROR(INDEX('מדי '!$C:$C,MATCH($A178,'מדי '!$B:$B,0)),""))</f>
        <v>28.9566</v>
      </c>
      <c r="D178" s="40" t="n">
        <f aca="false">IFERROR(INDEX(ניו!$D:$D,MATCH($A178,ניו!$B:$B,0)),"")</f>
        <v>19.8</v>
      </c>
      <c r="E178" s="40" t="n">
        <f aca="false">IFERROR(INDEX(ניו!$E:$E,MATCH($A178,ניו!$B:$B,0)),"")</f>
        <v>2.68042518804003</v>
      </c>
      <c r="F178" s="40" t="str">
        <f aca="false">IFERROR(INDEX('מדי '!$D:$D,MATCH($A178,'מדי '!$B:$B,0)),"")</f>
        <v/>
      </c>
      <c r="G178" s="40" t="str">
        <f aca="false">IFERROR(INDEX('מדי '!$E:$E,MATCH($A178,'מדי '!$B:$B,0)),"")</f>
        <v/>
      </c>
      <c r="H178" s="40" t="str">
        <f aca="false">IFERROR(INDEX('מדי '!$F:$F,MATCH($A178,'מדי '!$B:$B,0)),"")</f>
        <v/>
      </c>
    </row>
    <row r="179" customFormat="false" ht="15" hidden="false" customHeight="false" outlineLevel="0" collapsed="false">
      <c r="A179" s="38" t="s">
        <v>167</v>
      </c>
      <c r="B179" s="39" t="str">
        <f aca="false">IF(AND(COUNTIF(ניו!$B:$B,$A179)&gt;0,COUNTIF('מדי '!$B:$B,$A179)&gt;0),"NZ + מדי",IF(COUNTIF(ניו!$B:$B,$A179)&gt;0,"NZ","מדי"))</f>
        <v>NZ</v>
      </c>
      <c r="C179" s="40" t="n">
        <f aca="false">IFERROR(INDEX(ניו!$C:$C,MATCH($A179,ניו!$B:$B,0)),IFERROR(INDEX('מדי '!$C:$C,MATCH($A179,'מדי '!$B:$B,0)),""))</f>
        <v>36.9564</v>
      </c>
      <c r="D179" s="40" t="n">
        <f aca="false">IFERROR(INDEX(ניו!$D:$D,MATCH($A179,ניו!$B:$B,0)),"")</f>
        <v>24.8</v>
      </c>
      <c r="E179" s="40" t="n">
        <f aca="false">IFERROR(INDEX(ניו!$E:$E,MATCH($A179,ניו!$B:$B,0)),"")</f>
        <v>2.63055925360695</v>
      </c>
      <c r="F179" s="40" t="str">
        <f aca="false">IFERROR(INDEX('מדי '!$D:$D,MATCH($A179,'מדי '!$B:$B,0)),"")</f>
        <v/>
      </c>
      <c r="G179" s="40" t="str">
        <f aca="false">IFERROR(INDEX('מדי '!$E:$E,MATCH($A179,'מדי '!$B:$B,0)),"")</f>
        <v/>
      </c>
      <c r="H179" s="40" t="str">
        <f aca="false">IFERROR(INDEX('מדי '!$F:$F,MATCH($A179,'מדי '!$B:$B,0)),"")</f>
        <v/>
      </c>
    </row>
    <row r="180" customFormat="false" ht="15" hidden="false" customHeight="false" outlineLevel="0" collapsed="false">
      <c r="A180" s="38" t="s">
        <v>168</v>
      </c>
      <c r="B180" s="39" t="str">
        <f aca="false">IF(AND(COUNTIF(ניו!$B:$B,$A180)&gt;0,COUNTIF('מדי '!$B:$B,$A180)&gt;0),"NZ + מדי",IF(COUNTIF(ניו!$B:$B,$A180)&gt;0,"NZ","מדי"))</f>
        <v>NZ</v>
      </c>
      <c r="C180" s="40" t="n">
        <f aca="false">IFERROR(INDEX(ניו!$C:$C,MATCH($A180,ניו!$B:$B,0)),IFERROR(INDEX('מדי '!$C:$C,MATCH($A180,'מדי '!$B:$B,0)),""))</f>
        <v>11.349</v>
      </c>
      <c r="D180" s="40" t="n">
        <f aca="false">IFERROR(INDEX(ניו!$D:$D,MATCH($A180,ניו!$B:$B,0)),"")</f>
        <v>7.65</v>
      </c>
      <c r="E180" s="40" t="n">
        <f aca="false">IFERROR(INDEX(ניו!$E:$E,MATCH($A180,ניו!$B:$B,0)),"")</f>
        <v>2.64234734337827</v>
      </c>
      <c r="F180" s="40" t="str">
        <f aca="false">IFERROR(INDEX('מדי '!$D:$D,MATCH($A180,'מדי '!$B:$B,0)),"")</f>
        <v/>
      </c>
      <c r="G180" s="40" t="str">
        <f aca="false">IFERROR(INDEX('מדי '!$E:$E,MATCH($A180,'מדי '!$B:$B,0)),"")</f>
        <v/>
      </c>
      <c r="H180" s="40" t="str">
        <f aca="false">IFERROR(INDEX('מדי '!$F:$F,MATCH($A180,'מדי '!$B:$B,0)),"")</f>
        <v/>
      </c>
    </row>
    <row r="181" customFormat="false" ht="15" hidden="false" customHeight="false" outlineLevel="0" collapsed="false">
      <c r="A181" s="38" t="s">
        <v>169</v>
      </c>
      <c r="B181" s="39" t="str">
        <f aca="false">IF(AND(COUNTIF(ניו!$B:$B,$A181)&gt;0,COUNTIF('מדי '!$B:$B,$A181)&gt;0),"NZ + מדי",IF(COUNTIF(ניו!$B:$B,$A181)&gt;0,"NZ","מדי"))</f>
        <v>NZ</v>
      </c>
      <c r="C181" s="40" t="n">
        <f aca="false">IFERROR(INDEX(ניו!$C:$C,MATCH($A181,ניו!$B:$B,0)),IFERROR(INDEX('מדי '!$C:$C,MATCH($A181,'מדי '!$B:$B,0)),""))</f>
        <v>7.731</v>
      </c>
      <c r="D181" s="40" t="n">
        <f aca="false">IFERROR(INDEX(ניו!$D:$D,MATCH($A181,ניו!$B:$B,0)),"")</f>
        <v>5.05</v>
      </c>
      <c r="E181" s="40" t="n">
        <f aca="false">IFERROR(INDEX(ניו!$E:$E,MATCH($A181,ניו!$B:$B,0)),"")</f>
        <v>2.56060018108912</v>
      </c>
      <c r="F181" s="40" t="str">
        <f aca="false">IFERROR(INDEX('מדי '!$D:$D,MATCH($A181,'מדי '!$B:$B,0)),"")</f>
        <v/>
      </c>
      <c r="G181" s="40" t="str">
        <f aca="false">IFERROR(INDEX('מדי '!$E:$E,MATCH($A181,'מדי '!$B:$B,0)),"")</f>
        <v/>
      </c>
      <c r="H181" s="40" t="str">
        <f aca="false">IFERROR(INDEX('מדי '!$F:$F,MATCH($A181,'מדי '!$B:$B,0)),"")</f>
        <v/>
      </c>
    </row>
    <row r="182" customFormat="false" ht="15" hidden="false" customHeight="false" outlineLevel="0" collapsed="false">
      <c r="A182" s="38" t="s">
        <v>170</v>
      </c>
      <c r="B182" s="39" t="str">
        <f aca="false">IF(AND(COUNTIF(ניו!$B:$B,$A182)&gt;0,COUNTIF('מדי '!$B:$B,$A182)&gt;0),"NZ + מדי",IF(COUNTIF(ניו!$B:$B,$A182)&gt;0,"NZ","מדי"))</f>
        <v>NZ</v>
      </c>
      <c r="C182" s="40" t="n">
        <f aca="false">IFERROR(INDEX(ניו!$C:$C,MATCH($A182,ניו!$B:$B,0)),IFERROR(INDEX('מדי '!$C:$C,MATCH($A182,'מדי '!$B:$B,0)),""))</f>
        <v>19.791</v>
      </c>
      <c r="D182" s="40" t="n">
        <f aca="false">IFERROR(INDEX(ניו!$D:$D,MATCH($A182,ניו!$B:$B,0)),"")</f>
        <v>12.8</v>
      </c>
      <c r="E182" s="40" t="n">
        <f aca="false">IFERROR(INDEX(ניו!$E:$E,MATCH($A182,ניו!$B:$B,0)),"")</f>
        <v>2.53529382042343</v>
      </c>
      <c r="F182" s="40" t="str">
        <f aca="false">IFERROR(INDEX('מדי '!$D:$D,MATCH($A182,'מדי '!$B:$B,0)),"")</f>
        <v/>
      </c>
      <c r="G182" s="40" t="str">
        <f aca="false">IFERROR(INDEX('מדי '!$E:$E,MATCH($A182,'מדי '!$B:$B,0)),"")</f>
        <v/>
      </c>
      <c r="H182" s="40" t="str">
        <f aca="false">IFERROR(INDEX('מדי '!$F:$F,MATCH($A182,'מדי '!$B:$B,0)),"")</f>
        <v/>
      </c>
    </row>
    <row r="183" customFormat="false" ht="15" hidden="false" customHeight="false" outlineLevel="0" collapsed="false">
      <c r="A183" s="38" t="s">
        <v>171</v>
      </c>
      <c r="B183" s="39" t="str">
        <f aca="false">IF(AND(COUNTIF(ניו!$B:$B,$A183)&gt;0,COUNTIF('מדי '!$B:$B,$A183)&gt;0),"NZ + מדי",IF(COUNTIF(ניו!$B:$B,$A183)&gt;0,"NZ","מדי"))</f>
        <v>NZ</v>
      </c>
      <c r="C183" s="40" t="n">
        <f aca="false">IFERROR(INDEX(ניו!$C:$C,MATCH($A183,ניו!$B:$B,0)),IFERROR(INDEX('מדי '!$C:$C,MATCH($A183,'מדי '!$B:$B,0)),""))</f>
        <v>24.012</v>
      </c>
      <c r="D183" s="40" t="n">
        <f aca="false">IFERROR(INDEX(ניו!$D:$D,MATCH($A183,ניו!$B:$B,0)),"")</f>
        <v>15.45</v>
      </c>
      <c r="E183" s="40" t="n">
        <f aca="false">IFERROR(INDEX(ניו!$E:$E,MATCH($A183,ניו!$B:$B,0)),"")</f>
        <v>2.52223888055972</v>
      </c>
      <c r="F183" s="40" t="str">
        <f aca="false">IFERROR(INDEX('מדי '!$D:$D,MATCH($A183,'מדי '!$B:$B,0)),"")</f>
        <v/>
      </c>
      <c r="G183" s="40" t="str">
        <f aca="false">IFERROR(INDEX('מדי '!$E:$E,MATCH($A183,'מדי '!$B:$B,0)),"")</f>
        <v/>
      </c>
      <c r="H183" s="40" t="str">
        <f aca="false">IFERROR(INDEX('מדי '!$F:$F,MATCH($A183,'מדי '!$B:$B,0)),"")</f>
        <v/>
      </c>
    </row>
    <row r="184" customFormat="false" ht="15" hidden="false" customHeight="false" outlineLevel="0" collapsed="false">
      <c r="A184" s="38" t="s">
        <v>172</v>
      </c>
      <c r="B184" s="39" t="str">
        <f aca="false">IF(AND(COUNTIF(ניו!$B:$B,$A184)&gt;0,COUNTIF('מדי '!$B:$B,$A184)&gt;0),"NZ + מדי",IF(COUNTIF(ניו!$B:$B,$A184)&gt;0,"NZ","מדי"))</f>
        <v>NZ</v>
      </c>
      <c r="C184" s="40" t="n">
        <f aca="false">IFERROR(INDEX(ניו!$C:$C,MATCH($A184,ניו!$B:$B,0)),IFERROR(INDEX('מדי '!$C:$C,MATCH($A184,'מדי '!$B:$B,0)),""))</f>
        <v>52.956</v>
      </c>
      <c r="D184" s="40" t="n">
        <f aca="false">IFERROR(INDEX(ניו!$D:$D,MATCH($A184,ניו!$B:$B,0)),"")</f>
        <v>33.8</v>
      </c>
      <c r="E184" s="40" t="n">
        <f aca="false">IFERROR(INDEX(ניו!$E:$E,MATCH($A184,ניו!$B:$B,0)),"")</f>
        <v>2.50200166175693</v>
      </c>
      <c r="F184" s="40" t="str">
        <f aca="false">IFERROR(INDEX('מדי '!$D:$D,MATCH($A184,'מדי '!$B:$B,0)),"")</f>
        <v/>
      </c>
      <c r="G184" s="40" t="str">
        <f aca="false">IFERROR(INDEX('מדי '!$E:$E,MATCH($A184,'מדי '!$B:$B,0)),"")</f>
        <v/>
      </c>
      <c r="H184" s="40" t="str">
        <f aca="false">IFERROR(INDEX('מדי '!$F:$F,MATCH($A184,'מדי '!$B:$B,0)),"")</f>
        <v/>
      </c>
    </row>
    <row r="185" customFormat="false" ht="15" hidden="false" customHeight="false" outlineLevel="0" collapsed="false">
      <c r="A185" s="38" t="s">
        <v>173</v>
      </c>
      <c r="B185" s="39" t="str">
        <f aca="false">IF(AND(COUNTIF(ניו!$B:$B,$A185)&gt;0,COUNTIF('מדי '!$B:$B,$A185)&gt;0),"NZ + מדי",IF(COUNTIF(ניו!$B:$B,$A185)&gt;0,"NZ","מדי"))</f>
        <v>NZ</v>
      </c>
      <c r="C185" s="40" t="n">
        <f aca="false">IFERROR(INDEX(ניו!$C:$C,MATCH($A185,ניו!$B:$B,0)),IFERROR(INDEX('מדי '!$C:$C,MATCH($A185,'מדי '!$B:$B,0)),""))</f>
        <v>156.672</v>
      </c>
      <c r="D185" s="40" t="n">
        <f aca="false">IFERROR(INDEX(ניו!$D:$D,MATCH($A185,ניו!$B:$B,0)),"")</f>
        <v>88.4</v>
      </c>
      <c r="E185" s="40" t="n">
        <f aca="false">IFERROR(INDEX(ניו!$E:$E,MATCH($A185,ניו!$B:$B,0)),"")</f>
        <v>2.21180555555556</v>
      </c>
      <c r="F185" s="40" t="str">
        <f aca="false">IFERROR(INDEX('מדי '!$D:$D,MATCH($A185,'מדי '!$B:$B,0)),"")</f>
        <v/>
      </c>
      <c r="G185" s="40" t="str">
        <f aca="false">IFERROR(INDEX('מדי '!$E:$E,MATCH($A185,'מדי '!$B:$B,0)),"")</f>
        <v/>
      </c>
      <c r="H185" s="40" t="str">
        <f aca="false">IFERROR(INDEX('מדי '!$F:$F,MATCH($A185,'מדי '!$B:$B,0)),"")</f>
        <v/>
      </c>
    </row>
    <row r="186" customFormat="false" ht="15" hidden="false" customHeight="false" outlineLevel="0" collapsed="false">
      <c r="A186" s="38" t="s">
        <v>174</v>
      </c>
      <c r="B186" s="39" t="str">
        <f aca="false">IF(AND(COUNTIF(ניו!$B:$B,$A186)&gt;0,COUNTIF('מדי '!$B:$B,$A186)&gt;0),"NZ + מדי",IF(COUNTIF(ניו!$B:$B,$A186)&gt;0,"NZ","מדי"))</f>
        <v>NZ</v>
      </c>
      <c r="C186" s="40" t="n">
        <f aca="false">IFERROR(INDEX(ניו!$C:$C,MATCH($A186,ניו!$B:$B,0)),IFERROR(INDEX('מדי '!$C:$C,MATCH($A186,'מדי '!$B:$B,0)),""))</f>
        <v>57.4584</v>
      </c>
      <c r="D186" s="40" t="n">
        <f aca="false">IFERROR(INDEX(ניו!$D:$D,MATCH($A186,ניו!$B:$B,0)),"")</f>
        <v>38.65</v>
      </c>
      <c r="E186" s="40" t="n">
        <f aca="false">IFERROR(INDEX(ניו!$E:$E,MATCH($A186,ניו!$B:$B,0)),"")</f>
        <v>2.63682942789914</v>
      </c>
      <c r="F186" s="40" t="str">
        <f aca="false">IFERROR(INDEX('מדי '!$D:$D,MATCH($A186,'מדי '!$B:$B,0)),"")</f>
        <v/>
      </c>
      <c r="G186" s="40" t="str">
        <f aca="false">IFERROR(INDEX('מדי '!$E:$E,MATCH($A186,'מדי '!$B:$B,0)),"")</f>
        <v/>
      </c>
      <c r="H186" s="40" t="str">
        <f aca="false">IFERROR(INDEX('מדי '!$F:$F,MATCH($A186,'מדי '!$B:$B,0)),"")</f>
        <v/>
      </c>
    </row>
    <row r="187" customFormat="false" ht="15" hidden="false" customHeight="false" outlineLevel="0" collapsed="false">
      <c r="A187" s="38" t="n">
        <v>3051</v>
      </c>
      <c r="B187" s="39" t="str">
        <f aca="false">IF(AND(COUNTIF(ניו!$B:$B,$A187)&gt;0,COUNTIF('מדי '!$B:$B,$A187)&gt;0),"NZ + מדי",IF(COUNTIF(ניו!$B:$B,$A187)&gt;0,"NZ","מדי"))</f>
        <v>NZ</v>
      </c>
      <c r="C187" s="40" t="n">
        <f aca="false">IFERROR(INDEX(ניו!$C:$C,MATCH($A187,ניו!$B:$B,0)),IFERROR(INDEX('מדי '!$C:$C,MATCH($A187,'מדי '!$B:$B,0)),""))</f>
        <v>19.188</v>
      </c>
      <c r="D187" s="40" t="n">
        <f aca="false">IFERROR(INDEX(ניו!$D:$D,MATCH($A187,ניו!$B:$B,0)),"")</f>
        <v>12</v>
      </c>
      <c r="E187" s="40" t="n">
        <f aca="false">IFERROR(INDEX(ניו!$E:$E,MATCH($A187,ניו!$B:$B,0)),"")</f>
        <v>2.45153220762977</v>
      </c>
      <c r="F187" s="40" t="str">
        <f aca="false">IFERROR(INDEX('מדי '!$D:$D,MATCH($A187,'מדי '!$B:$B,0)),"")</f>
        <v/>
      </c>
      <c r="G187" s="40" t="str">
        <f aca="false">IFERROR(INDEX('מדי '!$E:$E,MATCH($A187,'מדי '!$B:$B,0)),"")</f>
        <v/>
      </c>
      <c r="H187" s="40" t="str">
        <f aca="false">IFERROR(INDEX('מדי '!$F:$F,MATCH($A187,'מדי '!$B:$B,0)),"")</f>
        <v/>
      </c>
    </row>
    <row r="188" customFormat="false" ht="15" hidden="false" customHeight="false" outlineLevel="0" collapsed="false">
      <c r="A188" s="38" t="s">
        <v>175</v>
      </c>
      <c r="B188" s="39" t="str">
        <f aca="false">IF(AND(COUNTIF(ניו!$B:$B,$A188)&gt;0,COUNTIF('מדי '!$B:$B,$A188)&gt;0),"NZ + מדי",IF(COUNTIF(ניו!$B:$B,$A188)&gt;0,"NZ","מדי"))</f>
        <v>NZ</v>
      </c>
      <c r="C188" s="40" t="n">
        <f aca="false">IFERROR(INDEX(ניו!$C:$C,MATCH($A188,ניו!$B:$B,0)),IFERROR(INDEX('מדי '!$C:$C,MATCH($A188,'מדי '!$B:$B,0)),""))</f>
        <v>17.58</v>
      </c>
      <c r="D188" s="40" t="n">
        <f aca="false">IFERROR(INDEX(ניו!$D:$D,MATCH($A188,ניו!$B:$B,0)),"")</f>
        <v>10.8</v>
      </c>
      <c r="E188" s="40" t="n">
        <f aca="false">IFERROR(INDEX(ניו!$E:$E,MATCH($A188,ניו!$B:$B,0)),"")</f>
        <v>2.40819112627986</v>
      </c>
      <c r="F188" s="40" t="str">
        <f aca="false">IFERROR(INDEX('מדי '!$D:$D,MATCH($A188,'מדי '!$B:$B,0)),"")</f>
        <v/>
      </c>
      <c r="G188" s="40" t="str">
        <f aca="false">IFERROR(INDEX('מדי '!$E:$E,MATCH($A188,'מדי '!$B:$B,0)),"")</f>
        <v/>
      </c>
      <c r="H188" s="40" t="str">
        <f aca="false">IFERROR(INDEX('מדי '!$F:$F,MATCH($A188,'מדי '!$B:$B,0)),"")</f>
        <v/>
      </c>
    </row>
    <row r="189" customFormat="false" ht="15" hidden="false" customHeight="false" outlineLevel="0" collapsed="false">
      <c r="A189" s="38" t="n">
        <v>467</v>
      </c>
      <c r="B189" s="39" t="str">
        <f aca="false">IF(AND(COUNTIF(ניו!$B:$B,$A189)&gt;0,COUNTIF('מדי '!$B:$B,$A189)&gt;0),"NZ + מדי",IF(COUNTIF(ניו!$B:$B,$A189)&gt;0,"NZ","מדי"))</f>
        <v>NZ</v>
      </c>
      <c r="C189" s="40" t="n">
        <f aca="false">IFERROR(INDEX(ניו!$C:$C,MATCH($A189,ניו!$B:$B,0)),IFERROR(INDEX('מדי '!$C:$C,MATCH($A189,'מדי '!$B:$B,0)),""))</f>
        <v>15.4896</v>
      </c>
      <c r="D189" s="40" t="n">
        <f aca="false">IFERROR(INDEX(ניו!$D:$D,MATCH($A189,ניו!$B:$B,0)),"")</f>
        <v>10.45</v>
      </c>
      <c r="E189" s="40" t="n">
        <f aca="false">IFERROR(INDEX(ניו!$E:$E,MATCH($A189,ניו!$B:$B,0)),"")</f>
        <v>2.64461315979754</v>
      </c>
      <c r="F189" s="40" t="str">
        <f aca="false">IFERROR(INDEX('מדי '!$D:$D,MATCH($A189,'מדי '!$B:$B,0)),"")</f>
        <v/>
      </c>
      <c r="G189" s="40" t="str">
        <f aca="false">IFERROR(INDEX('מדי '!$E:$E,MATCH($A189,'מדי '!$B:$B,0)),"")</f>
        <v/>
      </c>
      <c r="H189" s="40" t="str">
        <f aca="false">IFERROR(INDEX('מדי '!$F:$F,MATCH($A189,'מדי '!$B:$B,0)),"")</f>
        <v/>
      </c>
    </row>
    <row r="190" customFormat="false" ht="15" hidden="false" customHeight="false" outlineLevel="0" collapsed="false">
      <c r="A190" s="38" t="n">
        <v>671</v>
      </c>
      <c r="B190" s="39" t="str">
        <f aca="false">IF(AND(COUNTIF(ניו!$B:$B,$A190)&gt;0,COUNTIF('מדי '!$B:$B,$A190)&gt;0),"NZ + מדי",IF(COUNTIF(ניו!$B:$B,$A190)&gt;0,"NZ","מדי"))</f>
        <v>NZ</v>
      </c>
      <c r="C190" s="40" t="n">
        <f aca="false">IFERROR(INDEX(ניו!$C:$C,MATCH($A190,ניו!$B:$B,0)),IFERROR(INDEX('מדי '!$C:$C,MATCH($A190,'מדי '!$B:$B,0)),""))</f>
        <v>34.464</v>
      </c>
      <c r="D190" s="40" t="n">
        <f aca="false">IFERROR(INDEX(ניו!$D:$D,MATCH($A190,ניו!$B:$B,0)),"")</f>
        <v>28.85</v>
      </c>
      <c r="E190" s="40" t="n">
        <f aca="false">IFERROR(INDEX(ניו!$E:$E,MATCH($A190,ניו!$B:$B,0)),"")</f>
        <v>3.28145311049211</v>
      </c>
      <c r="F190" s="40" t="str">
        <f aca="false">IFERROR(INDEX('מדי '!$D:$D,MATCH($A190,'מדי '!$B:$B,0)),"")</f>
        <v/>
      </c>
      <c r="G190" s="40" t="str">
        <f aca="false">IFERROR(INDEX('מדי '!$E:$E,MATCH($A190,'מדי '!$B:$B,0)),"")</f>
        <v/>
      </c>
      <c r="H190" s="40" t="str">
        <f aca="false">IFERROR(INDEX('מדי '!$F:$F,MATCH($A190,'מדי '!$B:$B,0)),"")</f>
        <v/>
      </c>
    </row>
    <row r="191" customFormat="false" ht="15" hidden="false" customHeight="false" outlineLevel="0" collapsed="false">
      <c r="A191" s="38" t="s">
        <v>176</v>
      </c>
      <c r="B191" s="39" t="str">
        <f aca="false">IF(AND(COUNTIF(ניו!$B:$B,$A191)&gt;0,COUNTIF('מדי '!$B:$B,$A191)&gt;0),"NZ + מדי",IF(COUNTIF(ניו!$B:$B,$A191)&gt;0,"NZ","מדי"))</f>
        <v>NZ</v>
      </c>
      <c r="C191" s="40" t="n">
        <f aca="false">IFERROR(INDEX(ניו!$C:$C,MATCH($A191,ניו!$B:$B,0)),IFERROR(INDEX('מדי '!$C:$C,MATCH($A191,'מדי '!$B:$B,0)),""))</f>
        <v>22.1226</v>
      </c>
      <c r="D191" s="40" t="n">
        <f aca="false">IFERROR(INDEX(ניו!$D:$D,MATCH($A191,ניו!$B:$B,0)),"")</f>
        <v>18.6</v>
      </c>
      <c r="E191" s="40" t="n">
        <f aca="false">IFERROR(INDEX(ניו!$E:$E,MATCH($A191,ניו!$B:$B,0)),"")</f>
        <v>3.29581513926935</v>
      </c>
      <c r="F191" s="40" t="str">
        <f aca="false">IFERROR(INDEX('מדי '!$D:$D,MATCH($A191,'מדי '!$B:$B,0)),"")</f>
        <v/>
      </c>
      <c r="G191" s="40" t="str">
        <f aca="false">IFERROR(INDEX('מדי '!$E:$E,MATCH($A191,'מדי '!$B:$B,0)),"")</f>
        <v/>
      </c>
      <c r="H191" s="40" t="str">
        <f aca="false">IFERROR(INDEX('מדי '!$F:$F,MATCH($A191,'מדי '!$B:$B,0)),"")</f>
        <v/>
      </c>
    </row>
    <row r="192" customFormat="false" ht="15" hidden="false" customHeight="false" outlineLevel="0" collapsed="false">
      <c r="A192" s="38" t="s">
        <v>177</v>
      </c>
      <c r="B192" s="39" t="str">
        <f aca="false">IF(AND(COUNTIF(ניו!$B:$B,$A192)&gt;0,COUNTIF('מדי '!$B:$B,$A192)&gt;0),"NZ + מדי",IF(COUNTIF(ניו!$B:$B,$A192)&gt;0,"NZ","מדי"))</f>
        <v>NZ</v>
      </c>
      <c r="C192" s="40" t="n">
        <f aca="false">IFERROR(INDEX(ניו!$C:$C,MATCH($A192,ניו!$B:$B,0)),IFERROR(INDEX('מדי '!$C:$C,MATCH($A192,'מדי '!$B:$B,0)),""))</f>
        <v>8.2536</v>
      </c>
      <c r="D192" s="40" t="n">
        <f aca="false">IFERROR(INDEX(ניו!$D:$D,MATCH($A192,ניו!$B:$B,0)),"")</f>
        <v>5.5</v>
      </c>
      <c r="E192" s="40" t="n">
        <f aca="false">IFERROR(INDEX(ניו!$E:$E,MATCH($A192,ניו!$B:$B,0)),"")</f>
        <v>2.61219346709315</v>
      </c>
      <c r="F192" s="40" t="str">
        <f aca="false">IFERROR(INDEX('מדי '!$D:$D,MATCH($A192,'מדי '!$B:$B,0)),"")</f>
        <v/>
      </c>
      <c r="G192" s="40" t="str">
        <f aca="false">IFERROR(INDEX('מדי '!$E:$E,MATCH($A192,'מדי '!$B:$B,0)),"")</f>
        <v/>
      </c>
      <c r="H192" s="40" t="str">
        <f aca="false">IFERROR(INDEX('מדי '!$F:$F,MATCH($A192,'מדי '!$B:$B,0)),"")</f>
        <v/>
      </c>
    </row>
    <row r="193" customFormat="false" ht="15" hidden="false" customHeight="false" outlineLevel="0" collapsed="false">
      <c r="A193" s="41" t="s">
        <v>182</v>
      </c>
      <c r="B193" s="42" t="str">
        <f aca="false">IF(AND(COUNTIF(ניו!$B:$B,$A193)&gt;0,COUNTIF('מדי '!$B:$B,$A193)&gt;0),"NZ + מדי",IF(COUNTIF(ניו!$B:$B,$A193)&gt;0,"NZ","מדי"))</f>
        <v>מדי</v>
      </c>
      <c r="C193" s="43" t="n">
        <f aca="false">IFERROR(INDEX(ניו!$C:$C,MATCH($A193,ניו!$B:$B,0)),IFERROR(INDEX('מדי '!$C:$C,MATCH($A193,'מדי '!$B:$B,0)),""))</f>
        <v>42.6686034764396</v>
      </c>
      <c r="D193" s="43" t="str">
        <f aca="false">IFERROR(INDEX(ניו!$D:$D,MATCH($A193,ניו!$B:$B,0)),"")</f>
        <v/>
      </c>
      <c r="E193" s="43" t="str">
        <f aca="false">IFERROR(INDEX(ניו!$E:$E,MATCH($A193,ניו!$B:$B,0)),"")</f>
        <v/>
      </c>
      <c r="F193" s="43" t="n">
        <f aca="false">IFERROR(INDEX('מדי '!$D:$D,MATCH($A193,'מדי '!$B:$B,0)),"")</f>
        <v>20.8</v>
      </c>
      <c r="G193" s="43" t="n">
        <f aca="false">IFERROR(INDEX('מדי '!$E:$E,MATCH($A193,'מדי '!$B:$B,0)),"")</f>
        <v>17.9636363636364</v>
      </c>
      <c r="H193" s="43" t="n">
        <f aca="false">IFERROR(INDEX('מדי '!$F:$F,MATCH($A193,'מדי '!$B:$B,0)),"")</f>
        <v>1.41036211441536</v>
      </c>
    </row>
    <row r="194" customFormat="false" ht="15" hidden="false" customHeight="false" outlineLevel="0" collapsed="false">
      <c r="A194" s="41" t="s">
        <v>183</v>
      </c>
      <c r="B194" s="42" t="str">
        <f aca="false">IF(AND(COUNTIF(ניו!$B:$B,$A194)&gt;0,COUNTIF('מדי '!$B:$B,$A194)&gt;0),"NZ + מדי",IF(COUNTIF(ניו!$B:$B,$A194)&gt;0,"NZ","מדי"))</f>
        <v>מדי</v>
      </c>
      <c r="C194" s="43" t="n">
        <f aca="false">IFERROR(INDEX(ניו!$C:$C,MATCH($A194,ניו!$B:$B,0)),IFERROR(INDEX('מדי '!$C:$C,MATCH($A194,'מדי '!$B:$B,0)),""))</f>
        <v>36.8520783302105</v>
      </c>
      <c r="D194" s="43" t="str">
        <f aca="false">IFERROR(INDEX(ניו!$D:$D,MATCH($A194,ניו!$B:$B,0)),"")</f>
        <v/>
      </c>
      <c r="E194" s="43" t="str">
        <f aca="false">IFERROR(INDEX(ניו!$E:$E,MATCH($A194,ניו!$B:$B,0)),"")</f>
        <v/>
      </c>
      <c r="F194" s="43" t="n">
        <f aca="false">IFERROR(INDEX('מדי '!$D:$D,MATCH($A194,'מדי '!$B:$B,0)),"")</f>
        <v>22.4</v>
      </c>
      <c r="G194" s="43" t="n">
        <f aca="false">IFERROR(INDEX('מדי '!$E:$E,MATCH($A194,'מדי '!$B:$B,0)),"")</f>
        <v>14</v>
      </c>
      <c r="H194" s="43" t="n">
        <f aca="false">IFERROR(INDEX('מדי '!$F:$F,MATCH($A194,'מדי '!$B:$B,0)),"")</f>
        <v>1.27265549529543</v>
      </c>
    </row>
    <row r="195" customFormat="false" ht="15" hidden="false" customHeight="false" outlineLevel="0" collapsed="false">
      <c r="A195" s="41" t="s">
        <v>184</v>
      </c>
      <c r="B195" s="42" t="str">
        <f aca="false">IF(AND(COUNTIF(ניו!$B:$B,$A195)&gt;0,COUNTIF('מדי '!$B:$B,$A195)&gt;0),"NZ + מדי",IF(COUNTIF(ניו!$B:$B,$A195)&gt;0,"NZ","מדי"))</f>
        <v>מדי</v>
      </c>
      <c r="C195" s="43" t="n">
        <f aca="false">IFERROR(INDEX(ניו!$C:$C,MATCH($A195,ניו!$B:$B,0)),IFERROR(INDEX('מדי '!$C:$C,MATCH($A195,'מדי '!$B:$B,0)),""))</f>
        <v>22.8768160403055</v>
      </c>
      <c r="D195" s="43" t="str">
        <f aca="false">IFERROR(INDEX(ניו!$D:$D,MATCH($A195,ניו!$B:$B,0)),"")</f>
        <v/>
      </c>
      <c r="E195" s="43" t="str">
        <f aca="false">IFERROR(INDEX(ניו!$E:$E,MATCH($A195,ניו!$B:$B,0)),"")</f>
        <v/>
      </c>
      <c r="F195" s="43" t="n">
        <f aca="false">IFERROR(INDEX('מדי '!$D:$D,MATCH($A195,'מדי '!$B:$B,0)),"")</f>
        <v>12.5</v>
      </c>
      <c r="G195" s="43" t="n">
        <f aca="false">IFERROR(INDEX('מדי '!$E:$E,MATCH($A195,'מדי '!$B:$B,0)),"")</f>
        <v>10.7954545454545</v>
      </c>
      <c r="H195" s="43" t="n">
        <f aca="false">IFERROR(INDEX('מדי '!$F:$F,MATCH($A195,'מדי '!$B:$B,0)),"")</f>
        <v>1.58084816801236</v>
      </c>
    </row>
    <row r="196" customFormat="false" ht="15" hidden="false" customHeight="false" outlineLevel="0" collapsed="false">
      <c r="A196" s="41" t="s">
        <v>185</v>
      </c>
      <c r="B196" s="42" t="str">
        <f aca="false">IF(AND(COUNTIF(ניו!$B:$B,$A196)&gt;0,COUNTIF('מדי '!$B:$B,$A196)&gt;0),"NZ + מדי",IF(COUNTIF(ניו!$B:$B,$A196)&gt;0,"NZ","מדי"))</f>
        <v>מדי</v>
      </c>
      <c r="C196" s="43" t="n">
        <f aca="false">IFERROR(INDEX(ניו!$C:$C,MATCH($A196,ניו!$B:$B,0)),IFERROR(INDEX('מדי '!$C:$C,MATCH($A196,'מדי '!$B:$B,0)),""))</f>
        <v>35.8714496296016</v>
      </c>
      <c r="D196" s="43" t="str">
        <f aca="false">IFERROR(INDEX(ניו!$D:$D,MATCH($A196,ניו!$B:$B,0)),"")</f>
        <v/>
      </c>
      <c r="E196" s="43" t="str">
        <f aca="false">IFERROR(INDEX(ניו!$E:$E,MATCH($A196,ניו!$B:$B,0)),"")</f>
        <v/>
      </c>
      <c r="F196" s="43" t="n">
        <f aca="false">IFERROR(INDEX('מדי '!$D:$D,MATCH($A196,'מדי '!$B:$B,0)),"")</f>
        <v>22.3</v>
      </c>
      <c r="G196" s="43" t="n">
        <f aca="false">IFERROR(INDEX('מדי '!$E:$E,MATCH($A196,'מדי '!$B:$B,0)),"")</f>
        <v>15</v>
      </c>
      <c r="H196" s="43" t="n">
        <f aca="false">IFERROR(INDEX('מדי '!$F:$F,MATCH($A196,'מדי '!$B:$B,0)),"")</f>
        <v>1.4008354978365</v>
      </c>
    </row>
    <row r="197" customFormat="false" ht="15" hidden="false" customHeight="false" outlineLevel="0" collapsed="false">
      <c r="A197" s="41" t="s">
        <v>186</v>
      </c>
      <c r="B197" s="42" t="str">
        <f aca="false">IF(AND(COUNTIF(ניו!$B:$B,$A197)&gt;0,COUNTIF('מדי '!$B:$B,$A197)&gt;0),"NZ + מדי",IF(COUNTIF(ניו!$B:$B,$A197)&gt;0,"NZ","מדי"))</f>
        <v>מדי</v>
      </c>
      <c r="C197" s="43" t="n">
        <f aca="false">IFERROR(INDEX(ניו!$C:$C,MATCH($A197,ניו!$B:$B,0)),IFERROR(INDEX('מדי '!$C:$C,MATCH($A197,'מדי '!$B:$B,0)),""))</f>
        <v>44.8641219116767</v>
      </c>
      <c r="D197" s="43" t="str">
        <f aca="false">IFERROR(INDEX(ניו!$D:$D,MATCH($A197,ניו!$B:$B,0)),"")</f>
        <v/>
      </c>
      <c r="E197" s="43" t="str">
        <f aca="false">IFERROR(INDEX(ניו!$E:$E,MATCH($A197,ניו!$B:$B,0)),"")</f>
        <v/>
      </c>
      <c r="F197" s="43" t="n">
        <f aca="false">IFERROR(INDEX('מדי '!$D:$D,MATCH($A197,'מדי '!$B:$B,0)),"")</f>
        <v>25.79</v>
      </c>
      <c r="G197" s="43" t="n">
        <f aca="false">IFERROR(INDEX('מדי '!$E:$E,MATCH($A197,'מדי '!$B:$B,0)),"")</f>
        <v>22.2731818181818</v>
      </c>
      <c r="H197" s="43" t="n">
        <f aca="false">IFERROR(INDEX('מדי '!$F:$F,MATCH($A197,'מדי '!$B:$B,0)),"")</f>
        <v>1.66313650889686</v>
      </c>
    </row>
    <row r="198" customFormat="false" ht="15" hidden="false" customHeight="false" outlineLevel="0" collapsed="false">
      <c r="A198" s="41" t="s">
        <v>187</v>
      </c>
      <c r="B198" s="42" t="str">
        <f aca="false">IF(AND(COUNTIF(ניו!$B:$B,$A198)&gt;0,COUNTIF('מדי '!$B:$B,$A198)&gt;0),"NZ + מדי",IF(COUNTIF(ניו!$B:$B,$A198)&gt;0,"NZ","מדי"))</f>
        <v>מדי</v>
      </c>
      <c r="C198" s="43" t="n">
        <f aca="false">IFERROR(INDEX(ניו!$C:$C,MATCH($A198,ניו!$B:$B,0)),IFERROR(INDEX('מדי '!$C:$C,MATCH($A198,'מדי '!$B:$B,0)),""))</f>
        <v>28.0877755679382</v>
      </c>
      <c r="D198" s="43" t="str">
        <f aca="false">IFERROR(INDEX(ניו!$D:$D,MATCH($A198,ניו!$B:$B,0)),"")</f>
        <v/>
      </c>
      <c r="E198" s="43" t="str">
        <f aca="false">IFERROR(INDEX(ניו!$E:$E,MATCH($A198,ניו!$B:$B,0)),"")</f>
        <v/>
      </c>
      <c r="F198" s="43" t="n">
        <f aca="false">IFERROR(INDEX('מדי '!$D:$D,MATCH($A198,'מדי '!$B:$B,0)),"")</f>
        <v>17.8</v>
      </c>
      <c r="G198" s="43" t="n">
        <f aca="false">IFERROR(INDEX('מדי '!$E:$E,MATCH($A198,'מדי '!$B:$B,0)),"")</f>
        <v>15.3727272727273</v>
      </c>
      <c r="H198" s="43" t="n">
        <f aca="false">IFERROR(INDEX('מדי '!$F:$F,MATCH($A198,'מדי '!$B:$B,0)),"")</f>
        <v>1.83348931420619</v>
      </c>
    </row>
    <row r="199" customFormat="false" ht="15" hidden="false" customHeight="false" outlineLevel="0" collapsed="false">
      <c r="A199" s="41" t="s">
        <v>188</v>
      </c>
      <c r="B199" s="42" t="str">
        <f aca="false">IF(AND(COUNTIF(ניו!$B:$B,$A199)&gt;0,COUNTIF('מדי '!$B:$B,$A199)&gt;0),"NZ + מדי",IF(COUNTIF(ניו!$B:$B,$A199)&gt;0,"NZ","מדי"))</f>
        <v>מדי</v>
      </c>
      <c r="C199" s="43" t="n">
        <f aca="false">IFERROR(INDEX(ניו!$C:$C,MATCH($A199,ניו!$B:$B,0)),IFERROR(INDEX('מדי '!$C:$C,MATCH($A199,'מדי '!$B:$B,0)),""))</f>
        <v>63.7508144155179</v>
      </c>
      <c r="D199" s="43" t="str">
        <f aca="false">IFERROR(INDEX(ניו!$D:$D,MATCH($A199,ניו!$B:$B,0)),"")</f>
        <v/>
      </c>
      <c r="E199" s="43" t="str">
        <f aca="false">IFERROR(INDEX(ניו!$E:$E,MATCH($A199,ניו!$B:$B,0)),"")</f>
        <v/>
      </c>
      <c r="F199" s="43" t="n">
        <f aca="false">IFERROR(INDEX('מדי '!$D:$D,MATCH($A199,'מדי '!$B:$B,0)),"")</f>
        <v>32.2</v>
      </c>
      <c r="G199" s="43" t="n">
        <f aca="false">IFERROR(INDEX('מדי '!$E:$E,MATCH($A199,'מדי '!$B:$B,0)),"")</f>
        <v>27.8090909090909</v>
      </c>
      <c r="H199" s="43" t="n">
        <f aca="false">IFERROR(INDEX('מדי '!$F:$F,MATCH($A199,'מדי '!$B:$B,0)),"")</f>
        <v>1.46132179485974</v>
      </c>
    </row>
    <row r="200" customFormat="false" ht="15" hidden="false" customHeight="false" outlineLevel="0" collapsed="false">
      <c r="A200" s="41" t="s">
        <v>189</v>
      </c>
      <c r="B200" s="42" t="str">
        <f aca="false">IF(AND(COUNTIF(ניו!$B:$B,$A200)&gt;0,COUNTIF('מדי '!$B:$B,$A200)&gt;0),"NZ + מדי",IF(COUNTIF(ניו!$B:$B,$A200)&gt;0,"NZ","מדי"))</f>
        <v>מדי</v>
      </c>
      <c r="C200" s="43" t="n">
        <f aca="false">IFERROR(INDEX(ניו!$C:$C,MATCH($A200,ניו!$B:$B,0)),IFERROR(INDEX('מדי '!$C:$C,MATCH($A200,'מדי '!$B:$B,0)),""))</f>
        <v>11.2417188351192</v>
      </c>
      <c r="D200" s="43" t="str">
        <f aca="false">IFERROR(INDEX(ניו!$D:$D,MATCH($A200,ניו!$B:$B,0)),"")</f>
        <v/>
      </c>
      <c r="E200" s="43" t="str">
        <f aca="false">IFERROR(INDEX(ניו!$E:$E,MATCH($A200,ניו!$B:$B,0)),"")</f>
        <v/>
      </c>
      <c r="F200" s="43" t="n">
        <f aca="false">IFERROR(INDEX('מדי '!$D:$D,MATCH($A200,'מדי '!$B:$B,0)),"")</f>
        <v>4.5</v>
      </c>
      <c r="G200" s="43" t="n">
        <f aca="false">IFERROR(INDEX('מדי '!$E:$E,MATCH($A200,'מדי '!$B:$B,0)),"")</f>
        <v>3.88636363636364</v>
      </c>
      <c r="H200" s="43" t="n">
        <f aca="false">IFERROR(INDEX('מדי '!$F:$F,MATCH($A200,'מדי '!$B:$B,0)),"")</f>
        <v>1.1581252273581</v>
      </c>
    </row>
    <row r="201" customFormat="false" ht="15" hidden="false" customHeight="false" outlineLevel="0" collapsed="false">
      <c r="A201" s="41" t="s">
        <v>190</v>
      </c>
      <c r="B201" s="42" t="str">
        <f aca="false">IF(AND(COUNTIF(ניו!$B:$B,$A201)&gt;0,COUNTIF('מדי '!$B:$B,$A201)&gt;0),"NZ + מדי",IF(COUNTIF(ניו!$B:$B,$A201)&gt;0,"NZ","מדי"))</f>
        <v>מדי</v>
      </c>
      <c r="C201" s="43" t="n">
        <f aca="false">IFERROR(INDEX(ניו!$C:$C,MATCH($A201,ניו!$B:$B,0)),IFERROR(INDEX('מדי '!$C:$C,MATCH($A201,'מדי '!$B:$B,0)),""))</f>
        <v>29.8443812558983</v>
      </c>
      <c r="D201" s="43" t="str">
        <f aca="false">IFERROR(INDEX(ניו!$D:$D,MATCH($A201,ניו!$B:$B,0)),"")</f>
        <v/>
      </c>
      <c r="E201" s="43" t="str">
        <f aca="false">IFERROR(INDEX(ניו!$E:$E,MATCH($A201,ניו!$B:$B,0)),"")</f>
        <v/>
      </c>
      <c r="F201" s="43" t="n">
        <f aca="false">IFERROR(INDEX('מדי '!$D:$D,MATCH($A201,'מדי '!$B:$B,0)),"")</f>
        <v>19.4</v>
      </c>
      <c r="G201" s="43" t="n">
        <f aca="false">IFERROR(INDEX('מדי '!$E:$E,MATCH($A201,'מדי '!$B:$B,0)),"")</f>
        <v>13</v>
      </c>
      <c r="H201" s="43" t="n">
        <f aca="false">IFERROR(INDEX('מדי '!$F:$F,MATCH($A201,'מדי '!$B:$B,0)),"")</f>
        <v>1.45923614989984</v>
      </c>
    </row>
    <row r="202" customFormat="false" ht="15" hidden="false" customHeight="false" outlineLevel="0" collapsed="false">
      <c r="A202" s="41" t="s">
        <v>191</v>
      </c>
      <c r="B202" s="42" t="str">
        <f aca="false">IF(AND(COUNTIF(ניו!$B:$B,$A202)&gt;0,COUNTIF('מדי '!$B:$B,$A202)&gt;0),"NZ + מדי",IF(COUNTIF(ניו!$B:$B,$A202)&gt;0,"NZ","מדי"))</f>
        <v>מדי</v>
      </c>
      <c r="C202" s="43" t="n">
        <f aca="false">IFERROR(INDEX(ניו!$C:$C,MATCH($A202,ניו!$B:$B,0)),IFERROR(INDEX('מדי '!$C:$C,MATCH($A202,'מדי '!$B:$B,0)),""))</f>
        <v>44.6582093896073</v>
      </c>
      <c r="D202" s="43" t="str">
        <f aca="false">IFERROR(INDEX(ניו!$D:$D,MATCH($A202,ניו!$B:$B,0)),"")</f>
        <v/>
      </c>
      <c r="E202" s="43" t="str">
        <f aca="false">IFERROR(INDEX(ניו!$E:$E,MATCH($A202,ניו!$B:$B,0)),"")</f>
        <v/>
      </c>
      <c r="F202" s="43" t="n">
        <f aca="false">IFERROR(INDEX('מדי '!$D:$D,MATCH($A202,'מדי '!$B:$B,0)),"")</f>
        <v>21.53</v>
      </c>
      <c r="G202" s="43" t="n">
        <f aca="false">IFERROR(INDEX('מדי '!$E:$E,MATCH($A202,'מדי '!$B:$B,0)),"")</f>
        <v>18.5940909090909</v>
      </c>
      <c r="H202" s="43" t="n">
        <f aca="false">IFERROR(INDEX('מדי '!$F:$F,MATCH($A202,'מדי '!$B:$B,0)),"")</f>
        <v>1.39482091639685</v>
      </c>
    </row>
    <row r="203" customFormat="false" ht="15" hidden="false" customHeight="false" outlineLevel="0" collapsed="false">
      <c r="A203" s="41" t="s">
        <v>192</v>
      </c>
      <c r="B203" s="42" t="str">
        <f aca="false">IF(AND(COUNTIF(ניו!$B:$B,$A203)&gt;0,COUNTIF('מדי '!$B:$B,$A203)&gt;0),"NZ + מדי",IF(COUNTIF(ניו!$B:$B,$A203)&gt;0,"NZ","מדי"))</f>
        <v>מדי</v>
      </c>
      <c r="C203" s="43" t="n">
        <f aca="false">IFERROR(INDEX(ניו!$C:$C,MATCH($A203,ניו!$B:$B,0)),IFERROR(INDEX('מדי '!$C:$C,MATCH($A203,'מדי '!$B:$B,0)),""))</f>
        <v>28.9188404271034</v>
      </c>
      <c r="D203" s="43" t="str">
        <f aca="false">IFERROR(INDEX(ניו!$D:$D,MATCH($A203,ניו!$B:$B,0)),"")</f>
        <v/>
      </c>
      <c r="E203" s="43" t="str">
        <f aca="false">IFERROR(INDEX(ניו!$E:$E,MATCH($A203,ניו!$B:$B,0)),"")</f>
        <v/>
      </c>
      <c r="F203" s="43" t="n">
        <f aca="false">IFERROR(INDEX('מדי '!$D:$D,MATCH($A203,'מדי '!$B:$B,0)),"")</f>
        <v>14.4</v>
      </c>
      <c r="G203" s="43" t="n">
        <f aca="false">IFERROR(INDEX('מדי '!$E:$E,MATCH($A203,'מדי '!$B:$B,0)),"")</f>
        <v>12.4363636363636</v>
      </c>
      <c r="H203" s="43" t="n">
        <f aca="false">IFERROR(INDEX('מדי '!$F:$F,MATCH($A203,'מדי '!$B:$B,0)),"")</f>
        <v>1.44064622116632</v>
      </c>
    </row>
    <row r="204" customFormat="false" ht="15" hidden="false" customHeight="false" outlineLevel="0" collapsed="false">
      <c r="A204" s="41" t="s">
        <v>193</v>
      </c>
      <c r="B204" s="42" t="str">
        <f aca="false">IF(AND(COUNTIF(ניו!$B:$B,$A204)&gt;0,COUNTIF('מדי '!$B:$B,$A204)&gt;0),"NZ + מדי",IF(COUNTIF(ניו!$B:$B,$A204)&gt;0,"NZ","מדי"))</f>
        <v>מדי</v>
      </c>
      <c r="C204" s="43" t="n">
        <f aca="false">IFERROR(INDEX(ניו!$C:$C,MATCH($A204,ניו!$B:$B,0)),IFERROR(INDEX('מדי '!$C:$C,MATCH($A204,'מדי '!$B:$B,0)),""))</f>
        <v>22.9225404255029</v>
      </c>
      <c r="D204" s="43" t="str">
        <f aca="false">IFERROR(INDEX(ניו!$D:$D,MATCH($A204,ניו!$B:$B,0)),"")</f>
        <v/>
      </c>
      <c r="E204" s="43" t="str">
        <f aca="false">IFERROR(INDEX(ניו!$E:$E,MATCH($A204,ניו!$B:$B,0)),"")</f>
        <v/>
      </c>
      <c r="F204" s="43" t="n">
        <f aca="false">IFERROR(INDEX('מדי '!$D:$D,MATCH($A204,'מדי '!$B:$B,0)),"")</f>
        <v>9.1</v>
      </c>
      <c r="G204" s="43" t="n">
        <f aca="false">IFERROR(INDEX('מדי '!$E:$E,MATCH($A204,'מדי '!$B:$B,0)),"")</f>
        <v>7.85909090909091</v>
      </c>
      <c r="H204" s="43" t="n">
        <f aca="false">IFERROR(INDEX('מדי '!$F:$F,MATCH($A204,'מדי '!$B:$B,0)),"")</f>
        <v>1.1485618110706</v>
      </c>
    </row>
    <row r="205" customFormat="false" ht="15" hidden="false" customHeight="false" outlineLevel="0" collapsed="false">
      <c r="A205" s="41" t="s">
        <v>194</v>
      </c>
      <c r="B205" s="42" t="str">
        <f aca="false">IF(AND(COUNTIF(ניו!$B:$B,$A205)&gt;0,COUNTIF('מדי '!$B:$B,$A205)&gt;0),"NZ + מדי",IF(COUNTIF(ניו!$B:$B,$A205)&gt;0,"NZ","מדי"))</f>
        <v>מדי</v>
      </c>
      <c r="C205" s="43" t="n">
        <f aca="false">IFERROR(INDEX(ניו!$C:$C,MATCH($A205,ניו!$B:$B,0)),IFERROR(INDEX('מדי '!$C:$C,MATCH($A205,'מדי '!$B:$B,0)),""))</f>
        <v>18.1173364163446</v>
      </c>
      <c r="D205" s="43" t="str">
        <f aca="false">IFERROR(INDEX(ניו!$D:$D,MATCH($A205,ניו!$B:$B,0)),"")</f>
        <v/>
      </c>
      <c r="E205" s="43" t="str">
        <f aca="false">IFERROR(INDEX(ניו!$E:$E,MATCH($A205,ניו!$B:$B,0)),"")</f>
        <v/>
      </c>
      <c r="F205" s="43" t="n">
        <f aca="false">IFERROR(INDEX('מדי '!$D:$D,MATCH($A205,'מדי '!$B:$B,0)),"")</f>
        <v>8.5</v>
      </c>
      <c r="G205" s="43" t="n">
        <f aca="false">IFERROR(INDEX('מדי '!$E:$E,MATCH($A205,'מדי '!$B:$B,0)),"")</f>
        <v>7.34090909090909</v>
      </c>
      <c r="H205" s="43" t="n">
        <f aca="false">IFERROR(INDEX('מדי '!$F:$F,MATCH($A205,'מדי '!$B:$B,0)),"")</f>
        <v>1.35737643157963</v>
      </c>
    </row>
    <row r="206" customFormat="false" ht="15" hidden="false" customHeight="false" outlineLevel="0" collapsed="false">
      <c r="A206" s="41" t="s">
        <v>195</v>
      </c>
      <c r="B206" s="42" t="str">
        <f aca="false">IF(AND(COUNTIF(ניו!$B:$B,$A206)&gt;0,COUNTIF('מדי '!$B:$B,$A206)&gt;0),"NZ + מדי",IF(COUNTIF(ניו!$B:$B,$A206)&gt;0,"NZ","מדי"))</f>
        <v>מדי</v>
      </c>
      <c r="C206" s="43" t="n">
        <f aca="false">IFERROR(INDEX(ניו!$C:$C,MATCH($A206,ניו!$B:$B,0)),IFERROR(INDEX('מדי '!$C:$C,MATCH($A206,'מדי '!$B:$B,0)),""))</f>
        <v>17.451075286444</v>
      </c>
      <c r="D206" s="43" t="str">
        <f aca="false">IFERROR(INDEX(ניו!$D:$D,MATCH($A206,ניו!$B:$B,0)),"")</f>
        <v/>
      </c>
      <c r="E206" s="43" t="str">
        <f aca="false">IFERROR(INDEX(ניו!$E:$E,MATCH($A206,ניו!$B:$B,0)),"")</f>
        <v/>
      </c>
      <c r="F206" s="43" t="n">
        <f aca="false">IFERROR(INDEX('מדי '!$D:$D,MATCH($A206,'מדי '!$B:$B,0)),"")</f>
        <v>8.1</v>
      </c>
      <c r="G206" s="43" t="n">
        <f aca="false">IFERROR(INDEX('מדי '!$E:$E,MATCH($A206,'מדי '!$B:$B,0)),"")</f>
        <v>6.99545454545455</v>
      </c>
      <c r="H206" s="43" t="n">
        <f aca="false">IFERROR(INDEX('מדי '!$F:$F,MATCH($A206,'מדי '!$B:$B,0)),"")</f>
        <v>1.34288416860346</v>
      </c>
    </row>
    <row r="207" customFormat="false" ht="15" hidden="false" customHeight="false" outlineLevel="0" collapsed="false">
      <c r="A207" s="41" t="s">
        <v>196</v>
      </c>
      <c r="B207" s="42" t="str">
        <f aca="false">IF(AND(COUNTIF(ניו!$B:$B,$A207)&gt;0,COUNTIF('מדי '!$B:$B,$A207)&gt;0),"NZ + מדי",IF(COUNTIF(ניו!$B:$B,$A207)&gt;0,"NZ","מדי"))</f>
        <v>מדי</v>
      </c>
      <c r="C207" s="43" t="n">
        <f aca="false">IFERROR(INDEX(ניו!$C:$C,MATCH($A207,ניו!$B:$B,0)),IFERROR(INDEX('מדי '!$C:$C,MATCH($A207,'מדי '!$B:$B,0)),""))</f>
        <v>32.7978710637165</v>
      </c>
      <c r="D207" s="43" t="str">
        <f aca="false">IFERROR(INDEX(ניו!$D:$D,MATCH($A207,ניו!$B:$B,0)),"")</f>
        <v/>
      </c>
      <c r="E207" s="43" t="str">
        <f aca="false">IFERROR(INDEX(ניו!$E:$E,MATCH($A207,ניו!$B:$B,0)),"")</f>
        <v/>
      </c>
      <c r="F207" s="43" t="n">
        <f aca="false">IFERROR(INDEX('מדי '!$D:$D,MATCH($A207,'מדי '!$B:$B,0)),"")</f>
        <v>15</v>
      </c>
      <c r="G207" s="43" t="n">
        <f aca="false">IFERROR(INDEX('מדי '!$E:$E,MATCH($A207,'מדי '!$B:$B,0)),"")</f>
        <v>12.9545454545455</v>
      </c>
      <c r="H207" s="43" t="n">
        <f aca="false">IFERROR(INDEX('מדי '!$F:$F,MATCH($A207,'מדי '!$B:$B,0)),"")</f>
        <v>1.32318732482418</v>
      </c>
    </row>
    <row r="208" customFormat="false" ht="15" hidden="false" customHeight="false" outlineLevel="0" collapsed="false">
      <c r="A208" s="41" t="s">
        <v>197</v>
      </c>
      <c r="B208" s="42" t="str">
        <f aca="false">IF(AND(COUNTIF(ניו!$B:$B,$A208)&gt;0,COUNTIF('מדי '!$B:$B,$A208)&gt;0),"NZ + מדי",IF(COUNTIF(ניו!$B:$B,$A208)&gt;0,"NZ","מדי"))</f>
        <v>מדי</v>
      </c>
      <c r="C208" s="43" t="n">
        <f aca="false">IFERROR(INDEX(ניו!$C:$C,MATCH($A208,ניו!$B:$B,0)),IFERROR(INDEX('מדי '!$C:$C,MATCH($A208,'מדי '!$B:$B,0)),""))</f>
        <v>39.6175105620019</v>
      </c>
      <c r="D208" s="43" t="str">
        <f aca="false">IFERROR(INDEX(ניו!$D:$D,MATCH($A208,ניו!$B:$B,0)),"")</f>
        <v/>
      </c>
      <c r="E208" s="43" t="str">
        <f aca="false">IFERROR(INDEX(ניו!$E:$E,MATCH($A208,ניו!$B:$B,0)),"")</f>
        <v/>
      </c>
      <c r="F208" s="43" t="n">
        <f aca="false">IFERROR(INDEX('מדי '!$D:$D,MATCH($A208,'מדי '!$B:$B,0)),"")</f>
        <v>17</v>
      </c>
      <c r="G208" s="43" t="n">
        <f aca="false">IFERROR(INDEX('מדי '!$E:$E,MATCH($A208,'מדי '!$B:$B,0)),"")</f>
        <v>14.6818181818182</v>
      </c>
      <c r="H208" s="43" t="n">
        <f aca="false">IFERROR(INDEX('מדי '!$F:$F,MATCH($A208,'מדי '!$B:$B,0)),"")</f>
        <v>1.24147353560031</v>
      </c>
    </row>
    <row r="209" customFormat="false" ht="15" hidden="false" customHeight="false" outlineLevel="0" collapsed="false">
      <c r="A209" s="41" t="s">
        <v>198</v>
      </c>
      <c r="B209" s="42" t="str">
        <f aca="false">IF(AND(COUNTIF(ניו!$B:$B,$A209)&gt;0,COUNTIF('מדי '!$B:$B,$A209)&gt;0),"NZ + מדי",IF(COUNTIF(ניו!$B:$B,$A209)&gt;0,"NZ","מדי"))</f>
        <v>מדי</v>
      </c>
      <c r="C209" s="43" t="n">
        <f aca="false">IFERROR(INDEX(ניו!$C:$C,MATCH($A209,ניו!$B:$B,0)),IFERROR(INDEX('מדי '!$C:$C,MATCH($A209,'מדי '!$B:$B,0)),""))</f>
        <v>13.8391306114708</v>
      </c>
      <c r="D209" s="43" t="str">
        <f aca="false">IFERROR(INDEX(ניו!$D:$D,MATCH($A209,ניו!$B:$B,0)),"")</f>
        <v/>
      </c>
      <c r="E209" s="43" t="str">
        <f aca="false">IFERROR(INDEX(ניו!$E:$E,MATCH($A209,ניו!$B:$B,0)),"")</f>
        <v/>
      </c>
      <c r="F209" s="43" t="n">
        <f aca="false">IFERROR(INDEX('מדי '!$D:$D,MATCH($A209,'מדי '!$B:$B,0)),"")</f>
        <v>4.5</v>
      </c>
      <c r="G209" s="43" t="n">
        <f aca="false">IFERROR(INDEX('מדי '!$E:$E,MATCH($A209,'מדי '!$B:$B,0)),"")</f>
        <v>3.88636363636364</v>
      </c>
      <c r="H209" s="43" t="n">
        <f aca="false">IFERROR(INDEX('מדי '!$F:$F,MATCH($A209,'מדי '!$B:$B,0)),"")</f>
        <v>0.940761276653236</v>
      </c>
    </row>
    <row r="210" customFormat="false" ht="15" hidden="false" customHeight="false" outlineLevel="0" collapsed="false">
      <c r="A210" s="41" t="s">
        <v>199</v>
      </c>
      <c r="B210" s="42" t="str">
        <f aca="false">IF(AND(COUNTIF(ניו!$B:$B,$A210)&gt;0,COUNTIF('מדי '!$B:$B,$A210)&gt;0),"NZ + מדי",IF(COUNTIF(ניו!$B:$B,$A210)&gt;0,"NZ","מדי"))</f>
        <v>מדי</v>
      </c>
      <c r="C210" s="43" t="n">
        <f aca="false">IFERROR(INDEX(ניו!$C:$C,MATCH($A210,ניו!$B:$B,0)),IFERROR(INDEX('מדי '!$C:$C,MATCH($A210,'מדי '!$B:$B,0)),""))</f>
        <v>59.5995286169129</v>
      </c>
      <c r="D210" s="43" t="str">
        <f aca="false">IFERROR(INDEX(ניו!$D:$D,MATCH($A210,ניו!$B:$B,0)),"")</f>
        <v/>
      </c>
      <c r="E210" s="43" t="str">
        <f aca="false">IFERROR(INDEX(ניו!$E:$E,MATCH($A210,ניו!$B:$B,0)),"")</f>
        <v/>
      </c>
      <c r="F210" s="43" t="n">
        <f aca="false">IFERROR(INDEX('מדי '!$D:$D,MATCH($A210,'מדי '!$B:$B,0)),"")</f>
        <v>30.37</v>
      </c>
      <c r="G210" s="43" t="n">
        <f aca="false">IFERROR(INDEX('מדי '!$E:$E,MATCH($A210,'מדי '!$B:$B,0)),"")</f>
        <v>26.2286363636364</v>
      </c>
      <c r="H210" s="43" t="n">
        <f aca="false">IFERROR(INDEX('מדי '!$F:$F,MATCH($A210,'מדי '!$B:$B,0)),"")</f>
        <v>1.47427226116093</v>
      </c>
    </row>
    <row r="211" customFormat="false" ht="15" hidden="false" customHeight="false" outlineLevel="0" collapsed="false">
      <c r="A211" s="41" t="s">
        <v>200</v>
      </c>
      <c r="B211" s="42" t="str">
        <f aca="false">IF(AND(COUNTIF(ניו!$B:$B,$A211)&gt;0,COUNTIF('מדי '!$B:$B,$A211)&gt;0),"NZ + מדי",IF(COUNTIF(ניו!$B:$B,$A211)&gt;0,"NZ","מדי"))</f>
        <v>מדי</v>
      </c>
      <c r="C211" s="43" t="n">
        <f aca="false">IFERROR(INDEX(ניו!$C:$C,MATCH($A211,ניו!$B:$B,0)),IFERROR(INDEX('מדי '!$C:$C,MATCH($A211,'מדי '!$B:$B,0)),""))</f>
        <v>34.4378490970159</v>
      </c>
      <c r="D211" s="43" t="str">
        <f aca="false">IFERROR(INDEX(ניו!$D:$D,MATCH($A211,ניו!$B:$B,0)),"")</f>
        <v/>
      </c>
      <c r="E211" s="43" t="str">
        <f aca="false">IFERROR(INDEX(ניו!$E:$E,MATCH($A211,ניו!$B:$B,0)),"")</f>
        <v/>
      </c>
      <c r="F211" s="43" t="n">
        <f aca="false">IFERROR(INDEX('מדי '!$D:$D,MATCH($A211,'מדי '!$B:$B,0)),"")</f>
        <v>22.5</v>
      </c>
      <c r="G211" s="43" t="n">
        <f aca="false">IFERROR(INDEX('מדי '!$E:$E,MATCH($A211,'מדי '!$B:$B,0)),"")</f>
        <v>14</v>
      </c>
      <c r="H211" s="43" t="n">
        <f aca="false">IFERROR(INDEX('מדי '!$F:$F,MATCH($A211,'מדי '!$B:$B,0)),"")</f>
        <v>1.36187367183928</v>
      </c>
    </row>
    <row r="212" customFormat="false" ht="15" hidden="false" customHeight="false" outlineLevel="0" collapsed="false">
      <c r="A212" s="41" t="s">
        <v>201</v>
      </c>
      <c r="B212" s="42" t="str">
        <f aca="false">IF(AND(COUNTIF(ניו!$B:$B,$A212)&gt;0,COUNTIF('מדי '!$B:$B,$A212)&gt;0),"NZ + מדי",IF(COUNTIF(ניו!$B:$B,$A212)&gt;0,"NZ","מדי"))</f>
        <v>מדי</v>
      </c>
      <c r="C212" s="43" t="n">
        <f aca="false">IFERROR(INDEX(ניו!$C:$C,MATCH($A212,ניו!$B:$B,0)),IFERROR(INDEX('מדי '!$C:$C,MATCH($A212,'מדי '!$B:$B,0)),""))</f>
        <v>34.4378490970159</v>
      </c>
      <c r="D212" s="43" t="str">
        <f aca="false">IFERROR(INDEX(ניו!$D:$D,MATCH($A212,ניו!$B:$B,0)),"")</f>
        <v/>
      </c>
      <c r="E212" s="43" t="str">
        <f aca="false">IFERROR(INDEX(ניו!$E:$E,MATCH($A212,ניו!$B:$B,0)),"")</f>
        <v/>
      </c>
      <c r="F212" s="43" t="n">
        <f aca="false">IFERROR(INDEX('מדי '!$D:$D,MATCH($A212,'מדי '!$B:$B,0)),"")</f>
        <v>22.5</v>
      </c>
      <c r="G212" s="43" t="n">
        <f aca="false">IFERROR(INDEX('מדי '!$E:$E,MATCH($A212,'מדי '!$B:$B,0)),"")</f>
        <v>14</v>
      </c>
      <c r="H212" s="43" t="n">
        <f aca="false">IFERROR(INDEX('מדי '!$F:$F,MATCH($A212,'מדי '!$B:$B,0)),"")</f>
        <v>1.36187367183928</v>
      </c>
    </row>
    <row r="213" customFormat="false" ht="15" hidden="false" customHeight="false" outlineLevel="0" collapsed="false">
      <c r="A213" s="41" t="s">
        <v>202</v>
      </c>
      <c r="B213" s="42" t="str">
        <f aca="false">IF(AND(COUNTIF(ניו!$B:$B,$A213)&gt;0,COUNTIF('מדי '!$B:$B,$A213)&gt;0),"NZ + מדי",IF(COUNTIF(ניו!$B:$B,$A213)&gt;0,"NZ","מדי"))</f>
        <v>מדי</v>
      </c>
      <c r="C213" s="43" t="n">
        <f aca="false">IFERROR(INDEX(ניו!$C:$C,MATCH($A213,ניו!$B:$B,0)),IFERROR(INDEX('מדי '!$C:$C,MATCH($A213,'מדי '!$B:$B,0)),""))</f>
        <v>28.8623436843081</v>
      </c>
      <c r="D213" s="43" t="str">
        <f aca="false">IFERROR(INDEX(ניו!$D:$D,MATCH($A213,ניו!$B:$B,0)),"")</f>
        <v/>
      </c>
      <c r="E213" s="43" t="str">
        <f aca="false">IFERROR(INDEX(ניו!$E:$E,MATCH($A213,ניו!$B:$B,0)),"")</f>
        <v/>
      </c>
      <c r="F213" s="43" t="n">
        <f aca="false">IFERROR(INDEX('מדי '!$D:$D,MATCH($A213,'מדי '!$B:$B,0)),"")</f>
        <v>24.23</v>
      </c>
      <c r="G213" s="43" t="n">
        <f aca="false">IFERROR(INDEX('מדי '!$E:$E,MATCH($A213,'מדי '!$B:$B,0)),"")</f>
        <v>20.9259090909091</v>
      </c>
      <c r="H213" s="43" t="n">
        <f aca="false">IFERROR(INDEX('מדי '!$F:$F,MATCH($A213,'מדי '!$B:$B,0)),"")</f>
        <v>2.4288323991048</v>
      </c>
    </row>
    <row r="214" customFormat="false" ht="15" hidden="false" customHeight="false" outlineLevel="0" collapsed="false">
      <c r="A214" s="41" t="s">
        <v>203</v>
      </c>
      <c r="B214" s="42" t="str">
        <f aca="false">IF(AND(COUNTIF(ניו!$B:$B,$A214)&gt;0,COUNTIF('מדי '!$B:$B,$A214)&gt;0),"NZ + מדי",IF(COUNTIF(ניו!$B:$B,$A214)&gt;0,"NZ","מדי"))</f>
        <v>מדי</v>
      </c>
      <c r="C214" s="43" t="n">
        <f aca="false">IFERROR(INDEX(ניו!$C:$C,MATCH($A214,ניו!$B:$B,0)),IFERROR(INDEX('מדי '!$C:$C,MATCH($A214,'מדי '!$B:$B,0)),""))</f>
        <v>6.83835726431201</v>
      </c>
      <c r="D214" s="43" t="str">
        <f aca="false">IFERROR(INDEX(ניו!$D:$D,MATCH($A214,ניו!$B:$B,0)),"")</f>
        <v/>
      </c>
      <c r="E214" s="43" t="str">
        <f aca="false">IFERROR(INDEX(ניו!$E:$E,MATCH($A214,ניו!$B:$B,0)),"")</f>
        <v/>
      </c>
      <c r="F214" s="43" t="n">
        <f aca="false">IFERROR(INDEX('מדי '!$D:$D,MATCH($A214,'מדי '!$B:$B,0)),"")</f>
        <v>3.85</v>
      </c>
      <c r="G214" s="43" t="n">
        <f aca="false">IFERROR(INDEX('מדי '!$E:$E,MATCH($A214,'מדי '!$B:$B,0)),"")</f>
        <v>3.325</v>
      </c>
      <c r="H214" s="43" t="n">
        <f aca="false">IFERROR(INDEX('מדי '!$F:$F,MATCH($A214,'מדי '!$B:$B,0)),"")</f>
        <v>1.62886341989338</v>
      </c>
    </row>
    <row r="215" customFormat="false" ht="15" hidden="false" customHeight="false" outlineLevel="0" collapsed="false">
      <c r="A215" s="41" t="s">
        <v>204</v>
      </c>
      <c r="B215" s="42" t="str">
        <f aca="false">IF(AND(COUNTIF(ניו!$B:$B,$A215)&gt;0,COUNTIF('מדי '!$B:$B,$A215)&gt;0),"NZ + מדי",IF(COUNTIF(ניו!$B:$B,$A215)&gt;0,"NZ","מדי"))</f>
        <v>מדי</v>
      </c>
      <c r="C215" s="43" t="n">
        <f aca="false">IFERROR(INDEX(ניו!$C:$C,MATCH($A215,ניו!$B:$B,0)),IFERROR(INDEX('מדי '!$C:$C,MATCH($A215,'מדי '!$B:$B,0)),""))</f>
        <v>7.34565715429953</v>
      </c>
      <c r="D215" s="43" t="str">
        <f aca="false">IFERROR(INDEX(ניו!$D:$D,MATCH($A215,ניו!$B:$B,0)),"")</f>
        <v/>
      </c>
      <c r="E215" s="43" t="str">
        <f aca="false">IFERROR(INDEX(ניו!$E:$E,MATCH($A215,ניו!$B:$B,0)),"")</f>
        <v/>
      </c>
      <c r="F215" s="43" t="n">
        <f aca="false">IFERROR(INDEX('מדי '!$D:$D,MATCH($A215,'מדי '!$B:$B,0)),"")</f>
        <v>2.9</v>
      </c>
      <c r="G215" s="43" t="n">
        <f aca="false">IFERROR(INDEX('מדי '!$E:$E,MATCH($A215,'מדי '!$B:$B,0)),"")</f>
        <v>2.50454545454545</v>
      </c>
      <c r="H215" s="43" t="n">
        <f aca="false">IFERROR(INDEX('מדי '!$F:$F,MATCH($A215,'מדי '!$B:$B,0)),"")</f>
        <v>1.14220240565085</v>
      </c>
    </row>
    <row r="216" customFormat="false" ht="15" hidden="false" customHeight="false" outlineLevel="0" collapsed="false">
      <c r="A216" s="41" t="s">
        <v>205</v>
      </c>
      <c r="B216" s="42" t="str">
        <f aca="false">IF(AND(COUNTIF(ניו!$B:$B,$A216)&gt;0,COUNTIF('מדי '!$B:$B,$A216)&gt;0),"NZ + מדי",IF(COUNTIF(ניו!$B:$B,$A216)&gt;0,"NZ","מדי"))</f>
        <v>מדי</v>
      </c>
      <c r="C216" s="43" t="n">
        <f aca="false">IFERROR(INDEX(ניו!$C:$C,MATCH($A216,ניו!$B:$B,0)),IFERROR(INDEX('מדי '!$C:$C,MATCH($A216,'מדי '!$B:$B,0)),""))</f>
        <v>4.14005472812667</v>
      </c>
      <c r="D216" s="43" t="str">
        <f aca="false">IFERROR(INDEX(ניו!$D:$D,MATCH($A216,ניו!$B:$B,0)),"")</f>
        <v/>
      </c>
      <c r="E216" s="43" t="str">
        <f aca="false">IFERROR(INDEX(ניו!$E:$E,MATCH($A216,ניו!$B:$B,0)),"")</f>
        <v/>
      </c>
      <c r="F216" s="43" t="n">
        <f aca="false">IFERROR(INDEX('מדי '!$D:$D,MATCH($A216,'מדי '!$B:$B,0)),"")</f>
        <v>1.6</v>
      </c>
      <c r="G216" s="43" t="n">
        <f aca="false">IFERROR(INDEX('מדי '!$E:$E,MATCH($A216,'מדי '!$B:$B,0)),"")</f>
        <v>1.38181818181818</v>
      </c>
      <c r="H216" s="43" t="n">
        <f aca="false">IFERROR(INDEX('מדי '!$F:$F,MATCH($A216,'מדי '!$B:$B,0)),"")</f>
        <v>1.11812311988096</v>
      </c>
    </row>
    <row r="217" customFormat="false" ht="15" hidden="false" customHeight="false" outlineLevel="0" collapsed="false">
      <c r="A217" s="41" t="s">
        <v>206</v>
      </c>
      <c r="B217" s="42" t="str">
        <f aca="false">IF(AND(COUNTIF(ניו!$B:$B,$A217)&gt;0,COUNTIF('מדי '!$B:$B,$A217)&gt;0),"NZ + מדי",IF(COUNTIF(ניו!$B:$B,$A217)&gt;0,"NZ","מדי"))</f>
        <v>מדי</v>
      </c>
      <c r="C217" s="43" t="n">
        <f aca="false">IFERROR(INDEX(ניו!$C:$C,MATCH($A217,ניו!$B:$B,0)),IFERROR(INDEX('מדי '!$C:$C,MATCH($A217,'מדי '!$B:$B,0)),""))</f>
        <v>6.32787335393392</v>
      </c>
      <c r="D217" s="43" t="str">
        <f aca="false">IFERROR(INDEX(ניו!$D:$D,MATCH($A217,ניו!$B:$B,0)),"")</f>
        <v/>
      </c>
      <c r="E217" s="43" t="str">
        <f aca="false">IFERROR(INDEX(ניו!$E:$E,MATCH($A217,ניו!$B:$B,0)),"")</f>
        <v/>
      </c>
      <c r="F217" s="43" t="n">
        <f aca="false">IFERROR(INDEX('מדי '!$D:$D,MATCH($A217,'מדי '!$B:$B,0)),"")</f>
        <v>3.52</v>
      </c>
      <c r="G217" s="43" t="n">
        <f aca="false">IFERROR(INDEX('מדי '!$E:$E,MATCH($A217,'מדי '!$B:$B,0)),"")</f>
        <v>3.04</v>
      </c>
      <c r="H217" s="43" t="n">
        <f aca="false">IFERROR(INDEX('מדי '!$F:$F,MATCH($A217,'מדי '!$B:$B,0)),"")</f>
        <v>1.60938745616152</v>
      </c>
    </row>
    <row r="218" customFormat="false" ht="15" hidden="false" customHeight="false" outlineLevel="0" collapsed="false">
      <c r="A218" s="41" t="s">
        <v>207</v>
      </c>
      <c r="B218" s="42" t="str">
        <f aca="false">IF(AND(COUNTIF(ניו!$B:$B,$A218)&gt;0,COUNTIF('מדי '!$B:$B,$A218)&gt;0),"NZ + מדי",IF(COUNTIF(ניו!$B:$B,$A218)&gt;0,"NZ","מדי"))</f>
        <v>מדי</v>
      </c>
      <c r="C218" s="43" t="n">
        <f aca="false">IFERROR(INDEX(ניו!$C:$C,MATCH($A218,ניו!$B:$B,0)),IFERROR(INDEX('מדי '!$C:$C,MATCH($A218,'מדי '!$B:$B,0)),""))</f>
        <v>13.8486</v>
      </c>
      <c r="D218" s="43" t="str">
        <f aca="false">IFERROR(INDEX(ניו!$D:$D,MATCH($A218,ניו!$B:$B,0)),"")</f>
        <v/>
      </c>
      <c r="E218" s="43" t="str">
        <f aca="false">IFERROR(INDEX(ניו!$E:$E,MATCH($A218,ניו!$B:$B,0)),"")</f>
        <v/>
      </c>
      <c r="F218" s="43" t="n">
        <f aca="false">IFERROR(INDEX('מדי '!$D:$D,MATCH($A218,'מדי '!$B:$B,0)),"")</f>
        <v>5.9</v>
      </c>
      <c r="G218" s="43" t="n">
        <f aca="false">IFERROR(INDEX('מדי '!$E:$E,MATCH($A218,'מדי '!$B:$B,0)),"")</f>
        <v>5</v>
      </c>
      <c r="H218" s="43" t="n">
        <f aca="false">IFERROR(INDEX('מדי '!$F:$F,MATCH($A218,'מדי '!$B:$B,0)),"")</f>
        <v>1.20950854237974</v>
      </c>
    </row>
    <row r="219" customFormat="false" ht="15" hidden="false" customHeight="false" outlineLevel="0" collapsed="false">
      <c r="A219" s="41" t="s">
        <v>208</v>
      </c>
      <c r="B219" s="42" t="str">
        <f aca="false">IF(AND(COUNTIF(ניו!$B:$B,$A219)&gt;0,COUNTIF('מדי '!$B:$B,$A219)&gt;0),"NZ + מדי",IF(COUNTIF(ניו!$B:$B,$A219)&gt;0,"NZ","מדי"))</f>
        <v>מדי</v>
      </c>
      <c r="C219" s="43" t="n">
        <f aca="false">IFERROR(INDEX(ניו!$C:$C,MATCH($A219,ניו!$B:$B,0)),IFERROR(INDEX('מדי '!$C:$C,MATCH($A219,'מדי '!$B:$B,0)),""))</f>
        <v>21.6744564934133</v>
      </c>
      <c r="D219" s="43" t="str">
        <f aca="false">IFERROR(INDEX(ניו!$D:$D,MATCH($A219,ניו!$B:$B,0)),"")</f>
        <v/>
      </c>
      <c r="E219" s="43" t="str">
        <f aca="false">IFERROR(INDEX(ניו!$E:$E,MATCH($A219,ניו!$B:$B,0)),"")</f>
        <v/>
      </c>
      <c r="F219" s="43" t="n">
        <f aca="false">IFERROR(INDEX('מדי '!$D:$D,MATCH($A219,'מדי '!$B:$B,0)),"")</f>
        <v>12.12</v>
      </c>
      <c r="G219" s="43" t="n">
        <f aca="false">IFERROR(INDEX('מדי '!$E:$E,MATCH($A219,'מדי '!$B:$B,0)),"")</f>
        <v>10.4672727272727</v>
      </c>
      <c r="H219" s="43" t="n">
        <f aca="false">IFERROR(INDEX('מדי '!$F:$F,MATCH($A219,'מדי '!$B:$B,0)),"")</f>
        <v>1.6178197431165</v>
      </c>
    </row>
    <row r="220" customFormat="false" ht="15" hidden="false" customHeight="false" outlineLevel="0" collapsed="false">
      <c r="A220" s="41" t="s">
        <v>209</v>
      </c>
      <c r="B220" s="42" t="str">
        <f aca="false">IF(AND(COUNTIF(ניו!$B:$B,$A220)&gt;0,COUNTIF('מדי '!$B:$B,$A220)&gt;0),"NZ + מדי",IF(COUNTIF(ניו!$B:$B,$A220)&gt;0,"NZ","מדי"))</f>
        <v>מדי</v>
      </c>
      <c r="C220" s="43" t="n">
        <f aca="false">IFERROR(INDEX(ניו!$C:$C,MATCH($A220,ניו!$B:$B,0)),IFERROR(INDEX('מדי '!$C:$C,MATCH($A220,'מדי '!$B:$B,0)),""))</f>
        <v>66.126621822107</v>
      </c>
      <c r="D220" s="43" t="str">
        <f aca="false">IFERROR(INDEX(ניו!$D:$D,MATCH($A220,ניו!$B:$B,0)),"")</f>
        <v/>
      </c>
      <c r="E220" s="43" t="str">
        <f aca="false">IFERROR(INDEX(ניו!$E:$E,MATCH($A220,ניו!$B:$B,0)),"")</f>
        <v/>
      </c>
      <c r="F220" s="43" t="n">
        <f aca="false">IFERROR(INDEX('מדי '!$D:$D,MATCH($A220,'מדי '!$B:$B,0)),"")</f>
        <v>25.6</v>
      </c>
      <c r="G220" s="43" t="n">
        <f aca="false">IFERROR(INDEX('מדי '!$E:$E,MATCH($A220,'מדי '!$B:$B,0)),"")</f>
        <v>22.1090909090909</v>
      </c>
      <c r="H220" s="43" t="n">
        <f aca="false">IFERROR(INDEX('מדי '!$F:$F,MATCH($A220,'מדי '!$B:$B,0)),"")</f>
        <v>1.12005501724713</v>
      </c>
    </row>
    <row r="221" customFormat="false" ht="15" hidden="false" customHeight="false" outlineLevel="0" collapsed="false">
      <c r="A221" s="41" t="n">
        <v>44</v>
      </c>
      <c r="B221" s="42" t="str">
        <f aca="false">IF(AND(COUNTIF(ניו!$B:$B,$A221)&gt;0,COUNTIF('מדי '!$B:$B,$A221)&gt;0),"NZ + מדי",IF(COUNTIF(ניו!$B:$B,$A221)&gt;0,"NZ","מדי"))</f>
        <v>מדי</v>
      </c>
      <c r="C221" s="43" t="n">
        <f aca="false">IFERROR(INDEX(ניו!$C:$C,MATCH($A221,ניו!$B:$B,0)),IFERROR(INDEX('מדי '!$C:$C,MATCH($A221,'מדי '!$B:$B,0)),""))</f>
        <v>125.031010714627</v>
      </c>
      <c r="D221" s="43" t="str">
        <f aca="false">IFERROR(INDEX(ניו!$D:$D,MATCH($A221,ניו!$B:$B,0)),"")</f>
        <v/>
      </c>
      <c r="E221" s="43" t="str">
        <f aca="false">IFERROR(INDEX(ניו!$E:$E,MATCH($A221,ניו!$B:$B,0)),"")</f>
        <v/>
      </c>
      <c r="F221" s="43" t="n">
        <f aca="false">IFERROR(INDEX('מדי '!$D:$D,MATCH($A221,'מדי '!$B:$B,0)),"")</f>
        <v>59</v>
      </c>
      <c r="G221" s="43" t="n">
        <f aca="false">IFERROR(INDEX('מדי '!$E:$E,MATCH($A221,'מדי '!$B:$B,0)),"")</f>
        <v>50.9545454545455</v>
      </c>
      <c r="H221" s="43" t="n">
        <f aca="false">IFERROR(INDEX('מדי '!$F:$F,MATCH($A221,'מדי '!$B:$B,0)),"")</f>
        <v>1.36524312086328</v>
      </c>
    </row>
    <row r="222" customFormat="false" ht="15" hidden="false" customHeight="false" outlineLevel="0" collapsed="false">
      <c r="A222" s="41" t="s">
        <v>210</v>
      </c>
      <c r="B222" s="42" t="str">
        <f aca="false">IF(AND(COUNTIF(ניו!$B:$B,$A222)&gt;0,COUNTIF('מדי '!$B:$B,$A222)&gt;0),"NZ + מדי",IF(COUNTIF(ניו!$B:$B,$A222)&gt;0,"NZ","מדי"))</f>
        <v>מדי</v>
      </c>
      <c r="C222" s="43" t="n">
        <f aca="false">IFERROR(INDEX(ניו!$C:$C,MATCH($A222,ניו!$B:$B,0)),IFERROR(INDEX('מדי '!$C:$C,MATCH($A222,'מדי '!$B:$B,0)),""))</f>
        <v>6.9550236144621</v>
      </c>
      <c r="D222" s="43" t="str">
        <f aca="false">IFERROR(INDEX(ניו!$D:$D,MATCH($A222,ניו!$B:$B,0)),"")</f>
        <v/>
      </c>
      <c r="E222" s="43" t="str">
        <f aca="false">IFERROR(INDEX(ניו!$E:$E,MATCH($A222,ניו!$B:$B,0)),"")</f>
        <v/>
      </c>
      <c r="F222" s="43" t="n">
        <f aca="false">IFERROR(INDEX('מדי '!$D:$D,MATCH($A222,'מדי '!$B:$B,0)),"")</f>
        <v>3.85</v>
      </c>
      <c r="G222" s="43" t="n">
        <f aca="false">IFERROR(INDEX('מדי '!$E:$E,MATCH($A222,'מדי '!$B:$B,0)),"")</f>
        <v>3.325</v>
      </c>
      <c r="H222" s="43" t="n">
        <f aca="false">IFERROR(INDEX('מדי '!$F:$F,MATCH($A222,'מדי '!$B:$B,0)),"")</f>
        <v>1.60154021286691</v>
      </c>
    </row>
    <row r="223" customFormat="false" ht="15" hidden="false" customHeight="false" outlineLevel="0" collapsed="false">
      <c r="A223" s="41" t="s">
        <v>211</v>
      </c>
      <c r="B223" s="42" t="str">
        <f aca="false">IF(AND(COUNTIF(ניו!$B:$B,$A223)&gt;0,COUNTIF('מדי '!$B:$B,$A223)&gt;0),"NZ + מדי",IF(COUNTIF(ניו!$B:$B,$A223)&gt;0,"NZ","מדי"))</f>
        <v>מדי</v>
      </c>
      <c r="C223" s="43" t="n">
        <f aca="false">IFERROR(INDEX(ניו!$C:$C,MATCH($A223,ניו!$B:$B,0)),IFERROR(INDEX('מדי '!$C:$C,MATCH($A223,'מדי '!$B:$B,0)),""))</f>
        <v>7.42343472106626</v>
      </c>
      <c r="D223" s="43" t="str">
        <f aca="false">IFERROR(INDEX(ניו!$D:$D,MATCH($A223,ניו!$B:$B,0)),"")</f>
        <v/>
      </c>
      <c r="E223" s="43" t="str">
        <f aca="false">IFERROR(INDEX(ניו!$E:$E,MATCH($A223,ניו!$B:$B,0)),"")</f>
        <v/>
      </c>
      <c r="F223" s="43" t="n">
        <f aca="false">IFERROR(INDEX('מדי '!$D:$D,MATCH($A223,'מדי '!$B:$B,0)),"")</f>
        <v>2.9</v>
      </c>
      <c r="G223" s="43" t="n">
        <f aca="false">IFERROR(INDEX('מדי '!$E:$E,MATCH($A223,'מדי '!$B:$B,0)),"")</f>
        <v>2.50454545454545</v>
      </c>
      <c r="H223" s="43" t="n">
        <f aca="false">IFERROR(INDEX('מדי '!$F:$F,MATCH($A223,'מדי '!$B:$B,0)),"")</f>
        <v>1.13023520620683</v>
      </c>
    </row>
    <row r="224" customFormat="false" ht="15" hidden="false" customHeight="false" outlineLevel="0" collapsed="false">
      <c r="A224" s="41" t="n">
        <v>62</v>
      </c>
      <c r="B224" s="42" t="str">
        <f aca="false">IF(AND(COUNTIF(ניו!$B:$B,$A224)&gt;0,COUNTIF('מדי '!$B:$B,$A224)&gt;0),"NZ + מדי",IF(COUNTIF(ניו!$B:$B,$A224)&gt;0,"NZ","מדי"))</f>
        <v>מדי</v>
      </c>
      <c r="C224" s="43" t="n">
        <f aca="false">IFERROR(INDEX(ניו!$C:$C,MATCH($A224,ניו!$B:$B,0)),IFERROR(INDEX('מדי '!$C:$C,MATCH($A224,'מדי '!$B:$B,0)),""))</f>
        <v>17.7573261960886</v>
      </c>
      <c r="D224" s="43" t="str">
        <f aca="false">IFERROR(INDEX(ניו!$D:$D,MATCH($A224,ניו!$B:$B,0)),"")</f>
        <v/>
      </c>
      <c r="E224" s="43" t="str">
        <f aca="false">IFERROR(INDEX(ניו!$E:$E,MATCH($A224,ניו!$B:$B,0)),"")</f>
        <v/>
      </c>
      <c r="F224" s="43" t="n">
        <f aca="false">IFERROR(INDEX('מדי '!$D:$D,MATCH($A224,'מדי '!$B:$B,0)),"")</f>
        <v>8.95</v>
      </c>
      <c r="G224" s="43" t="n">
        <f aca="false">IFERROR(INDEX('מדי '!$E:$E,MATCH($A224,'מדי '!$B:$B,0)),"")</f>
        <v>7.72954545454545</v>
      </c>
      <c r="H224" s="43" t="n">
        <f aca="false">IFERROR(INDEX('מדי '!$F:$F,MATCH($A224,'מדי '!$B:$B,0)),"")</f>
        <v>1.45821375283577</v>
      </c>
    </row>
    <row r="225" customFormat="false" ht="15" hidden="false" customHeight="false" outlineLevel="0" collapsed="false">
      <c r="A225" s="41" t="s">
        <v>212</v>
      </c>
      <c r="B225" s="42" t="str">
        <f aca="false">IF(AND(COUNTIF(ניו!$B:$B,$A225)&gt;0,COUNTIF('מדי '!$B:$B,$A225)&gt;0),"NZ + מדי",IF(COUNTIF(ניו!$B:$B,$A225)&gt;0,"NZ","מדי"))</f>
        <v>מדי</v>
      </c>
      <c r="C225" s="43" t="n">
        <f aca="false">IFERROR(INDEX(ניו!$C:$C,MATCH($A225,ניו!$B:$B,0)),IFERROR(INDEX('מדי '!$C:$C,MATCH($A225,'מדי '!$B:$B,0)),""))</f>
        <v>15.7955228488431</v>
      </c>
      <c r="D225" s="43" t="str">
        <f aca="false">IFERROR(INDEX(ניו!$D:$D,MATCH($A225,ניו!$B:$B,0)),"")</f>
        <v/>
      </c>
      <c r="E225" s="43" t="str">
        <f aca="false">IFERROR(INDEX(ניו!$E:$E,MATCH($A225,ניו!$B:$B,0)),"")</f>
        <v/>
      </c>
      <c r="F225" s="43" t="n">
        <f aca="false">IFERROR(INDEX('מדי '!$D:$D,MATCH($A225,'מדי '!$B:$B,0)),"")</f>
        <v>8.48</v>
      </c>
      <c r="G225" s="43" t="n">
        <f aca="false">IFERROR(INDEX('מדי '!$E:$E,MATCH($A225,'מדי '!$B:$B,0)),"")</f>
        <v>7.32363636363636</v>
      </c>
      <c r="H225" s="43" t="n">
        <f aca="false">IFERROR(INDEX('מדי '!$F:$F,MATCH($A225,'מדי '!$B:$B,0)),"")</f>
        <v>1.55323644889532</v>
      </c>
    </row>
    <row r="226" customFormat="false" ht="15" hidden="false" customHeight="false" outlineLevel="0" collapsed="false">
      <c r="A226" s="41" t="s">
        <v>213</v>
      </c>
      <c r="B226" s="42" t="str">
        <f aca="false">IF(AND(COUNTIF(ניו!$B:$B,$A226)&gt;0,COUNTIF('מדי '!$B:$B,$A226)&gt;0),"NZ + מדי",IF(COUNTIF(ניו!$B:$B,$A226)&gt;0,"NZ","מדי"))</f>
        <v>מדי</v>
      </c>
      <c r="C226" s="43" t="n">
        <f aca="false">IFERROR(INDEX(ניו!$C:$C,MATCH($A226,ניו!$B:$B,0)),IFERROR(INDEX('מדי '!$C:$C,MATCH($A226,'מדי '!$B:$B,0)),""))</f>
        <v>116.795696905356</v>
      </c>
      <c r="D226" s="43" t="str">
        <f aca="false">IFERROR(INDEX(ניו!$D:$D,MATCH($A226,ניו!$B:$B,0)),"")</f>
        <v/>
      </c>
      <c r="E226" s="43" t="str">
        <f aca="false">IFERROR(INDEX(ניו!$E:$E,MATCH($A226,ניו!$B:$B,0)),"")</f>
        <v/>
      </c>
      <c r="F226" s="43" t="n">
        <f aca="false">IFERROR(INDEX('מדי '!$D:$D,MATCH($A226,'מדי '!$B:$B,0)),"")</f>
        <v>52.3</v>
      </c>
      <c r="G226" s="43" t="n">
        <f aca="false">IFERROR(INDEX('מדי '!$E:$E,MATCH($A226,'מדי '!$B:$B,0)),"")</f>
        <v>45.1681818181818</v>
      </c>
      <c r="H226" s="43" t="n">
        <f aca="false">IFERROR(INDEX('מדי '!$F:$F,MATCH($A226,'מדי '!$B:$B,0)),"")</f>
        <v>1.29553924588099</v>
      </c>
    </row>
    <row r="227" customFormat="false" ht="15" hidden="false" customHeight="false" outlineLevel="0" collapsed="false">
      <c r="A227" s="41" t="n">
        <v>74</v>
      </c>
      <c r="B227" s="42" t="str">
        <f aca="false">IF(AND(COUNTIF(ניו!$B:$B,$A227)&gt;0,COUNTIF('מדי '!$B:$B,$A227)&gt;0),"NZ + מדי",IF(COUNTIF(ניו!$B:$B,$A227)&gt;0,"NZ","מדי"))</f>
        <v>מדי</v>
      </c>
      <c r="C227" s="43" t="n">
        <f aca="false">IFERROR(INDEX(ניו!$C:$C,MATCH($A227,ניו!$B:$B,0)),IFERROR(INDEX('מדי '!$C:$C,MATCH($A227,'מדי '!$B:$B,0)),""))</f>
        <v>45.6506543564374</v>
      </c>
      <c r="D227" s="43" t="str">
        <f aca="false">IFERROR(INDEX(ניו!$D:$D,MATCH($A227,ניו!$B:$B,0)),"")</f>
        <v/>
      </c>
      <c r="E227" s="43" t="str">
        <f aca="false">IFERROR(INDEX(ניו!$E:$E,MATCH($A227,ניו!$B:$B,0)),"")</f>
        <v/>
      </c>
      <c r="F227" s="43" t="n">
        <f aca="false">IFERROR(INDEX('מדי '!$D:$D,MATCH($A227,'מדי '!$B:$B,0)),"")</f>
        <v>29.08</v>
      </c>
      <c r="G227" s="43" t="n">
        <f aca="false">IFERROR(INDEX('מדי '!$E:$E,MATCH($A227,'מדי '!$B:$B,0)),"")</f>
        <v>25.1145454545455</v>
      </c>
      <c r="H227" s="43" t="n">
        <f aca="false">IFERROR(INDEX('מדי '!$F:$F,MATCH($A227,'מדי '!$B:$B,0)),"")</f>
        <v>1.84299060898046</v>
      </c>
    </row>
    <row r="228" customFormat="false" ht="15" hidden="false" customHeight="false" outlineLevel="0" collapsed="false">
      <c r="A228" s="41" t="s">
        <v>214</v>
      </c>
      <c r="B228" s="42" t="str">
        <f aca="false">IF(AND(COUNTIF(ניו!$B:$B,$A228)&gt;0,COUNTIF('מדי '!$B:$B,$A228)&gt;0),"NZ + מדי",IF(COUNTIF(ניו!$B:$B,$A228)&gt;0,"NZ","מדי"))</f>
        <v>מדי</v>
      </c>
      <c r="C228" s="43" t="n">
        <f aca="false">IFERROR(INDEX(ניו!$C:$C,MATCH($A228,ניו!$B:$B,0)),IFERROR(INDEX('מדי '!$C:$C,MATCH($A228,'מדי '!$B:$B,0)),""))</f>
        <v>150.433227056017</v>
      </c>
      <c r="D228" s="43" t="str">
        <f aca="false">IFERROR(INDEX(ניו!$D:$D,MATCH($A228,ניו!$B:$B,0)),"")</f>
        <v/>
      </c>
      <c r="E228" s="43" t="str">
        <f aca="false">IFERROR(INDEX(ניו!$E:$E,MATCH($A228,ניו!$B:$B,0)),"")</f>
        <v/>
      </c>
      <c r="F228" s="43" t="n">
        <f aca="false">IFERROR(INDEX('מדי '!$D:$D,MATCH($A228,'מדי '!$B:$B,0)),"")</f>
        <v>65.2</v>
      </c>
      <c r="G228" s="43" t="n">
        <f aca="false">IFERROR(INDEX('מדי '!$E:$E,MATCH($A228,'מדי '!$B:$B,0)),"")</f>
        <v>56.3090909090909</v>
      </c>
      <c r="H228" s="43" t="n">
        <f aca="false">IFERROR(INDEX('מדי '!$F:$F,MATCH($A228,'מדי '!$B:$B,0)),"")</f>
        <v>1.25394806876816</v>
      </c>
    </row>
    <row r="229" customFormat="false" ht="15" hidden="false" customHeight="false" outlineLevel="0" collapsed="false">
      <c r="A229" s="41" t="n">
        <v>777</v>
      </c>
      <c r="B229" s="42" t="str">
        <f aca="false">IF(AND(COUNTIF(ניו!$B:$B,$A229)&gt;0,COUNTIF('מדי '!$B:$B,$A229)&gt;0),"NZ + מדי",IF(COUNTIF(ניו!$B:$B,$A229)&gt;0,"NZ","מדי"))</f>
        <v>מדי</v>
      </c>
      <c r="C229" s="43" t="n">
        <f aca="false">IFERROR(INDEX(ניו!$C:$C,MATCH($A229,ניו!$B:$B,0)),IFERROR(INDEX('מדי '!$C:$C,MATCH($A229,'מדי '!$B:$B,0)),""))</f>
        <v>133.608482032405</v>
      </c>
      <c r="D229" s="43" t="str">
        <f aca="false">IFERROR(INDEX(ניו!$D:$D,MATCH($A229,ניו!$B:$B,0)),"")</f>
        <v/>
      </c>
      <c r="E229" s="43" t="str">
        <f aca="false">IFERROR(INDEX(ניו!$E:$E,MATCH($A229,ניו!$B:$B,0)),"")</f>
        <v/>
      </c>
      <c r="F229" s="43" t="n">
        <f aca="false">IFERROR(INDEX('מדי '!$D:$D,MATCH($A229,'מדי '!$B:$B,0)),"")</f>
        <v>62.5</v>
      </c>
      <c r="G229" s="43" t="n">
        <f aca="false">IFERROR(INDEX('מדי '!$E:$E,MATCH($A229,'מדי '!$B:$B,0)),"")</f>
        <v>53.9772727272727</v>
      </c>
      <c r="H229" s="43" t="n">
        <f aca="false">IFERROR(INDEX('מדי '!$F:$F,MATCH($A229,'מדי '!$B:$B,0)),"")</f>
        <v>1.35338610906834</v>
      </c>
    </row>
    <row r="230" customFormat="false" ht="15" hidden="false" customHeight="false" outlineLevel="0" collapsed="false">
      <c r="A230" s="41" t="s">
        <v>215</v>
      </c>
      <c r="B230" s="42" t="str">
        <f aca="false">IF(AND(COUNTIF(ניו!$B:$B,$A230)&gt;0,COUNTIF('מדי '!$B:$B,$A230)&gt;0),"NZ + מדי",IF(COUNTIF(ניו!$B:$B,$A230)&gt;0,"NZ","מדי"))</f>
        <v>מדי</v>
      </c>
      <c r="C230" s="43" t="n">
        <f aca="false">IFERROR(INDEX(ניו!$C:$C,MATCH($A230,ניו!$B:$B,0)),IFERROR(INDEX('מדי '!$C:$C,MATCH($A230,'מדי '!$B:$B,0)),""))</f>
        <v>28.2397546540508</v>
      </c>
      <c r="D230" s="43" t="str">
        <f aca="false">IFERROR(INDEX(ניו!$D:$D,MATCH($A230,ניו!$B:$B,0)),"")</f>
        <v/>
      </c>
      <c r="E230" s="43" t="str">
        <f aca="false">IFERROR(INDEX(ניו!$E:$E,MATCH($A230,ניו!$B:$B,0)),"")</f>
        <v/>
      </c>
      <c r="F230" s="43" t="n">
        <f aca="false">IFERROR(INDEX('מדי '!$D:$D,MATCH($A230,'מדי '!$B:$B,0)),"")</f>
        <v>14.14</v>
      </c>
      <c r="G230" s="43" t="n">
        <f aca="false">IFERROR(INDEX('מדי '!$E:$E,MATCH($A230,'מדי '!$B:$B,0)),"")</f>
        <v>12.2118181818182</v>
      </c>
      <c r="H230" s="43" t="n">
        <f aca="false">IFERROR(INDEX('מדי '!$F:$F,MATCH($A230,'מדי '!$B:$B,0)),"")</f>
        <v>1.44865249044304</v>
      </c>
    </row>
    <row r="231" customFormat="false" ht="15" hidden="false" customHeight="false" outlineLevel="0" collapsed="false">
      <c r="A231" s="41" t="s">
        <v>216</v>
      </c>
      <c r="B231" s="42" t="str">
        <f aca="false">IF(AND(COUNTIF(ניו!$B:$B,$A231)&gt;0,COUNTIF('מדי '!$B:$B,$A231)&gt;0),"NZ + מדי",IF(COUNTIF(ניו!$B:$B,$A231)&gt;0,"NZ","מדי"))</f>
        <v>מדי</v>
      </c>
      <c r="C231" s="43" t="n">
        <f aca="false">IFERROR(INDEX(ניו!$C:$C,MATCH($A231,ניו!$B:$B,0)),IFERROR(INDEX('מדי '!$C:$C,MATCH($A231,'מדי '!$B:$B,0)),""))</f>
        <v>50.618217199181</v>
      </c>
      <c r="D231" s="43" t="str">
        <f aca="false">IFERROR(INDEX(ניו!$D:$D,MATCH($A231,ניו!$B:$B,0)),"")</f>
        <v/>
      </c>
      <c r="E231" s="43" t="str">
        <f aca="false">IFERROR(INDEX(ניו!$E:$E,MATCH($A231,ניו!$B:$B,0)),"")</f>
        <v/>
      </c>
      <c r="F231" s="43" t="n">
        <f aca="false">IFERROR(INDEX('מדי '!$D:$D,MATCH($A231,'מדי '!$B:$B,0)),"")</f>
        <v>19.8</v>
      </c>
      <c r="G231" s="43" t="n">
        <f aca="false">IFERROR(INDEX('מדי '!$E:$E,MATCH($A231,'מדי '!$B:$B,0)),"")</f>
        <v>17.1</v>
      </c>
      <c r="H231" s="43" t="n">
        <f aca="false">IFERROR(INDEX('מדי '!$F:$F,MATCH($A231,'מדי '!$B:$B,0)),"")</f>
        <v>1.13170718309943</v>
      </c>
    </row>
    <row r="232" customFormat="false" ht="15" hidden="false" customHeight="false" outlineLevel="0" collapsed="false">
      <c r="A232" s="41" t="n">
        <v>8011</v>
      </c>
      <c r="B232" s="42" t="str">
        <f aca="false">IF(AND(COUNTIF(ניו!$B:$B,$A232)&gt;0,COUNTIF('מדי '!$B:$B,$A232)&gt;0),"NZ + מדי",IF(COUNTIF(ניו!$B:$B,$A232)&gt;0,"NZ","מדי"))</f>
        <v>מדי</v>
      </c>
      <c r="C232" s="43" t="n">
        <f aca="false">IFERROR(INDEX(ניו!$C:$C,MATCH($A232,ניו!$B:$B,0)),IFERROR(INDEX('מדי '!$C:$C,MATCH($A232,'מדי '!$B:$B,0)),""))</f>
        <v>2.81</v>
      </c>
      <c r="D232" s="43" t="str">
        <f aca="false">IFERROR(INDEX(ניו!$D:$D,MATCH($A232,ניו!$B:$B,0)),"")</f>
        <v/>
      </c>
      <c r="E232" s="43" t="str">
        <f aca="false">IFERROR(INDEX(ניו!$E:$E,MATCH($A232,ניו!$B:$B,0)),"")</f>
        <v/>
      </c>
      <c r="F232" s="43" t="n">
        <f aca="false">IFERROR(INDEX('מדי '!$D:$D,MATCH($A232,'מדי '!$B:$B,0)),"")</f>
        <v>2.3</v>
      </c>
      <c r="G232" s="43" t="n">
        <f aca="false">IFERROR(INDEX('מדי '!$E:$E,MATCH($A232,'מדי '!$B:$B,0)),"")</f>
        <v>1.5</v>
      </c>
      <c r="H232" s="43" t="n">
        <f aca="false">IFERROR(INDEX('מדי '!$F:$F,MATCH($A232,'מדי '!$B:$B,0)),"")</f>
        <v>1.78825622775801</v>
      </c>
    </row>
    <row r="233" customFormat="false" ht="15" hidden="false" customHeight="false" outlineLevel="0" collapsed="false">
      <c r="A233" s="41" t="n">
        <v>84</v>
      </c>
      <c r="B233" s="42" t="str">
        <f aca="false">IF(AND(COUNTIF(ניו!$B:$B,$A233)&gt;0,COUNTIF('מדי '!$B:$B,$A233)&gt;0),"NZ + מדי",IF(COUNTIF(ניו!$B:$B,$A233)&gt;0,"NZ","מדי"))</f>
        <v>מדי</v>
      </c>
      <c r="C233" s="43" t="n">
        <f aca="false">IFERROR(INDEX(ניו!$C:$C,MATCH($A233,ניו!$B:$B,0)),IFERROR(INDEX('מדי '!$C:$C,MATCH($A233,'מדי '!$B:$B,0)),""))</f>
        <v>47.1799764748352</v>
      </c>
      <c r="D233" s="43" t="str">
        <f aca="false">IFERROR(INDEX(ניו!$D:$D,MATCH($A233,ניו!$B:$B,0)),"")</f>
        <v/>
      </c>
      <c r="E233" s="43" t="str">
        <f aca="false">IFERROR(INDEX(ניו!$E:$E,MATCH($A233,ניו!$B:$B,0)),"")</f>
        <v/>
      </c>
      <c r="F233" s="43" t="n">
        <f aca="false">IFERROR(INDEX('מדי '!$D:$D,MATCH($A233,'מדי '!$B:$B,0)),"")</f>
        <v>21.63</v>
      </c>
      <c r="G233" s="43" t="n">
        <f aca="false">IFERROR(INDEX('מדי '!$E:$E,MATCH($A233,'מדי '!$B:$B,0)),"")</f>
        <v>18.6804545454545</v>
      </c>
      <c r="H233" s="43" t="n">
        <f aca="false">IFERROR(INDEX('מדי '!$F:$F,MATCH($A233,'מדי '!$B:$B,0)),"")</f>
        <v>1.32640004092947</v>
      </c>
    </row>
    <row r="234" customFormat="false" ht="15" hidden="false" customHeight="false" outlineLevel="0" collapsed="false">
      <c r="A234" s="41" t="n">
        <v>922</v>
      </c>
      <c r="B234" s="42" t="str">
        <f aca="false">IF(AND(COUNTIF(ניו!$B:$B,$A234)&gt;0,COUNTIF('מדי '!$B:$B,$A234)&gt;0),"NZ + מדי",IF(COUNTIF(ניו!$B:$B,$A234)&gt;0,"NZ","מדי"))</f>
        <v>מדי</v>
      </c>
      <c r="C234" s="43" t="n">
        <f aca="false">IFERROR(INDEX(ניו!$C:$C,MATCH($A234,ניו!$B:$B,0)),IFERROR(INDEX('מדי '!$C:$C,MATCH($A234,'מדי '!$B:$B,0)),""))</f>
        <v>46.1223430221306</v>
      </c>
      <c r="D234" s="43" t="str">
        <f aca="false">IFERROR(INDEX(ניו!$D:$D,MATCH($A234,ניו!$B:$B,0)),"")</f>
        <v/>
      </c>
      <c r="E234" s="43" t="str">
        <f aca="false">IFERROR(INDEX(ניו!$E:$E,MATCH($A234,ניו!$B:$B,0)),"")</f>
        <v/>
      </c>
      <c r="F234" s="43" t="n">
        <f aca="false">IFERROR(INDEX('מדי '!$D:$D,MATCH($A234,'מדי '!$B:$B,0)),"")</f>
        <v>17.3</v>
      </c>
      <c r="G234" s="43" t="n">
        <f aca="false">IFERROR(INDEX('מדי '!$E:$E,MATCH($A234,'מדי '!$B:$B,0)),"")</f>
        <v>14.9409090909091</v>
      </c>
      <c r="H234" s="43" t="n">
        <f aca="false">IFERROR(INDEX('מדי '!$F:$F,MATCH($A234,'מדי '!$B:$B,0)),"")</f>
        <v>1.08520170864974</v>
      </c>
    </row>
    <row r="235" customFormat="false" ht="15" hidden="false" customHeight="false" outlineLevel="0" collapsed="false">
      <c r="A235" s="41" t="s">
        <v>217</v>
      </c>
      <c r="B235" s="42" t="str">
        <f aca="false">IF(AND(COUNTIF(ניו!$B:$B,$A235)&gt;0,COUNTIF('מדי '!$B:$B,$A235)&gt;0),"NZ + מדי",IF(COUNTIF(ניו!$B:$B,$A235)&gt;0,"NZ","מדי"))</f>
        <v>מדי</v>
      </c>
      <c r="C235" s="43" t="n">
        <f aca="false">IFERROR(INDEX(ניו!$C:$C,MATCH($A235,ניו!$B:$B,0)),IFERROR(INDEX('מדי '!$C:$C,MATCH($A235,'מדי '!$B:$B,0)),""))</f>
        <v>7.22899080414943</v>
      </c>
      <c r="D235" s="43" t="str">
        <f aca="false">IFERROR(INDEX(ניו!$D:$D,MATCH($A235,ניו!$B:$B,0)),"")</f>
        <v/>
      </c>
      <c r="E235" s="43" t="str">
        <f aca="false">IFERROR(INDEX(ניו!$E:$E,MATCH($A235,ניו!$B:$B,0)),"")</f>
        <v/>
      </c>
      <c r="F235" s="43" t="n">
        <f aca="false">IFERROR(INDEX('מדי '!$D:$D,MATCH($A235,'מדי '!$B:$B,0)),"")</f>
        <v>3.85</v>
      </c>
      <c r="G235" s="43" t="n">
        <f aca="false">IFERROR(INDEX('מדי '!$E:$E,MATCH($A235,'מדי '!$B:$B,0)),"")</f>
        <v>2.9</v>
      </c>
      <c r="H235" s="43" t="n">
        <f aca="false">IFERROR(INDEX('מדי '!$F:$F,MATCH($A235,'מדי '!$B:$B,0)),"")</f>
        <v>1.34389436412391</v>
      </c>
    </row>
    <row r="236" customFormat="false" ht="15" hidden="false" customHeight="false" outlineLevel="0" collapsed="false">
      <c r="A236" s="41" t="s">
        <v>218</v>
      </c>
      <c r="B236" s="42" t="str">
        <f aca="false">IF(AND(COUNTIF(ניו!$B:$B,$A236)&gt;0,COUNTIF('מדי '!$B:$B,$A236)&gt;0),"NZ + מדי",IF(COUNTIF(ניו!$B:$B,$A236)&gt;0,"NZ","מדי"))</f>
        <v>מדי</v>
      </c>
      <c r="C236" s="43" t="n">
        <f aca="false">IFERROR(INDEX(ניו!$C:$C,MATCH($A236,ניו!$B:$B,0)),IFERROR(INDEX('מדי '!$C:$C,MATCH($A236,'מדי '!$B:$B,0)),""))</f>
        <v>6.90862143537299</v>
      </c>
      <c r="D236" s="43" t="str">
        <f aca="false">IFERROR(INDEX(ניו!$D:$D,MATCH($A236,ניו!$B:$B,0)),"")</f>
        <v/>
      </c>
      <c r="E236" s="43" t="str">
        <f aca="false">IFERROR(INDEX(ניו!$E:$E,MATCH($A236,ניו!$B:$B,0)),"")</f>
        <v/>
      </c>
      <c r="F236" s="43" t="n">
        <f aca="false">IFERROR(INDEX('מדי '!$D:$D,MATCH($A236,'מדי '!$B:$B,0)),"")</f>
        <v>4.25</v>
      </c>
      <c r="G236" s="43" t="n">
        <f aca="false">IFERROR(INDEX('מדי '!$E:$E,MATCH($A236,'מדי '!$B:$B,0)),"")</f>
        <v>2.4</v>
      </c>
      <c r="H236" s="43" t="n">
        <f aca="false">IFERROR(INDEX('מדי '!$F:$F,MATCH($A236,'מדי '!$B:$B,0)),"")</f>
        <v>1.16376328840863</v>
      </c>
    </row>
    <row r="237" customFormat="false" ht="15" hidden="false" customHeight="false" outlineLevel="0" collapsed="false">
      <c r="A237" s="41" t="s">
        <v>219</v>
      </c>
      <c r="B237" s="42" t="str">
        <f aca="false">IF(AND(COUNTIF(ניו!$B:$B,$A237)&gt;0,COUNTIF('מדי '!$B:$B,$A237)&gt;0),"NZ + מדי",IF(COUNTIF(ניו!$B:$B,$A237)&gt;0,"NZ","מדי"))</f>
        <v>מדי</v>
      </c>
      <c r="C237" s="43" t="n">
        <f aca="false">IFERROR(INDEX(ניו!$C:$C,MATCH($A237,ניו!$B:$B,0)),IFERROR(INDEX('מדי '!$C:$C,MATCH($A237,'מדי '!$B:$B,0)),""))</f>
        <v>17.4118834552733</v>
      </c>
      <c r="D237" s="43" t="str">
        <f aca="false">IFERROR(INDEX(ניו!$D:$D,MATCH($A237,ניו!$B:$B,0)),"")</f>
        <v/>
      </c>
      <c r="E237" s="43" t="str">
        <f aca="false">IFERROR(INDEX(ניו!$E:$E,MATCH($A237,ניו!$B:$B,0)),"")</f>
        <v/>
      </c>
      <c r="F237" s="43" t="n">
        <f aca="false">IFERROR(INDEX('מדי '!$D:$D,MATCH($A237,'מדי '!$B:$B,0)),"")</f>
        <v>8.9</v>
      </c>
      <c r="G237" s="43" t="n">
        <f aca="false">IFERROR(INDEX('מדי '!$E:$E,MATCH($A237,'מדי '!$B:$B,0)),"")</f>
        <v>7.68636363636364</v>
      </c>
      <c r="H237" s="43" t="n">
        <f aca="false">IFERROR(INDEX('מדי '!$F:$F,MATCH($A237,'מדי '!$B:$B,0)),"")</f>
        <v>1.47883589089955</v>
      </c>
    </row>
    <row r="238" customFormat="false" ht="15" hidden="false" customHeight="false" outlineLevel="0" collapsed="false">
      <c r="A238" s="41" t="s">
        <v>220</v>
      </c>
      <c r="B238" s="42" t="str">
        <f aca="false">IF(AND(COUNTIF(ניו!$B:$B,$A238)&gt;0,COUNTIF('מדי '!$B:$B,$A238)&gt;0),"NZ + מדי",IF(COUNTIF(ניו!$B:$B,$A238)&gt;0,"NZ","מדי"))</f>
        <v>מדי</v>
      </c>
      <c r="C238" s="43" t="n">
        <f aca="false">IFERROR(INDEX(ניו!$C:$C,MATCH($A238,ניו!$B:$B,0)),IFERROR(INDEX('מדי '!$C:$C,MATCH($A238,'מדי '!$B:$B,0)),""))</f>
        <v>23.3127024957842</v>
      </c>
      <c r="D238" s="43" t="str">
        <f aca="false">IFERROR(INDEX(ניו!$D:$D,MATCH($A238,ניו!$B:$B,0)),"")</f>
        <v/>
      </c>
      <c r="E238" s="43" t="str">
        <f aca="false">IFERROR(INDEX(ניו!$E:$E,MATCH($A238,ניו!$B:$B,0)),"")</f>
        <v/>
      </c>
      <c r="F238" s="43" t="n">
        <f aca="false">IFERROR(INDEX('מדי '!$D:$D,MATCH($A238,'מדי '!$B:$B,0)),"")</f>
        <v>13.4</v>
      </c>
      <c r="G238" s="43" t="n">
        <f aca="false">IFERROR(INDEX('מדי '!$E:$E,MATCH($A238,'מדי '!$B:$B,0)),"")</f>
        <v>11.5727272727273</v>
      </c>
      <c r="H238" s="43" t="n">
        <f aca="false">IFERROR(INDEX('מדי '!$F:$F,MATCH($A238,'מדי '!$B:$B,0)),"")</f>
        <v>1.66298336156639</v>
      </c>
    </row>
    <row r="239" customFormat="false" ht="15" hidden="false" customHeight="false" outlineLevel="0" collapsed="false">
      <c r="A239" s="41" t="s">
        <v>221</v>
      </c>
      <c r="B239" s="42" t="str">
        <f aca="false">IF(AND(COUNTIF(ניו!$B:$B,$A239)&gt;0,COUNTIF('מדי '!$B:$B,$A239)&gt;0),"NZ + מדי",IF(COUNTIF(ניו!$B:$B,$A239)&gt;0,"NZ","מדי"))</f>
        <v>מדי</v>
      </c>
      <c r="C239" s="43" t="n">
        <f aca="false">IFERROR(INDEX(ניו!$C:$C,MATCH($A239,ניו!$B:$B,0)),IFERROR(INDEX('מדי '!$C:$C,MATCH($A239,'מדי '!$B:$B,0)),""))</f>
        <v>19.0813282186861</v>
      </c>
      <c r="D239" s="43" t="str">
        <f aca="false">IFERROR(INDEX(ניו!$D:$D,MATCH($A239,ניו!$B:$B,0)),"")</f>
        <v/>
      </c>
      <c r="E239" s="43" t="str">
        <f aca="false">IFERROR(INDEX(ניו!$E:$E,MATCH($A239,ניו!$B:$B,0)),"")</f>
        <v/>
      </c>
      <c r="F239" s="43" t="n">
        <f aca="false">IFERROR(INDEX('מדי '!$D:$D,MATCH($A239,'מדי '!$B:$B,0)),"")</f>
        <v>9</v>
      </c>
      <c r="G239" s="43" t="n">
        <f aca="false">IFERROR(INDEX('מדי '!$E:$E,MATCH($A239,'מדי '!$B:$B,0)),"")</f>
        <v>7.77272727272727</v>
      </c>
      <c r="H239" s="43" t="n">
        <f aca="false">IFERROR(INDEX('מדי '!$F:$F,MATCH($A239,'מדי '!$B:$B,0)),"")</f>
        <v>1.3646134097802</v>
      </c>
    </row>
    <row r="240" customFormat="false" ht="15" hidden="false" customHeight="false" outlineLevel="0" collapsed="false">
      <c r="A240" s="41" t="s">
        <v>222</v>
      </c>
      <c r="B240" s="42" t="str">
        <f aca="false">IF(AND(COUNTIF(ניו!$B:$B,$A240)&gt;0,COUNTIF('מדי '!$B:$B,$A240)&gt;0),"NZ + מדי",IF(COUNTIF(ניו!$B:$B,$A240)&gt;0,"NZ","מדי"))</f>
        <v>מדי</v>
      </c>
      <c r="C240" s="43" t="n">
        <f aca="false">IFERROR(INDEX(ניו!$C:$C,MATCH($A240,ניו!$B:$B,0)),IFERROR(INDEX('מדי '!$C:$C,MATCH($A240,'מדי '!$B:$B,0)),""))</f>
        <v>19.5193690311184</v>
      </c>
      <c r="D240" s="43" t="str">
        <f aca="false">IFERROR(INDEX(ניו!$D:$D,MATCH($A240,ניו!$B:$B,0)),"")</f>
        <v/>
      </c>
      <c r="E240" s="43" t="str">
        <f aca="false">IFERROR(INDEX(ניו!$E:$E,MATCH($A240,ניו!$B:$B,0)),"")</f>
        <v/>
      </c>
      <c r="F240" s="43" t="n">
        <f aca="false">IFERROR(INDEX('מדי '!$D:$D,MATCH($A240,'מדי '!$B:$B,0)),"")</f>
        <v>9.5</v>
      </c>
      <c r="G240" s="43" t="n">
        <f aca="false">IFERROR(INDEX('מדי '!$E:$E,MATCH($A240,'מדי '!$B:$B,0)),"")</f>
        <v>8.20454545454546</v>
      </c>
      <c r="H240" s="43" t="n">
        <f aca="false">IFERROR(INDEX('מדי '!$F:$F,MATCH($A240,'מדי '!$B:$B,0)),"")</f>
        <v>1.40810019160504</v>
      </c>
    </row>
    <row r="241" customFormat="false" ht="15" hidden="false" customHeight="false" outlineLevel="0" collapsed="false">
      <c r="A241" s="41" t="s">
        <v>223</v>
      </c>
      <c r="B241" s="42" t="str">
        <f aca="false">IF(AND(COUNTIF(ניו!$B:$B,$A241)&gt;0,COUNTIF('מדי '!$B:$B,$A241)&gt;0),"NZ + מדי",IF(COUNTIF(ניו!$B:$B,$A241)&gt;0,"NZ","מדי"))</f>
        <v>מדי</v>
      </c>
      <c r="C241" s="43" t="n">
        <f aca="false">IFERROR(INDEX(ניו!$C:$C,MATCH($A241,ניו!$B:$B,0)),IFERROR(INDEX('מדי '!$C:$C,MATCH($A241,'מדי '!$B:$B,0)),""))</f>
        <v>44.5412958853556</v>
      </c>
      <c r="D241" s="43" t="str">
        <f aca="false">IFERROR(INDEX(ניו!$D:$D,MATCH($A241,ניו!$B:$B,0)),"")</f>
        <v/>
      </c>
      <c r="E241" s="43" t="str">
        <f aca="false">IFERROR(INDEX(ניו!$E:$E,MATCH($A241,ניו!$B:$B,0)),"")</f>
        <v/>
      </c>
      <c r="F241" s="43" t="n">
        <f aca="false">IFERROR(INDEX('מדי '!$D:$D,MATCH($A241,'מדי '!$B:$B,0)),"")</f>
        <v>22.9</v>
      </c>
      <c r="G241" s="43" t="n">
        <f aca="false">IFERROR(INDEX('מדי '!$E:$E,MATCH($A241,'מדי '!$B:$B,0)),"")</f>
        <v>19.7772727272727</v>
      </c>
      <c r="H241" s="43" t="n">
        <f aca="false">IFERROR(INDEX('מדי '!$F:$F,MATCH($A241,'מדי '!$B:$B,0)),"")</f>
        <v>1.48747049944155</v>
      </c>
    </row>
    <row r="242" customFormat="false" ht="15" hidden="false" customHeight="false" outlineLevel="0" collapsed="false">
      <c r="A242" s="41" t="s">
        <v>224</v>
      </c>
      <c r="B242" s="42" t="str">
        <f aca="false">IF(AND(COUNTIF(ניו!$B:$B,$A242)&gt;0,COUNTIF('מדי '!$B:$B,$A242)&gt;0),"NZ + מדי",IF(COUNTIF(ניו!$B:$B,$A242)&gt;0,"NZ","מדי"))</f>
        <v>מדי</v>
      </c>
      <c r="C242" s="43" t="n">
        <f aca="false">IFERROR(INDEX(ניו!$C:$C,MATCH($A242,ניו!$B:$B,0)),IFERROR(INDEX('מדי '!$C:$C,MATCH($A242,'מדי '!$B:$B,0)),""))</f>
        <v>95.095344414231</v>
      </c>
      <c r="D242" s="43" t="str">
        <f aca="false">IFERROR(INDEX(ניו!$D:$D,MATCH($A242,ניו!$B:$B,0)),"")</f>
        <v/>
      </c>
      <c r="E242" s="43" t="str">
        <f aca="false">IFERROR(INDEX(ניו!$E:$E,MATCH($A242,ניו!$B:$B,0)),"")</f>
        <v/>
      </c>
      <c r="F242" s="43" t="n">
        <f aca="false">IFERROR(INDEX('מדי '!$D:$D,MATCH($A242,'מדי '!$B:$B,0)),"")</f>
        <v>42</v>
      </c>
      <c r="G242" s="43" t="n">
        <f aca="false">IFERROR(INDEX('מדי '!$E:$E,MATCH($A242,'מדי '!$B:$B,0)),"")</f>
        <v>36.2727272727273</v>
      </c>
      <c r="H242" s="43" t="n">
        <f aca="false">IFERROR(INDEX('מדי '!$F:$F,MATCH($A242,'מדי '!$B:$B,0)),"")</f>
        <v>1.27780846803949</v>
      </c>
    </row>
    <row r="243" customFormat="false" ht="15" hidden="false" customHeight="false" outlineLevel="0" collapsed="false">
      <c r="A243" s="41" t="s">
        <v>225</v>
      </c>
      <c r="B243" s="42" t="str">
        <f aca="false">IF(AND(COUNTIF(ניו!$B:$B,$A243)&gt;0,COUNTIF('מדי '!$B:$B,$A243)&gt;0),"NZ + מדי",IF(COUNTIF(ניו!$B:$B,$A243)&gt;0,"NZ","מדי"))</f>
        <v>מדי</v>
      </c>
      <c r="C243" s="43" t="n">
        <f aca="false">IFERROR(INDEX(ניו!$C:$C,MATCH($A243,ניו!$B:$B,0)),IFERROR(INDEX('מדי '!$C:$C,MATCH($A243,'מדי '!$B:$B,0)),""))</f>
        <v>64.8142345628864</v>
      </c>
      <c r="D243" s="43" t="str">
        <f aca="false">IFERROR(INDEX(ניו!$D:$D,MATCH($A243,ניו!$B:$B,0)),"")</f>
        <v/>
      </c>
      <c r="E243" s="43" t="str">
        <f aca="false">IFERROR(INDEX(ניו!$E:$E,MATCH($A243,ניו!$B:$B,0)),"")</f>
        <v/>
      </c>
      <c r="F243" s="43" t="n">
        <f aca="false">IFERROR(INDEX('מדי '!$D:$D,MATCH($A243,'מדי '!$B:$B,0)),"")</f>
        <v>32</v>
      </c>
      <c r="G243" s="43" t="n">
        <f aca="false">IFERROR(INDEX('מדי '!$E:$E,MATCH($A243,'מדי '!$B:$B,0)),"")</f>
        <v>27.6363636363636</v>
      </c>
      <c r="H243" s="43" t="n">
        <f aca="false">IFERROR(INDEX('מדי '!$F:$F,MATCH($A243,'מדי '!$B:$B,0)),"")</f>
        <v>1.42841798265765</v>
      </c>
    </row>
    <row r="244" customFormat="false" ht="15" hidden="false" customHeight="false" outlineLevel="0" collapsed="false">
      <c r="A244" s="41" t="s">
        <v>226</v>
      </c>
      <c r="B244" s="42" t="str">
        <f aca="false">IF(AND(COUNTIF(ניו!$B:$B,$A244)&gt;0,COUNTIF('מדי '!$B:$B,$A244)&gt;0),"NZ + מדי",IF(COUNTIF(ניו!$B:$B,$A244)&gt;0,"NZ","מדי"))</f>
        <v>מדי</v>
      </c>
      <c r="C244" s="43" t="n">
        <f aca="false">IFERROR(INDEX(ניו!$C:$C,MATCH($A244,ניו!$B:$B,0)),IFERROR(INDEX('מדי '!$C:$C,MATCH($A244,'מדי '!$B:$B,0)),""))</f>
        <v>69.5794424825008</v>
      </c>
      <c r="D244" s="43" t="str">
        <f aca="false">IFERROR(INDEX(ניו!$D:$D,MATCH($A244,ניו!$B:$B,0)),"")</f>
        <v/>
      </c>
      <c r="E244" s="43" t="str">
        <f aca="false">IFERROR(INDEX(ניו!$E:$E,MATCH($A244,ניו!$B:$B,0)),"")</f>
        <v/>
      </c>
      <c r="F244" s="43" t="n">
        <f aca="false">IFERROR(INDEX('מדי '!$D:$D,MATCH($A244,'מדי '!$B:$B,0)),"")</f>
        <v>37.8</v>
      </c>
      <c r="G244" s="43" t="n">
        <f aca="false">IFERROR(INDEX('מדי '!$E:$E,MATCH($A244,'מדי '!$B:$B,0)),"")</f>
        <v>32.6454545454546</v>
      </c>
      <c r="H244" s="43" t="n">
        <f aca="false">IFERROR(INDEX('מדי '!$F:$F,MATCH($A244,'מדי '!$B:$B,0)),"")</f>
        <v>1.57176126777356</v>
      </c>
    </row>
    <row r="246" customFormat="false" ht="15" hidden="false" customHeight="false" outlineLevel="0" collapsed="false">
      <c r="A246" s="44" t="s">
        <v>310</v>
      </c>
    </row>
    <row r="247" customFormat="false" ht="15" hidden="false" customHeight="false" outlineLevel="0" collapsed="false">
      <c r="A247" s="45" t="s">
        <v>311</v>
      </c>
    </row>
    <row r="248" customFormat="false" ht="15" hidden="false" customHeight="false" outlineLevel="0" collapsed="false">
      <c r="A248" s="46" t="s">
        <v>312</v>
      </c>
    </row>
    <row r="249" customFormat="false" ht="15" hidden="false" customHeight="false" outlineLevel="0" collapsed="false">
      <c r="A249" s="47" t="s">
        <v>313</v>
      </c>
    </row>
    <row r="251" customFormat="false" ht="12.65" hidden="false" customHeight="false" outlineLevel="0" collapsed="false">
      <c r="A251" s="48" t="s">
        <v>314</v>
      </c>
      <c r="B251" s="48"/>
      <c r="C251" s="48"/>
      <c r="D251" s="48"/>
      <c r="E251" s="48"/>
      <c r="F251" s="48"/>
      <c r="G251" s="48"/>
      <c r="H251" s="48"/>
    </row>
    <row r="252" customFormat="false" ht="30" hidden="false" customHeight="true" outlineLevel="0" collapsed="false">
      <c r="A252" s="49" t="s">
        <v>315</v>
      </c>
      <c r="B252" s="49"/>
      <c r="C252" s="49"/>
      <c r="D252" s="49"/>
      <c r="E252" s="49"/>
      <c r="F252" s="49"/>
      <c r="G252" s="49"/>
      <c r="H252" s="49"/>
    </row>
    <row r="253" customFormat="false" ht="30" hidden="false" customHeight="true" outlineLevel="0" collapsed="false">
      <c r="A253" s="49" t="s">
        <v>316</v>
      </c>
      <c r="B253" s="49"/>
      <c r="C253" s="49"/>
      <c r="D253" s="49"/>
      <c r="E253" s="49"/>
      <c r="F253" s="49"/>
      <c r="G253" s="49"/>
      <c r="H253" s="49"/>
    </row>
    <row r="254" customFormat="false" ht="30" hidden="false" customHeight="true" outlineLevel="0" collapsed="false">
      <c r="A254" s="49" t="s">
        <v>317</v>
      </c>
      <c r="B254" s="49"/>
      <c r="C254" s="49"/>
      <c r="D254" s="49"/>
      <c r="E254" s="49"/>
      <c r="F254" s="49"/>
      <c r="G254" s="49"/>
      <c r="H254" s="49"/>
    </row>
  </sheetData>
  <mergeCells count="6">
    <mergeCell ref="A1:H1"/>
    <mergeCell ref="A3:H3"/>
    <mergeCell ref="A251:H251"/>
    <mergeCell ref="A252:H252"/>
    <mergeCell ref="A253:H253"/>
    <mergeCell ref="A254:H25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2026-10-15T13:29:50Z</dcterms:created>
  <dc:creator>Eyal Sadot</dc:creator>
  <dc:description/>
  <dc:language>en-US</dc:language>
  <cp:lastModifiedBy>Eyal Sadot</cp:lastModifiedBy>
  <dcterms:modified xsi:type="dcterms:W3CDTF">2026-10-18T07:24:28Z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