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<sst xmlns="http://schemas.openxmlformats.org/spreadsheetml/2006/main" count="132" uniqueCount="102">
  <si>
    <t xml:space="preserve">דוח מכירות ספטמבר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</si>
  <si>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</si>
  <si>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</si>
  <si>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</si>
  <si>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</si>
  <si>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</si>
  <si>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</si>
  <si>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</si>
  <si>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</si>
  <si>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</si>
  <si>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</si>
  <si>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</si>
  <si>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</si>
  <si>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</si>
  <si>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</si>
  <si>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</si>
  <si>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</si>
  <si>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</si>
  <si>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</si>
  <si>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</si>
  <si>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</si>
  <si>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</si>
  <si>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</si>
  <si>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</si>
  <si>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</si>
  <si>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</si>
  <si>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</si>
  <si>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</si>
  <si>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</si>
  <si>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</si>
  <si>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</si>
  <si>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</si>
  <si>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</si>
  <si>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</si>
  <si>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</si>
  <si>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</si>
  <si>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</si>
  <si>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</si>
  <si>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</si>
  <si>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</si>
  <si>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</si>
  <si>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</si>
  <si>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</si>
  <si>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</si>
  <si>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</si>
  <si>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</si>
  <si>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</si>
  <si>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</si>
  <si>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</si>
  <si>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</si>
  <si>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</si>
  <si>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</si>
  <si>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</si>
  <si>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</si>
  <si>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</si>
  <si>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</si>
  <si>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</si>
  <si>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</si>
  <si>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</si>
  <si>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</si>
  <si>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</si>
  <si>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</si>
  <si>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</si>
  <si>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</si>
  <si>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</si>
  <si>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</si>
  <si>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</si>
  <si>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</si>
  <si>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</si>
  <si>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</si>
  <si>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</si>
  <si>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</si>
  <si>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</si>
  <si>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</si>
  <si>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</si>
  <si>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</si>
  <si>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</si>
  <si>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</si>
  <si>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</si>
  <si>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</si>
  <si>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</si>
  <si>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</si>
  <si>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</si>
  <si>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</si>
  <si>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</si>
  <si>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</si>
  <si>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</si>
  <si>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</si>
  <si>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</si>
  <si>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</si>
  <si>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PPlay1.xls, "PPlay1 of uriel (Reporter)", נוצר 01/10/2026 10:15:19, תקופה 2026/Sep (סגירת חודש ספטמבר המלא — קובץ נמסר בבוקר 01/10/2026, היום הראשון של אוקטובר, אך תוכנו עדיין 2026/Sep. לפי המוסכמה: B1 בגיליון סה"כ נשאר "ספטמבר 2026" כל עוד קבצי המקור מציגים את חודש ספטמבר ולא התחילו להצטבר מאוקטובר). שוב בפורמט MHTML ("Excel Web Page", MIME multipart) ולא XLSX/ZIP רגיל — זוהה ע"י `file` שמחזיר "MIME entity, ASCII text". פוענח ע"י email.message_from_binary_file + BeautifulSoup על part[2] (Content-Location "sheet001.htm"), decode windows-1255 — פרסור נקי בניסיון ראשון, אינדקס part[2] אומת מחדש ותואם לימים קודמים. נשלפו 10 שורות קטגוריה שיש להן נתונים עד כה החודש, מתוך 13 הקטגוריות במקרא גיליון Pplay1. 3 קטגוריות נותרות ללא נתונים עדיין החודש (גוד פארם מרכז, 0צרכנים פרטיים, 0שונות; תקין לסגירת חודש, לא נתון חסר — זהה לדוחות הקודמים). לעומת 29/09/2026 (הדוח היומי הקודם, MTD): 0בתי מרקחת ₪171,261.2→₪181,860.0, 0פארמים ₪444,218.9→₪533,408.1, אילת BE ₪3,888.7→₪6,632.0, סופרפארם ₪377,056.6→₪454,708.2, שופרסל BE ₪62,816.7→₪71,611.0, 0קופות חולים ₪54,413.2→₪60,089.3 — כולם המשיכו לגדול בסגירת החודש; 0מפיצי משנה, הפרכל הפרפארם, זיכויים BE, גוד פארם נותרו ללא שינוי בדיוק (אין תנועה חדשה שנקלטה במקור בפער זה — נבדק ואומת ישירות מול הטקסט הגולמי בקובץ המקור, לא שגיאת פענוח). שורת "Customers" בדוח המקור (₪775,935.1) היא שורת סה"כ-אב ואינה שווה לסכום שורות הקטגוריה (₪1,309,343.3) — תקין וצפוי, כרגיל — לא יובאה. מכר נטו = עמודה B × 0.91 (מקדם קבוע, מאושר ב-kirill.md; חל גם על ערך שלילי).</t>
  </si>
  <si>
    <t xml:space="preserve">2026/Sep (סכום גולמי, MTD)</t>
  </si>
  <si>
    <t xml:space="preserve">הערה</t>
  </si>
  <si>
    <t xml:space="preserve">Source: CustomSalesbyCustomerSummary348.xlsx, Meditex Group IL, Custom Sales by Customer Summary, 01 September 2026 - 30 September 2026 (סגירת חודש ספטמבר המלא), נמסר 01/10/2026 עבור דוח 01/10/2026. קובץ xlsx תקני (2007+) — נטען ישירות ע"י openpyxl ללא צורך בתיקון קידוד. נשלפו 14 שורות הסיכום (קטגוריה) שיש להן מכירות בחודש, מתוך 28 הקטגוריות במקרא "ריכוז" (14 הקטגוריות הנותרות אין להן מכירות עדיין החודש — תקין, לא נתון חסר; אותן 14 חסרות כמו ב-29/09). לעומת 29/09/2026 (הדוח היומי הקודם, MTD): 102 - Orthopedic institutes ₪50,664.95→₪60,353.17, 112 - Kupat Holim Clalit ₪224,717.20→₪296,928.10, 114 - IL online ₪327,556.57→₪347,579.04, 106 - Hospitals ₪3,512.91→₪6,726.56 — כולם גידול טבעי בסגירת החודש; 101 - Factory customers ₪8,922.67→₪8,755.86 — ירידה של ₪166.81, נבדק ואומת ישירות מול הדוח הגולמי (ככל הנראה זיכוי/תיקון חשבונית שנקלט בין הדוחות, לא שגיאת פענוח); שאר הקטגוריות (103, 109, 111, 107, 115, 205, 209, 204, 201) נותרו ללא שינוי בדיוק (אין חשבונית חדשה לאותו לקוח בפער זה). לא יובאו שורות פירוט חשבוניות/לקוחות-בת מהדוח הגולמי, לפי מוסכמת עבודה. סה"כ שורת "Total" בדוח הגולמי המלא: ₪1,054,570.93 — תואם בדיוק לסכום 14 שורות הקטגוריה שנשלפו (₪1,054,570.93, אומת ידנית, הפרש &lt;0.01₪).</t>
  </si>
  <si>
    <t xml:space="preserve">Customer</t>
  </si>
  <si>
    <t xml:space="preserve">Sales</t>
  </si>
  <si>
    <t xml:space="preserve">Source: צילום מסך/נתונים שסופקו על ידי המשתמש (ראובן), לוח בקרה Sellerboard/Amazon Seller "Month to date, 1-30 September 2026" (חודש ספטמבר שלם, לא MTD חלקי כבדוחות הקודמים), נמסר 01/10/2026 עבור דוח 01/10/2026, מאומת בטקסט (לא תמלול תמונה). נתונים נוספים שסופקו (לא בשימוש בנוסחה): Sales -1.6% מול תקופה קודמת, Orders/Units 2,299/2,349, Refunds 203, Est. payout $24,338.36, Gross profit $10,785.13, Net profit $10,785.13 -10.9%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</si>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</sst>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46296</v>
      </c>
      <c r="C2" s="6" t="n">
        <v>9.2026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SUMIF(Pplay1!$F$3:$F$15,A3,Pplay1!$H$3:$H$15)+SUMIF(ריכוז!$B$3:$B$30,A3,ריכוז!$C$3:$C$30)</f>
        <v>193941.5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SUMIF(Pplay1!$F$3:$F$15,A4,Pplay1!$H$3:$H$15)+SUMIF(ריכוז!$B$3:$B$30,A4,ריכוז!$C$3:$C$30)</f>
        <v>413784.462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SUMIF(Pplay1!$F$3:$F$15,A5,Pplay1!$H$3:$H$15)+SUMIF(ריכוז!$B$3:$B$30,A5,ריכוז!$C$3:$C$30)</f>
        <v>70795.452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SUMIF(Pplay1!$F$3:$F$15,A6,Pplay1!$H$3:$H$15)+SUMIF(ריכוז!$B$3:$B$30,A6,ריכוז!$C$3:$C$30)</f>
        <v>178661.465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SUMIF(Pplay1!$F$3:$F$15,A7,Pplay1!$H$3:$H$15)+SUMIF(ריכוז!$B$3:$B$30,A7,ריכוז!$C$3:$C$30)</f>
        <v>296928.1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SUMIF(Pplay1!$F$3:$F$15,A8,Pplay1!$H$3:$H$15)+SUMIF(ריכוז!$B$3:$B$30,A8,ריכוז!$C$3:$C$30)</f>
        <v>54681.263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SUMIF(Pplay1!$F$3:$F$15,A9,Pplay1!$H$3:$H$15)+SUMIF(ריכוז!$B$3:$B$30,A9,ריכוז!$C$3:$C$30)</f>
        <v>60353.17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SUMIF(Pplay1!$F$3:$F$15,A10,Pplay1!$H$3:$H$15)+SUMIF(ריכוז!$B$3:$B$30,A10,ריכוז!$C$3:$C$30)</f>
        <v>8755.86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SUMIF(Pplay1!$F$3:$F$15,A11,Pplay1!$H$3:$H$15)+SUMIF(ריכוז!$B$3:$B$30,A11,ריכוז!$C$3:$C$30)</f>
        <v>5091.7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SUMIF(Pplay1!$F$3:$F$15,A12,Pplay1!$H$3:$H$15)+SUMIF(ריכוז!$B$3:$B$30,A12,ריכוז!$C$3:$C$30)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SUMIF(Pplay1!$F$3:$F$15,A13,Pplay1!$H$3:$H$15)+SUMIF(ריכוז!$B$3:$B$30,A13,ריכוז!$C$3:$C$30)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SUMIF(Pplay1!$F$3:$F$15,A14,Pplay1!$H$3:$H$15)+SUMIF(ריכוז!$B$3:$B$30,A14,ריכוז!$C$3:$C$30)</f>
        <v>6726.56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SUMIF(Pplay1!$F$3:$F$15,A15,Pplay1!$H$3:$H$15)+SUMIF(ריכוז!$B$3:$B$30,A15,ריכוז!$C$3:$C$30)</f>
        <v>9421.74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1299141.272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SUMIF(Pplay1!$F$3:$F$15,A17,Pplay1!$H$3:$H$15)+SUMIF(ריכוז!$B$3:$B$30,A17,ריכוז!$C$3:$C$30)</f>
        <v>347579.04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SUMIF(Pplay1!$F$3:$F$15,A18,Pplay1!$H$3:$H$15)+SUMIF(ריכוז!$B$3:$B$30,A18,ריכוז!$C$3:$C$30)</f>
        <v>547.02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1647267.332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198718.53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SUMIF(Pplay1!$F$3:$F$15,A21,Pplay1!$H$3:$H$15)+SUMIF(ריכוז!$B$3:$B$30,A21,ריכוז!$C$3:$C$30)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SUMIF(Pplay1!$F$3:$F$15,A22,Pplay1!$H$3:$H$15)+SUMIF(ריכוז!$B$3:$B$30,A22,ריכוז!$C$3:$C$30)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SUMIF(Pplay1!$F$3:$F$15,A23,Pplay1!$H$3:$H$15)+SUMIF(ריכוז!$B$3:$B$30,A23,ריכוז!$C$3:$C$30)</f>
        <v>51223.23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SUMIF(Pplay1!$F$3:$F$15,A24,Pplay1!$H$3:$H$15)+SUMIF(ריכוז!$B$3:$B$30,A24,ריכוז!$C$3:$C$30)</f>
        <v>15160.58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SUMIF(Pplay1!$F$3:$F$15,A25,Pplay1!$H$3:$H$15)+SUMIF(ריכוז!$B$3:$B$30,A25,ריכוז!$C$3:$C$30)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SUMIF(Pplay1!$F$3:$F$15,A26,Pplay1!$H$3:$H$15)+SUMIF(ריכוז!$B$3:$B$30,A26,ריכוז!$C$3:$C$30)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SUMIF(Pplay1!$F$3:$F$15,A27,Pplay1!$H$3:$H$15)+SUMIF(ריכוז!$B$3:$B$30,A27,ריכוז!$C$3:$C$30)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SUMIF(Pplay1!$F$3:$F$15,A28,Pplay1!$H$3:$H$15)+SUMIF(ריכוז!$B$3:$B$30,A28,ריכוז!$C$3:$C$30)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SUMIF(Pplay1!$F$3:$F$15,A29,Pplay1!$H$3:$H$15)+SUMIF(ריכוז!$B$3:$B$30,A29,ריכוז!$C$3:$C$30)</f>
        <v>25430.19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SUMIF(Pplay1!$F$3:$F$15,A30,Pplay1!$H$3:$H$15)+SUMIF(ריכוז!$B$3:$B$30,A30,ריכוז!$C$3:$C$30)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SUMIF(Pplay1!$F$3:$F$15,A31,Pplay1!$H$3:$H$15)+SUMIF(ריכוז!$B$3:$B$30,A31,ריכוז!$C$3:$C$30)</f>
        <v>21590.63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SUMIF(Pplay1!$F$3:$F$15,A32,Pplay1!$H$3:$H$15)+SUMIF(ריכוז!$B$3:$B$30,A32,ריכוז!$C$3:$C$30)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SUMIF(Pplay1!$F$3:$F$15,A33,Pplay1!$H$3:$H$15)+SUMIF(ריכוז!$B$3:$B$30,A33,ריכוז!$C$3:$C$30)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SUMIF(Pplay1!$F$3:$F$15,A34,Pplay1!$H$3:$H$15)+SUMIF(ריכוז!$B$3:$B$30,A34,ריכוז!$C$3:$C$30)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SUMIF(Pplay1!$F$3:$F$15,A35,Pplay1!$H$3:$H$15)+SUMIF(ריכוז!$B$3:$B$30,A35,ריכוז!$C$3:$C$30)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SUMIF(Pplay1!$F$3:$F$15,A36,Pplay1!$H$3:$H$15)+SUMIF(ריכוז!$B$3:$B$30,A36,ריכוז!$C$3:$C$30)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SUMIF(Pplay1!$F$3:$F$15,A37,Pplay1!$H$3:$H$15)+SUMIF(ריכוז!$B$3:$B$30,A37,ריכוז!$C$3:$C$30)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SUMIF(Pplay1!$F$3:$F$15,A38,Pplay1!$H$3:$H$15)+SUMIF(ריכוז!$B$3:$B$30,A38,ריכוז!$C$3:$C$30)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SUMIF(Pplay1!$F$3:$F$15,A39,Pplay1!$H$3:$H$15)+SUMIF(ריכוז!$B$3:$B$30,A39,ריכוז!$C$3:$C$30)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312123.16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1959390.492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181860</v>
      </c>
      <c r="H3" s="27" t="n">
        <f aca="false">IF(G3="","",G3*0.91)</f>
        <v>165492.6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577.7</v>
      </c>
      <c r="H4" s="27" t="n">
        <f aca="false">IF(G4="","",G4*0.91)</f>
        <v>525.707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533408.1</v>
      </c>
      <c r="H5" s="27" t="n">
        <f aca="false">IF(G5="","",G5*0.91)</f>
        <v>485401.371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6632</v>
      </c>
      <c r="H6" s="27" t="n">
        <f aca="false">IF(G6="","",G6*0.91)</f>
        <v>6035.12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902.8</v>
      </c>
      <c r="H7" s="27" t="n">
        <f aca="false">IF(G7="","",G7*0.91)</f>
        <v>821.548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362.9</v>
      </c>
      <c r="H9" s="27" t="n">
        <f aca="false">IF(G9="","",G9*0.91)</f>
        <v>330.239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454708.2</v>
      </c>
      <c r="H10" s="27" t="n">
        <f aca="false">IF(G10="","",G10*0.91)</f>
        <v>413784.462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71611</v>
      </c>
      <c r="H11" s="27" t="n">
        <f aca="false">IF(G11="","",G11*0.91)</f>
        <v>65166.01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60089.3</v>
      </c>
      <c r="H13" s="27" t="n">
        <f aca="false">IF(G13="","",G13*0.91)</f>
        <v>54681.263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-808.7</v>
      </c>
      <c r="H15" s="27" t="n">
        <f aca="false">IF(G15="","",G15*0.91)</f>
        <v>-735.917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IFERROR(INDEX(NetSuite_מקור!$D:$D,MATCH(A3,NetSuite_מקור!$A:$A,0)),"")</f>
        <v>60353.17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n">
        <f aca="false">IFERROR(INDEX(NetSuite_מקור!$D:$D,MATCH(A4,NetSuite_מקור!$A:$A,0)),"")</f>
        <v>193941.5</v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n">
        <f aca="false">IFERROR(INDEX(NetSuite_מקור!$D:$D,MATCH(A5,NetSuite_מקור!$A:$A,0)),"")</f>
        <v>9421.74</v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IFERROR(INDEX(NetSuite_מקור!$D:$D,MATCH(A6,NetSuite_מקור!$A:$A,0)),"")</f>
        <v>5091.7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IFERROR(INDEX(NetSuite_מקור!$D:$D,MATCH(A7,NetSuite_מקור!$A:$A,0)),"")</f>
        <v>8755.86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IFERROR(INDEX(NetSuite_מקור!$D:$D,MATCH(A8,NetSuite_מקור!$A:$A,0)),"")</f>
        <v>11821.61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IFERROR(INDEX(NetSuite_מקור!$D:$D,MATCH(A9,NetSuite_מקור!$A:$A,0)),"")</f>
        <v>6726.56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IFERROR(INDEX(NetSuite_מקור!$D:$D,MATCH(A11,NetSuite_מקור!$A:$A,0)),"")</f>
        <v>296928.1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IFERROR(INDEX(NetSuite_מקור!$D:$D,MATCH(A12,NetSuite_מקור!$A:$A,0)),"")</f>
        <v>347579.04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n">
        <f aca="false">IFERROR(INDEX(NetSuite_מקור!$D:$D,MATCH(A13,NetSuite_מקור!$A:$A,0)),"")</f>
        <v>547.02</v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n">
        <f aca="false">IFERROR(INDEX(NetSuite_מקור!$D:$D,MATCH(A14,NetSuite_מקור!$A:$A,0)),"")</f>
        <v>15160.58</v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n">
        <f aca="false">IFERROR(INDEX(NetSuite_מקור!$D:$D,MATCH(A16,NetSuite_מקור!$A:$A,0)),"")</f>
        <v>25430.19</v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IFERROR(INDEX(NetSuite_מקור!$D:$D,MATCH(A17,NetSuite_מקור!$A:$A,0)),"")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n">
        <f aca="false">IFERROR(INDEX(NetSuite_מקור!$D:$D,MATCH(A20,NetSuite_מקור!$A:$A,0)),"")</f>
        <v>51223.23</v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n">
        <f aca="false">IFERROR(INDEX(NetSuite_מקור!$D:$D,MATCH(A25,NetSuite_מקור!$A:$A,0)),"")</f>
        <v>21590.63</v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181860</v>
      </c>
      <c r="C2" s="27" t="n">
        <f aca="false">B2*0.91</f>
        <v>165492.6</v>
      </c>
      <c r="D2" s="30"/>
    </row>
    <row r="3" customFormat="false" ht="14.25" hidden="false" customHeight="true" outlineLevel="0" collapsed="false">
      <c r="A3" s="26" t="s">
        <v>49</v>
      </c>
      <c r="B3" s="27" t="n">
        <v>577.7</v>
      </c>
      <c r="C3" s="27" t="n">
        <f aca="false">B3*0.91</f>
        <v>525.707</v>
      </c>
      <c r="D3" s="30"/>
    </row>
    <row r="4" customFormat="false" ht="14.25" hidden="false" customHeight="true" outlineLevel="0" collapsed="false">
      <c r="A4" s="26" t="s">
        <v>50</v>
      </c>
      <c r="B4" s="27" t="n">
        <v>533408.1</v>
      </c>
      <c r="C4" s="27" t="n">
        <f aca="false">B4*0.91</f>
        <v>485401.371</v>
      </c>
      <c r="D4" s="30"/>
    </row>
    <row r="5" customFormat="false" ht="14.25" hidden="false" customHeight="true" outlineLevel="0" collapsed="false">
      <c r="A5" s="26" t="s">
        <v>51</v>
      </c>
      <c r="B5" s="27" t="n">
        <v>6632</v>
      </c>
      <c r="C5" s="27" t="n">
        <f aca="false">B5*0.91</f>
        <v>6035.12</v>
      </c>
      <c r="D5" s="30"/>
    </row>
    <row r="6" customFormat="false" ht="14.25" hidden="false" customHeight="true" outlineLevel="0" collapsed="false">
      <c r="A6" s="26" t="s">
        <v>54</v>
      </c>
      <c r="B6" s="27" t="n">
        <v>362.9</v>
      </c>
      <c r="C6" s="27" t="n">
        <f aca="false">B6*0.91</f>
        <v>330.239</v>
      </c>
      <c r="D6" s="30"/>
    </row>
    <row r="7" customFormat="false" ht="14.25" hidden="false" customHeight="true" outlineLevel="0" collapsed="false">
      <c r="A7" s="26" t="s">
        <v>59</v>
      </c>
      <c r="B7" s="27" t="n">
        <v>-808.7</v>
      </c>
      <c r="C7" s="27" t="n">
        <f aca="false">B7*0.91</f>
        <v>-735.917</v>
      </c>
      <c r="D7" s="30"/>
    </row>
    <row r="8" customFormat="false" ht="14.25" hidden="false" customHeight="true" outlineLevel="0" collapsed="false">
      <c r="A8" s="26" t="s">
        <v>3</v>
      </c>
      <c r="B8" s="27" t="n">
        <v>454708.2</v>
      </c>
      <c r="C8" s="27" t="n">
        <f aca="false">B8*0.91</f>
        <v>413784.462</v>
      </c>
      <c r="D8" s="30"/>
    </row>
    <row r="9" customFormat="false" ht="14.25" hidden="false" customHeight="true" outlineLevel="0" collapsed="false">
      <c r="A9" s="26" t="s">
        <v>55</v>
      </c>
      <c r="B9" s="27" t="n">
        <v>71611</v>
      </c>
      <c r="C9" s="27" t="n">
        <f aca="false">B9*0.91</f>
        <v>65166.01</v>
      </c>
    </row>
    <row r="10" customFormat="false" ht="14.25" hidden="false" customHeight="true" outlineLevel="0" collapsed="false">
      <c r="A10" s="26" t="s">
        <v>57</v>
      </c>
      <c r="B10" s="27" t="n">
        <v>60089.3</v>
      </c>
      <c r="C10" s="27" t="n">
        <f aca="false">B10*0.91</f>
        <v>54681.263</v>
      </c>
    </row>
    <row r="11" customFormat="false" ht="14.25" hidden="false" customHeight="true" outlineLevel="0" collapsed="false">
      <c r="A11" s="1" t="s">
        <v>52</v>
      </c>
      <c r="B11" s="1" t="n">
        <v>902.8</v>
      </c>
      <c r="C11" s="1" t="n">
        <f aca="false">B11*0.91</f>
        <v>821.548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60353.17</v>
      </c>
    </row>
    <row r="4" customFormat="false" ht="15" hidden="false" customHeight="true" outlineLevel="0" collapsed="false">
      <c r="A4" s="26" t="s">
        <v>64</v>
      </c>
      <c r="D4" s="29" t="n">
        <v>9421.74</v>
      </c>
    </row>
    <row r="5" customFormat="false" ht="15" hidden="false" customHeight="true" outlineLevel="0" collapsed="false">
      <c r="A5" s="26" t="s">
        <v>65</v>
      </c>
      <c r="D5" s="29" t="n">
        <v>5091.7</v>
      </c>
    </row>
    <row r="6" customFormat="false" ht="15" hidden="false" customHeight="true" outlineLevel="0" collapsed="false">
      <c r="A6" s="26" t="s">
        <v>63</v>
      </c>
      <c r="D6" s="29" t="n">
        <v>193941.5</v>
      </c>
    </row>
    <row r="7" customFormat="false" ht="15" hidden="false" customHeight="true" outlineLevel="0" collapsed="false">
      <c r="A7" s="26" t="s">
        <v>66</v>
      </c>
      <c r="D7" s="29" t="n">
        <v>8755.86</v>
      </c>
    </row>
    <row r="8" customFormat="false" ht="15" hidden="false" customHeight="true" outlineLevel="0" collapsed="false">
      <c r="A8" s="26" t="s">
        <v>67</v>
      </c>
      <c r="D8" s="29" t="n">
        <v>11821.61</v>
      </c>
    </row>
    <row r="9" customFormat="false" ht="15" hidden="false" customHeight="true" outlineLevel="0" collapsed="false">
      <c r="A9" s="26" t="s">
        <v>70</v>
      </c>
      <c r="D9" s="29" t="n">
        <v>296928.1</v>
      </c>
    </row>
    <row r="10" customFormat="false" ht="14.25" hidden="false" customHeight="true" outlineLevel="0" collapsed="false">
      <c r="A10" s="26" t="s">
        <v>71</v>
      </c>
      <c r="D10" s="29" t="n">
        <v>347579.04</v>
      </c>
    </row>
    <row r="11" customFormat="false" ht="14.25" hidden="false" customHeight="true" outlineLevel="0" collapsed="false">
      <c r="A11" s="26" t="s">
        <v>72</v>
      </c>
      <c r="D11" s="29" t="n">
        <v>547.02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15160.58</v>
      </c>
      <c r="E12" s="32"/>
    </row>
    <row r="13" customFormat="false" ht="14.25" hidden="false" customHeight="true" outlineLevel="0" collapsed="false">
      <c r="A13" s="33" t="s">
        <v>75</v>
      </c>
      <c r="B13" s="31"/>
      <c r="C13" s="31"/>
      <c r="D13" s="34" t="n">
        <v>25430.19</v>
      </c>
      <c r="E13" s="32"/>
    </row>
    <row r="14" customFormat="false" ht="14.25" hidden="false" customHeight="true" outlineLevel="0" collapsed="false">
      <c r="A14" s="26" t="s">
        <v>79</v>
      </c>
      <c r="D14" s="27" t="n">
        <v>51223.23</v>
      </c>
    </row>
    <row r="15" customFormat="false" ht="14.25" hidden="false" customHeight="true" outlineLevel="0" collapsed="false">
      <c r="A15" s="26" t="s">
        <v>68</v>
      </c>
      <c r="D15" s="27" t="n">
        <v>6726.56</v>
      </c>
    </row>
    <row r="16" customFormat="false" ht="14.25" hidden="false" customHeight="true" outlineLevel="0" collapsed="false">
      <c r="A16" s="26" t="s">
        <v>84</v>
      </c>
      <c r="D16" s="27" t="n">
        <v>21590.63</v>
      </c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71888.24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-5648.73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2026-10-01T07:21:41Z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