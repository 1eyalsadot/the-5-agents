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<sst xmlns="http://schemas.openxmlformats.org/spreadsheetml/2006/main" count="135" uniqueCount="102">
  <si>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</si>
  <si>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</si>
  <si>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</si>
  <si>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</si>
  <si>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</si>
  <si>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</si>
  <si>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</si>
  <si>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</si>
  <si>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</si>
  <si>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</si>
  <si>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</si>
  <si>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</si>
  <si>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</si>
  <si>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</si>
  <si>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</si>
  <si>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</si>
  <si>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</si>
  <si>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</si>
  <si>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</si>
  <si>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</si>
  <si>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</si>
  <si>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</si>
  <si>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</si>
  <si>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</si>
  <si>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</si>
  <si>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</si>
  <si>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</si>
  <si>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</si>
  <si>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</si>
  <si>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</si>
  <si>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</si>
  <si>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</si>
  <si>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</si>
  <si>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</si>
  <si>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</si>
  <si>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</si>
  <si>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</si>
  <si>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</si>
  <si>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</si>
  <si>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</si>
  <si>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</si>
  <si>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</si>
  <si>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</si>
  <si>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</si>
  <si>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</si>
  <si>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</si>
  <si>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</si>
  <si>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</si>
  <si>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</si>
  <si>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</si>
  <si>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</si>
  <si>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</si>
  <si>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</si>
  <si>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</si>
  <si>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</si>
  <si>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</si>
  <si>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</si>
  <si>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</si>
  <si>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</si>
  <si>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</si>
  <si>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</si>
  <si>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</si>
  <si>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</si>
  <si>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</si>
  <si>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</si>
  <si>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</si>
  <si>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</si>
  <si>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</si>
  <si>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</si>
  <si>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</si>
  <si>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</si>
  <si>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</si>
  <si>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</si>
  <si>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</si>
  <si>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</si>
  <si>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</si>
  <si>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</si>
  <si>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</si>
  <si>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</si>
  <si>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</si>
  <si>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</si>
  <si>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</si>
  <si>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</si>
  <si>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</si>
  <si>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</si>
  <si>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</si>
  <si>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</si>
  <si>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</si>
  <si>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</si>
  <si>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</si>
  <si>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697967b4-PPlay1.xls), "PPlay1 of uriel (Reporter)", נוצר 20/10/2026 08:14:05, תקופה 2026/Oct (ממשיך MTD אוקטובר 2026, אין מעבר חודש - B1 נשאר "אוקטובר 2026"). קובץ הגיע כ-MHTML ("Excel Web Page", MIME multipart) ולא כ-XLSX/ZIP רגיל - פוענח לפי שיטת email.message_from_binary_file + BeautifulSoup (part[2] עם Content-Location שמסתיים ב-sheet001.htm, windows-1255), כמתועד ב-kirill.md; לא הופעל תיקון rgb="auto" (זה לא שייך לפורמט הזה). נשלפו 12 שורות קטגוריה שיש להן נתונים עד כה החודש (0בתי מרקחת, 0מפיצי משנה, 0פארמים, אילת BE, גוד פארם, גוד פארם מרכז, הפרכל הפרפארם, זיכויים BE, סופרפארם, שופרסל BE, 0צרכנים פרטיים, 0קופות חולים) - אותן 12 קטגוריות שהיו ב-18/10, אין קטגוריה חדשה, רק הצטברות MTD על פני 2 ימים נוספים. קטגוריה אחת נותרה ללא נתונים עדיין החודש (0שונות) - תקין, לא נתון חסר. כל הערכים עלו מול 18/10 (הצטברות MTD): 0בתי מרקחת 76,404.5-&gt;85,911.9, 0מפיצי משנה 244.1-&gt;533.7, 0פארמים 335,341.6-&gt;351,638.5, אילת BE 4,973.6-&gt;6,950.4, סופרפארם 290,632.2-&gt;298,598.7, שופרסל BE 39,763.9-&gt;46,117.4, 0קופות חולים 36,168.7-&gt;40,037.8; גוד פארם, גוד פארם מרכז, הפרכל הפרפארם, זיכויים BE ו-0צרכנים פרטיים נשארו ללא שינוי (אין תנועה נוספת). שורת "Customers" (829,970.2) היא שורת-אב/סכום-ביניים של שדה הפיבוט ואינה שווה לסכום 12 שורות הקטגוריה (478,331.7) - הוחרגה מהייבוא כמקובל לשורות-אב.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</si>
  <si>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</si>
  <si>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</si>
  <si>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</si>
  <si>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</si>
  <si>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CustomSalesbyCustomerSummary270.xlsx (uploaded as 92c095d0-CustomSalesbyCustomerSummary270.xlsx), Meditex Group IL, Custom Sales by Customer Summary, 01 October 2026 - 31 October 2026 (MTD, אוקטובר), נמסר 20/10/2026 עבור דוח 20/10/2026.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שורות קטגוריה (לא שורות פירוט/לקוחות-בת). מול 18/10: 13 שורות קטגוריה (לעומת 12 ב-18/10) - נוספה קטגוריה חדשה עם מכירות בפועל: 202 - Super-Pharm POLAND (131,295.8), שממופה כבר במקרא "ריכוז" (שורה 17, לקוח #20) מ-04/08/2026, ללא שינוי מבני נדרש. כל 12 הקטגוריות הקיימות עלו או נשארו ללא שינוי (הצטברות MTD): 102 - Orthopedic institutes 42,042.47-&gt;53,887.76, 101 - Factory customers 12,316.08-&gt;12,992.65, 107 - Pharmacies 11,365.58-&gt;12,507.55, 112 - Kupat Holim Clalit 117,536.9-&gt;132,622.4, 114 - IL online 178,157.33-&gt;209,549.8, 115-SuperPharm Online 2,088.1-&gt;2,580.12; 111 - Superpharm Life, 103 - Physiotherapy institutes, 109 - Private Shops, 106 - Hospitals, 209 - Ortoprofil Prod ROMANIA, 216 - Max Konnaris CYPRUS נשארו ללא שינוי (אין תנועה נוספת). סה"כ שורת "Total" בדוח הגולמי המלא: ₪697,798.10 - תואם בדיוק לסכום 13 שורות הקטגוריה שנשלפו (אומת ידנית: 53,887.76+79,677.00+719.90+2,342.42+12,992.65+12,507.55+5,323.62+132,622.40+209,549.80+2,580.12+131,295.80+23,809.14+30,489.94 = 697,798.10).</t>
  </si>
  <si>
    <t xml:space="preserve">Source: צילום מסך/נתונים שסופקו על ידי המשתמש (ראובן), לוח בקרה Sellerboard/Amazon Seller "Month to date, 1-19 October 2026", נמסר 20/10/2026 עבור דוח 20/10/2026, מאומת בטקסט (לא תמלול תמונה). נתונים נוספים שסופקו במקור (לא בשימוש בנוסחה): Sales -0.6% מול תקופה קודמת, Orders/Units 1,468/1,515, Refunds 132, Est. payout $12,547.40, Gross profit $4,271.18, Net profit $4,271.18 -47.2%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</si>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</sst>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46315</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271724.817</v>
      </c>
    </row>
    <row r="5" customFormat="false" ht="14.25" hidden="false" customHeight="true" outlineLevel="0" collapsed="false">
      <c r="A5" s="10" t="n">
        <v>7</v>
      </c>
      <c r="B5" s="8" t="s">
        <v>4</v>
      </c>
      <c r="C5" s="9" t="n">
        <f aca="false">SUMIF(Pplay1!$F$3:$F$15,A5,Pplay1!$H$3:$H$15)+SUMIF(ריכוז!$B$3:$B$30,A5,ריכוז!$C$3:$C$30)</f>
        <v>47907.405</v>
      </c>
    </row>
    <row r="6" customFormat="false" ht="14.25" hidden="false" customHeight="true" outlineLevel="0" collapsed="false">
      <c r="A6" s="10" t="n">
        <v>4</v>
      </c>
      <c r="B6" s="8" t="s">
        <v>5</v>
      </c>
      <c r="C6" s="9" t="n">
        <f aca="false">SUMIF(Pplay1!$F$3:$F$15,A6,Pplay1!$H$3:$H$15)+SUMIF(ריכוז!$B$3:$B$30,A6,ריכוז!$C$3:$C$30)</f>
        <v>91722.777</v>
      </c>
    </row>
    <row r="7" customFormat="false" ht="14.25" hidden="false" customHeight="true" outlineLevel="0" collapsed="false">
      <c r="A7" s="10" t="n">
        <v>3</v>
      </c>
      <c r="B7" s="8" t="s">
        <v>6</v>
      </c>
      <c r="C7" s="9" t="n">
        <f aca="false">SUMIF(Pplay1!$F$3:$F$15,A7,Pplay1!$H$3:$H$15)+SUMIF(ריכוז!$B$3:$B$30,A7,ריכוז!$C$3:$C$30)</f>
        <v>132622.4</v>
      </c>
    </row>
    <row r="8" customFormat="false" ht="14.25" hidden="false" customHeight="true" outlineLevel="0" collapsed="false">
      <c r="A8" s="10" t="n">
        <v>8</v>
      </c>
      <c r="B8" s="8" t="s">
        <v>7</v>
      </c>
      <c r="C8" s="9" t="n">
        <f aca="false">SUMIF(Pplay1!$F$3:$F$15,A8,Pplay1!$H$3:$H$15)+SUMIF(ריכוז!$B$3:$B$30,A8,ריכוז!$C$3:$C$30)</f>
        <v>36434.398</v>
      </c>
    </row>
    <row r="9" customFormat="false" ht="14.25" hidden="false" customHeight="true" outlineLevel="0" collapsed="false">
      <c r="A9" s="10" t="n">
        <v>6</v>
      </c>
      <c r="B9" s="8" t="s">
        <v>8</v>
      </c>
      <c r="C9" s="9" t="n">
        <f aca="false">SUMIF(Pplay1!$F$3:$F$15,A9,Pplay1!$H$3:$H$15)+SUMIF(ריכוז!$B$3:$B$30,A9,ריכוז!$C$3:$C$30)</f>
        <v>53887.76</v>
      </c>
    </row>
    <row r="10" customFormat="false" ht="14.25" hidden="false" customHeight="true" outlineLevel="0" collapsed="false">
      <c r="A10" s="11" t="n">
        <v>10</v>
      </c>
      <c r="B10" s="12" t="s">
        <v>9</v>
      </c>
      <c r="C10" s="9" t="n">
        <f aca="false">SUMIF(Pplay1!$F$3:$F$15,A10,Pplay1!$H$3:$H$15)+SUMIF(ריכוז!$B$3:$B$30,A10,ריכוז!$C$3:$C$30)</f>
        <v>12992.65</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719.9</v>
      </c>
    </row>
    <row r="16" customFormat="false" ht="15" hidden="false" customHeight="true" outlineLevel="0" collapsed="false">
      <c r="A16" s="13"/>
      <c r="B16" s="14" t="s">
        <v>15</v>
      </c>
      <c r="C16" s="15" t="n">
        <f aca="false">SUM(C3:C15)</f>
        <v>735355.147</v>
      </c>
    </row>
    <row r="17" customFormat="false" ht="14.25" hidden="false" customHeight="true" outlineLevel="0" collapsed="false">
      <c r="A17" s="10" t="n">
        <v>2</v>
      </c>
      <c r="B17" s="8" t="s">
        <v>16</v>
      </c>
      <c r="C17" s="9" t="n">
        <f aca="false">SUMIF(Pplay1!$F$3:$F$15,A17,Pplay1!$H$3:$H$15)+SUMIF(ריכוז!$B$3:$B$30,A17,ריכוז!$C$3:$C$30)</f>
        <v>209549.8</v>
      </c>
    </row>
    <row r="18" customFormat="false" ht="14.25" hidden="false" customHeight="true" outlineLevel="0" collapsed="false">
      <c r="A18" s="10" t="n">
        <v>12</v>
      </c>
      <c r="B18" s="8" t="s">
        <v>17</v>
      </c>
      <c r="C18" s="9" t="n">
        <f aca="false">SUMIF(Pplay1!$F$3:$F$15,A18,Pplay1!$H$3:$H$15)+SUMIF(ריכוז!$B$3:$B$30,A18,ריכוז!$C$3:$C$30)</f>
        <v>2580.12</v>
      </c>
    </row>
    <row r="19" customFormat="false" ht="15" hidden="false" customHeight="true" outlineLevel="0" collapsed="false">
      <c r="A19" s="11"/>
      <c r="B19" s="16" t="s">
        <v>18</v>
      </c>
      <c r="C19" s="15" t="n">
        <f aca="false">C18+C17+C16</f>
        <v>947485.067</v>
      </c>
    </row>
    <row r="20" customFormat="false" ht="14.25" hidden="false" customHeight="true" outlineLevel="0" collapsed="false">
      <c r="A20" s="11" t="n">
        <v>50</v>
      </c>
      <c r="B20" s="12" t="s">
        <v>19</v>
      </c>
      <c r="C20" s="9" t="n">
        <f aca="false">(Amazon_מקור!B3+Amazon_מקור!B4)*3</f>
        <v>123608.85</v>
      </c>
    </row>
    <row r="21" customFormat="false" ht="14.25" hidden="false" customHeight="true" outlineLevel="0" collapsed="false">
      <c r="A21" s="11" t="n">
        <v>20</v>
      </c>
      <c r="B21" s="12" t="s">
        <v>20</v>
      </c>
      <c r="C21" s="9" t="n">
        <f aca="false">SUMIF(Pplay1!$F$3:$F$15,A21,Pplay1!$H$3:$H$15)+SUMIF(ריכוז!$B$3:$B$30,A21,ריכוז!$C$3:$C$30)</f>
        <v>131295.8</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0</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309203.73</v>
      </c>
    </row>
    <row r="41" customFormat="false" ht="15" hidden="false" customHeight="true" outlineLevel="0" collapsed="false">
      <c r="A41" s="11"/>
      <c r="B41" s="19" t="s">
        <v>40</v>
      </c>
      <c r="C41" s="20" t="n">
        <f aca="false">C40+C19</f>
        <v>1256688.797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85911.9</v>
      </c>
      <c r="H3" s="27" t="n">
        <f aca="false">IF(G3="","",G3*0.91)</f>
        <v>78179.829</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533.7</v>
      </c>
      <c r="H4" s="27" t="n">
        <f aca="false">IF(G4="","",G4*0.91)</f>
        <v>485.667</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351638.5</v>
      </c>
      <c r="H5" s="27" t="n">
        <f aca="false">IF(G5="","",G5*0.91)</f>
        <v>319991.035</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6950.4</v>
      </c>
      <c r="H6" s="27" t="n">
        <f aca="false">IF(G6="","",G6*0.91)</f>
        <v>6324.864</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679.1</v>
      </c>
      <c r="H7" s="27" t="n">
        <f aca="false">IF(G7="","",G7*0.91)</f>
        <v>617.981</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847.2</v>
      </c>
      <c r="H9" s="27" t="n">
        <f aca="false">IF(G9="","",G9*0.91)</f>
        <v>770.952</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298598.7</v>
      </c>
      <c r="H10" s="27" t="n">
        <f aca="false">IF(G10="","",G10*0.91)</f>
        <v>271724.817</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46117.4</v>
      </c>
      <c r="H11" s="27" t="n">
        <f aca="false">IF(G11="","",G11*0.91)</f>
        <v>41966.834</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40037.8</v>
      </c>
      <c r="H13" s="27" t="n">
        <f aca="false">IF(G13="","",G13*0.91)</f>
        <v>36434.398</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-1269.5</v>
      </c>
      <c r="H15" s="27" t="n">
        <f aca="false">IF(G15="","",G15*0.91)</f>
        <v>-1155.245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53887.76</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719.9</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12992.65</v>
      </c>
    </row>
    <row r="8" customFormat="false" ht="14.25" hidden="false" customHeight="true" outlineLevel="0" collapsed="false">
      <c r="A8" s="28" t="s">
        <v>67</v>
      </c>
      <c r="B8" s="1" t="n">
        <v>4</v>
      </c>
      <c r="C8" s="27" t="n">
        <f aca="false">IFERROR(INDEX(NetSuite_מקור!$D:$D,MATCH(A8,NetSuite_מקור!$A:$A,0)),"")</f>
        <v>12507.55</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132622.4</v>
      </c>
    </row>
    <row r="12" customFormat="false" ht="14.25" hidden="false" customHeight="true" outlineLevel="0" collapsed="false">
      <c r="A12" s="28" t="s">
        <v>71</v>
      </c>
      <c r="B12" s="1" t="n">
        <v>2</v>
      </c>
      <c r="C12" s="27" t="n">
        <f aca="false">IFERROR(INDEX(NetSuite_מקור!$D:$D,MATCH(A12,NetSuite_מקור!$A:$A,0)),"")</f>
        <v>209549.8</v>
      </c>
    </row>
    <row r="13" customFormat="false" ht="14.25" hidden="false" customHeight="true" outlineLevel="0" collapsed="false">
      <c r="A13" s="28" t="s">
        <v>72</v>
      </c>
      <c r="B13" s="1" t="n">
        <v>12</v>
      </c>
      <c r="C13" s="27" t="n">
        <f aca="false">IFERROR(INDEX(NetSuite_מקור!$D:$D,MATCH(A13,NetSuite_מקור!$A:$A,0)),"")</f>
        <v>2580.12</v>
      </c>
    </row>
    <row r="14" customFormat="false" ht="14.25" hidden="false" customHeight="true" outlineLevel="0" collapsed="false">
      <c r="A14" s="28" t="s">
        <v>73</v>
      </c>
      <c r="B14" s="1" t="n">
        <v>23</v>
      </c>
      <c r="C14" s="27" t="str">
        <f aca="false">IFERROR(INDEX(NetSuite_מקור!$D:$D,MATCH(A14,NetSuite_מקור!$A:$A,0)),"")</f>
        <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n">
        <f aca="false">IFERROR(INDEX(NetSuite_מקור!$D:$D,MATCH(A17,NetSuite_מקור!$A:$A,0)),"")</f>
        <v>131295.8</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85911.9</v>
      </c>
      <c r="C3" s="27" t="n">
        <f aca="false">B3*0.91</f>
        <v>78179.829</v>
      </c>
      <c r="D3" s="30"/>
    </row>
    <row r="4" customFormat="false" ht="14.25" hidden="false" customHeight="true" outlineLevel="0" collapsed="false">
      <c r="A4" s="26" t="s">
        <v>49</v>
      </c>
      <c r="B4" s="27" t="n">
        <v>533.7</v>
      </c>
      <c r="C4" s="27" t="n">
        <f aca="false">B4*0.91</f>
        <v>485.667</v>
      </c>
      <c r="D4" s="30"/>
    </row>
    <row r="5" customFormat="false" ht="14.25" hidden="false" customHeight="true" outlineLevel="0" collapsed="false">
      <c r="A5" s="26" t="s">
        <v>50</v>
      </c>
      <c r="B5" s="27" t="n">
        <v>351638.5</v>
      </c>
      <c r="C5" s="27" t="n">
        <f aca="false">B5*0.91</f>
        <v>319991.035</v>
      </c>
      <c r="D5" s="30"/>
    </row>
    <row r="6" customFormat="false" ht="14.25" hidden="false" customHeight="true" outlineLevel="0" collapsed="false">
      <c r="A6" s="26" t="s">
        <v>51</v>
      </c>
      <c r="B6" s="27" t="n">
        <v>6950.4</v>
      </c>
      <c r="C6" s="27" t="n">
        <f aca="false">B6*0.91</f>
        <v>6324.864</v>
      </c>
      <c r="D6" s="30"/>
    </row>
    <row r="7" customFormat="false" ht="14.25" hidden="false" customHeight="true" outlineLevel="0" collapsed="false">
      <c r="A7" s="26" t="s">
        <v>52</v>
      </c>
      <c r="B7" s="27" t="n">
        <v>679.1</v>
      </c>
      <c r="C7" s="27" t="n">
        <f aca="false">B7*0.91</f>
        <v>617.981</v>
      </c>
      <c r="D7" s="30"/>
    </row>
    <row r="8" customFormat="false" ht="14.25" hidden="false" customHeight="true" outlineLevel="0" collapsed="false">
      <c r="A8" s="26" t="s">
        <v>53</v>
      </c>
      <c r="B8" s="27" t="n">
        <v>-284.7</v>
      </c>
      <c r="C8" s="27" t="n">
        <f aca="false">B8*0.91</f>
        <v>-259.077</v>
      </c>
      <c r="D8" s="30"/>
    </row>
    <row r="9" customFormat="false" ht="14.25" hidden="false" customHeight="true" outlineLevel="0" collapsed="false">
      <c r="A9" s="26" t="s">
        <v>54</v>
      </c>
      <c r="B9" s="27" t="n">
        <v>847.2</v>
      </c>
      <c r="C9" s="27" t="n">
        <f aca="false">B9*0.91</f>
        <v>770.952</v>
      </c>
      <c r="D9" s="30"/>
    </row>
    <row r="10" customFormat="false" ht="14.25" hidden="false" customHeight="true" outlineLevel="0" collapsed="false">
      <c r="A10" s="26" t="s">
        <v>59</v>
      </c>
      <c r="B10" s="27" t="n">
        <v>-1269.5</v>
      </c>
      <c r="C10" s="27" t="n">
        <f aca="false">B10*0.91</f>
        <v>-1155.245</v>
      </c>
      <c r="D10" s="30"/>
    </row>
    <row r="11" customFormat="false" ht="14.25" hidden="false" customHeight="true" outlineLevel="0" collapsed="false">
      <c r="A11" s="26" t="s">
        <v>3</v>
      </c>
      <c r="B11" s="27" t="n">
        <v>298598.7</v>
      </c>
      <c r="C11" s="27" t="n">
        <f aca="false">B11*0.91</f>
        <v>271724.817</v>
      </c>
      <c r="D11" s="30"/>
    </row>
    <row r="12" customFormat="false" ht="14.25" hidden="false" customHeight="true" outlineLevel="0" collapsed="false">
      <c r="A12" s="26" t="s">
        <v>55</v>
      </c>
      <c r="B12" s="27" t="n">
        <v>46117.4</v>
      </c>
      <c r="C12" s="27" t="n">
        <f aca="false">B12*0.91</f>
        <v>41966.834</v>
      </c>
      <c r="D12" s="30"/>
    </row>
    <row r="13" customFormat="false" ht="14.25" hidden="false" customHeight="true" outlineLevel="0" collapsed="false">
      <c r="A13" s="26" t="s">
        <v>56</v>
      </c>
      <c r="B13" s="27" t="n">
        <v>209.7</v>
      </c>
      <c r="C13" s="27" t="n">
        <f aca="false">B13*0.91</f>
        <v>190.827</v>
      </c>
      <c r="D13" s="30"/>
    </row>
    <row r="14" customFormat="false" ht="14.25" hidden="false" customHeight="true" outlineLevel="0" collapsed="false">
      <c r="A14" s="26" t="s">
        <v>57</v>
      </c>
      <c r="B14" s="27" t="n">
        <v>40037.8</v>
      </c>
      <c r="C14" s="27" t="n">
        <f aca="false">B14*0.91</f>
        <v>36434.398</v>
      </c>
      <c r="D14"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53887.76</v>
      </c>
    </row>
    <row r="4" customFormat="false" ht="15" hidden="false" customHeight="true" outlineLevel="0" collapsed="false">
      <c r="A4" s="26" t="s">
        <v>63</v>
      </c>
      <c r="D4" s="29" t="n">
        <v>79677</v>
      </c>
    </row>
    <row r="5" customFormat="false" ht="15" hidden="false" customHeight="true" outlineLevel="0" collapsed="false">
      <c r="A5" s="26" t="s">
        <v>64</v>
      </c>
      <c r="D5" s="29" t="n">
        <v>719.9</v>
      </c>
    </row>
    <row r="6" customFormat="false" ht="15" hidden="false" customHeight="true" outlineLevel="0" collapsed="false">
      <c r="A6" s="26" t="s">
        <v>65</v>
      </c>
      <c r="D6" s="29" t="n">
        <v>2342.42</v>
      </c>
    </row>
    <row r="7" customFormat="false" ht="15" hidden="false" customHeight="true" outlineLevel="0" collapsed="false">
      <c r="A7" s="26" t="s">
        <v>66</v>
      </c>
      <c r="D7" s="29" t="n">
        <v>12992.65</v>
      </c>
    </row>
    <row r="8" customFormat="false" ht="15" hidden="false" customHeight="true" outlineLevel="0" collapsed="false">
      <c r="A8" s="26" t="s">
        <v>67</v>
      </c>
      <c r="D8" s="29" t="n">
        <v>12507.55</v>
      </c>
    </row>
    <row r="9" customFormat="false" ht="15" hidden="false" customHeight="true" outlineLevel="0" collapsed="false">
      <c r="A9" s="26" t="s">
        <v>68</v>
      </c>
      <c r="D9" s="29" t="n">
        <v>5323.62</v>
      </c>
    </row>
    <row r="10" customFormat="false" ht="14.25" hidden="false" customHeight="true" outlineLevel="0" collapsed="false">
      <c r="A10" s="26" t="s">
        <v>70</v>
      </c>
      <c r="D10" s="29" t="n">
        <v>132622.4</v>
      </c>
    </row>
    <row r="11" customFormat="false" ht="14.25" hidden="false" customHeight="true" outlineLevel="0" collapsed="false">
      <c r="A11" s="26" t="s">
        <v>71</v>
      </c>
      <c r="D11" s="29" t="n">
        <v>209549.8</v>
      </c>
    </row>
    <row r="12" customFormat="false" ht="14.25" hidden="false" customHeight="true" outlineLevel="0" collapsed="false">
      <c r="A12" s="26" t="s">
        <v>72</v>
      </c>
      <c r="B12" s="31"/>
      <c r="C12" s="31"/>
      <c r="D12" s="29" t="n">
        <v>2580.12</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t="s">
        <v>76</v>
      </c>
      <c r="D15" s="27" t="n">
        <v>131295.8</v>
      </c>
    </row>
    <row r="16" customFormat="false" ht="14.25" hidden="false" customHeight="true" outlineLevel="0" collapsed="false">
      <c r="A16" s="26"/>
      <c r="D16" s="27"/>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45033.77</v>
      </c>
      <c r="C3" s="30" t="s">
        <v>99</v>
      </c>
    </row>
    <row r="4" customFormat="false" ht="15" hidden="false" customHeight="true" outlineLevel="0" collapsed="false">
      <c r="A4" s="26" t="s">
        <v>100</v>
      </c>
      <c r="B4" s="27" t="n">
        <v>-3830.82</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2026-10-20T05:18:17Z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